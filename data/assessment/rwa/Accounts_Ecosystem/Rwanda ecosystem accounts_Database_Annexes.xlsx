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426"/>
  <workbookPr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https://worldbankgroup-my.sharepoint.com/personal/yariasgranada_worldbank_org1/Documents/Documents/NCA Data AFE/Rwanda/OneDrive_1_2-18-2026/Ecosystem Accounts/Data/"/>
    </mc:Choice>
  </mc:AlternateContent>
  <xr:revisionPtr revIDLastSave="5" documentId="11_C33FE1C71D238D259803E6AAACD546CF24EAA75C" xr6:coauthVersionLast="47" xr6:coauthVersionMax="47" xr10:uidLastSave="{2B36493E-F529-4136-9323-13808175F8AD}"/>
  <bookViews>
    <workbookView xWindow="28680" yWindow="-120" windowWidth="29040" windowHeight="15720" tabRatio="881" xr2:uid="{00000000-000D-0000-FFFF-FFFF00000000}"/>
  </bookViews>
  <sheets>
    <sheet name="Potential_Soil_erosion" sheetId="24" r:id="rId1"/>
    <sheet name="Soil Loss_Sediment Export" sheetId="19" r:id="rId2"/>
    <sheet name="Annual Water" sheetId="14" r:id="rId3"/>
    <sheet name="BASEEFLOW_Proxy_Local Recharge" sheetId="18" r:id="rId4"/>
    <sheet name="Quick Flow" sheetId="16" r:id="rId5"/>
  </sheets>
  <definedNames>
    <definedName name="_xlnm._FilterDatabase" localSheetId="2" hidden="1">'Annual Water'!$A$92:$I$92</definedName>
    <definedName name="_xlnm._FilterDatabase" localSheetId="3" hidden="1">'BASEEFLOW_Proxy_Local Recharge'!$B$89:$J$89</definedName>
    <definedName name="_xlnm._FilterDatabase" localSheetId="0" hidden="1">Potential_Soil_erosion!$B$94:$L$94</definedName>
    <definedName name="_xlnm._FilterDatabase" localSheetId="4" hidden="1">'Quick Flow'!$C$92:$N$92</definedName>
    <definedName name="_xlnm._FilterDatabase" localSheetId="1" hidden="1">'Soil Loss_Sediment Export'!$A$89:$J$89</definedName>
    <definedName name="_xlnm.Database" localSheetId="2">#REF!</definedName>
    <definedName name="_xlnm.Database" localSheetId="3">#REF!</definedName>
    <definedName name="_xlnm.Database" localSheetId="0">#REF!</definedName>
    <definedName name="_xlnm.Database" localSheetId="4">#REF!</definedName>
    <definedName name="_xlnm.Database" localSheetId="1">#REF!</definedName>
    <definedName name="_xlnm.Database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60" i="24" l="1"/>
  <c r="G90" i="19"/>
  <c r="H101" i="24"/>
  <c r="I96" i="24"/>
  <c r="G93" i="19"/>
  <c r="G98" i="19"/>
  <c r="G57" i="16"/>
  <c r="H57" i="16" s="1"/>
  <c r="G86" i="16"/>
  <c r="H86" i="16" s="1"/>
  <c r="G85" i="16"/>
  <c r="H85" i="16" s="1"/>
  <c r="G84" i="16"/>
  <c r="H84" i="16" s="1"/>
  <c r="G83" i="16"/>
  <c r="H83" i="16" s="1"/>
  <c r="G82" i="16"/>
  <c r="H82" i="16" s="1"/>
  <c r="G81" i="16"/>
  <c r="H81" i="16" s="1"/>
  <c r="G80" i="16"/>
  <c r="H80" i="16" s="1"/>
  <c r="G79" i="16"/>
  <c r="H79" i="16" s="1"/>
  <c r="G78" i="16"/>
  <c r="H78" i="16" s="1"/>
  <c r="G77" i="16"/>
  <c r="H77" i="16" s="1"/>
  <c r="G76" i="16"/>
  <c r="H76" i="16" s="1"/>
  <c r="G75" i="16"/>
  <c r="H75" i="16" s="1"/>
  <c r="G74" i="16"/>
  <c r="H74" i="16" s="1"/>
  <c r="G73" i="16"/>
  <c r="H73" i="16" s="1"/>
  <c r="G72" i="16"/>
  <c r="H72" i="16" s="1"/>
  <c r="G71" i="16"/>
  <c r="H71" i="16" s="1"/>
  <c r="G70" i="16"/>
  <c r="H70" i="16" s="1"/>
  <c r="G69" i="16"/>
  <c r="H69" i="16" s="1"/>
  <c r="G68" i="16"/>
  <c r="H68" i="16" s="1"/>
  <c r="G67" i="16"/>
  <c r="H67" i="16" s="1"/>
  <c r="G66" i="16"/>
  <c r="H66" i="16" s="1"/>
  <c r="G65" i="16"/>
  <c r="H65" i="16" s="1"/>
  <c r="H64" i="16"/>
  <c r="G64" i="16"/>
  <c r="G63" i="16"/>
  <c r="H63" i="16" s="1"/>
  <c r="G62" i="16"/>
  <c r="H62" i="16" s="1"/>
  <c r="G61" i="16"/>
  <c r="H61" i="16" s="1"/>
  <c r="G60" i="16"/>
  <c r="H60" i="16" s="1"/>
  <c r="G59" i="16"/>
  <c r="H59" i="16" s="1"/>
  <c r="G58" i="16"/>
  <c r="H58" i="16" s="1"/>
  <c r="K90" i="18"/>
  <c r="G58" i="18"/>
  <c r="H58" i="18" s="1"/>
  <c r="G59" i="18"/>
  <c r="H59" i="18" s="1"/>
  <c r="G60" i="18"/>
  <c r="H60" i="18" s="1"/>
  <c r="G61" i="18"/>
  <c r="H61" i="18" s="1"/>
  <c r="G62" i="18"/>
  <c r="H62" i="18" s="1"/>
  <c r="G63" i="18"/>
  <c r="H63" i="18" s="1"/>
  <c r="G64" i="18"/>
  <c r="H64" i="18" s="1"/>
  <c r="G65" i="18"/>
  <c r="H65" i="18" s="1"/>
  <c r="G66" i="18"/>
  <c r="H66" i="18" s="1"/>
  <c r="G67" i="18"/>
  <c r="H67" i="18" s="1"/>
  <c r="G68" i="18"/>
  <c r="H68" i="18" s="1"/>
  <c r="G69" i="18"/>
  <c r="H69" i="18" s="1"/>
  <c r="G70" i="18"/>
  <c r="H70" i="18" s="1"/>
  <c r="G71" i="18"/>
  <c r="H71" i="18" s="1"/>
  <c r="G72" i="18"/>
  <c r="H72" i="18" s="1"/>
  <c r="G73" i="18"/>
  <c r="H73" i="18" s="1"/>
  <c r="G74" i="18"/>
  <c r="H74" i="18" s="1"/>
  <c r="G75" i="18"/>
  <c r="H75" i="18" s="1"/>
  <c r="G76" i="18"/>
  <c r="H76" i="18" s="1"/>
  <c r="G77" i="18"/>
  <c r="H77" i="18" s="1"/>
  <c r="G78" i="18"/>
  <c r="H78" i="18" s="1"/>
  <c r="G79" i="18"/>
  <c r="H79" i="18" s="1"/>
  <c r="G80" i="18"/>
  <c r="H80" i="18" s="1"/>
  <c r="G81" i="18"/>
  <c r="H81" i="18" s="1"/>
  <c r="G82" i="18"/>
  <c r="H82" i="18" s="1"/>
  <c r="G83" i="18"/>
  <c r="H83" i="18" s="1"/>
  <c r="G84" i="18"/>
  <c r="H84" i="18" s="1"/>
  <c r="G85" i="18"/>
  <c r="H85" i="18" s="1"/>
  <c r="G86" i="18"/>
  <c r="H86" i="18" s="1"/>
  <c r="G57" i="18"/>
  <c r="H57" i="18" s="1"/>
  <c r="G94" i="19"/>
  <c r="J60" i="24"/>
  <c r="J94" i="19"/>
  <c r="J98" i="19"/>
  <c r="J96" i="19"/>
  <c r="J97" i="19"/>
  <c r="J90" i="19"/>
  <c r="J95" i="19"/>
  <c r="J92" i="19"/>
  <c r="J91" i="19"/>
  <c r="J93" i="19"/>
  <c r="I94" i="19"/>
  <c r="I98" i="19"/>
  <c r="I96" i="19"/>
  <c r="I97" i="19"/>
  <c r="I90" i="19"/>
  <c r="I95" i="19"/>
  <c r="I92" i="19"/>
  <c r="I91" i="19"/>
  <c r="I93" i="19"/>
  <c r="H94" i="19"/>
  <c r="H98" i="19"/>
  <c r="H96" i="19"/>
  <c r="H97" i="19"/>
  <c r="H90" i="19"/>
  <c r="H95" i="19"/>
  <c r="H92" i="19"/>
  <c r="H91" i="19"/>
  <c r="H93" i="19"/>
  <c r="G96" i="19"/>
  <c r="G97" i="19"/>
  <c r="G95" i="19"/>
  <c r="G92" i="19"/>
  <c r="G91" i="19"/>
  <c r="K79" i="19" l="1"/>
  <c r="K83" i="19"/>
  <c r="K77" i="19"/>
  <c r="K71" i="19"/>
  <c r="K73" i="19"/>
  <c r="K69" i="19"/>
  <c r="K59" i="19"/>
  <c r="K67" i="19"/>
  <c r="K76" i="19"/>
  <c r="K72" i="19"/>
  <c r="K75" i="19"/>
  <c r="K64" i="19"/>
  <c r="K57" i="19"/>
  <c r="K56" i="19"/>
  <c r="K68" i="19"/>
  <c r="K65" i="19"/>
  <c r="K61" i="19"/>
  <c r="K70" i="19"/>
  <c r="K62" i="19"/>
  <c r="K58" i="19"/>
  <c r="K63" i="19"/>
  <c r="K66" i="19"/>
  <c r="K60" i="19"/>
  <c r="K85" i="19"/>
  <c r="K78" i="19"/>
  <c r="K82" i="19"/>
  <c r="K81" i="19"/>
  <c r="K80" i="19"/>
  <c r="K84" i="19"/>
  <c r="J83" i="19"/>
  <c r="J77" i="19"/>
  <c r="J71" i="19"/>
  <c r="J73" i="19"/>
  <c r="J69" i="19"/>
  <c r="J59" i="19"/>
  <c r="J67" i="19"/>
  <c r="J76" i="19"/>
  <c r="J72" i="19"/>
  <c r="J75" i="19"/>
  <c r="J64" i="19"/>
  <c r="J57" i="19"/>
  <c r="J56" i="19"/>
  <c r="J68" i="19"/>
  <c r="J65" i="19"/>
  <c r="J61" i="19"/>
  <c r="J70" i="19"/>
  <c r="J62" i="19"/>
  <c r="J58" i="19"/>
  <c r="J63" i="19"/>
  <c r="J66" i="19"/>
  <c r="J60" i="19"/>
  <c r="J85" i="19"/>
  <c r="J78" i="19"/>
  <c r="J82" i="19"/>
  <c r="J81" i="19"/>
  <c r="J80" i="19"/>
  <c r="J84" i="19"/>
  <c r="J79" i="19"/>
  <c r="I83" i="19"/>
  <c r="I77" i="19"/>
  <c r="I71" i="19"/>
  <c r="I73" i="19"/>
  <c r="I69" i="19"/>
  <c r="I59" i="19"/>
  <c r="I67" i="19"/>
  <c r="I76" i="19"/>
  <c r="I72" i="19"/>
  <c r="I75" i="19"/>
  <c r="I64" i="19"/>
  <c r="I57" i="19"/>
  <c r="I56" i="19"/>
  <c r="I68" i="19"/>
  <c r="I65" i="19"/>
  <c r="I61" i="19"/>
  <c r="I70" i="19"/>
  <c r="I62" i="19"/>
  <c r="I58" i="19"/>
  <c r="I63" i="19"/>
  <c r="I66" i="19"/>
  <c r="I60" i="19"/>
  <c r="I85" i="19"/>
  <c r="I78" i="19"/>
  <c r="I82" i="19"/>
  <c r="I81" i="19"/>
  <c r="I80" i="19"/>
  <c r="I84" i="19"/>
  <c r="I79" i="19"/>
  <c r="H83" i="19"/>
  <c r="H77" i="19"/>
  <c r="H71" i="19"/>
  <c r="H73" i="19"/>
  <c r="H69" i="19"/>
  <c r="H59" i="19"/>
  <c r="H67" i="19"/>
  <c r="H76" i="19"/>
  <c r="H72" i="19"/>
  <c r="H75" i="19"/>
  <c r="H64" i="19"/>
  <c r="H57" i="19"/>
  <c r="H56" i="19"/>
  <c r="H68" i="19"/>
  <c r="H65" i="19"/>
  <c r="H61" i="19"/>
  <c r="H70" i="19"/>
  <c r="H62" i="19"/>
  <c r="H58" i="19"/>
  <c r="H63" i="19"/>
  <c r="H66" i="19"/>
  <c r="H60" i="19"/>
  <c r="H85" i="19"/>
  <c r="H78" i="19"/>
  <c r="H82" i="19"/>
  <c r="H81" i="19"/>
  <c r="H80" i="19"/>
  <c r="H84" i="19"/>
  <c r="H79" i="19"/>
  <c r="H74" i="19"/>
  <c r="H103" i="24"/>
  <c r="H100" i="24"/>
  <c r="I103" i="24"/>
  <c r="I101" i="24"/>
  <c r="J101" i="24"/>
  <c r="I100" i="24"/>
  <c r="J100" i="24"/>
  <c r="H99" i="24"/>
  <c r="I99" i="24"/>
  <c r="J99" i="24"/>
  <c r="H97" i="24"/>
  <c r="I97" i="24"/>
  <c r="J97" i="24"/>
  <c r="H98" i="24"/>
  <c r="I98" i="24"/>
  <c r="J98" i="24"/>
  <c r="H102" i="24"/>
  <c r="I102" i="24"/>
  <c r="J102" i="24"/>
  <c r="H96" i="24"/>
  <c r="J96" i="24"/>
  <c r="H95" i="24"/>
  <c r="I95" i="24"/>
  <c r="J95" i="24"/>
  <c r="J103" i="24"/>
  <c r="G74" i="24"/>
  <c r="H74" i="24"/>
  <c r="I74" i="24"/>
  <c r="J74" i="24"/>
  <c r="G75" i="24"/>
  <c r="H75" i="24"/>
  <c r="I75" i="24"/>
  <c r="J75" i="24"/>
  <c r="G76" i="24"/>
  <c r="H76" i="24"/>
  <c r="I76" i="24"/>
  <c r="J76" i="24"/>
  <c r="G77" i="24"/>
  <c r="H77" i="24"/>
  <c r="I77" i="24"/>
  <c r="J77" i="24"/>
  <c r="G78" i="24"/>
  <c r="H78" i="24"/>
  <c r="I78" i="24"/>
  <c r="J78" i="24"/>
  <c r="G79" i="24"/>
  <c r="H79" i="24"/>
  <c r="I79" i="24"/>
  <c r="J79" i="24"/>
  <c r="G80" i="24"/>
  <c r="H80" i="24"/>
  <c r="I80" i="24"/>
  <c r="J80" i="24"/>
  <c r="G81" i="24"/>
  <c r="H81" i="24"/>
  <c r="I81" i="24"/>
  <c r="J81" i="24"/>
  <c r="G82" i="24"/>
  <c r="H82" i="24"/>
  <c r="I82" i="24"/>
  <c r="J82" i="24"/>
  <c r="G83" i="24"/>
  <c r="H83" i="24"/>
  <c r="I83" i="24"/>
  <c r="J83" i="24"/>
  <c r="G84" i="24"/>
  <c r="H84" i="24"/>
  <c r="I84" i="24"/>
  <c r="J84" i="24"/>
  <c r="G85" i="24"/>
  <c r="H85" i="24"/>
  <c r="I85" i="24"/>
  <c r="J85" i="24"/>
  <c r="G86" i="24"/>
  <c r="H86" i="24"/>
  <c r="I86" i="24"/>
  <c r="J86" i="24"/>
  <c r="G87" i="24"/>
  <c r="H87" i="24"/>
  <c r="I87" i="24"/>
  <c r="J87" i="24"/>
  <c r="G88" i="24"/>
  <c r="H88" i="24"/>
  <c r="I88" i="24"/>
  <c r="J88" i="24"/>
  <c r="G89" i="24"/>
  <c r="H89" i="24"/>
  <c r="I89" i="24"/>
  <c r="J89" i="24"/>
  <c r="K91" i="18" l="1"/>
  <c r="K92" i="18"/>
  <c r="K93" i="18"/>
  <c r="K94" i="18"/>
  <c r="K95" i="18"/>
  <c r="K96" i="18"/>
  <c r="K97" i="18"/>
  <c r="K98" i="18"/>
  <c r="L97" i="16"/>
  <c r="G63" i="14"/>
  <c r="H63" i="14" s="1"/>
  <c r="G86" i="14"/>
  <c r="H86" i="14" s="1"/>
  <c r="G57" i="14"/>
  <c r="H57" i="14" s="1"/>
  <c r="G84" i="14"/>
  <c r="H84" i="14" s="1"/>
  <c r="G60" i="14"/>
  <c r="H60" i="14" s="1"/>
  <c r="G85" i="14"/>
  <c r="H85" i="14" s="1"/>
  <c r="G80" i="14"/>
  <c r="H80" i="14" s="1"/>
  <c r="G70" i="14"/>
  <c r="H70" i="14" s="1"/>
  <c r="G78" i="14"/>
  <c r="H78" i="14" s="1"/>
  <c r="G83" i="14"/>
  <c r="H83" i="14" s="1"/>
  <c r="G65" i="14"/>
  <c r="H65" i="14" s="1"/>
  <c r="G77" i="14"/>
  <c r="H77" i="14" s="1"/>
  <c r="G64" i="14"/>
  <c r="H64" i="14" s="1"/>
  <c r="G82" i="14"/>
  <c r="H82" i="14" s="1"/>
  <c r="G61" i="14"/>
  <c r="H61" i="14" s="1"/>
  <c r="G74" i="14"/>
  <c r="H74" i="14" s="1"/>
  <c r="G72" i="14"/>
  <c r="H72" i="14" s="1"/>
  <c r="G67" i="14"/>
  <c r="H67" i="14" s="1"/>
  <c r="G75" i="14"/>
  <c r="H75" i="14" s="1"/>
  <c r="G81" i="14"/>
  <c r="H81" i="14" s="1"/>
  <c r="G76" i="14"/>
  <c r="H76" i="14" s="1"/>
  <c r="G66" i="14"/>
  <c r="H66" i="14" s="1"/>
  <c r="G71" i="14"/>
  <c r="H71" i="14" s="1"/>
  <c r="G68" i="14"/>
  <c r="H68" i="14" s="1"/>
  <c r="G79" i="14"/>
  <c r="H79" i="14" s="1"/>
  <c r="G69" i="14"/>
  <c r="H69" i="14" s="1"/>
  <c r="G58" i="14"/>
  <c r="H58" i="14" s="1"/>
  <c r="G62" i="14"/>
  <c r="H62" i="14" s="1"/>
  <c r="G59" i="14"/>
  <c r="H59" i="14" s="1"/>
  <c r="G73" i="14"/>
  <c r="H73" i="14" s="1"/>
  <c r="L95" i="16" l="1"/>
  <c r="L96" i="16"/>
  <c r="L100" i="16"/>
  <c r="L94" i="16"/>
  <c r="L99" i="16"/>
  <c r="L93" i="16"/>
  <c r="L101" i="16"/>
  <c r="L98" i="16"/>
  <c r="C51" i="18" l="1"/>
  <c r="AN45" i="16" l="1"/>
  <c r="AO45" i="16" s="1"/>
  <c r="AN64" i="16"/>
  <c r="AO64" i="16" s="1"/>
  <c r="AN52" i="16"/>
  <c r="AO52" i="16" s="1"/>
  <c r="AN60" i="16"/>
  <c r="AO60" i="16" s="1"/>
  <c r="AN66" i="16"/>
  <c r="AO66" i="16" s="1"/>
  <c r="AN61" i="16"/>
  <c r="AO61" i="16" s="1"/>
  <c r="AN65" i="16"/>
  <c r="AO65" i="16" s="1"/>
  <c r="AN50" i="16"/>
  <c r="AO50" i="16" s="1"/>
  <c r="AN46" i="16"/>
  <c r="AO46" i="16" s="1"/>
  <c r="AN55" i="16"/>
  <c r="AO55" i="16" s="1"/>
  <c r="AN41" i="16"/>
  <c r="AO41" i="16" s="1"/>
  <c r="AN49" i="16"/>
  <c r="AO49" i="16" s="1"/>
  <c r="AN38" i="16"/>
  <c r="AO38" i="16" s="1"/>
  <c r="AN53" i="16"/>
  <c r="AO53" i="16" s="1"/>
  <c r="AN39" i="16"/>
  <c r="AO39" i="16" s="1"/>
  <c r="AN48" i="16"/>
  <c r="AO48" i="16" s="1"/>
  <c r="AN40" i="16"/>
  <c r="AO40" i="16" s="1"/>
  <c r="AN43" i="16"/>
  <c r="AO43" i="16" s="1"/>
  <c r="AN42" i="16"/>
  <c r="AO42" i="16" s="1"/>
  <c r="AN56" i="16"/>
  <c r="AO56" i="16" s="1"/>
  <c r="AN59" i="16"/>
  <c r="AO59" i="16" s="1"/>
  <c r="AN57" i="16"/>
  <c r="AO57" i="16" s="1"/>
  <c r="AN47" i="16"/>
  <c r="AO47" i="16" s="1"/>
  <c r="AN44" i="16"/>
  <c r="AO44" i="16" s="1"/>
  <c r="AN54" i="16"/>
  <c r="AO54" i="16" s="1"/>
  <c r="AN63" i="16"/>
  <c r="AO63" i="16" s="1"/>
  <c r="AN67" i="16"/>
  <c r="AO67" i="16" s="1"/>
  <c r="AN62" i="16"/>
  <c r="AO62" i="16" s="1"/>
  <c r="AO58" i="16"/>
  <c r="AN58" i="16"/>
  <c r="AN51" i="16"/>
  <c r="AO51" i="16" s="1"/>
  <c r="K98" i="24" l="1"/>
  <c r="L98" i="24" s="1"/>
  <c r="K103" i="24"/>
  <c r="L103" i="24" s="1"/>
  <c r="K96" i="24"/>
  <c r="L96" i="24" s="1"/>
  <c r="K95" i="24"/>
  <c r="L95" i="24" s="1"/>
  <c r="K101" i="24"/>
  <c r="L101" i="24" s="1"/>
  <c r="K102" i="24"/>
  <c r="L102" i="24" s="1"/>
  <c r="K99" i="24"/>
  <c r="L99" i="24" s="1"/>
  <c r="K100" i="24"/>
  <c r="L100" i="24" s="1"/>
  <c r="K97" i="24"/>
  <c r="L97" i="24" s="1"/>
  <c r="G32" i="19" l="1"/>
  <c r="J70" i="24"/>
  <c r="J62" i="24"/>
  <c r="I70" i="24"/>
  <c r="I62" i="24"/>
  <c r="H70" i="24"/>
  <c r="H62" i="24"/>
  <c r="G70" i="24"/>
  <c r="G62" i="24"/>
  <c r="W46" i="19" l="1"/>
  <c r="E20" i="24"/>
  <c r="J66" i="24" l="1"/>
  <c r="J69" i="24"/>
  <c r="J71" i="24"/>
  <c r="J65" i="24"/>
  <c r="J63" i="24"/>
  <c r="J73" i="24"/>
  <c r="J67" i="24"/>
  <c r="J61" i="24"/>
  <c r="J72" i="24"/>
  <c r="J68" i="24"/>
  <c r="J64" i="24"/>
  <c r="I60" i="24"/>
  <c r="I66" i="24"/>
  <c r="I69" i="24"/>
  <c r="I71" i="24"/>
  <c r="I65" i="24"/>
  <c r="I63" i="24"/>
  <c r="I73" i="24"/>
  <c r="I67" i="24"/>
  <c r="I61" i="24"/>
  <c r="I72" i="24"/>
  <c r="I68" i="24"/>
  <c r="I64" i="24"/>
  <c r="H60" i="24"/>
  <c r="H66" i="24"/>
  <c r="H69" i="24"/>
  <c r="H71" i="24"/>
  <c r="H65" i="24"/>
  <c r="H63" i="24"/>
  <c r="H73" i="24"/>
  <c r="H67" i="24"/>
  <c r="H61" i="24"/>
  <c r="H72" i="24"/>
  <c r="H68" i="24"/>
  <c r="H64" i="24"/>
  <c r="G66" i="24"/>
  <c r="G69" i="24"/>
  <c r="G71" i="24"/>
  <c r="G65" i="24"/>
  <c r="G63" i="24"/>
  <c r="G73" i="24"/>
  <c r="G67" i="24"/>
  <c r="G61" i="24"/>
  <c r="G72" i="24"/>
  <c r="G68" i="24"/>
  <c r="G64" i="24"/>
  <c r="K74" i="19" l="1"/>
  <c r="J74" i="19"/>
  <c r="I74" i="19"/>
  <c r="F20" i="16" l="1"/>
  <c r="F20" i="24" l="1"/>
  <c r="D20" i="24"/>
  <c r="C20" i="24"/>
  <c r="B20" i="24"/>
  <c r="B3" i="24" l="1"/>
  <c r="U51" i="19" l="1"/>
  <c r="AE51" i="14" l="1"/>
  <c r="AD51" i="14"/>
  <c r="AC51" i="14"/>
  <c r="AB51" i="14"/>
  <c r="AA51" i="14"/>
  <c r="Z51" i="14"/>
  <c r="Y51" i="14"/>
  <c r="X51" i="14"/>
  <c r="W51" i="14"/>
  <c r="V51" i="14"/>
  <c r="U51" i="14"/>
  <c r="T51" i="14"/>
  <c r="S51" i="14"/>
  <c r="R51" i="14"/>
  <c r="Q51" i="14"/>
  <c r="P51" i="14"/>
  <c r="O51" i="14"/>
  <c r="N51" i="14"/>
  <c r="M51" i="14"/>
  <c r="L51" i="14"/>
  <c r="K51" i="14"/>
  <c r="J51" i="14"/>
  <c r="I51" i="14"/>
  <c r="H51" i="14"/>
  <c r="G51" i="14"/>
  <c r="F51" i="14"/>
  <c r="E51" i="14"/>
  <c r="D51" i="14"/>
  <c r="C51" i="14"/>
  <c r="B51" i="14"/>
  <c r="AE51" i="19"/>
  <c r="AD51" i="19"/>
  <c r="AC51" i="19"/>
  <c r="AB51" i="19"/>
  <c r="AA51" i="19"/>
  <c r="Z51" i="19"/>
  <c r="Y51" i="19"/>
  <c r="X51" i="19"/>
  <c r="W51" i="19"/>
  <c r="V51" i="19"/>
  <c r="T51" i="19"/>
  <c r="S51" i="19"/>
  <c r="R51" i="19"/>
  <c r="Q51" i="19"/>
  <c r="P51" i="19"/>
  <c r="O51" i="19"/>
  <c r="N51" i="19"/>
  <c r="M51" i="19"/>
  <c r="L51" i="19"/>
  <c r="K51" i="19"/>
  <c r="J51" i="19"/>
  <c r="I51" i="19"/>
  <c r="H51" i="19"/>
  <c r="G51" i="19"/>
  <c r="F51" i="19"/>
  <c r="E51" i="19"/>
  <c r="D51" i="19"/>
  <c r="C51" i="19"/>
  <c r="B51" i="19"/>
  <c r="AE51" i="18"/>
  <c r="AD51" i="18"/>
  <c r="AC51" i="18"/>
  <c r="AB51" i="18"/>
  <c r="AA51" i="18"/>
  <c r="Z51" i="18"/>
  <c r="Y51" i="18"/>
  <c r="X51" i="18"/>
  <c r="W51" i="18"/>
  <c r="V51" i="18"/>
  <c r="U51" i="18"/>
  <c r="T51" i="18"/>
  <c r="S51" i="18"/>
  <c r="R51" i="18"/>
  <c r="Q51" i="18"/>
  <c r="P51" i="18"/>
  <c r="O51" i="18"/>
  <c r="N51" i="18"/>
  <c r="M51" i="18"/>
  <c r="L51" i="18"/>
  <c r="K51" i="18"/>
  <c r="J51" i="18"/>
  <c r="I51" i="18"/>
  <c r="H51" i="18"/>
  <c r="G51" i="18"/>
  <c r="F51" i="18"/>
  <c r="E51" i="18"/>
  <c r="D51" i="18"/>
  <c r="B51" i="18"/>
  <c r="AE51" i="16"/>
  <c r="AD51" i="16"/>
  <c r="AC51" i="16"/>
  <c r="AB51" i="16"/>
  <c r="AA51" i="16"/>
  <c r="Z51" i="16"/>
  <c r="Y51" i="16"/>
  <c r="X51" i="16"/>
  <c r="W51" i="16"/>
  <c r="V51" i="16"/>
  <c r="U51" i="16"/>
  <c r="T51" i="16"/>
  <c r="S51" i="16"/>
  <c r="R51" i="16"/>
  <c r="Q51" i="16"/>
  <c r="P51" i="16"/>
  <c r="O51" i="16"/>
  <c r="N51" i="16"/>
  <c r="M51" i="16"/>
  <c r="L51" i="16"/>
  <c r="K51" i="16"/>
  <c r="J51" i="16"/>
  <c r="I51" i="16"/>
  <c r="H51" i="16"/>
  <c r="G51" i="16"/>
  <c r="F51" i="16"/>
  <c r="E51" i="16"/>
  <c r="D51" i="16"/>
  <c r="C51" i="16"/>
  <c r="B51" i="16"/>
  <c r="B42" i="19" l="1"/>
  <c r="B43" i="19" s="1"/>
  <c r="B44" i="19"/>
  <c r="B45" i="19" s="1"/>
  <c r="B46" i="19"/>
  <c r="B47" i="19" s="1"/>
  <c r="B48" i="19"/>
  <c r="B49" i="19" s="1"/>
  <c r="AE48" i="19"/>
  <c r="AE49" i="19" s="1"/>
  <c r="AD48" i="19"/>
  <c r="AD49" i="19" s="1"/>
  <c r="AC48" i="19"/>
  <c r="AC49" i="19" s="1"/>
  <c r="AB48" i="19"/>
  <c r="AB49" i="19" s="1"/>
  <c r="AA48" i="19"/>
  <c r="AA49" i="19" s="1"/>
  <c r="Z48" i="19"/>
  <c r="Z49" i="19" s="1"/>
  <c r="Y48" i="19"/>
  <c r="Y49" i="19" s="1"/>
  <c r="X48" i="19"/>
  <c r="X49" i="19" s="1"/>
  <c r="W48" i="19"/>
  <c r="W49" i="19" s="1"/>
  <c r="V48" i="19"/>
  <c r="V49" i="19" s="1"/>
  <c r="U48" i="19"/>
  <c r="U49" i="19" s="1"/>
  <c r="T48" i="19"/>
  <c r="T49" i="19" s="1"/>
  <c r="S48" i="19"/>
  <c r="S49" i="19" s="1"/>
  <c r="R48" i="19"/>
  <c r="R49" i="19" s="1"/>
  <c r="Q48" i="19"/>
  <c r="Q49" i="19" s="1"/>
  <c r="P48" i="19"/>
  <c r="P49" i="19" s="1"/>
  <c r="O48" i="19"/>
  <c r="O49" i="19" s="1"/>
  <c r="N48" i="19"/>
  <c r="N49" i="19" s="1"/>
  <c r="M48" i="19"/>
  <c r="M49" i="19" s="1"/>
  <c r="L48" i="19"/>
  <c r="L49" i="19" s="1"/>
  <c r="K48" i="19"/>
  <c r="K49" i="19" s="1"/>
  <c r="J48" i="19"/>
  <c r="J49" i="19" s="1"/>
  <c r="I48" i="19"/>
  <c r="I49" i="19" s="1"/>
  <c r="H48" i="19"/>
  <c r="H49" i="19" s="1"/>
  <c r="G48" i="19"/>
  <c r="G49" i="19" s="1"/>
  <c r="F48" i="19"/>
  <c r="F49" i="19" s="1"/>
  <c r="E48" i="19"/>
  <c r="E49" i="19" s="1"/>
  <c r="D48" i="19"/>
  <c r="D49" i="19" s="1"/>
  <c r="C48" i="19"/>
  <c r="C49" i="19" s="1"/>
  <c r="AE46" i="19"/>
  <c r="AE47" i="19" s="1"/>
  <c r="AD46" i="19"/>
  <c r="AD47" i="19" s="1"/>
  <c r="AC46" i="19"/>
  <c r="AC47" i="19" s="1"/>
  <c r="AB46" i="19"/>
  <c r="AB47" i="19" s="1"/>
  <c r="AA46" i="19"/>
  <c r="AA47" i="19" s="1"/>
  <c r="Z46" i="19"/>
  <c r="Z47" i="19" s="1"/>
  <c r="Y46" i="19"/>
  <c r="Y47" i="19" s="1"/>
  <c r="X46" i="19"/>
  <c r="X47" i="19" s="1"/>
  <c r="W47" i="19"/>
  <c r="V46" i="19"/>
  <c r="V47" i="19" s="1"/>
  <c r="U46" i="19"/>
  <c r="U47" i="19" s="1"/>
  <c r="T46" i="19"/>
  <c r="T47" i="19" s="1"/>
  <c r="S46" i="19"/>
  <c r="S47" i="19" s="1"/>
  <c r="R46" i="19"/>
  <c r="R47" i="19" s="1"/>
  <c r="Q46" i="19"/>
  <c r="Q47" i="19" s="1"/>
  <c r="P46" i="19"/>
  <c r="P47" i="19" s="1"/>
  <c r="O46" i="19"/>
  <c r="O47" i="19" s="1"/>
  <c r="N46" i="19"/>
  <c r="N47" i="19" s="1"/>
  <c r="M46" i="19"/>
  <c r="M47" i="19" s="1"/>
  <c r="L46" i="19"/>
  <c r="L47" i="19" s="1"/>
  <c r="K46" i="19"/>
  <c r="K47" i="19" s="1"/>
  <c r="J46" i="19"/>
  <c r="J47" i="19" s="1"/>
  <c r="I46" i="19"/>
  <c r="I47" i="19" s="1"/>
  <c r="H46" i="19"/>
  <c r="H47" i="19" s="1"/>
  <c r="G46" i="19"/>
  <c r="G47" i="19" s="1"/>
  <c r="F46" i="19"/>
  <c r="F47" i="19" s="1"/>
  <c r="E46" i="19"/>
  <c r="E47" i="19" s="1"/>
  <c r="D46" i="19"/>
  <c r="D47" i="19" s="1"/>
  <c r="C46" i="19"/>
  <c r="C47" i="19" s="1"/>
  <c r="AE44" i="19"/>
  <c r="AE45" i="19" s="1"/>
  <c r="AD44" i="19"/>
  <c r="AD45" i="19" s="1"/>
  <c r="AC44" i="19"/>
  <c r="AC45" i="19" s="1"/>
  <c r="AB44" i="19"/>
  <c r="AB45" i="19" s="1"/>
  <c r="AA44" i="19"/>
  <c r="AA45" i="19" s="1"/>
  <c r="Z44" i="19"/>
  <c r="Z45" i="19" s="1"/>
  <c r="Y44" i="19"/>
  <c r="Y45" i="19" s="1"/>
  <c r="X44" i="19"/>
  <c r="X45" i="19" s="1"/>
  <c r="W44" i="19"/>
  <c r="W45" i="19" s="1"/>
  <c r="V44" i="19"/>
  <c r="V45" i="19" s="1"/>
  <c r="U44" i="19"/>
  <c r="U45" i="19" s="1"/>
  <c r="T44" i="19"/>
  <c r="T45" i="19" s="1"/>
  <c r="S44" i="19"/>
  <c r="S45" i="19" s="1"/>
  <c r="R44" i="19"/>
  <c r="R45" i="19" s="1"/>
  <c r="Q44" i="19"/>
  <c r="Q45" i="19" s="1"/>
  <c r="P44" i="19"/>
  <c r="P45" i="19" s="1"/>
  <c r="O44" i="19"/>
  <c r="O45" i="19" s="1"/>
  <c r="N44" i="19"/>
  <c r="N45" i="19" s="1"/>
  <c r="M44" i="19"/>
  <c r="M45" i="19" s="1"/>
  <c r="L44" i="19"/>
  <c r="L45" i="19" s="1"/>
  <c r="K44" i="19"/>
  <c r="K45" i="19" s="1"/>
  <c r="J44" i="19"/>
  <c r="J45" i="19" s="1"/>
  <c r="I44" i="19"/>
  <c r="I45" i="19" s="1"/>
  <c r="H44" i="19"/>
  <c r="H45" i="19" s="1"/>
  <c r="G44" i="19"/>
  <c r="G45" i="19" s="1"/>
  <c r="F44" i="19"/>
  <c r="F45" i="19" s="1"/>
  <c r="E44" i="19"/>
  <c r="E45" i="19" s="1"/>
  <c r="D44" i="19"/>
  <c r="D45" i="19" s="1"/>
  <c r="C44" i="19"/>
  <c r="C45" i="19" s="1"/>
  <c r="AE42" i="19"/>
  <c r="AE43" i="19" s="1"/>
  <c r="AD42" i="19"/>
  <c r="AD43" i="19" s="1"/>
  <c r="AC42" i="19"/>
  <c r="AC43" i="19" s="1"/>
  <c r="AB42" i="19"/>
  <c r="AB43" i="19" s="1"/>
  <c r="AA42" i="19"/>
  <c r="AA43" i="19" s="1"/>
  <c r="Z42" i="19"/>
  <c r="Z43" i="19" s="1"/>
  <c r="Y42" i="19"/>
  <c r="Y43" i="19" s="1"/>
  <c r="X42" i="19"/>
  <c r="X43" i="19" s="1"/>
  <c r="W42" i="19"/>
  <c r="W43" i="19" s="1"/>
  <c r="V42" i="19"/>
  <c r="V43" i="19" s="1"/>
  <c r="U42" i="19"/>
  <c r="U43" i="19" s="1"/>
  <c r="T42" i="19"/>
  <c r="T43" i="19" s="1"/>
  <c r="S42" i="19"/>
  <c r="S43" i="19" s="1"/>
  <c r="R42" i="19"/>
  <c r="R43" i="19" s="1"/>
  <c r="Q42" i="19"/>
  <c r="Q43" i="19" s="1"/>
  <c r="P42" i="19"/>
  <c r="P43" i="19" s="1"/>
  <c r="O42" i="19"/>
  <c r="O43" i="19" s="1"/>
  <c r="N42" i="19"/>
  <c r="N43" i="19" s="1"/>
  <c r="M42" i="19"/>
  <c r="M43" i="19" s="1"/>
  <c r="L42" i="19"/>
  <c r="L43" i="19" s="1"/>
  <c r="K42" i="19"/>
  <c r="K43" i="19" s="1"/>
  <c r="J42" i="19"/>
  <c r="J43" i="19" s="1"/>
  <c r="I42" i="19"/>
  <c r="I43" i="19" s="1"/>
  <c r="H42" i="19"/>
  <c r="H43" i="19" s="1"/>
  <c r="G42" i="19"/>
  <c r="G43" i="19" s="1"/>
  <c r="F42" i="19"/>
  <c r="F43" i="19" s="1"/>
  <c r="E42" i="19"/>
  <c r="E43" i="19" s="1"/>
  <c r="D42" i="19"/>
  <c r="D43" i="19" s="1"/>
  <c r="C42" i="19"/>
  <c r="C43" i="19" s="1"/>
  <c r="F23" i="19"/>
  <c r="F33" i="19" s="1"/>
  <c r="E23" i="19"/>
  <c r="D23" i="19"/>
  <c r="D33" i="19" s="1"/>
  <c r="C23" i="19"/>
  <c r="C33" i="19" s="1"/>
  <c r="B23" i="19"/>
  <c r="B33" i="19" s="1"/>
  <c r="F22" i="19"/>
  <c r="E22" i="19"/>
  <c r="G22" i="19" s="1"/>
  <c r="D22" i="19"/>
  <c r="C22" i="19"/>
  <c r="B22" i="19"/>
  <c r="F21" i="19"/>
  <c r="E21" i="19"/>
  <c r="D21" i="19"/>
  <c r="C21" i="19"/>
  <c r="B21" i="19"/>
  <c r="F20" i="19"/>
  <c r="E20" i="19"/>
  <c r="D20" i="19"/>
  <c r="C20" i="19"/>
  <c r="B20" i="19"/>
  <c r="G20" i="19" l="1"/>
  <c r="E33" i="19"/>
  <c r="G23" i="19"/>
  <c r="G21" i="19"/>
  <c r="B26" i="19"/>
  <c r="B27" i="19" s="1"/>
  <c r="D26" i="19"/>
  <c r="D27" i="19" s="1"/>
  <c r="D30" i="19"/>
  <c r="D31" i="19" s="1"/>
  <c r="B30" i="19"/>
  <c r="B31" i="19" s="1"/>
  <c r="B24" i="19"/>
  <c r="B25" i="19" s="1"/>
  <c r="C28" i="19"/>
  <c r="C29" i="19" s="1"/>
  <c r="F26" i="19"/>
  <c r="F27" i="19" s="1"/>
  <c r="B28" i="19"/>
  <c r="B29" i="19" s="1"/>
  <c r="C24" i="19"/>
  <c r="C25" i="19" s="1"/>
  <c r="B3" i="19"/>
  <c r="C26" i="19"/>
  <c r="C27" i="19" s="1"/>
  <c r="D28" i="19"/>
  <c r="D29" i="19" s="1"/>
  <c r="E24" i="19"/>
  <c r="B4" i="19"/>
  <c r="E28" i="19"/>
  <c r="E26" i="19"/>
  <c r="F28" i="19"/>
  <c r="F29" i="19" s="1"/>
  <c r="D24" i="19"/>
  <c r="D25" i="19" s="1"/>
  <c r="F30" i="19"/>
  <c r="F31" i="19" s="1"/>
  <c r="F24" i="19"/>
  <c r="F25" i="19" s="1"/>
  <c r="B6" i="19"/>
  <c r="B5" i="19"/>
  <c r="C30" i="19"/>
  <c r="C31" i="19" s="1"/>
  <c r="E30" i="19"/>
  <c r="H20" i="19" l="1"/>
  <c r="E25" i="19"/>
  <c r="G25" i="19" s="1"/>
  <c r="G24" i="19"/>
  <c r="E27" i="19"/>
  <c r="G27" i="19" s="1"/>
  <c r="G26" i="19"/>
  <c r="E31" i="19"/>
  <c r="G31" i="19" s="1"/>
  <c r="G30" i="19"/>
  <c r="E29" i="19"/>
  <c r="G29" i="19" s="1"/>
  <c r="G28" i="19"/>
  <c r="H23" i="19"/>
  <c r="G33" i="19"/>
  <c r="H22" i="19"/>
  <c r="H21" i="19"/>
  <c r="B16" i="19"/>
  <c r="B11" i="19"/>
  <c r="B12" i="19" s="1"/>
  <c r="B9" i="19"/>
  <c r="B10" i="19" s="1"/>
  <c r="B7" i="19"/>
  <c r="B8" i="19" s="1"/>
  <c r="B13" i="19"/>
  <c r="B14" i="19" s="1"/>
  <c r="F20" i="18" l="1"/>
  <c r="B20" i="18"/>
  <c r="AE48" i="18"/>
  <c r="AE49" i="18" s="1"/>
  <c r="AD48" i="18"/>
  <c r="AD49" i="18" s="1"/>
  <c r="AC48" i="18"/>
  <c r="AC49" i="18" s="1"/>
  <c r="AB48" i="18"/>
  <c r="AB49" i="18" s="1"/>
  <c r="AA48" i="18"/>
  <c r="AA49" i="18" s="1"/>
  <c r="Z48" i="18"/>
  <c r="Z49" i="18" s="1"/>
  <c r="Y48" i="18"/>
  <c r="Y49" i="18" s="1"/>
  <c r="X48" i="18"/>
  <c r="X49" i="18" s="1"/>
  <c r="W48" i="18"/>
  <c r="W49" i="18" s="1"/>
  <c r="V48" i="18"/>
  <c r="V49" i="18" s="1"/>
  <c r="U48" i="18"/>
  <c r="U49" i="18" s="1"/>
  <c r="T48" i="18"/>
  <c r="T49" i="18" s="1"/>
  <c r="S48" i="18"/>
  <c r="S49" i="18" s="1"/>
  <c r="R48" i="18"/>
  <c r="R49" i="18" s="1"/>
  <c r="Q48" i="18"/>
  <c r="Q49" i="18" s="1"/>
  <c r="P48" i="18"/>
  <c r="P49" i="18" s="1"/>
  <c r="O48" i="18"/>
  <c r="O49" i="18" s="1"/>
  <c r="N48" i="18"/>
  <c r="N49" i="18" s="1"/>
  <c r="M48" i="18"/>
  <c r="M49" i="18" s="1"/>
  <c r="L48" i="18"/>
  <c r="L49" i="18" s="1"/>
  <c r="K48" i="18"/>
  <c r="K49" i="18" s="1"/>
  <c r="J48" i="18"/>
  <c r="J49" i="18" s="1"/>
  <c r="I48" i="18"/>
  <c r="I49" i="18" s="1"/>
  <c r="H48" i="18"/>
  <c r="H49" i="18" s="1"/>
  <c r="G48" i="18"/>
  <c r="G49" i="18" s="1"/>
  <c r="F48" i="18"/>
  <c r="F49" i="18" s="1"/>
  <c r="E48" i="18"/>
  <c r="E49" i="18" s="1"/>
  <c r="D48" i="18"/>
  <c r="D49" i="18" s="1"/>
  <c r="C48" i="18"/>
  <c r="C49" i="18" s="1"/>
  <c r="B48" i="18"/>
  <c r="B49" i="18" s="1"/>
  <c r="AE46" i="18"/>
  <c r="AE47" i="18" s="1"/>
  <c r="AD46" i="18"/>
  <c r="AD47" i="18" s="1"/>
  <c r="AC46" i="18"/>
  <c r="AC47" i="18" s="1"/>
  <c r="AB46" i="18"/>
  <c r="AB47" i="18" s="1"/>
  <c r="AA46" i="18"/>
  <c r="AA47" i="18" s="1"/>
  <c r="Z46" i="18"/>
  <c r="Z47" i="18" s="1"/>
  <c r="Y46" i="18"/>
  <c r="Y47" i="18" s="1"/>
  <c r="X46" i="18"/>
  <c r="X47" i="18" s="1"/>
  <c r="W46" i="18"/>
  <c r="W47" i="18" s="1"/>
  <c r="V46" i="18"/>
  <c r="V47" i="18" s="1"/>
  <c r="U46" i="18"/>
  <c r="U47" i="18" s="1"/>
  <c r="T46" i="18"/>
  <c r="T47" i="18" s="1"/>
  <c r="S46" i="18"/>
  <c r="S47" i="18" s="1"/>
  <c r="R46" i="18"/>
  <c r="R47" i="18" s="1"/>
  <c r="Q46" i="18"/>
  <c r="Q47" i="18" s="1"/>
  <c r="P46" i="18"/>
  <c r="P47" i="18" s="1"/>
  <c r="O46" i="18"/>
  <c r="O47" i="18" s="1"/>
  <c r="N46" i="18"/>
  <c r="N47" i="18" s="1"/>
  <c r="M46" i="18"/>
  <c r="M47" i="18" s="1"/>
  <c r="L46" i="18"/>
  <c r="L47" i="18" s="1"/>
  <c r="K46" i="18"/>
  <c r="K47" i="18" s="1"/>
  <c r="J46" i="18"/>
  <c r="J47" i="18" s="1"/>
  <c r="I46" i="18"/>
  <c r="I47" i="18" s="1"/>
  <c r="H46" i="18"/>
  <c r="H47" i="18" s="1"/>
  <c r="G46" i="18"/>
  <c r="G47" i="18" s="1"/>
  <c r="F46" i="18"/>
  <c r="F47" i="18" s="1"/>
  <c r="E46" i="18"/>
  <c r="E47" i="18" s="1"/>
  <c r="D46" i="18"/>
  <c r="D47" i="18" s="1"/>
  <c r="C46" i="18"/>
  <c r="C47" i="18" s="1"/>
  <c r="B46" i="18"/>
  <c r="B47" i="18" s="1"/>
  <c r="AE44" i="18"/>
  <c r="AE45" i="18" s="1"/>
  <c r="AD44" i="18"/>
  <c r="AD45" i="18" s="1"/>
  <c r="AC44" i="18"/>
  <c r="AC45" i="18" s="1"/>
  <c r="AB44" i="18"/>
  <c r="AB45" i="18" s="1"/>
  <c r="AA44" i="18"/>
  <c r="AA45" i="18" s="1"/>
  <c r="Z44" i="18"/>
  <c r="Z45" i="18" s="1"/>
  <c r="Y44" i="18"/>
  <c r="Y45" i="18" s="1"/>
  <c r="X44" i="18"/>
  <c r="X45" i="18" s="1"/>
  <c r="W44" i="18"/>
  <c r="W45" i="18" s="1"/>
  <c r="V44" i="18"/>
  <c r="V45" i="18" s="1"/>
  <c r="U44" i="18"/>
  <c r="U45" i="18" s="1"/>
  <c r="T44" i="18"/>
  <c r="T45" i="18" s="1"/>
  <c r="S44" i="18"/>
  <c r="S45" i="18" s="1"/>
  <c r="R44" i="18"/>
  <c r="R45" i="18" s="1"/>
  <c r="Q44" i="18"/>
  <c r="Q45" i="18" s="1"/>
  <c r="P44" i="18"/>
  <c r="P45" i="18" s="1"/>
  <c r="O44" i="18"/>
  <c r="O45" i="18" s="1"/>
  <c r="N44" i="18"/>
  <c r="N45" i="18" s="1"/>
  <c r="M44" i="18"/>
  <c r="M45" i="18" s="1"/>
  <c r="L44" i="18"/>
  <c r="L45" i="18" s="1"/>
  <c r="K44" i="18"/>
  <c r="K45" i="18" s="1"/>
  <c r="J44" i="18"/>
  <c r="J45" i="18" s="1"/>
  <c r="I44" i="18"/>
  <c r="I45" i="18" s="1"/>
  <c r="H44" i="18"/>
  <c r="H45" i="18" s="1"/>
  <c r="G44" i="18"/>
  <c r="G45" i="18" s="1"/>
  <c r="F44" i="18"/>
  <c r="F45" i="18" s="1"/>
  <c r="E44" i="18"/>
  <c r="E45" i="18" s="1"/>
  <c r="D44" i="18"/>
  <c r="D45" i="18" s="1"/>
  <c r="C44" i="18"/>
  <c r="C45" i="18" s="1"/>
  <c r="AE42" i="18"/>
  <c r="AE43" i="18" s="1"/>
  <c r="AD42" i="18"/>
  <c r="AD43" i="18" s="1"/>
  <c r="AC42" i="18"/>
  <c r="AC43" i="18" s="1"/>
  <c r="AB42" i="18"/>
  <c r="AB43" i="18" s="1"/>
  <c r="AA42" i="18"/>
  <c r="AA43" i="18" s="1"/>
  <c r="Z42" i="18"/>
  <c r="Z43" i="18" s="1"/>
  <c r="Y42" i="18"/>
  <c r="Y43" i="18" s="1"/>
  <c r="X42" i="18"/>
  <c r="X43" i="18" s="1"/>
  <c r="W42" i="18"/>
  <c r="W43" i="18" s="1"/>
  <c r="V42" i="18"/>
  <c r="V43" i="18" s="1"/>
  <c r="U42" i="18"/>
  <c r="U43" i="18" s="1"/>
  <c r="T42" i="18"/>
  <c r="T43" i="18" s="1"/>
  <c r="S42" i="18"/>
  <c r="S43" i="18" s="1"/>
  <c r="R42" i="18"/>
  <c r="R43" i="18" s="1"/>
  <c r="Q42" i="18"/>
  <c r="Q43" i="18" s="1"/>
  <c r="P42" i="18"/>
  <c r="P43" i="18" s="1"/>
  <c r="O42" i="18"/>
  <c r="O43" i="18" s="1"/>
  <c r="N42" i="18"/>
  <c r="N43" i="18" s="1"/>
  <c r="M42" i="18"/>
  <c r="M43" i="18" s="1"/>
  <c r="L42" i="18"/>
  <c r="L43" i="18" s="1"/>
  <c r="K42" i="18"/>
  <c r="K43" i="18" s="1"/>
  <c r="J42" i="18"/>
  <c r="J43" i="18" s="1"/>
  <c r="I42" i="18"/>
  <c r="I43" i="18" s="1"/>
  <c r="H42" i="18"/>
  <c r="H43" i="18" s="1"/>
  <c r="G42" i="18"/>
  <c r="G43" i="18" s="1"/>
  <c r="F42" i="18"/>
  <c r="F43" i="18" s="1"/>
  <c r="E42" i="18"/>
  <c r="E43" i="18" s="1"/>
  <c r="D42" i="18"/>
  <c r="D43" i="18" s="1"/>
  <c r="C42" i="18"/>
  <c r="C43" i="18" s="1"/>
  <c r="F23" i="18"/>
  <c r="F33" i="18" s="1"/>
  <c r="E23" i="18"/>
  <c r="E33" i="18" s="1"/>
  <c r="D23" i="18"/>
  <c r="D33" i="18" s="1"/>
  <c r="C23" i="18"/>
  <c r="C33" i="18" s="1"/>
  <c r="B23" i="18"/>
  <c r="B33" i="18" s="1"/>
  <c r="F22" i="18"/>
  <c r="E22" i="18"/>
  <c r="D22" i="18"/>
  <c r="C22" i="18"/>
  <c r="B22" i="18"/>
  <c r="F21" i="18"/>
  <c r="E21" i="18"/>
  <c r="D21" i="18"/>
  <c r="C21" i="18"/>
  <c r="B21" i="18"/>
  <c r="E20" i="18"/>
  <c r="D20" i="18"/>
  <c r="C20" i="18"/>
  <c r="F21" i="16"/>
  <c r="F22" i="16"/>
  <c r="F23" i="16"/>
  <c r="E21" i="16"/>
  <c r="E22" i="16"/>
  <c r="E23" i="16"/>
  <c r="D21" i="16"/>
  <c r="D22" i="16"/>
  <c r="D23" i="16"/>
  <c r="C21" i="16"/>
  <c r="C22" i="16"/>
  <c r="C23" i="16"/>
  <c r="C33" i="16" s="1"/>
  <c r="B21" i="16"/>
  <c r="B22" i="16"/>
  <c r="B23" i="16"/>
  <c r="E20" i="16"/>
  <c r="D20" i="16"/>
  <c r="C20" i="16"/>
  <c r="B20" i="16"/>
  <c r="AE48" i="16"/>
  <c r="AE49" i="16" s="1"/>
  <c r="AD48" i="16"/>
  <c r="AD49" i="16" s="1"/>
  <c r="AC48" i="16"/>
  <c r="AC49" i="16" s="1"/>
  <c r="AB48" i="16"/>
  <c r="AB49" i="16" s="1"/>
  <c r="AA48" i="16"/>
  <c r="AA49" i="16" s="1"/>
  <c r="Z48" i="16"/>
  <c r="Z49" i="16" s="1"/>
  <c r="Y48" i="16"/>
  <c r="Y49" i="16" s="1"/>
  <c r="X48" i="16"/>
  <c r="X49" i="16" s="1"/>
  <c r="W48" i="16"/>
  <c r="W49" i="16" s="1"/>
  <c r="V48" i="16"/>
  <c r="V49" i="16" s="1"/>
  <c r="U48" i="16"/>
  <c r="U49" i="16" s="1"/>
  <c r="T48" i="16"/>
  <c r="T49" i="16" s="1"/>
  <c r="S48" i="16"/>
  <c r="S49" i="16" s="1"/>
  <c r="R48" i="16"/>
  <c r="R49" i="16" s="1"/>
  <c r="Q48" i="16"/>
  <c r="Q49" i="16" s="1"/>
  <c r="P48" i="16"/>
  <c r="P49" i="16" s="1"/>
  <c r="O48" i="16"/>
  <c r="O49" i="16" s="1"/>
  <c r="N48" i="16"/>
  <c r="N49" i="16" s="1"/>
  <c r="M48" i="16"/>
  <c r="M49" i="16" s="1"/>
  <c r="L48" i="16"/>
  <c r="L49" i="16" s="1"/>
  <c r="K48" i="16"/>
  <c r="K49" i="16" s="1"/>
  <c r="J48" i="16"/>
  <c r="J49" i="16" s="1"/>
  <c r="I48" i="16"/>
  <c r="I49" i="16" s="1"/>
  <c r="H48" i="16"/>
  <c r="H49" i="16" s="1"/>
  <c r="G48" i="16"/>
  <c r="G49" i="16" s="1"/>
  <c r="F48" i="16"/>
  <c r="F49" i="16" s="1"/>
  <c r="E48" i="16"/>
  <c r="E49" i="16" s="1"/>
  <c r="D48" i="16"/>
  <c r="D49" i="16" s="1"/>
  <c r="C48" i="16"/>
  <c r="C49" i="16" s="1"/>
  <c r="B48" i="16"/>
  <c r="B49" i="16" s="1"/>
  <c r="AE46" i="16"/>
  <c r="AE47" i="16" s="1"/>
  <c r="AD46" i="16"/>
  <c r="AD47" i="16" s="1"/>
  <c r="AC46" i="16"/>
  <c r="AC47" i="16" s="1"/>
  <c r="AB46" i="16"/>
  <c r="AB47" i="16" s="1"/>
  <c r="AA46" i="16"/>
  <c r="AA47" i="16" s="1"/>
  <c r="Z46" i="16"/>
  <c r="Z47" i="16" s="1"/>
  <c r="Y46" i="16"/>
  <c r="Y47" i="16" s="1"/>
  <c r="X46" i="16"/>
  <c r="X47" i="16" s="1"/>
  <c r="W46" i="16"/>
  <c r="W47" i="16" s="1"/>
  <c r="V46" i="16"/>
  <c r="V47" i="16" s="1"/>
  <c r="U46" i="16"/>
  <c r="U47" i="16" s="1"/>
  <c r="T46" i="16"/>
  <c r="T47" i="16" s="1"/>
  <c r="S46" i="16"/>
  <c r="S47" i="16" s="1"/>
  <c r="R46" i="16"/>
  <c r="R47" i="16" s="1"/>
  <c r="Q46" i="16"/>
  <c r="Q47" i="16" s="1"/>
  <c r="P46" i="16"/>
  <c r="P47" i="16" s="1"/>
  <c r="O46" i="16"/>
  <c r="O47" i="16" s="1"/>
  <c r="N46" i="16"/>
  <c r="N47" i="16" s="1"/>
  <c r="M46" i="16"/>
  <c r="M47" i="16" s="1"/>
  <c r="L46" i="16"/>
  <c r="L47" i="16" s="1"/>
  <c r="K46" i="16"/>
  <c r="K47" i="16" s="1"/>
  <c r="J46" i="16"/>
  <c r="J47" i="16" s="1"/>
  <c r="I46" i="16"/>
  <c r="I47" i="16" s="1"/>
  <c r="H46" i="16"/>
  <c r="H47" i="16" s="1"/>
  <c r="G46" i="16"/>
  <c r="G47" i="16" s="1"/>
  <c r="F46" i="16"/>
  <c r="F47" i="16" s="1"/>
  <c r="E46" i="16"/>
  <c r="E47" i="16" s="1"/>
  <c r="D46" i="16"/>
  <c r="D47" i="16" s="1"/>
  <c r="C46" i="16"/>
  <c r="C47" i="16" s="1"/>
  <c r="B46" i="16"/>
  <c r="B47" i="16" s="1"/>
  <c r="AE44" i="16"/>
  <c r="AE45" i="16" s="1"/>
  <c r="AD44" i="16"/>
  <c r="AD45" i="16" s="1"/>
  <c r="AC44" i="16"/>
  <c r="AC45" i="16" s="1"/>
  <c r="AB44" i="16"/>
  <c r="AB45" i="16" s="1"/>
  <c r="AA44" i="16"/>
  <c r="AA45" i="16" s="1"/>
  <c r="Z44" i="16"/>
  <c r="Z45" i="16" s="1"/>
  <c r="Y44" i="16"/>
  <c r="Y45" i="16" s="1"/>
  <c r="X44" i="16"/>
  <c r="X45" i="16" s="1"/>
  <c r="W44" i="16"/>
  <c r="W45" i="16" s="1"/>
  <c r="V44" i="16"/>
  <c r="V45" i="16" s="1"/>
  <c r="U44" i="16"/>
  <c r="U45" i="16" s="1"/>
  <c r="T44" i="16"/>
  <c r="T45" i="16" s="1"/>
  <c r="S44" i="16"/>
  <c r="S45" i="16" s="1"/>
  <c r="R44" i="16"/>
  <c r="R45" i="16" s="1"/>
  <c r="Q44" i="16"/>
  <c r="Q45" i="16" s="1"/>
  <c r="P44" i="16"/>
  <c r="P45" i="16" s="1"/>
  <c r="O44" i="16"/>
  <c r="O45" i="16" s="1"/>
  <c r="N44" i="16"/>
  <c r="N45" i="16" s="1"/>
  <c r="M44" i="16"/>
  <c r="M45" i="16" s="1"/>
  <c r="L44" i="16"/>
  <c r="L45" i="16" s="1"/>
  <c r="K44" i="16"/>
  <c r="K45" i="16" s="1"/>
  <c r="J44" i="16"/>
  <c r="J45" i="16" s="1"/>
  <c r="I44" i="16"/>
  <c r="I45" i="16" s="1"/>
  <c r="H44" i="16"/>
  <c r="H45" i="16" s="1"/>
  <c r="G44" i="16"/>
  <c r="G45" i="16" s="1"/>
  <c r="F44" i="16"/>
  <c r="F45" i="16" s="1"/>
  <c r="E44" i="16"/>
  <c r="E45" i="16" s="1"/>
  <c r="D44" i="16"/>
  <c r="D45" i="16" s="1"/>
  <c r="C44" i="16"/>
  <c r="C45" i="16" s="1"/>
  <c r="B44" i="16"/>
  <c r="B45" i="16" s="1"/>
  <c r="AE42" i="16"/>
  <c r="AE43" i="16" s="1"/>
  <c r="AD42" i="16"/>
  <c r="AD43" i="16" s="1"/>
  <c r="AC42" i="16"/>
  <c r="AC43" i="16" s="1"/>
  <c r="AB42" i="16"/>
  <c r="AB43" i="16" s="1"/>
  <c r="AA42" i="16"/>
  <c r="AA43" i="16" s="1"/>
  <c r="Z42" i="16"/>
  <c r="Z43" i="16" s="1"/>
  <c r="Y42" i="16"/>
  <c r="Y43" i="16" s="1"/>
  <c r="X42" i="16"/>
  <c r="X43" i="16" s="1"/>
  <c r="W42" i="16"/>
  <c r="W43" i="16" s="1"/>
  <c r="V42" i="16"/>
  <c r="V43" i="16" s="1"/>
  <c r="U42" i="16"/>
  <c r="U43" i="16" s="1"/>
  <c r="T42" i="16"/>
  <c r="T43" i="16" s="1"/>
  <c r="S42" i="16"/>
  <c r="S43" i="16" s="1"/>
  <c r="R42" i="16"/>
  <c r="R43" i="16" s="1"/>
  <c r="Q42" i="16"/>
  <c r="Q43" i="16" s="1"/>
  <c r="P42" i="16"/>
  <c r="P43" i="16" s="1"/>
  <c r="O42" i="16"/>
  <c r="O43" i="16" s="1"/>
  <c r="N42" i="16"/>
  <c r="N43" i="16" s="1"/>
  <c r="M42" i="16"/>
  <c r="M43" i="16" s="1"/>
  <c r="L42" i="16"/>
  <c r="L43" i="16" s="1"/>
  <c r="K42" i="16"/>
  <c r="K43" i="16" s="1"/>
  <c r="J42" i="16"/>
  <c r="J43" i="16" s="1"/>
  <c r="I42" i="16"/>
  <c r="I43" i="16" s="1"/>
  <c r="H42" i="16"/>
  <c r="H43" i="16" s="1"/>
  <c r="G42" i="16"/>
  <c r="G43" i="16" s="1"/>
  <c r="F42" i="16"/>
  <c r="F43" i="16" s="1"/>
  <c r="E42" i="16"/>
  <c r="E43" i="16" s="1"/>
  <c r="D42" i="16"/>
  <c r="D43" i="16" s="1"/>
  <c r="C42" i="16"/>
  <c r="C43" i="16" s="1"/>
  <c r="B42" i="16"/>
  <c r="B43" i="16" s="1"/>
  <c r="B33" i="16" l="1"/>
  <c r="F33" i="16"/>
  <c r="E33" i="16"/>
  <c r="D33" i="16"/>
  <c r="B30" i="18"/>
  <c r="B31" i="18" s="1"/>
  <c r="E24" i="18"/>
  <c r="E25" i="18" s="1"/>
  <c r="C26" i="18"/>
  <c r="C27" i="18" s="1"/>
  <c r="E30" i="18"/>
  <c r="E31" i="18" s="1"/>
  <c r="C24" i="18"/>
  <c r="C25" i="18" s="1"/>
  <c r="E26" i="18"/>
  <c r="E27" i="18" s="1"/>
  <c r="B5" i="18"/>
  <c r="D30" i="18"/>
  <c r="D31" i="18" s="1"/>
  <c r="B28" i="18"/>
  <c r="B29" i="18" s="1"/>
  <c r="C30" i="18"/>
  <c r="C31" i="18" s="1"/>
  <c r="C28" i="18"/>
  <c r="C29" i="18" s="1"/>
  <c r="D24" i="18"/>
  <c r="D25" i="18" s="1"/>
  <c r="B3" i="18"/>
  <c r="D26" i="18"/>
  <c r="D27" i="18" s="1"/>
  <c r="E28" i="18"/>
  <c r="E29" i="18" s="1"/>
  <c r="F30" i="18"/>
  <c r="F31" i="18" s="1"/>
  <c r="F28" i="18"/>
  <c r="F29" i="18" s="1"/>
  <c r="F26" i="18"/>
  <c r="F27" i="18" s="1"/>
  <c r="B44" i="18"/>
  <c r="B45" i="18" s="1"/>
  <c r="B42" i="18"/>
  <c r="B43" i="18" s="1"/>
  <c r="B24" i="18"/>
  <c r="B25" i="18" s="1"/>
  <c r="B26" i="18"/>
  <c r="B27" i="18" s="1"/>
  <c r="F24" i="18"/>
  <c r="F25" i="18" s="1"/>
  <c r="B6" i="18"/>
  <c r="D28" i="18"/>
  <c r="D29" i="18" s="1"/>
  <c r="B4" i="18"/>
  <c r="B4" i="16"/>
  <c r="B6" i="16"/>
  <c r="B5" i="16"/>
  <c r="B3" i="16"/>
  <c r="B24" i="16"/>
  <c r="B25" i="16" s="1"/>
  <c r="B28" i="16"/>
  <c r="B29" i="16" s="1"/>
  <c r="C30" i="16"/>
  <c r="C31" i="16" s="1"/>
  <c r="B26" i="16"/>
  <c r="B27" i="16" s="1"/>
  <c r="C28" i="16"/>
  <c r="C29" i="16" s="1"/>
  <c r="D24" i="16"/>
  <c r="D25" i="16" s="1"/>
  <c r="C26" i="16"/>
  <c r="C27" i="16" s="1"/>
  <c r="E24" i="16"/>
  <c r="E25" i="16" s="1"/>
  <c r="D26" i="16"/>
  <c r="D27" i="16" s="1"/>
  <c r="F24" i="16"/>
  <c r="F25" i="16" s="1"/>
  <c r="F26" i="16"/>
  <c r="F27" i="16" s="1"/>
  <c r="D28" i="16"/>
  <c r="D29" i="16" s="1"/>
  <c r="E28" i="16"/>
  <c r="E29" i="16" s="1"/>
  <c r="C24" i="16"/>
  <c r="C25" i="16" s="1"/>
  <c r="D30" i="16"/>
  <c r="D31" i="16" s="1"/>
  <c r="B30" i="16"/>
  <c r="B31" i="16" s="1"/>
  <c r="E30" i="16"/>
  <c r="E31" i="16" s="1"/>
  <c r="F30" i="16"/>
  <c r="F31" i="16" s="1"/>
  <c r="F28" i="16"/>
  <c r="F29" i="16" s="1"/>
  <c r="E26" i="16"/>
  <c r="E27" i="16" s="1"/>
  <c r="B42" i="14"/>
  <c r="B43" i="14" s="1"/>
  <c r="B44" i="14"/>
  <c r="B45" i="14" s="1"/>
  <c r="B46" i="14"/>
  <c r="B47" i="14" s="1"/>
  <c r="B48" i="14"/>
  <c r="B49" i="14" s="1"/>
  <c r="B16" i="16" l="1"/>
  <c r="B9" i="16"/>
  <c r="B10" i="16" s="1"/>
  <c r="B16" i="18"/>
  <c r="B9" i="18"/>
  <c r="B10" i="18" s="1"/>
  <c r="B7" i="18"/>
  <c r="B8" i="18" s="1"/>
  <c r="B13" i="18"/>
  <c r="B14" i="18" s="1"/>
  <c r="B11" i="18"/>
  <c r="B12" i="18" s="1"/>
  <c r="B7" i="16"/>
  <c r="B8" i="16" s="1"/>
  <c r="B13" i="16"/>
  <c r="B14" i="16" s="1"/>
  <c r="B11" i="16"/>
  <c r="B12" i="16" s="1"/>
  <c r="F23" i="14"/>
  <c r="F33" i="14" s="1"/>
  <c r="E23" i="14"/>
  <c r="E33" i="14" s="1"/>
  <c r="D23" i="14"/>
  <c r="D33" i="14" s="1"/>
  <c r="C23" i="14"/>
  <c r="C33" i="14" s="1"/>
  <c r="B23" i="14"/>
  <c r="AE48" i="14"/>
  <c r="AE49" i="14" s="1"/>
  <c r="AD48" i="14"/>
  <c r="AD49" i="14" s="1"/>
  <c r="AC48" i="14"/>
  <c r="AC49" i="14" s="1"/>
  <c r="AB48" i="14"/>
  <c r="AB49" i="14" s="1"/>
  <c r="AA48" i="14"/>
  <c r="AA49" i="14" s="1"/>
  <c r="Z48" i="14"/>
  <c r="Z49" i="14" s="1"/>
  <c r="Y48" i="14"/>
  <c r="Y49" i="14" s="1"/>
  <c r="X48" i="14"/>
  <c r="X49" i="14" s="1"/>
  <c r="W48" i="14"/>
  <c r="W49" i="14" s="1"/>
  <c r="V48" i="14"/>
  <c r="V49" i="14" s="1"/>
  <c r="U48" i="14"/>
  <c r="U49" i="14" s="1"/>
  <c r="T48" i="14"/>
  <c r="T49" i="14" s="1"/>
  <c r="S48" i="14"/>
  <c r="S49" i="14" s="1"/>
  <c r="R48" i="14"/>
  <c r="R49" i="14" s="1"/>
  <c r="Q48" i="14"/>
  <c r="Q49" i="14" s="1"/>
  <c r="P48" i="14"/>
  <c r="P49" i="14" s="1"/>
  <c r="O48" i="14"/>
  <c r="O49" i="14" s="1"/>
  <c r="N48" i="14"/>
  <c r="N49" i="14" s="1"/>
  <c r="M48" i="14"/>
  <c r="M49" i="14" s="1"/>
  <c r="L48" i="14"/>
  <c r="L49" i="14" s="1"/>
  <c r="K48" i="14"/>
  <c r="K49" i="14" s="1"/>
  <c r="J48" i="14"/>
  <c r="J49" i="14" s="1"/>
  <c r="I48" i="14"/>
  <c r="I49" i="14" s="1"/>
  <c r="H48" i="14"/>
  <c r="H49" i="14" s="1"/>
  <c r="G48" i="14"/>
  <c r="G49" i="14" s="1"/>
  <c r="F48" i="14"/>
  <c r="F49" i="14" s="1"/>
  <c r="E48" i="14"/>
  <c r="E49" i="14" s="1"/>
  <c r="D48" i="14"/>
  <c r="D49" i="14" s="1"/>
  <c r="C48" i="14"/>
  <c r="C49" i="14" s="1"/>
  <c r="AE46" i="14"/>
  <c r="AE47" i="14" s="1"/>
  <c r="AD46" i="14"/>
  <c r="AD47" i="14" s="1"/>
  <c r="AC46" i="14"/>
  <c r="AC47" i="14" s="1"/>
  <c r="AB46" i="14"/>
  <c r="AB47" i="14" s="1"/>
  <c r="AA46" i="14"/>
  <c r="AA47" i="14" s="1"/>
  <c r="Z46" i="14"/>
  <c r="Z47" i="14" s="1"/>
  <c r="Y46" i="14"/>
  <c r="Y47" i="14" s="1"/>
  <c r="X46" i="14"/>
  <c r="X47" i="14" s="1"/>
  <c r="W46" i="14"/>
  <c r="W47" i="14" s="1"/>
  <c r="V46" i="14"/>
  <c r="V47" i="14" s="1"/>
  <c r="U46" i="14"/>
  <c r="U47" i="14" s="1"/>
  <c r="T46" i="14"/>
  <c r="T47" i="14" s="1"/>
  <c r="S46" i="14"/>
  <c r="S47" i="14" s="1"/>
  <c r="R46" i="14"/>
  <c r="R47" i="14" s="1"/>
  <c r="Q46" i="14"/>
  <c r="Q47" i="14" s="1"/>
  <c r="P46" i="14"/>
  <c r="P47" i="14" s="1"/>
  <c r="O46" i="14"/>
  <c r="O47" i="14" s="1"/>
  <c r="N46" i="14"/>
  <c r="N47" i="14" s="1"/>
  <c r="M46" i="14"/>
  <c r="M47" i="14" s="1"/>
  <c r="L46" i="14"/>
  <c r="L47" i="14" s="1"/>
  <c r="K46" i="14"/>
  <c r="K47" i="14" s="1"/>
  <c r="J46" i="14"/>
  <c r="J47" i="14" s="1"/>
  <c r="I46" i="14"/>
  <c r="I47" i="14" s="1"/>
  <c r="H46" i="14"/>
  <c r="H47" i="14" s="1"/>
  <c r="G46" i="14"/>
  <c r="G47" i="14" s="1"/>
  <c r="F46" i="14"/>
  <c r="F47" i="14" s="1"/>
  <c r="E46" i="14"/>
  <c r="E47" i="14" s="1"/>
  <c r="D46" i="14"/>
  <c r="D47" i="14" s="1"/>
  <c r="C46" i="14"/>
  <c r="C47" i="14" s="1"/>
  <c r="AE44" i="14"/>
  <c r="AE45" i="14" s="1"/>
  <c r="AD44" i="14"/>
  <c r="AD45" i="14" s="1"/>
  <c r="AC44" i="14"/>
  <c r="AC45" i="14" s="1"/>
  <c r="AB44" i="14"/>
  <c r="AB45" i="14" s="1"/>
  <c r="AA44" i="14"/>
  <c r="AA45" i="14" s="1"/>
  <c r="Z44" i="14"/>
  <c r="Z45" i="14" s="1"/>
  <c r="Y44" i="14"/>
  <c r="Y45" i="14" s="1"/>
  <c r="X44" i="14"/>
  <c r="X45" i="14" s="1"/>
  <c r="W44" i="14"/>
  <c r="W45" i="14" s="1"/>
  <c r="V44" i="14"/>
  <c r="V45" i="14" s="1"/>
  <c r="U44" i="14"/>
  <c r="U45" i="14" s="1"/>
  <c r="T44" i="14"/>
  <c r="T45" i="14" s="1"/>
  <c r="S44" i="14"/>
  <c r="S45" i="14" s="1"/>
  <c r="R44" i="14"/>
  <c r="R45" i="14" s="1"/>
  <c r="Q44" i="14"/>
  <c r="Q45" i="14" s="1"/>
  <c r="P44" i="14"/>
  <c r="P45" i="14" s="1"/>
  <c r="O44" i="14"/>
  <c r="O45" i="14" s="1"/>
  <c r="N44" i="14"/>
  <c r="N45" i="14" s="1"/>
  <c r="M44" i="14"/>
  <c r="M45" i="14" s="1"/>
  <c r="L44" i="14"/>
  <c r="L45" i="14" s="1"/>
  <c r="K44" i="14"/>
  <c r="K45" i="14" s="1"/>
  <c r="J44" i="14"/>
  <c r="J45" i="14" s="1"/>
  <c r="I44" i="14"/>
  <c r="I45" i="14" s="1"/>
  <c r="H44" i="14"/>
  <c r="H45" i="14" s="1"/>
  <c r="G44" i="14"/>
  <c r="G45" i="14" s="1"/>
  <c r="F44" i="14"/>
  <c r="F45" i="14" s="1"/>
  <c r="E44" i="14"/>
  <c r="E45" i="14" s="1"/>
  <c r="D44" i="14"/>
  <c r="D45" i="14" s="1"/>
  <c r="C44" i="14"/>
  <c r="C45" i="14" s="1"/>
  <c r="AE42" i="14"/>
  <c r="AE43" i="14" s="1"/>
  <c r="AD42" i="14"/>
  <c r="AD43" i="14" s="1"/>
  <c r="AC42" i="14"/>
  <c r="AC43" i="14" s="1"/>
  <c r="AB42" i="14"/>
  <c r="AB43" i="14" s="1"/>
  <c r="AA42" i="14"/>
  <c r="AA43" i="14" s="1"/>
  <c r="Z42" i="14"/>
  <c r="Z43" i="14" s="1"/>
  <c r="Y42" i="14"/>
  <c r="Y43" i="14" s="1"/>
  <c r="X42" i="14"/>
  <c r="X43" i="14" s="1"/>
  <c r="W42" i="14"/>
  <c r="W43" i="14" s="1"/>
  <c r="V42" i="14"/>
  <c r="V43" i="14" s="1"/>
  <c r="U42" i="14"/>
  <c r="U43" i="14" s="1"/>
  <c r="T42" i="14"/>
  <c r="T43" i="14" s="1"/>
  <c r="S42" i="14"/>
  <c r="S43" i="14" s="1"/>
  <c r="R42" i="14"/>
  <c r="R43" i="14" s="1"/>
  <c r="Q42" i="14"/>
  <c r="Q43" i="14" s="1"/>
  <c r="P42" i="14"/>
  <c r="P43" i="14" s="1"/>
  <c r="O42" i="14"/>
  <c r="O43" i="14" s="1"/>
  <c r="N42" i="14"/>
  <c r="N43" i="14" s="1"/>
  <c r="M42" i="14"/>
  <c r="M43" i="14" s="1"/>
  <c r="L42" i="14"/>
  <c r="L43" i="14" s="1"/>
  <c r="K42" i="14"/>
  <c r="K43" i="14" s="1"/>
  <c r="J42" i="14"/>
  <c r="J43" i="14" s="1"/>
  <c r="I42" i="14"/>
  <c r="I43" i="14" s="1"/>
  <c r="H42" i="14"/>
  <c r="H43" i="14" s="1"/>
  <c r="G42" i="14"/>
  <c r="G43" i="14" s="1"/>
  <c r="F42" i="14"/>
  <c r="F43" i="14" s="1"/>
  <c r="E42" i="14"/>
  <c r="E43" i="14" s="1"/>
  <c r="D42" i="14"/>
  <c r="D43" i="14" s="1"/>
  <c r="C42" i="14"/>
  <c r="C43" i="14" s="1"/>
  <c r="B20" i="14"/>
  <c r="B21" i="14"/>
  <c r="C20" i="14"/>
  <c r="D20" i="14"/>
  <c r="E20" i="14"/>
  <c r="F20" i="14"/>
  <c r="B22" i="14"/>
  <c r="C22" i="14"/>
  <c r="D22" i="14"/>
  <c r="E22" i="14"/>
  <c r="F22" i="14"/>
  <c r="F21" i="14"/>
  <c r="E21" i="14"/>
  <c r="D21" i="14"/>
  <c r="C21" i="14"/>
  <c r="F30" i="14" l="1"/>
  <c r="F31" i="14" s="1"/>
  <c r="B33" i="14"/>
  <c r="B6" i="14"/>
  <c r="E26" i="14"/>
  <c r="E27" i="14" s="1"/>
  <c r="B3" i="14"/>
  <c r="C26" i="14"/>
  <c r="C27" i="14" s="1"/>
  <c r="D26" i="14"/>
  <c r="D27" i="14" s="1"/>
  <c r="F24" i="14"/>
  <c r="F25" i="14" s="1"/>
  <c r="D24" i="14"/>
  <c r="D25" i="14" s="1"/>
  <c r="B30" i="14"/>
  <c r="B31" i="14" s="1"/>
  <c r="B28" i="14"/>
  <c r="B29" i="14" s="1"/>
  <c r="B4" i="14"/>
  <c r="F26" i="14"/>
  <c r="F27" i="14" s="1"/>
  <c r="B5" i="14"/>
  <c r="B26" i="14"/>
  <c r="B27" i="14" s="1"/>
  <c r="E24" i="14"/>
  <c r="E25" i="14" s="1"/>
  <c r="B24" i="14"/>
  <c r="B25" i="14" s="1"/>
  <c r="C28" i="14"/>
  <c r="C29" i="14" s="1"/>
  <c r="E28" i="14"/>
  <c r="E29" i="14" s="1"/>
  <c r="F28" i="14"/>
  <c r="F29" i="14" s="1"/>
  <c r="D30" i="14"/>
  <c r="D31" i="14" s="1"/>
  <c r="D28" i="14"/>
  <c r="D29" i="14" s="1"/>
  <c r="E30" i="14"/>
  <c r="E31" i="14" s="1"/>
  <c r="C24" i="14"/>
  <c r="C25" i="14" s="1"/>
  <c r="C30" i="14"/>
  <c r="C31" i="14" s="1"/>
  <c r="B16" i="14" l="1"/>
  <c r="B11" i="14"/>
  <c r="B12" i="14" s="1"/>
  <c r="B13" i="14"/>
  <c r="B14" i="14" s="1"/>
  <c r="B7" i="14"/>
  <c r="B8" i="14" s="1"/>
  <c r="B9" i="14"/>
  <c r="B10" i="14" s="1"/>
  <c r="X46" i="24" l="1"/>
  <c r="X47" i="24" s="1"/>
  <c r="X44" i="24"/>
  <c r="X48" i="24"/>
  <c r="E46" i="24" l="1"/>
  <c r="E47" i="24" s="1"/>
  <c r="C23" i="24" s="1"/>
  <c r="E44" i="24"/>
  <c r="D46" i="24"/>
  <c r="D47" i="24" s="1"/>
  <c r="D44" i="24"/>
  <c r="C24" i="24" l="1"/>
  <c r="C25" i="24" s="1"/>
  <c r="C33" i="24"/>
  <c r="O51" i="24"/>
  <c r="AB51" i="24"/>
  <c r="T51" i="24"/>
  <c r="X45" i="24"/>
  <c r="X49" i="24" s="1"/>
  <c r="X51" i="24"/>
  <c r="B44" i="24"/>
  <c r="F46" i="24"/>
  <c r="F44" i="24"/>
  <c r="F51" i="24" s="1"/>
  <c r="F45" i="24" s="1"/>
  <c r="H48" i="24"/>
  <c r="H46" i="24"/>
  <c r="H47" i="24" s="1"/>
  <c r="H44" i="24"/>
  <c r="H51" i="24" s="1"/>
  <c r="H45" i="24" s="1"/>
  <c r="AE46" i="24"/>
  <c r="AE47" i="24" s="1"/>
  <c r="AE44" i="24"/>
  <c r="AE51" i="24" s="1"/>
  <c r="AE45" i="24" s="1"/>
  <c r="AE48" i="24"/>
  <c r="R46" i="24"/>
  <c r="R47" i="24" s="1"/>
  <c r="R48" i="24"/>
  <c r="R44" i="24"/>
  <c r="R51" i="24" s="1"/>
  <c r="R45" i="24" s="1"/>
  <c r="AD46" i="24"/>
  <c r="AD47" i="24" s="1"/>
  <c r="AD48" i="24"/>
  <c r="AD44" i="24"/>
  <c r="AD51" i="24" s="1"/>
  <c r="AD45" i="24" s="1"/>
  <c r="C46" i="24"/>
  <c r="C47" i="24" s="1"/>
  <c r="C44" i="24"/>
  <c r="L46" i="24"/>
  <c r="L47" i="24" s="1"/>
  <c r="L48" i="24"/>
  <c r="L44" i="24"/>
  <c r="L51" i="24" s="1"/>
  <c r="L45" i="24" s="1"/>
  <c r="P44" i="24"/>
  <c r="P51" i="24" s="1"/>
  <c r="P45" i="24" s="1"/>
  <c r="P46" i="24"/>
  <c r="P47" i="24" s="1"/>
  <c r="P48" i="24"/>
  <c r="J44" i="24"/>
  <c r="J51" i="24" s="1"/>
  <c r="J45" i="24" s="1"/>
  <c r="J46" i="24"/>
  <c r="J47" i="24" s="1"/>
  <c r="J48" i="24"/>
  <c r="Z48" i="24"/>
  <c r="Z46" i="24"/>
  <c r="Z47" i="24" s="1"/>
  <c r="Z44" i="24"/>
  <c r="K46" i="24"/>
  <c r="K47" i="24" s="1"/>
  <c r="K48" i="24"/>
  <c r="K44" i="24"/>
  <c r="K51" i="24" s="1"/>
  <c r="K45" i="24" s="1"/>
  <c r="S48" i="24"/>
  <c r="S44" i="24"/>
  <c r="S51" i="24" s="1"/>
  <c r="S45" i="24" s="1"/>
  <c r="S46" i="24"/>
  <c r="S47" i="24" s="1"/>
  <c r="AA44" i="24"/>
  <c r="AA51" i="24" s="1"/>
  <c r="AA45" i="24" s="1"/>
  <c r="AA46" i="24"/>
  <c r="AA47" i="24" s="1"/>
  <c r="AA48" i="24"/>
  <c r="I48" i="24"/>
  <c r="I44" i="24"/>
  <c r="I51" i="24" s="1"/>
  <c r="I45" i="24" s="1"/>
  <c r="I46" i="24"/>
  <c r="I47" i="24" s="1"/>
  <c r="Q46" i="24"/>
  <c r="Q47" i="24" s="1"/>
  <c r="Q44" i="24"/>
  <c r="Q51" i="24" s="1"/>
  <c r="Q45" i="24" s="1"/>
  <c r="Q48" i="24"/>
  <c r="Y48" i="24"/>
  <c r="F21" i="24" s="1"/>
  <c r="F26" i="24" s="1"/>
  <c r="F27" i="24" s="1"/>
  <c r="Y44" i="24"/>
  <c r="Y51" i="24" s="1"/>
  <c r="Y45" i="24" s="1"/>
  <c r="Y46" i="24"/>
  <c r="T46" i="24"/>
  <c r="T47" i="24" s="1"/>
  <c r="E23" i="24" s="1"/>
  <c r="T44" i="24"/>
  <c r="T48" i="24"/>
  <c r="E21" i="24" s="1"/>
  <c r="E26" i="24" s="1"/>
  <c r="E27" i="24" s="1"/>
  <c r="AB46" i="24"/>
  <c r="AB47" i="24" s="1"/>
  <c r="AB48" i="24"/>
  <c r="AB44" i="24"/>
  <c r="N48" i="24"/>
  <c r="N44" i="24"/>
  <c r="N46" i="24"/>
  <c r="N47" i="24" s="1"/>
  <c r="V44" i="24"/>
  <c r="V51" i="24" s="1"/>
  <c r="V45" i="24" s="1"/>
  <c r="V46" i="24"/>
  <c r="V47" i="24" s="1"/>
  <c r="V48" i="24"/>
  <c r="G46" i="24"/>
  <c r="G47" i="24" s="1"/>
  <c r="G48" i="24"/>
  <c r="G44" i="24"/>
  <c r="G51" i="24" s="1"/>
  <c r="G45" i="24" s="1"/>
  <c r="O44" i="24"/>
  <c r="O48" i="24"/>
  <c r="O46" i="24"/>
  <c r="O47" i="24" s="1"/>
  <c r="W44" i="24"/>
  <c r="W51" i="24" s="1"/>
  <c r="W45" i="24" s="1"/>
  <c r="W46" i="24"/>
  <c r="W47" i="24" s="1"/>
  <c r="W48" i="24"/>
  <c r="M48" i="24"/>
  <c r="D21" i="24" s="1"/>
  <c r="M44" i="24"/>
  <c r="M51" i="24" s="1"/>
  <c r="M45" i="24" s="1"/>
  <c r="M46" i="24"/>
  <c r="M47" i="24" s="1"/>
  <c r="D23" i="24" s="1"/>
  <c r="U48" i="24"/>
  <c r="U44" i="24"/>
  <c r="U51" i="24" s="1"/>
  <c r="U45" i="24" s="1"/>
  <c r="U46" i="24"/>
  <c r="U47" i="24" s="1"/>
  <c r="AC48" i="24"/>
  <c r="AC44" i="24"/>
  <c r="AC51" i="24" s="1"/>
  <c r="AC45" i="24" s="1"/>
  <c r="AC46" i="24"/>
  <c r="AC47" i="24" s="1"/>
  <c r="B23" i="24"/>
  <c r="B24" i="24" l="1"/>
  <c r="B25" i="24" s="1"/>
  <c r="B33" i="24"/>
  <c r="AA49" i="24"/>
  <c r="K49" i="24"/>
  <c r="J49" i="24"/>
  <c r="L49" i="24"/>
  <c r="U49" i="24"/>
  <c r="V49" i="24"/>
  <c r="AC49" i="24"/>
  <c r="Y49" i="24"/>
  <c r="D26" i="24"/>
  <c r="M49" i="24"/>
  <c r="W49" i="24"/>
  <c r="I49" i="24"/>
  <c r="P49" i="24"/>
  <c r="H49" i="24"/>
  <c r="AE49" i="24"/>
  <c r="C22" i="24"/>
  <c r="C30" i="24" s="1"/>
  <c r="C31" i="24" s="1"/>
  <c r="C48" i="24" s="1"/>
  <c r="F47" i="24"/>
  <c r="T45" i="24"/>
  <c r="T49" i="24" s="1"/>
  <c r="E24" i="24"/>
  <c r="E25" i="24" s="1"/>
  <c r="E33" i="24"/>
  <c r="AB45" i="24"/>
  <c r="AB49" i="24" s="1"/>
  <c r="D24" i="24"/>
  <c r="D33" i="24"/>
  <c r="G49" i="24"/>
  <c r="F22" i="24"/>
  <c r="F28" i="24" s="1"/>
  <c r="F29" i="24" s="1"/>
  <c r="Y47" i="24"/>
  <c r="F23" i="24" s="1"/>
  <c r="B6" i="24" s="1"/>
  <c r="B16" i="24" s="1"/>
  <c r="Q49" i="24"/>
  <c r="S49" i="24"/>
  <c r="AD49" i="24"/>
  <c r="R49" i="24"/>
  <c r="O45" i="24"/>
  <c r="O49" i="24" s="1"/>
  <c r="N51" i="24"/>
  <c r="N45" i="24" s="1"/>
  <c r="N49" i="24" s="1"/>
  <c r="C51" i="24"/>
  <c r="C45" i="24" s="1"/>
  <c r="Z51" i="24"/>
  <c r="Z45" i="24" s="1"/>
  <c r="Z49" i="24" s="1"/>
  <c r="D22" i="24"/>
  <c r="E22" i="24"/>
  <c r="D27" i="24" l="1"/>
  <c r="D25" i="24"/>
  <c r="C49" i="24"/>
  <c r="F33" i="24"/>
  <c r="F24" i="24"/>
  <c r="F25" i="24" s="1"/>
  <c r="F30" i="24"/>
  <c r="F31" i="24" s="1"/>
  <c r="F48" i="24" s="1"/>
  <c r="F49" i="24" s="1"/>
  <c r="B7" i="24"/>
  <c r="B8" i="24" s="1"/>
  <c r="D30" i="24"/>
  <c r="D28" i="24"/>
  <c r="E30" i="24"/>
  <c r="E31" i="24" s="1"/>
  <c r="E48" i="24" s="1"/>
  <c r="C21" i="24" s="1"/>
  <c r="E28" i="24"/>
  <c r="E29" i="24" s="1"/>
  <c r="B46" i="24"/>
  <c r="B51" i="24"/>
  <c r="B45" i="24" s="1"/>
  <c r="D31" i="24" l="1"/>
  <c r="D29" i="24"/>
  <c r="B22" i="24"/>
  <c r="B30" i="24" s="1"/>
  <c r="B31" i="24" s="1"/>
  <c r="B48" i="24" s="1"/>
  <c r="B21" i="24" s="1"/>
  <c r="B28" i="24" s="1"/>
  <c r="B29" i="24" s="1"/>
  <c r="B47" i="24"/>
  <c r="C26" i="24"/>
  <c r="C27" i="24" s="1"/>
  <c r="C28" i="24"/>
  <c r="C29" i="24" s="1"/>
  <c r="B5" i="24"/>
  <c r="D48" i="24" l="1"/>
  <c r="B49" i="24"/>
  <c r="B13" i="24"/>
  <c r="B14" i="24" s="1"/>
  <c r="B4" i="24"/>
  <c r="B26" i="24"/>
  <c r="B27" i="24" s="1"/>
  <c r="B11" i="24" l="1"/>
  <c r="B9" i="24"/>
  <c r="E51" i="24"/>
  <c r="E45" i="24"/>
  <c r="E49" i="24"/>
  <c r="D51" i="24"/>
  <c r="D45" i="24"/>
  <c r="D49" i="24"/>
  <c r="T42" i="24"/>
  <c r="T43" i="24" s="1"/>
  <c r="J42" i="24"/>
  <c r="J43" i="24" s="1"/>
  <c r="AD42" i="24"/>
  <c r="AD43" i="24" s="1"/>
  <c r="B42" i="24"/>
  <c r="B43" i="24" s="1"/>
  <c r="F42" i="24"/>
  <c r="F43" i="24" s="1"/>
  <c r="N42" i="24"/>
  <c r="N43" i="24" s="1"/>
  <c r="H42" i="24"/>
  <c r="H43" i="24" s="1"/>
  <c r="Q42" i="24"/>
  <c r="Q43" i="24" s="1"/>
  <c r="W42" i="24"/>
  <c r="W43" i="24" s="1"/>
  <c r="Y42" i="24"/>
  <c r="Y43" i="24" s="1"/>
  <c r="V42" i="24"/>
  <c r="V43" i="24" s="1"/>
  <c r="AE42" i="24"/>
  <c r="AE43" i="24" s="1"/>
  <c r="G42" i="24"/>
  <c r="G43" i="24" s="1"/>
  <c r="Z42" i="24"/>
  <c r="Z43" i="24" s="1"/>
  <c r="O42" i="24"/>
  <c r="O43" i="24" s="1"/>
  <c r="C42" i="24"/>
  <c r="C43" i="24" s="1"/>
  <c r="S42" i="24"/>
  <c r="S43" i="24" s="1"/>
  <c r="K42" i="24"/>
  <c r="K43" i="24" s="1"/>
  <c r="AC42" i="24"/>
  <c r="AC43" i="24" s="1"/>
  <c r="U42" i="24"/>
  <c r="U43" i="24" s="1"/>
  <c r="M42" i="24"/>
  <c r="M43" i="24" s="1"/>
  <c r="AB42" i="24"/>
  <c r="AB43" i="24" s="1"/>
  <c r="I42" i="24"/>
  <c r="I43" i="24" s="1"/>
  <c r="R42" i="24"/>
  <c r="R43" i="24" s="1"/>
  <c r="E42" i="24"/>
  <c r="E43" i="24" s="1"/>
  <c r="AA42" i="24"/>
  <c r="AA43" i="24" s="1"/>
  <c r="P42" i="24"/>
  <c r="P43" i="24" s="1"/>
  <c r="L42" i="24"/>
  <c r="L43" i="24" s="1"/>
  <c r="D42" i="24"/>
  <c r="D43" i="24" s="1"/>
  <c r="X42" i="24"/>
  <c r="X43" i="24" s="1"/>
  <c r="B10" i="24" l="1"/>
  <c r="B12" i="24"/>
</calcChain>
</file>

<file path=xl/sharedStrings.xml><?xml version="1.0" encoding="utf-8"?>
<sst xmlns="http://schemas.openxmlformats.org/spreadsheetml/2006/main" count="663" uniqueCount="181">
  <si>
    <t>Change, 2000-2010</t>
  </si>
  <si>
    <t>% change</t>
  </si>
  <si>
    <t>Change, 1990-2000</t>
  </si>
  <si>
    <t>Province</t>
  </si>
  <si>
    <t>District</t>
  </si>
  <si>
    <t>1. Kigali City</t>
  </si>
  <si>
    <t>1.1 Gasabo</t>
  </si>
  <si>
    <t>1.2 Kicukiro</t>
  </si>
  <si>
    <t>1.3 Nyarugenge</t>
  </si>
  <si>
    <t>2.1 Gisagara</t>
  </si>
  <si>
    <t>2.2 Huye</t>
  </si>
  <si>
    <t>2.3 Kamonyi</t>
  </si>
  <si>
    <t>2.4 Muhanga</t>
  </si>
  <si>
    <t>2.5 Nyamagabe</t>
  </si>
  <si>
    <t>2.6 Nyanza</t>
  </si>
  <si>
    <t>2.7 Nyaruguru</t>
  </si>
  <si>
    <t>2.8 Ruhango</t>
  </si>
  <si>
    <t>3.1 Karongi</t>
  </si>
  <si>
    <t>3.2 Ngororero</t>
  </si>
  <si>
    <t>3.3 Nyabihu</t>
  </si>
  <si>
    <t>3.4 Nyamasheke</t>
  </si>
  <si>
    <t>3.5 Rubavu</t>
  </si>
  <si>
    <t>3.6 Rusizi</t>
  </si>
  <si>
    <t>3.7 Rutsiro</t>
  </si>
  <si>
    <t>3. Western Province</t>
  </si>
  <si>
    <t>2. Southern Province</t>
  </si>
  <si>
    <t>4. Northern Province</t>
  </si>
  <si>
    <t>4.1 Burera</t>
  </si>
  <si>
    <t>4.2 Gakenke</t>
  </si>
  <si>
    <t>4.3 Gicumbi</t>
  </si>
  <si>
    <t>4.4 Musanze</t>
  </si>
  <si>
    <t>4.5 Rulindo</t>
  </si>
  <si>
    <t>5. Eastern Province</t>
  </si>
  <si>
    <t>5.1 Bugesera</t>
  </si>
  <si>
    <t>5.2 Gatsibo</t>
  </si>
  <si>
    <t>5.3 Kayonza</t>
  </si>
  <si>
    <t>5.4 Kirehe</t>
  </si>
  <si>
    <t>5.5 Ngoma</t>
  </si>
  <si>
    <t>5.6 Nyagatare</t>
  </si>
  <si>
    <t>5.7 Rwamagana</t>
  </si>
  <si>
    <t>0. National level</t>
  </si>
  <si>
    <t>National annual water yield accounts (m³ water/yr)</t>
  </si>
  <si>
    <t>Annual water yield accounts by province (m³ water/yr)</t>
  </si>
  <si>
    <t>Annual water yield accounts by district (m³ water/yr)</t>
  </si>
  <si>
    <t>Quick flow accounts by district (m³ water/yr)</t>
  </si>
  <si>
    <t>Quick flow accounts by province (m³ water/yr)</t>
  </si>
  <si>
    <t>National quick flow accounts (m³ water/yr)</t>
  </si>
  <si>
    <t>Change, 1990-2015</t>
  </si>
  <si>
    <t>Change, 2010-2015</t>
  </si>
  <si>
    <t>Area (ha)</t>
  </si>
  <si>
    <t>Sediment export/ha, 2015</t>
  </si>
  <si>
    <t>Water yield/ha, 2015</t>
  </si>
  <si>
    <t>Local recharge/ha, 2015</t>
  </si>
  <si>
    <t>Quick flow/ha, 2015</t>
  </si>
  <si>
    <t>Soil_erosion accounts by district (T)</t>
  </si>
  <si>
    <t>Kicukiro</t>
  </si>
  <si>
    <t>Nyarugenge</t>
  </si>
  <si>
    <t>Gisagara</t>
  </si>
  <si>
    <t>Huye</t>
  </si>
  <si>
    <t>Kamonyi</t>
  </si>
  <si>
    <t>Muhanga</t>
  </si>
  <si>
    <t>Nyamagabe</t>
  </si>
  <si>
    <t>Nyanza</t>
  </si>
  <si>
    <t>Nyaruguru</t>
  </si>
  <si>
    <t>Ruhango</t>
  </si>
  <si>
    <t>Karongi</t>
  </si>
  <si>
    <t>Ngororero</t>
  </si>
  <si>
    <t>Nyabihu</t>
  </si>
  <si>
    <t>Nyamasheke</t>
  </si>
  <si>
    <t>Rubavu</t>
  </si>
  <si>
    <t>Rusizi</t>
  </si>
  <si>
    <t>Rutsiro</t>
  </si>
  <si>
    <t>Burera</t>
  </si>
  <si>
    <t>Gicumbi</t>
  </si>
  <si>
    <t>Musanze</t>
  </si>
  <si>
    <t>Rulindo</t>
  </si>
  <si>
    <t>Bugesera</t>
  </si>
  <si>
    <t>Gatsibo</t>
  </si>
  <si>
    <t>Kayonza</t>
  </si>
  <si>
    <t>Kirehe</t>
  </si>
  <si>
    <t>Ngoma</t>
  </si>
  <si>
    <t>Nyagatare</t>
  </si>
  <si>
    <t>Rwamagana</t>
  </si>
  <si>
    <t>Gasabo</t>
  </si>
  <si>
    <t>Catchment</t>
  </si>
  <si>
    <t>GISAGARA</t>
  </si>
  <si>
    <t>HUYE</t>
  </si>
  <si>
    <t>BUGESERA</t>
  </si>
  <si>
    <t>NYARUGURU</t>
  </si>
  <si>
    <t>NYANZA</t>
  </si>
  <si>
    <t>RUSIZI</t>
  </si>
  <si>
    <t>NYAMAGABE</t>
  </si>
  <si>
    <t>RUHANGO</t>
  </si>
  <si>
    <t>NYAMASHEKE</t>
  </si>
  <si>
    <t>GATSIBO</t>
  </si>
  <si>
    <t>KAMONYI</t>
  </si>
  <si>
    <t>MUHANGA</t>
  </si>
  <si>
    <t>RULINDO</t>
  </si>
  <si>
    <t>GICUMBI</t>
  </si>
  <si>
    <t>NYABIHU</t>
  </si>
  <si>
    <t>KAYONZA</t>
  </si>
  <si>
    <t>NGORORERO</t>
  </si>
  <si>
    <t>GAKENKE</t>
  </si>
  <si>
    <t>GASABO</t>
  </si>
  <si>
    <t>KARONGI</t>
  </si>
  <si>
    <t>NGOMA</t>
  </si>
  <si>
    <t>RUBAVU</t>
  </si>
  <si>
    <t>RUTSIRO</t>
  </si>
  <si>
    <t>BURERA</t>
  </si>
  <si>
    <t>MUSANZE</t>
  </si>
  <si>
    <t>KIREHE</t>
  </si>
  <si>
    <t>NYARUGENGE</t>
  </si>
  <si>
    <t>RWAMAGANA</t>
  </si>
  <si>
    <t>KICUKIRO</t>
  </si>
  <si>
    <t>NYAGATARE</t>
  </si>
  <si>
    <t xml:space="preserve">Soil erosion per hectare per district </t>
  </si>
  <si>
    <t>Name</t>
  </si>
  <si>
    <t>Kivu</t>
  </si>
  <si>
    <t>Akagera lower</t>
  </si>
  <si>
    <t>Akanyaru</t>
  </si>
  <si>
    <t>Akagera upper</t>
  </si>
  <si>
    <t>Mukungwa</t>
  </si>
  <si>
    <t>Muvumba</t>
  </si>
  <si>
    <t>Nyabarongo lower</t>
  </si>
  <si>
    <t>Nyabarongo upper</t>
  </si>
  <si>
    <t xml:space="preserve">Kivu </t>
  </si>
  <si>
    <t xml:space="preserve">Nyabarongo lower </t>
  </si>
  <si>
    <t xml:space="preserve">Muvumba </t>
  </si>
  <si>
    <t xml:space="preserve">Rusizi </t>
  </si>
  <si>
    <t xml:space="preserve">Akagera lower </t>
  </si>
  <si>
    <t xml:space="preserve">Mukungwa </t>
  </si>
  <si>
    <t>Year</t>
  </si>
  <si>
    <t>Change</t>
  </si>
  <si>
    <t>2000 to 2010</t>
  </si>
  <si>
    <t>2010 to 2015</t>
  </si>
  <si>
    <t>1990 to 2015</t>
  </si>
  <si>
    <t>1990 to 2000</t>
  </si>
  <si>
    <t>Area in Ha</t>
  </si>
  <si>
    <t>2010/Ha</t>
  </si>
  <si>
    <t>2015/Ha</t>
  </si>
  <si>
    <t>2000/Ha</t>
  </si>
  <si>
    <t>1990/Ha</t>
  </si>
  <si>
    <t>change 1990_2015</t>
  </si>
  <si>
    <t>Change 1990_2015</t>
  </si>
  <si>
    <t>National Potential Soil erosion  accounts (T)</t>
  </si>
  <si>
    <t>Potential Soil Erosion /ha, 2015</t>
  </si>
  <si>
    <t>Potential Soil erosion accounts by province (T)</t>
  </si>
  <si>
    <t xml:space="preserve">Potential Soil Erosion /year </t>
  </si>
  <si>
    <t>Potential Soil Erosion T/ha/year</t>
  </si>
  <si>
    <t>Change 1990_2015 (% per  T/ha)</t>
  </si>
  <si>
    <t>North and west</t>
  </si>
  <si>
    <t>North and west to national ratio</t>
  </si>
  <si>
    <t>National  Soil Loss (sediment export) accounts (T)</t>
  </si>
  <si>
    <t>Soil Loss (Sediment exporT /ha, 2015</t>
  </si>
  <si>
    <t>Area (Ha)</t>
  </si>
  <si>
    <t>Gakenke</t>
  </si>
  <si>
    <t>Soil Loss (T)</t>
  </si>
  <si>
    <t>Soil Loss (export) T</t>
  </si>
  <si>
    <t>Soil Loss (Export) T/ Ha</t>
  </si>
  <si>
    <t>Soil Loss (Sediment export) accounts by province (T)</t>
  </si>
  <si>
    <t>Soil Loss (Sediment export/ha), 2015</t>
  </si>
  <si>
    <t>Soil Loss (T/ha)</t>
  </si>
  <si>
    <t>Soil loss (Sediment export)accounts by district (T)</t>
  </si>
  <si>
    <t>Soil loss (Sediment export)accounts by Catchment (T)</t>
  </si>
  <si>
    <t xml:space="preserve">Annual Water Yield (Cubic meter) </t>
  </si>
  <si>
    <t>Cubic meter</t>
  </si>
  <si>
    <t>Annual Water yield (Cubic meter)</t>
  </si>
  <si>
    <t>National Baseflow (local recharge proxy)  accounts (m³ water/yr)</t>
  </si>
  <si>
    <t>Baseflow (local recharge proxy)  accounts by province (m³ water/yr)</t>
  </si>
  <si>
    <t>Baseflow (local recharge proxy) /ha, 2015</t>
  </si>
  <si>
    <t>Baseflow (local recharge proxy) accounts by district (m³ water/yr)</t>
  </si>
  <si>
    <t xml:space="preserve"> (m³ water/yr)</t>
  </si>
  <si>
    <t>Baseflow (local recharge proxy) by Catchment  (m³ water/yr)</t>
  </si>
  <si>
    <t>(m³ water/yr)</t>
  </si>
  <si>
    <t>(m³ water/yr)/ha</t>
  </si>
  <si>
    <t>Soil_erosion accounts by Catchment(T)</t>
  </si>
  <si>
    <t>Quick flow accounts by catchment (m³ water/yr)</t>
  </si>
  <si>
    <t>catchment baseflow (cubic meter Per hectare)</t>
  </si>
  <si>
    <t>catchment baseflow (cubic meter )</t>
  </si>
  <si>
    <t>(Cubic meter)</t>
  </si>
  <si>
    <t>Anual Water Yield change (cubic meter /ha  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</si>
</sst>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1" formatCode="_(* #,##0_);_(* \(#,##0\);_(* &quot;-&quot;_);_(@_)"/>
    <numFmt numFmtId="164" formatCode="_-* #,##0.00_-;\-* #,##0.00_-;_-* &quot;-&quot;??_-;_-@_-"/>
    <numFmt numFmtId="165" formatCode="0.0%"/>
    <numFmt numFmtId="166" formatCode="#,##0.0"/>
    <numFmt numFmtId="167" formatCode="_-* #,##0_-;\-* #,##0_-;_-* &quot;-&quot;??_-;_-@_-"/>
    <numFmt numFmtId="168" formatCode="_-* #,##0.0_-;\-* #,##0.0_-;_-* &quot;-&quot;??_-;_-@_-"/>
  </numFmts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name val="Times New Roman"/>
      <family val="1"/>
    </font>
    <font>
      <b/>
      <sz val="11"/>
      <name val="Times New Roman"/>
      <family val="1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A5A5A5"/>
        <bgColor indexed="64"/>
      </patternFill>
    </fill>
    <fill>
      <patternFill patternType="solid">
        <fgColor rgb="FF00B05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4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9" fontId="1" fillId="0" borderId="0" applyFont="0" applyFill="0" applyBorder="0" applyAlignment="0" applyProtection="0"/>
    <xf numFmtId="164" fontId="1" fillId="0" borderId="0" applyFont="0" applyFill="0" applyBorder="0" applyAlignment="0" applyProtection="0"/>
  </cellStyleXfs>
  <cellXfs count="55">
    <xf numFmtId="0" fontId="0" fillId="0" borderId="0" xfId="0"/>
    <xf numFmtId="0" fontId="18" fillId="0" borderId="0" xfId="0" applyFont="1"/>
    <xf numFmtId="1" fontId="18" fillId="0" borderId="0" xfId="0" applyNumberFormat="1" applyFont="1"/>
    <xf numFmtId="165" fontId="18" fillId="0" borderId="0" xfId="0" applyNumberFormat="1" applyFont="1"/>
    <xf numFmtId="167" fontId="18" fillId="0" borderId="0" xfId="43" applyNumberFormat="1" applyFont="1" applyFill="1"/>
    <xf numFmtId="167" fontId="18" fillId="0" borderId="0" xfId="43" applyNumberFormat="1" applyFont="1"/>
    <xf numFmtId="3" fontId="18" fillId="0" borderId="0" xfId="0" applyNumberFormat="1" applyFont="1"/>
    <xf numFmtId="9" fontId="18" fillId="0" borderId="0" xfId="42" applyFont="1" applyFill="1"/>
    <xf numFmtId="167" fontId="18" fillId="0" borderId="0" xfId="0" applyNumberFormat="1" applyFont="1" applyAlignment="1">
      <alignment vertical="top"/>
    </xf>
    <xf numFmtId="0" fontId="19" fillId="0" borderId="0" xfId="0" applyFont="1"/>
    <xf numFmtId="0" fontId="18" fillId="0" borderId="0" xfId="0" applyFont="1" applyAlignment="1">
      <alignment horizontal="left"/>
    </xf>
    <xf numFmtId="9" fontId="18" fillId="0" borderId="0" xfId="42" applyFont="1"/>
    <xf numFmtId="167" fontId="18" fillId="0" borderId="0" xfId="0" applyNumberFormat="1" applyFont="1"/>
    <xf numFmtId="0" fontId="18" fillId="0" borderId="0" xfId="0" applyFont="1" applyAlignment="1">
      <alignment horizontal="center"/>
    </xf>
    <xf numFmtId="167" fontId="18" fillId="0" borderId="0" xfId="0" applyNumberFormat="1" applyFont="1" applyAlignment="1">
      <alignment horizontal="left" vertical="top"/>
    </xf>
    <xf numFmtId="9" fontId="18" fillId="0" borderId="0" xfId="0" applyNumberFormat="1" applyFont="1"/>
    <xf numFmtId="166" fontId="18" fillId="0" borderId="0" xfId="0" applyNumberFormat="1" applyFont="1"/>
    <xf numFmtId="41" fontId="18" fillId="0" borderId="0" xfId="0" applyNumberFormat="1" applyFont="1"/>
    <xf numFmtId="167" fontId="19" fillId="0" borderId="0" xfId="43" applyNumberFormat="1" applyFont="1" applyFill="1"/>
    <xf numFmtId="4" fontId="18" fillId="0" borderId="0" xfId="0" applyNumberFormat="1" applyFont="1"/>
    <xf numFmtId="0" fontId="19" fillId="0" borderId="0" xfId="0" applyFont="1" applyAlignment="1">
      <alignment horizontal="left"/>
    </xf>
    <xf numFmtId="0" fontId="18" fillId="0" borderId="0" xfId="0" applyFont="1" applyAlignment="1">
      <alignment horizontal="right"/>
    </xf>
    <xf numFmtId="3" fontId="18" fillId="0" borderId="0" xfId="0" applyNumberFormat="1" applyFont="1" applyAlignment="1">
      <alignment horizontal="left"/>
    </xf>
    <xf numFmtId="1" fontId="18" fillId="0" borderId="0" xfId="0" applyNumberFormat="1" applyFont="1" applyAlignment="1">
      <alignment horizontal="center"/>
    </xf>
    <xf numFmtId="168" fontId="18" fillId="0" borderId="0" xfId="43" applyNumberFormat="1" applyFont="1" applyFill="1"/>
    <xf numFmtId="164" fontId="18" fillId="0" borderId="0" xfId="43" applyFont="1" applyFill="1"/>
    <xf numFmtId="168" fontId="18" fillId="0" borderId="0" xfId="0" applyNumberFormat="1" applyFont="1" applyAlignment="1">
      <alignment horizontal="center"/>
    </xf>
    <xf numFmtId="9" fontId="18" fillId="0" borderId="0" xfId="0" applyNumberFormat="1" applyFont="1" applyAlignment="1">
      <alignment horizontal="center"/>
    </xf>
    <xf numFmtId="11" fontId="18" fillId="0" borderId="0" xfId="43" applyNumberFormat="1" applyFont="1" applyFill="1"/>
    <xf numFmtId="167" fontId="18" fillId="0" borderId="0" xfId="43" applyNumberFormat="1" applyFont="1" applyFill="1" applyAlignment="1"/>
    <xf numFmtId="11" fontId="18" fillId="0" borderId="0" xfId="43" applyNumberFormat="1" applyFont="1"/>
    <xf numFmtId="1" fontId="18" fillId="0" borderId="0" xfId="43" applyNumberFormat="1" applyFont="1" applyAlignment="1">
      <alignment horizontal="left"/>
    </xf>
    <xf numFmtId="167" fontId="18" fillId="0" borderId="0" xfId="43" applyNumberFormat="1" applyFont="1" applyFill="1" applyAlignment="1">
      <alignment horizontal="center"/>
    </xf>
    <xf numFmtId="11" fontId="18" fillId="0" borderId="0" xfId="0" applyNumberFormat="1" applyFont="1"/>
    <xf numFmtId="1" fontId="19" fillId="0" borderId="0" xfId="0" applyNumberFormat="1" applyFont="1"/>
    <xf numFmtId="2" fontId="18" fillId="0" borderId="0" xfId="0" applyNumberFormat="1" applyFont="1"/>
    <xf numFmtId="0" fontId="18" fillId="34" borderId="0" xfId="0" applyFont="1" applyFill="1" applyAlignment="1">
      <alignment horizontal="center"/>
    </xf>
    <xf numFmtId="0" fontId="18" fillId="34" borderId="0" xfId="0" applyFont="1" applyFill="1"/>
    <xf numFmtId="0" fontId="18" fillId="33" borderId="0" xfId="0" applyFont="1" applyFill="1"/>
    <xf numFmtId="165" fontId="18" fillId="0" borderId="0" xfId="0" applyNumberFormat="1" applyFont="1" applyAlignment="1">
      <alignment horizontal="left"/>
    </xf>
    <xf numFmtId="0" fontId="18" fillId="33" borderId="0" xfId="0" applyFont="1" applyFill="1" applyAlignment="1">
      <alignment horizontal="left"/>
    </xf>
    <xf numFmtId="0" fontId="19" fillId="34" borderId="0" xfId="0" applyFont="1" applyFill="1"/>
    <xf numFmtId="0" fontId="19" fillId="33" borderId="0" xfId="0" applyFont="1" applyFill="1"/>
    <xf numFmtId="0" fontId="19" fillId="33" borderId="0" xfId="0" applyFont="1" applyFill="1" applyAlignment="1">
      <alignment horizontal="left"/>
    </xf>
    <xf numFmtId="1" fontId="19" fillId="34" borderId="0" xfId="0" applyNumberFormat="1" applyFont="1" applyFill="1"/>
    <xf numFmtId="1" fontId="19" fillId="33" borderId="0" xfId="0" applyNumberFormat="1" applyFont="1" applyFill="1" applyAlignment="1">
      <alignment horizontal="center"/>
    </xf>
    <xf numFmtId="0" fontId="19" fillId="34" borderId="0" xfId="0" applyFont="1" applyFill="1" applyAlignment="1">
      <alignment horizontal="center"/>
    </xf>
    <xf numFmtId="167" fontId="19" fillId="33" borderId="0" xfId="43" applyNumberFormat="1" applyFont="1" applyFill="1"/>
    <xf numFmtId="0" fontId="18" fillId="0" borderId="0" xfId="0" applyFont="1" applyAlignment="1">
      <alignment horizontal="center"/>
    </xf>
    <xf numFmtId="0" fontId="18" fillId="34" borderId="0" xfId="0" applyFont="1" applyFill="1" applyAlignment="1">
      <alignment horizontal="center"/>
    </xf>
    <xf numFmtId="0" fontId="19" fillId="33" borderId="0" xfId="0" applyFont="1" applyFill="1" applyAlignment="1">
      <alignment horizontal="center"/>
    </xf>
    <xf numFmtId="0" fontId="19" fillId="34" borderId="0" xfId="0" applyFont="1" applyFill="1" applyAlignment="1">
      <alignment horizontal="center"/>
    </xf>
    <xf numFmtId="0" fontId="18" fillId="33" borderId="0" xfId="0" applyFont="1" applyFill="1" applyAlignment="1">
      <alignment horizontal="center"/>
    </xf>
    <xf numFmtId="0" fontId="19" fillId="0" borderId="0" xfId="0" applyFont="1" applyAlignment="1">
      <alignment horizontal="center"/>
    </xf>
    <xf numFmtId="3" fontId="18" fillId="33" borderId="0" xfId="0" applyNumberFormat="1" applyFont="1" applyFill="1" applyAlignment="1">
      <alignment horizontal="center"/>
    </xf>
  </cellXfs>
  <cellStyles count="44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Comma" xfId="43" builtinId="3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Percent" xfId="42" builtinId="5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colors>
    <mruColors>
      <color rgb="FFA5A5A5"/>
      <color rgb="FF385723"/>
      <color rgb="FFED7D31"/>
      <color rgb="FF00EEEE"/>
      <color rgb="FFC8FF96"/>
      <color rgb="FF0000FF"/>
      <color rgb="FFFF82FF"/>
      <color rgb="FFCD8200"/>
      <color rgb="FFCDCD00"/>
      <color rgb="FF94949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 sz="1400" b="0" i="0" u="none" strike="noStrike" baseline="0">
                <a:effectLst/>
              </a:rPr>
              <a:t>Water Yield by Cathment per Hectare</a:t>
            </a:r>
            <a:endParaRPr lang="en-GB"/>
          </a:p>
        </c:rich>
      </c:tx>
      <c:layout>
        <c:manualLayout>
          <c:xMode val="edge"/>
          <c:yMode val="edge"/>
          <c:x val="0.32870744279874442"/>
          <c:y val="1.7472018974337457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'Annual Water'!#REF!</c:f>
              <c:strCache>
                <c:ptCount val="1"/>
                <c:pt idx="0">
                  <c:v>#REF!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'Annual Water'!$D$112:$D$116</c:f>
              <c:numCache>
                <c:formatCode>0</c:formatCode>
                <c:ptCount val="5"/>
              </c:numCache>
            </c:numRef>
          </c:cat>
          <c:val>
            <c:numRef>
              <c:f>'Annual Water'!$E$112:$E$116</c:f>
              <c:numCache>
                <c:formatCode>0</c:formatCode>
                <c:ptCount val="5"/>
              </c:numCache>
            </c:numRef>
          </c:val>
          <c:extLst>
            <c:ext xmlns:c16="http://schemas.microsoft.com/office/drawing/2014/chart" uri="{C3380CC4-5D6E-409C-BE32-E72D297353CC}">
              <c16:uniqueId val="{00000000-393F-4AD3-ADB5-A2BC70247DA6}"/>
            </c:ext>
          </c:extLst>
        </c:ser>
        <c:ser>
          <c:idx val="1"/>
          <c:order val="1"/>
          <c:tx>
            <c:strRef>
              <c:f>'Annual Water'!$F$107</c:f>
              <c:strCache>
                <c:ptCount val="1"/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'Annual Water'!$D$112:$D$116</c:f>
              <c:numCache>
                <c:formatCode>0</c:formatCode>
                <c:ptCount val="5"/>
              </c:numCache>
            </c:numRef>
          </c:cat>
          <c:val>
            <c:numRef>
              <c:f>'Annual Water'!$F$108:$F$116</c:f>
              <c:numCache>
                <c:formatCode>0</c:formatCode>
                <c:ptCount val="9"/>
              </c:numCache>
            </c:numRef>
          </c:val>
          <c:extLst>
            <c:ext xmlns:c16="http://schemas.microsoft.com/office/drawing/2014/chart" uri="{C3380CC4-5D6E-409C-BE32-E72D297353CC}">
              <c16:uniqueId val="{00000001-393F-4AD3-ADB5-A2BC70247DA6}"/>
            </c:ext>
          </c:extLst>
        </c:ser>
        <c:ser>
          <c:idx val="2"/>
          <c:order val="2"/>
          <c:tx>
            <c:strRef>
              <c:f>'Annual Water'!$G$107</c:f>
              <c:strCache>
                <c:ptCount val="1"/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f>'Annual Water'!$D$112:$D$116</c:f>
              <c:numCache>
                <c:formatCode>0</c:formatCode>
                <c:ptCount val="5"/>
              </c:numCache>
            </c:numRef>
          </c:cat>
          <c:val>
            <c:numRef>
              <c:f>'Annual Water'!$G$108:$G$116</c:f>
              <c:numCache>
                <c:formatCode>0</c:formatCode>
                <c:ptCount val="9"/>
              </c:numCache>
            </c:numRef>
          </c:val>
          <c:extLst>
            <c:ext xmlns:c16="http://schemas.microsoft.com/office/drawing/2014/chart" uri="{C3380CC4-5D6E-409C-BE32-E72D297353CC}">
              <c16:uniqueId val="{00000002-393F-4AD3-ADB5-A2BC70247DA6}"/>
            </c:ext>
          </c:extLst>
        </c:ser>
        <c:ser>
          <c:idx val="3"/>
          <c:order val="3"/>
          <c:tx>
            <c:strRef>
              <c:f>'Annual Water'!$H$107</c:f>
              <c:strCache>
                <c:ptCount val="1"/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numRef>
              <c:f>'Annual Water'!$D$112:$D$116</c:f>
              <c:numCache>
                <c:formatCode>0</c:formatCode>
                <c:ptCount val="5"/>
              </c:numCache>
            </c:numRef>
          </c:cat>
          <c:val>
            <c:numRef>
              <c:f>'Annual Water'!$H$108:$H$116</c:f>
              <c:numCache>
                <c:formatCode>0</c:formatCode>
                <c:ptCount val="9"/>
              </c:numCache>
            </c:numRef>
          </c:val>
          <c:extLst>
            <c:ext xmlns:c16="http://schemas.microsoft.com/office/drawing/2014/chart" uri="{C3380CC4-5D6E-409C-BE32-E72D297353CC}">
              <c16:uniqueId val="{00000003-393F-4AD3-ADB5-A2BC70247DA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37484544"/>
        <c:axId val="137494880"/>
      </c:barChart>
      <c:catAx>
        <c:axId val="137484544"/>
        <c:scaling>
          <c:orientation val="minMax"/>
        </c:scaling>
        <c:delete val="0"/>
        <c:axPos val="b"/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7494880"/>
        <c:crosses val="autoZero"/>
        <c:auto val="1"/>
        <c:lblAlgn val="ctr"/>
        <c:lblOffset val="100"/>
        <c:noMultiLvlLbl val="0"/>
      </c:catAx>
      <c:valAx>
        <c:axId val="137494880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1000" b="0" i="0" u="none" strike="noStrike" baseline="0">
                    <a:effectLst/>
                  </a:rPr>
                  <a:t>Cubic meter per Hectare</a:t>
                </a:r>
                <a:endParaRPr lang="en-GB"/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" sourceLinked="1"/>
        <c:majorTickMark val="in"/>
        <c:minorTickMark val="none"/>
        <c:tickLblPos val="nextTo"/>
        <c:spPr>
          <a:noFill/>
          <a:ln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74845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8848133854792651"/>
          <c:y val="0.1225765312264188"/>
          <c:w val="0.45614159698539852"/>
          <c:h val="7.371059595405825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637164</xdr:colOff>
      <xdr:row>130</xdr:row>
      <xdr:rowOff>141913</xdr:rowOff>
    </xdr:from>
    <xdr:to>
      <xdr:col>26</xdr:col>
      <xdr:colOff>863743</xdr:colOff>
      <xdr:row>146</xdr:row>
      <xdr:rowOff>1419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88650079-4F05-4C85-B4AC-B1374B21994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B121"/>
  <sheetViews>
    <sheetView tabSelected="1" topLeftCell="A31" workbookViewId="0">
      <selection activeCell="G60" sqref="G60"/>
    </sheetView>
  </sheetViews>
  <sheetFormatPr defaultColWidth="13.5703125" defaultRowHeight="15" x14ac:dyDescent="0.25"/>
  <cols>
    <col min="1" max="16384" width="13.5703125" style="1"/>
  </cols>
  <sheetData>
    <row r="1" spans="1:38" x14ac:dyDescent="0.25">
      <c r="A1" s="9" t="s">
        <v>144</v>
      </c>
    </row>
    <row r="2" spans="1:38" x14ac:dyDescent="0.25">
      <c r="B2" s="1" t="s">
        <v>40</v>
      </c>
      <c r="C2" s="9"/>
      <c r="D2" s="9"/>
      <c r="AH2" s="4"/>
      <c r="AI2" s="4"/>
      <c r="AJ2" s="4"/>
      <c r="AK2" s="4"/>
      <c r="AL2" s="4"/>
    </row>
    <row r="3" spans="1:38" x14ac:dyDescent="0.25">
      <c r="A3" s="10">
        <v>1990</v>
      </c>
      <c r="B3" s="6">
        <f>SUM(B20:F20)</f>
        <v>102450911.30401799</v>
      </c>
      <c r="C3" s="6"/>
      <c r="D3" s="6"/>
      <c r="E3" s="6"/>
      <c r="F3" s="6"/>
      <c r="AH3" s="4"/>
      <c r="AI3" s="4"/>
      <c r="AJ3" s="4"/>
      <c r="AK3" s="4"/>
      <c r="AL3" s="4"/>
    </row>
    <row r="4" spans="1:38" x14ac:dyDescent="0.25">
      <c r="A4" s="10">
        <v>2000</v>
      </c>
      <c r="B4" s="6">
        <f>SUM(B21:F21)</f>
        <v>157652121.31203398</v>
      </c>
      <c r="C4" s="6"/>
      <c r="D4" s="6"/>
      <c r="E4" s="7"/>
      <c r="F4" s="6"/>
      <c r="AH4" s="4"/>
      <c r="AI4" s="4"/>
      <c r="AJ4" s="4"/>
      <c r="AK4" s="4"/>
      <c r="AL4" s="4"/>
    </row>
    <row r="5" spans="1:38" x14ac:dyDescent="0.25">
      <c r="A5" s="10">
        <v>2010</v>
      </c>
      <c r="B5" s="6">
        <f>SUM(B22:F22)</f>
        <v>135960937.09185702</v>
      </c>
      <c r="C5" s="6"/>
      <c r="D5" s="6"/>
      <c r="E5" s="7"/>
      <c r="F5" s="6"/>
      <c r="H5" s="6"/>
      <c r="I5" s="6"/>
      <c r="J5" s="6"/>
      <c r="K5" s="6"/>
      <c r="AH5" s="4"/>
      <c r="AI5" s="4"/>
      <c r="AJ5" s="4"/>
      <c r="AK5" s="4"/>
      <c r="AL5" s="4"/>
    </row>
    <row r="6" spans="1:38" x14ac:dyDescent="0.25">
      <c r="A6" s="10">
        <v>2015</v>
      </c>
      <c r="B6" s="6">
        <f>SUM(B23:F23)</f>
        <v>158166229.99665999</v>
      </c>
      <c r="C6" s="6"/>
      <c r="D6" s="6"/>
      <c r="E6" s="7"/>
      <c r="F6" s="6"/>
      <c r="H6" s="6"/>
      <c r="I6" s="6"/>
      <c r="J6" s="6"/>
      <c r="K6" s="6"/>
      <c r="AH6" s="4"/>
      <c r="AI6" s="4"/>
      <c r="AJ6" s="4"/>
      <c r="AK6" s="4"/>
      <c r="AL6" s="4"/>
    </row>
    <row r="7" spans="1:38" x14ac:dyDescent="0.25">
      <c r="A7" s="1" t="s">
        <v>47</v>
      </c>
      <c r="B7" s="6">
        <f>B6-B3</f>
        <v>55715318.692642003</v>
      </c>
      <c r="C7" s="6"/>
      <c r="D7" s="6"/>
      <c r="AH7" s="4"/>
      <c r="AI7" s="4"/>
      <c r="AJ7" s="4"/>
      <c r="AK7" s="4"/>
      <c r="AL7" s="4"/>
    </row>
    <row r="8" spans="1:38" x14ac:dyDescent="0.25">
      <c r="A8" s="1" t="s">
        <v>1</v>
      </c>
      <c r="B8" s="15">
        <f>B7/B3</f>
        <v>0.5438245300455119</v>
      </c>
      <c r="C8" s="3"/>
      <c r="D8" s="6"/>
      <c r="AH8" s="4"/>
      <c r="AI8" s="4"/>
      <c r="AJ8" s="4"/>
      <c r="AK8" s="4"/>
      <c r="AL8" s="4"/>
    </row>
    <row r="9" spans="1:38" x14ac:dyDescent="0.25">
      <c r="A9" s="1" t="s">
        <v>2</v>
      </c>
      <c r="B9" s="6">
        <f>B4-B3</f>
        <v>55201210.00801599</v>
      </c>
      <c r="C9" s="6"/>
      <c r="D9" s="6"/>
      <c r="E9" s="6"/>
      <c r="F9" s="6"/>
      <c r="AH9" s="4"/>
      <c r="AI9" s="4"/>
      <c r="AJ9" s="4"/>
      <c r="AK9" s="4"/>
      <c r="AL9" s="4"/>
    </row>
    <row r="10" spans="1:38" x14ac:dyDescent="0.25">
      <c r="A10" s="1" t="s">
        <v>1</v>
      </c>
      <c r="B10" s="15">
        <f>B9/B3</f>
        <v>0.53880643232356562</v>
      </c>
      <c r="C10" s="6"/>
      <c r="D10" s="6"/>
      <c r="E10" s="6"/>
      <c r="F10" s="6"/>
      <c r="AH10" s="4"/>
      <c r="AI10" s="4"/>
      <c r="AJ10" s="4"/>
      <c r="AK10" s="4"/>
      <c r="AL10" s="4"/>
    </row>
    <row r="11" spans="1:38" x14ac:dyDescent="0.25">
      <c r="A11" s="1" t="s">
        <v>0</v>
      </c>
      <c r="B11" s="6">
        <f>B5-B4</f>
        <v>-21691184.220176965</v>
      </c>
      <c r="C11" s="6"/>
      <c r="D11" s="6"/>
      <c r="E11" s="6"/>
      <c r="F11" s="6"/>
      <c r="AH11" s="4"/>
      <c r="AI11" s="4"/>
      <c r="AJ11" s="4"/>
      <c r="AK11" s="4"/>
      <c r="AL11" s="4"/>
    </row>
    <row r="12" spans="1:38" x14ac:dyDescent="0.25">
      <c r="A12" s="1" t="s">
        <v>1</v>
      </c>
      <c r="B12" s="3">
        <f>B11/B4</f>
        <v>-0.13758891437460932</v>
      </c>
      <c r="C12" s="6"/>
      <c r="D12" s="6"/>
      <c r="E12" s="6"/>
      <c r="F12" s="6"/>
      <c r="AH12" s="4"/>
      <c r="AI12" s="4"/>
      <c r="AJ12" s="4"/>
      <c r="AK12" s="4"/>
      <c r="AL12" s="4"/>
    </row>
    <row r="13" spans="1:38" x14ac:dyDescent="0.25">
      <c r="A13" s="1" t="s">
        <v>48</v>
      </c>
      <c r="B13" s="6">
        <f>B6-B5</f>
        <v>22205292.904802978</v>
      </c>
      <c r="C13" s="6"/>
      <c r="D13" s="6"/>
      <c r="E13" s="6"/>
      <c r="F13" s="6"/>
      <c r="AB13" s="16"/>
      <c r="AE13" s="16"/>
      <c r="AH13" s="4"/>
      <c r="AI13" s="4"/>
      <c r="AJ13" s="4"/>
      <c r="AK13" s="4"/>
      <c r="AL13" s="4"/>
    </row>
    <row r="14" spans="1:38" x14ac:dyDescent="0.25">
      <c r="A14" s="1" t="s">
        <v>1</v>
      </c>
      <c r="B14" s="3">
        <f>B13/B5</f>
        <v>0.16332112281486252</v>
      </c>
      <c r="D14" s="6"/>
      <c r="AE14" s="16"/>
      <c r="AH14" s="4"/>
      <c r="AI14" s="4"/>
      <c r="AJ14" s="4"/>
      <c r="AK14" s="4"/>
      <c r="AL14" s="4"/>
    </row>
    <row r="15" spans="1:38" x14ac:dyDescent="0.25">
      <c r="A15" s="1" t="s">
        <v>49</v>
      </c>
      <c r="B15" s="12">
        <v>2534568.9300000002</v>
      </c>
      <c r="D15" s="6"/>
      <c r="AE15" s="16"/>
      <c r="AH15" s="4"/>
      <c r="AI15" s="4"/>
      <c r="AJ15" s="4"/>
      <c r="AK15" s="4"/>
      <c r="AL15" s="4"/>
    </row>
    <row r="16" spans="1:38" x14ac:dyDescent="0.25">
      <c r="A16" s="1" t="s">
        <v>145</v>
      </c>
      <c r="B16" s="6">
        <f>B6/B15</f>
        <v>62.403601703055671</v>
      </c>
      <c r="C16" s="17"/>
      <c r="D16" s="6"/>
      <c r="AE16" s="16"/>
      <c r="AH16" s="4"/>
      <c r="AI16" s="4"/>
      <c r="AJ16" s="4"/>
      <c r="AK16" s="4"/>
      <c r="AL16" s="4"/>
    </row>
    <row r="17" spans="1:38" x14ac:dyDescent="0.25">
      <c r="AE17" s="16"/>
      <c r="AH17" s="4"/>
      <c r="AI17" s="4"/>
      <c r="AJ17" s="4"/>
      <c r="AK17" s="4"/>
      <c r="AL17" s="4"/>
    </row>
    <row r="18" spans="1:38" x14ac:dyDescent="0.25">
      <c r="A18" s="9" t="s">
        <v>146</v>
      </c>
      <c r="AH18" s="4"/>
      <c r="AI18" s="4"/>
      <c r="AJ18" s="4"/>
      <c r="AK18" s="4"/>
      <c r="AL18" s="4"/>
    </row>
    <row r="19" spans="1:38" x14ac:dyDescent="0.25">
      <c r="B19" s="2" t="s">
        <v>5</v>
      </c>
      <c r="C19" s="2" t="s">
        <v>25</v>
      </c>
      <c r="D19" s="2" t="s">
        <v>24</v>
      </c>
      <c r="E19" s="2" t="s">
        <v>26</v>
      </c>
      <c r="F19" s="2" t="s">
        <v>32</v>
      </c>
      <c r="G19" s="2"/>
      <c r="H19" s="2"/>
      <c r="I19" s="2"/>
      <c r="AH19" s="4"/>
      <c r="AI19" s="4"/>
      <c r="AJ19" s="4"/>
      <c r="AK19" s="4"/>
      <c r="AL19" s="4"/>
    </row>
    <row r="20" spans="1:38" x14ac:dyDescent="0.25">
      <c r="A20" s="10">
        <v>1990</v>
      </c>
      <c r="B20" s="6">
        <f>SUM(B38:D38)</f>
        <v>2467731.0781979999</v>
      </c>
      <c r="C20" s="6">
        <f>SUM(E38:L38)</f>
        <v>32970767.474799998</v>
      </c>
      <c r="D20" s="6">
        <f>SUM(M38:S38)</f>
        <v>28331208.668779999</v>
      </c>
      <c r="E20" s="6">
        <f>SUM(T38:X38)</f>
        <v>22174545.25282</v>
      </c>
      <c r="F20" s="6">
        <f>SUM(Y38:AE38)</f>
        <v>16506658.82942</v>
      </c>
      <c r="G20" s="6"/>
      <c r="H20" s="6"/>
      <c r="I20" s="7"/>
      <c r="AH20" s="4"/>
      <c r="AI20" s="4"/>
      <c r="AJ20" s="4"/>
      <c r="AK20" s="4"/>
      <c r="AL20" s="4"/>
    </row>
    <row r="21" spans="1:38" x14ac:dyDescent="0.25">
      <c r="A21" s="10">
        <v>2000</v>
      </c>
      <c r="B21" s="6">
        <f>SUM(B39:D39)</f>
        <v>2960659.3485140004</v>
      </c>
      <c r="C21" s="6">
        <f>SUM(E39:L39)</f>
        <v>39963924.169709995</v>
      </c>
      <c r="D21" s="6">
        <f>SUM(M39:S39)</f>
        <v>45384347.100390002</v>
      </c>
      <c r="E21" s="6">
        <f>SUM(T39:X39)</f>
        <v>43582280.687369995</v>
      </c>
      <c r="F21" s="6">
        <f>SUM(Y39:AE39)</f>
        <v>25760910.006049998</v>
      </c>
      <c r="G21" s="6"/>
      <c r="H21" s="6"/>
      <c r="I21" s="7"/>
      <c r="AH21" s="4"/>
      <c r="AI21" s="4"/>
      <c r="AJ21" s="4"/>
      <c r="AK21" s="4"/>
      <c r="AL21" s="4"/>
    </row>
    <row r="22" spans="1:38" x14ac:dyDescent="0.25">
      <c r="A22" s="10">
        <v>2010</v>
      </c>
      <c r="B22" s="6">
        <f>SUM(B40:D40)</f>
        <v>2532818.8662069999</v>
      </c>
      <c r="C22" s="6">
        <f>SUM(E40:L40)</f>
        <v>38004728.44004</v>
      </c>
      <c r="D22" s="6">
        <f>SUM(M40:S40)</f>
        <v>44636725.988329999</v>
      </c>
      <c r="E22" s="6">
        <f>SUM(T40:X40)</f>
        <v>29607122.594460003</v>
      </c>
      <c r="F22" s="6">
        <f>SUM(Y40:AE40)</f>
        <v>21179541.202820003</v>
      </c>
      <c r="G22" s="6"/>
      <c r="H22" s="6"/>
      <c r="I22" s="7"/>
      <c r="AH22" s="4"/>
      <c r="AI22" s="4"/>
      <c r="AJ22" s="4"/>
      <c r="AK22" s="4"/>
      <c r="AL22" s="4"/>
    </row>
    <row r="23" spans="1:38" x14ac:dyDescent="0.25">
      <c r="A23" s="10">
        <v>2015</v>
      </c>
      <c r="B23" s="6">
        <f>SUM(B41:D41)</f>
        <v>3400146.2943599997</v>
      </c>
      <c r="C23" s="6">
        <f>SUM(E41:L41)</f>
        <v>40909469.309419997</v>
      </c>
      <c r="D23" s="6">
        <f>SUM(M41:S41)</f>
        <v>55504763.583010003</v>
      </c>
      <c r="E23" s="6">
        <f>SUM(T41:X41)</f>
        <v>35649067.328940004</v>
      </c>
      <c r="F23" s="6">
        <f>SUM(Y41:AE41)</f>
        <v>22702783.480930001</v>
      </c>
      <c r="G23" s="6"/>
      <c r="H23" s="6"/>
      <c r="I23" s="7"/>
      <c r="AH23" s="4"/>
      <c r="AI23" s="4"/>
      <c r="AJ23" s="4"/>
      <c r="AK23" s="4"/>
      <c r="AL23" s="4"/>
    </row>
    <row r="24" spans="1:38" x14ac:dyDescent="0.25">
      <c r="A24" s="1" t="s">
        <v>47</v>
      </c>
      <c r="B24" s="6">
        <f>B23-B20</f>
        <v>932415.21616199985</v>
      </c>
      <c r="C24" s="6">
        <f>C23-C20</f>
        <v>7938701.8346199989</v>
      </c>
      <c r="D24" s="6">
        <f>D23-D20</f>
        <v>27173554.914230004</v>
      </c>
      <c r="E24" s="6">
        <f>E23-E20</f>
        <v>13474522.076120004</v>
      </c>
      <c r="F24" s="6">
        <f>F23-F20</f>
        <v>6196124.6515100002</v>
      </c>
      <c r="G24" s="3"/>
      <c r="H24" s="6"/>
      <c r="I24" s="7"/>
      <c r="AH24" s="4"/>
      <c r="AI24" s="4"/>
      <c r="AJ24" s="4"/>
      <c r="AK24" s="4"/>
      <c r="AL24" s="4"/>
    </row>
    <row r="25" spans="1:38" x14ac:dyDescent="0.25">
      <c r="A25" s="1" t="s">
        <v>1</v>
      </c>
      <c r="B25" s="3">
        <f>B24/B20</f>
        <v>0.37784312253459695</v>
      </c>
      <c r="C25" s="3">
        <f>C24/C20</f>
        <v>0.24078001340695682</v>
      </c>
      <c r="D25" s="3">
        <f>D24/D20</f>
        <v>0.95913856806872877</v>
      </c>
      <c r="E25" s="3">
        <f>E24/E20</f>
        <v>0.60765719984297806</v>
      </c>
      <c r="F25" s="3">
        <f>F24/F20</f>
        <v>0.37537121930857253</v>
      </c>
      <c r="G25" s="6"/>
      <c r="H25" s="7"/>
      <c r="I25" s="7"/>
      <c r="AH25" s="4"/>
      <c r="AI25" s="4"/>
      <c r="AJ25" s="4"/>
      <c r="AK25" s="4"/>
      <c r="AL25" s="4"/>
    </row>
    <row r="26" spans="1:38" x14ac:dyDescent="0.25">
      <c r="A26" s="1" t="s">
        <v>2</v>
      </c>
      <c r="B26" s="6">
        <f>B21-B20</f>
        <v>492928.27031600056</v>
      </c>
      <c r="C26" s="6">
        <f>C21-C20</f>
        <v>6993156.6949099973</v>
      </c>
      <c r="D26" s="6">
        <f>D21-D20</f>
        <v>17053138.431610003</v>
      </c>
      <c r="E26" s="6">
        <f>E21-E20</f>
        <v>21407735.434549995</v>
      </c>
      <c r="F26" s="6">
        <f>F21-F20</f>
        <v>9254251.1766299978</v>
      </c>
      <c r="G26" s="3"/>
      <c r="H26" s="6"/>
      <c r="I26" s="7"/>
      <c r="AH26" s="4"/>
      <c r="AI26" s="4"/>
      <c r="AJ26" s="4"/>
      <c r="AK26" s="4"/>
      <c r="AL26" s="4"/>
    </row>
    <row r="27" spans="1:38" x14ac:dyDescent="0.25">
      <c r="A27" s="1" t="s">
        <v>1</v>
      </c>
      <c r="B27" s="3">
        <f>B26/B20</f>
        <v>0.19974958968217452</v>
      </c>
      <c r="C27" s="3">
        <f>C26/C20</f>
        <v>0.21210172618077397</v>
      </c>
      <c r="D27" s="3">
        <f>D26/D20</f>
        <v>0.60192061097633176</v>
      </c>
      <c r="E27" s="3">
        <f>E26/E20</f>
        <v>0.965419366687013</v>
      </c>
      <c r="F27" s="3">
        <f>F26/F20</f>
        <v>0.56063745378538044</v>
      </c>
      <c r="G27" s="3"/>
      <c r="H27" s="7"/>
      <c r="I27" s="7"/>
      <c r="AH27" s="4"/>
      <c r="AI27" s="4"/>
      <c r="AJ27" s="4"/>
      <c r="AK27" s="4"/>
      <c r="AL27" s="4"/>
    </row>
    <row r="28" spans="1:38" x14ac:dyDescent="0.25">
      <c r="A28" s="1" t="s">
        <v>0</v>
      </c>
      <c r="B28" s="6">
        <f>B22-B21</f>
        <v>-427840.48230700055</v>
      </c>
      <c r="C28" s="6">
        <f>C22-C21</f>
        <v>-1959195.7296699956</v>
      </c>
      <c r="D28" s="6">
        <f>D22-D21</f>
        <v>-747621.11206000298</v>
      </c>
      <c r="E28" s="6">
        <f>E22-E21</f>
        <v>-13975158.092909992</v>
      </c>
      <c r="F28" s="6">
        <f>F22-F21</f>
        <v>-4581368.8032299951</v>
      </c>
      <c r="G28" s="3"/>
      <c r="H28" s="6"/>
      <c r="I28" s="7"/>
      <c r="AH28" s="4"/>
      <c r="AI28" s="4"/>
      <c r="AJ28" s="4"/>
      <c r="AK28" s="4"/>
      <c r="AL28" s="4"/>
    </row>
    <row r="29" spans="1:38" x14ac:dyDescent="0.25">
      <c r="A29" s="1" t="s">
        <v>1</v>
      </c>
      <c r="B29" s="3">
        <f>B28/B21</f>
        <v>-0.14450851379498966</v>
      </c>
      <c r="C29" s="3">
        <f>C28/C21</f>
        <v>-4.9024107876646808E-2</v>
      </c>
      <c r="D29" s="3">
        <f>D28/D21</f>
        <v>-1.6473104932109475E-2</v>
      </c>
      <c r="E29" s="3">
        <f>E28/E21</f>
        <v>-0.32066146774553606</v>
      </c>
      <c r="F29" s="3">
        <f>F28/F21</f>
        <v>-0.1778418853275778</v>
      </c>
      <c r="G29" s="3"/>
      <c r="H29" s="7"/>
      <c r="I29" s="7"/>
      <c r="AH29" s="4"/>
      <c r="AI29" s="4"/>
      <c r="AJ29" s="4"/>
      <c r="AK29" s="4"/>
      <c r="AL29" s="4"/>
    </row>
    <row r="30" spans="1:38" x14ac:dyDescent="0.25">
      <c r="A30" s="1" t="s">
        <v>48</v>
      </c>
      <c r="B30" s="6">
        <f>B23-B22</f>
        <v>867327.42815299984</v>
      </c>
      <c r="C30" s="6">
        <f>C23-C22</f>
        <v>2904740.8693799973</v>
      </c>
      <c r="D30" s="6">
        <f>D23-D22</f>
        <v>10868037.594680004</v>
      </c>
      <c r="E30" s="6">
        <f>E23-E22</f>
        <v>6041944.734480001</v>
      </c>
      <c r="F30" s="6">
        <f>F23-F22</f>
        <v>1523242.2781099975</v>
      </c>
      <c r="G30" s="3"/>
      <c r="H30" s="6"/>
      <c r="I30" s="7"/>
      <c r="AH30" s="4"/>
      <c r="AI30" s="4"/>
      <c r="AJ30" s="4"/>
      <c r="AK30" s="4"/>
      <c r="AL30" s="4"/>
    </row>
    <row r="31" spans="1:38" x14ac:dyDescent="0.25">
      <c r="A31" s="1" t="s">
        <v>1</v>
      </c>
      <c r="B31" s="3">
        <f>B30/B22</f>
        <v>0.34243563159013352</v>
      </c>
      <c r="C31" s="3">
        <f>C30/C22</f>
        <v>7.6431038678852883E-2</v>
      </c>
      <c r="D31" s="3">
        <f>D30/D22</f>
        <v>0.2434774807973458</v>
      </c>
      <c r="E31" s="3">
        <f>E30/E22</f>
        <v>0.20407064939199973</v>
      </c>
      <c r="F31" s="3">
        <f>F30/F22</f>
        <v>7.1920456799469373E-2</v>
      </c>
      <c r="G31" s="3"/>
      <c r="H31" s="7"/>
      <c r="I31" s="7"/>
      <c r="AH31" s="4"/>
      <c r="AI31" s="4"/>
      <c r="AJ31" s="4"/>
      <c r="AK31" s="4"/>
      <c r="AL31" s="4"/>
    </row>
    <row r="32" spans="1:38" x14ac:dyDescent="0.25">
      <c r="A32" s="1" t="s">
        <v>49</v>
      </c>
      <c r="B32" s="6">
        <v>73001</v>
      </c>
      <c r="C32" s="6">
        <v>596451</v>
      </c>
      <c r="D32" s="6">
        <v>588201</v>
      </c>
      <c r="E32" s="6">
        <v>327613</v>
      </c>
      <c r="F32" s="6">
        <v>946373</v>
      </c>
      <c r="G32" s="4"/>
      <c r="H32" s="7"/>
      <c r="I32" s="7"/>
    </row>
    <row r="33" spans="1:54" x14ac:dyDescent="0.25">
      <c r="A33" s="1" t="s">
        <v>145</v>
      </c>
      <c r="B33" s="6">
        <f>B23/B32</f>
        <v>46.57670846097998</v>
      </c>
      <c r="C33" s="6">
        <f>C23/C32</f>
        <v>68.588147742932776</v>
      </c>
      <c r="D33" s="6">
        <f>D23/D32</f>
        <v>94.363599488967211</v>
      </c>
      <c r="E33" s="6">
        <f>E23/E32</f>
        <v>108.81456880203167</v>
      </c>
      <c r="F33" s="6">
        <f>F23/F32</f>
        <v>23.989255273480964</v>
      </c>
      <c r="G33" s="3"/>
      <c r="H33" s="7"/>
      <c r="I33" s="7"/>
    </row>
    <row r="35" spans="1:54" x14ac:dyDescent="0.25">
      <c r="A35" s="9" t="s">
        <v>54</v>
      </c>
    </row>
    <row r="36" spans="1:54" x14ac:dyDescent="0.25">
      <c r="A36" s="1" t="s">
        <v>3</v>
      </c>
      <c r="B36" s="48" t="s">
        <v>5</v>
      </c>
      <c r="C36" s="48"/>
      <c r="D36" s="48"/>
      <c r="E36" s="48" t="s">
        <v>25</v>
      </c>
      <c r="F36" s="48"/>
      <c r="G36" s="48"/>
      <c r="H36" s="48"/>
      <c r="I36" s="48"/>
      <c r="J36" s="48"/>
      <c r="K36" s="48"/>
      <c r="L36" s="48"/>
      <c r="M36" s="48" t="s">
        <v>24</v>
      </c>
      <c r="N36" s="48"/>
      <c r="O36" s="48"/>
      <c r="P36" s="48"/>
      <c r="Q36" s="48"/>
      <c r="R36" s="48"/>
      <c r="S36" s="48"/>
      <c r="T36" s="48" t="s">
        <v>26</v>
      </c>
      <c r="U36" s="48"/>
      <c r="V36" s="48"/>
      <c r="W36" s="48"/>
      <c r="X36" s="48"/>
      <c r="Y36" s="48" t="s">
        <v>32</v>
      </c>
      <c r="Z36" s="48"/>
      <c r="AA36" s="48"/>
      <c r="AB36" s="48"/>
      <c r="AC36" s="48"/>
      <c r="AD36" s="48"/>
      <c r="AE36" s="48"/>
      <c r="AF36" s="13"/>
      <c r="AG36" s="13"/>
    </row>
    <row r="37" spans="1:54" x14ac:dyDescent="0.25">
      <c r="A37" s="1" t="s">
        <v>4</v>
      </c>
      <c r="B37" s="2" t="s">
        <v>6</v>
      </c>
      <c r="C37" s="2" t="s">
        <v>7</v>
      </c>
      <c r="D37" s="2" t="s">
        <v>8</v>
      </c>
      <c r="E37" s="2" t="s">
        <v>9</v>
      </c>
      <c r="F37" s="2" t="s">
        <v>10</v>
      </c>
      <c r="G37" s="2" t="s">
        <v>11</v>
      </c>
      <c r="H37" s="2" t="s">
        <v>12</v>
      </c>
      <c r="I37" s="2" t="s">
        <v>13</v>
      </c>
      <c r="J37" s="2" t="s">
        <v>14</v>
      </c>
      <c r="K37" s="2" t="s">
        <v>15</v>
      </c>
      <c r="L37" s="2" t="s">
        <v>16</v>
      </c>
      <c r="M37" s="2" t="s">
        <v>17</v>
      </c>
      <c r="N37" s="2" t="s">
        <v>18</v>
      </c>
      <c r="O37" s="2" t="s">
        <v>19</v>
      </c>
      <c r="P37" s="2" t="s">
        <v>20</v>
      </c>
      <c r="Q37" s="2" t="s">
        <v>21</v>
      </c>
      <c r="R37" s="2" t="s">
        <v>22</v>
      </c>
      <c r="S37" s="2" t="s">
        <v>23</v>
      </c>
      <c r="T37" s="2" t="s">
        <v>27</v>
      </c>
      <c r="U37" s="2" t="s">
        <v>28</v>
      </c>
      <c r="V37" s="2" t="s">
        <v>29</v>
      </c>
      <c r="W37" s="2" t="s">
        <v>30</v>
      </c>
      <c r="X37" s="2" t="s">
        <v>31</v>
      </c>
      <c r="Y37" s="2" t="s">
        <v>33</v>
      </c>
      <c r="Z37" s="2" t="s">
        <v>34</v>
      </c>
      <c r="AA37" s="2" t="s">
        <v>35</v>
      </c>
      <c r="AB37" s="1" t="s">
        <v>36</v>
      </c>
      <c r="AC37" s="1" t="s">
        <v>37</v>
      </c>
      <c r="AD37" s="1" t="s">
        <v>38</v>
      </c>
      <c r="AE37" s="1" t="s">
        <v>39</v>
      </c>
    </row>
    <row r="38" spans="1:54" x14ac:dyDescent="0.25">
      <c r="A38" s="10">
        <v>1990</v>
      </c>
      <c r="B38" s="4">
        <v>1790876.9827699999</v>
      </c>
      <c r="C38" s="4">
        <v>270277.70474999998</v>
      </c>
      <c r="D38" s="4">
        <v>406576.390678</v>
      </c>
      <c r="E38" s="4">
        <v>3847670.9380899998</v>
      </c>
      <c r="F38" s="4">
        <v>4192079.1174400002</v>
      </c>
      <c r="G38" s="4">
        <v>3149318.2620700002</v>
      </c>
      <c r="H38" s="4">
        <v>4086101.92551</v>
      </c>
      <c r="I38" s="4">
        <v>5460903.0805099998</v>
      </c>
      <c r="J38" s="4">
        <v>3221783.8791399999</v>
      </c>
      <c r="K38" s="4">
        <v>6110777.9625899997</v>
      </c>
      <c r="L38" s="4">
        <v>2902132.3094500001</v>
      </c>
      <c r="M38" s="4">
        <v>4312926.1562299998</v>
      </c>
      <c r="N38" s="4">
        <v>5562230.6509100003</v>
      </c>
      <c r="O38" s="4">
        <v>4042366.6583500002</v>
      </c>
      <c r="P38" s="4">
        <v>5185069.2814600002</v>
      </c>
      <c r="Q38" s="4">
        <v>1046573.7249800001</v>
      </c>
      <c r="R38" s="4">
        <v>5555866.9894399997</v>
      </c>
      <c r="S38" s="4">
        <v>2626175.2074099998</v>
      </c>
      <c r="T38" s="4">
        <v>3846580.93835</v>
      </c>
      <c r="U38" s="4">
        <v>4622412.8003399996</v>
      </c>
      <c r="V38" s="4">
        <v>6523747.2262199996</v>
      </c>
      <c r="W38" s="4">
        <v>2873422.7875999999</v>
      </c>
      <c r="X38" s="4">
        <v>4308381.50031</v>
      </c>
      <c r="Y38" s="4">
        <v>1512149.88145</v>
      </c>
      <c r="Z38" s="4">
        <v>3955058.8293099999</v>
      </c>
      <c r="AA38" s="4">
        <v>3242020.1749900002</v>
      </c>
      <c r="AB38" s="4">
        <v>2055004.0417500001</v>
      </c>
      <c r="AC38" s="4">
        <v>1143258.1569399999</v>
      </c>
      <c r="AD38" s="4">
        <v>3139495.5122099998</v>
      </c>
      <c r="AE38" s="4">
        <v>1459672.2327699999</v>
      </c>
      <c r="AF38" s="6"/>
    </row>
    <row r="39" spans="1:54" x14ac:dyDescent="0.25">
      <c r="A39" s="10">
        <v>2000</v>
      </c>
      <c r="B39" s="4">
        <v>2088737.59293</v>
      </c>
      <c r="C39" s="4">
        <v>311624.17270400003</v>
      </c>
      <c r="D39" s="4">
        <v>560297.58288</v>
      </c>
      <c r="E39" s="4">
        <v>4060260.2055199998</v>
      </c>
      <c r="F39" s="4">
        <v>3762531.0531600001</v>
      </c>
      <c r="G39" s="4">
        <v>4485269.8147999998</v>
      </c>
      <c r="H39" s="4">
        <v>6531792.9818799999</v>
      </c>
      <c r="I39" s="4">
        <v>7980422.2621600004</v>
      </c>
      <c r="J39" s="4">
        <v>4689265.8474599998</v>
      </c>
      <c r="K39" s="4">
        <v>4252363.4853100004</v>
      </c>
      <c r="L39" s="4">
        <v>4202018.5194199998</v>
      </c>
      <c r="M39" s="4">
        <v>6611988.3157099998</v>
      </c>
      <c r="N39" s="4">
        <v>10342365.8247</v>
      </c>
      <c r="O39" s="4">
        <v>8785251.5367099997</v>
      </c>
      <c r="P39" s="4">
        <v>5640786.5158399995</v>
      </c>
      <c r="Q39" s="4">
        <v>2136524.7252699998</v>
      </c>
      <c r="R39" s="4">
        <v>4462364.5160699999</v>
      </c>
      <c r="S39" s="4">
        <v>7405065.6660900004</v>
      </c>
      <c r="T39" s="4">
        <v>8990570.2890099995</v>
      </c>
      <c r="U39" s="4">
        <v>8747504.5997199994</v>
      </c>
      <c r="V39" s="4">
        <v>11262657.3497</v>
      </c>
      <c r="W39" s="4">
        <v>5749410.0081500001</v>
      </c>
      <c r="X39" s="4">
        <v>8832138.4407899994</v>
      </c>
      <c r="Y39" s="4">
        <v>1705932.35384</v>
      </c>
      <c r="Z39" s="4">
        <v>5235187.60372</v>
      </c>
      <c r="AA39" s="4">
        <v>5376264.1218900001</v>
      </c>
      <c r="AB39" s="4">
        <v>3783408.5197700001</v>
      </c>
      <c r="AC39" s="4">
        <v>3016360.3830499998</v>
      </c>
      <c r="AD39" s="4">
        <v>4151661.7228000001</v>
      </c>
      <c r="AE39" s="4">
        <v>2492095.3009799998</v>
      </c>
    </row>
    <row r="40" spans="1:54" x14ac:dyDescent="0.25">
      <c r="A40" s="10">
        <v>2010</v>
      </c>
      <c r="B40" s="4">
        <v>1553457.4937700001</v>
      </c>
      <c r="C40" s="4">
        <v>420189.20912900002</v>
      </c>
      <c r="D40" s="4">
        <v>559172.16330799996</v>
      </c>
      <c r="E40" s="4">
        <v>3294090.9374099998</v>
      </c>
      <c r="F40" s="4">
        <v>3238465.6243400001</v>
      </c>
      <c r="G40" s="4">
        <v>3861983.19655</v>
      </c>
      <c r="H40" s="4">
        <v>4819266.7218199996</v>
      </c>
      <c r="I40" s="4">
        <v>10175326.634299999</v>
      </c>
      <c r="J40" s="4">
        <v>3866592.6363499998</v>
      </c>
      <c r="K40" s="4">
        <v>5061993.1947100004</v>
      </c>
      <c r="L40" s="4">
        <v>3687009.49456</v>
      </c>
      <c r="M40" s="4">
        <v>7189915.1031900002</v>
      </c>
      <c r="N40" s="4">
        <v>9532906.3197799996</v>
      </c>
      <c r="O40" s="4">
        <v>8667085.0176500008</v>
      </c>
      <c r="P40" s="4">
        <v>5988852.1281000003</v>
      </c>
      <c r="Q40" s="4">
        <v>3650290.3917399999</v>
      </c>
      <c r="R40" s="4">
        <v>3837564.0725099999</v>
      </c>
      <c r="S40" s="4">
        <v>5770112.95536</v>
      </c>
      <c r="T40" s="4">
        <v>6504542.6680300003</v>
      </c>
      <c r="U40" s="4">
        <v>5873946.6804999998</v>
      </c>
      <c r="V40" s="4">
        <v>6040449.5308900001</v>
      </c>
      <c r="W40" s="4">
        <v>4706259.6228</v>
      </c>
      <c r="X40" s="4">
        <v>6481924.0922400001</v>
      </c>
      <c r="Y40" s="4">
        <v>1877815.7448499999</v>
      </c>
      <c r="Z40" s="4">
        <v>4458514.7394500002</v>
      </c>
      <c r="AA40" s="4">
        <v>4424968.9781200001</v>
      </c>
      <c r="AB40" s="4">
        <v>3127751.99162</v>
      </c>
      <c r="AC40" s="4">
        <v>2086951.62289</v>
      </c>
      <c r="AD40" s="4">
        <v>3349991.0181300002</v>
      </c>
      <c r="AE40" s="4">
        <v>1853547.10776</v>
      </c>
    </row>
    <row r="41" spans="1:54" x14ac:dyDescent="0.25">
      <c r="A41" s="10">
        <v>2015</v>
      </c>
      <c r="B41" s="4">
        <v>2337748.0795399998</v>
      </c>
      <c r="C41" s="4">
        <v>421693.53876600001</v>
      </c>
      <c r="D41" s="4">
        <v>640704.67605400004</v>
      </c>
      <c r="E41" s="4">
        <v>4290924.3095100001</v>
      </c>
      <c r="F41" s="4">
        <v>3554849.8624900002</v>
      </c>
      <c r="G41" s="4">
        <v>4140049.8959599999</v>
      </c>
      <c r="H41" s="4">
        <v>6775179.9211299997</v>
      </c>
      <c r="I41" s="4">
        <v>8425807.3131099995</v>
      </c>
      <c r="J41" s="4">
        <v>3804128.98924</v>
      </c>
      <c r="K41" s="4">
        <v>6363130.18884</v>
      </c>
      <c r="L41" s="4">
        <v>3555398.82914</v>
      </c>
      <c r="M41" s="4">
        <v>8894508.5217799991</v>
      </c>
      <c r="N41" s="4">
        <v>10200423.001800001</v>
      </c>
      <c r="O41" s="4">
        <v>9291990.6127099991</v>
      </c>
      <c r="P41" s="4">
        <v>7673194.5530599998</v>
      </c>
      <c r="Q41" s="4">
        <v>3599061.3778599999</v>
      </c>
      <c r="R41" s="4">
        <v>6650896.9220500002</v>
      </c>
      <c r="S41" s="4">
        <v>9194688.59375</v>
      </c>
      <c r="T41" s="4">
        <v>7231191.2847300004</v>
      </c>
      <c r="U41" s="4">
        <v>9085930.7087200005</v>
      </c>
      <c r="V41" s="4">
        <v>7941274.2681499999</v>
      </c>
      <c r="W41" s="4">
        <v>5208315.4668500004</v>
      </c>
      <c r="X41" s="4">
        <v>6182355.6004900001</v>
      </c>
      <c r="Y41" s="4">
        <v>1710275.6161799999</v>
      </c>
      <c r="Z41" s="4">
        <v>4785932.9289699998</v>
      </c>
      <c r="AA41" s="4">
        <v>4243508.73948</v>
      </c>
      <c r="AB41" s="4">
        <v>3313438.6945400001</v>
      </c>
      <c r="AC41" s="4">
        <v>2688836.5222</v>
      </c>
      <c r="AD41" s="4">
        <v>3805699.2901900001</v>
      </c>
      <c r="AE41" s="4">
        <v>2155091.6893699998</v>
      </c>
    </row>
    <row r="42" spans="1:54" x14ac:dyDescent="0.25">
      <c r="A42" s="1" t="s">
        <v>47</v>
      </c>
      <c r="B42" s="6">
        <f t="shared" ref="B42:AE42" si="0">B41-B38</f>
        <v>546871.09676999995</v>
      </c>
      <c r="C42" s="6">
        <f t="shared" si="0"/>
        <v>151415.83401600004</v>
      </c>
      <c r="D42" s="6">
        <f t="shared" si="0"/>
        <v>234128.28537600004</v>
      </c>
      <c r="E42" s="6">
        <f t="shared" si="0"/>
        <v>443253.37142000021</v>
      </c>
      <c r="F42" s="6">
        <f t="shared" si="0"/>
        <v>-637229.25494999997</v>
      </c>
      <c r="G42" s="6">
        <f t="shared" si="0"/>
        <v>990731.63388999971</v>
      </c>
      <c r="H42" s="6">
        <f t="shared" si="0"/>
        <v>2689077.9956199997</v>
      </c>
      <c r="I42" s="6">
        <f t="shared" si="0"/>
        <v>2964904.2325999998</v>
      </c>
      <c r="J42" s="6">
        <f t="shared" si="0"/>
        <v>582345.11010000017</v>
      </c>
      <c r="K42" s="6">
        <f t="shared" si="0"/>
        <v>252352.2262500003</v>
      </c>
      <c r="L42" s="6">
        <f t="shared" si="0"/>
        <v>653266.51968999999</v>
      </c>
      <c r="M42" s="6">
        <f t="shared" si="0"/>
        <v>4581582.3655499993</v>
      </c>
      <c r="N42" s="6">
        <f t="shared" si="0"/>
        <v>4638192.3508900004</v>
      </c>
      <c r="O42" s="6">
        <f t="shared" si="0"/>
        <v>5249623.9543599989</v>
      </c>
      <c r="P42" s="6">
        <f t="shared" si="0"/>
        <v>2488125.2715999996</v>
      </c>
      <c r="Q42" s="6">
        <f t="shared" si="0"/>
        <v>2552487.65288</v>
      </c>
      <c r="R42" s="6">
        <f t="shared" si="0"/>
        <v>1095029.9326100005</v>
      </c>
      <c r="S42" s="6">
        <f t="shared" si="0"/>
        <v>6568513.3863399997</v>
      </c>
      <c r="T42" s="6">
        <f t="shared" si="0"/>
        <v>3384610.3463800005</v>
      </c>
      <c r="U42" s="6">
        <f t="shared" si="0"/>
        <v>4463517.9083800009</v>
      </c>
      <c r="V42" s="6">
        <f t="shared" si="0"/>
        <v>1417527.0419300003</v>
      </c>
      <c r="W42" s="6">
        <f t="shared" si="0"/>
        <v>2334892.6792500005</v>
      </c>
      <c r="X42" s="6">
        <f t="shared" si="0"/>
        <v>1873974.1001800001</v>
      </c>
      <c r="Y42" s="6">
        <f t="shared" si="0"/>
        <v>198125.73472999991</v>
      </c>
      <c r="Z42" s="6">
        <f t="shared" si="0"/>
        <v>830874.09965999983</v>
      </c>
      <c r="AA42" s="6">
        <f t="shared" si="0"/>
        <v>1001488.5644899998</v>
      </c>
      <c r="AB42" s="6">
        <f t="shared" si="0"/>
        <v>1258434.65279</v>
      </c>
      <c r="AC42" s="6">
        <f t="shared" si="0"/>
        <v>1545578.3652600001</v>
      </c>
      <c r="AD42" s="6">
        <f t="shared" si="0"/>
        <v>666203.77798000025</v>
      </c>
      <c r="AE42" s="6">
        <f t="shared" si="0"/>
        <v>695419.45659999992</v>
      </c>
      <c r="AZ42" s="2"/>
      <c r="BA42" s="4"/>
      <c r="BB42" s="4"/>
    </row>
    <row r="43" spans="1:54" x14ac:dyDescent="0.25">
      <c r="A43" s="1" t="s">
        <v>1</v>
      </c>
      <c r="B43" s="3">
        <f t="shared" ref="B43:AE43" si="1">B42/B38</f>
        <v>0.30536497036448534</v>
      </c>
      <c r="C43" s="3">
        <f t="shared" si="1"/>
        <v>0.56022317547818401</v>
      </c>
      <c r="D43" s="3">
        <f t="shared" si="1"/>
        <v>0.57585312562190738</v>
      </c>
      <c r="E43" s="3">
        <f t="shared" si="1"/>
        <v>0.11520043645936964</v>
      </c>
      <c r="F43" s="3">
        <f t="shared" si="1"/>
        <v>-0.15200792663930929</v>
      </c>
      <c r="G43" s="3">
        <f t="shared" si="1"/>
        <v>0.31458606321953836</v>
      </c>
      <c r="H43" s="3">
        <f t="shared" si="1"/>
        <v>0.65810350418127839</v>
      </c>
      <c r="I43" s="3">
        <f t="shared" si="1"/>
        <v>0.54293295246014583</v>
      </c>
      <c r="J43" s="3">
        <f t="shared" si="1"/>
        <v>0.18075238189330292</v>
      </c>
      <c r="K43" s="3">
        <f t="shared" si="1"/>
        <v>4.129625193304242E-2</v>
      </c>
      <c r="L43" s="3">
        <f t="shared" si="1"/>
        <v>0.22509880668183743</v>
      </c>
      <c r="M43" s="3">
        <f t="shared" si="1"/>
        <v>1.0622909364983972</v>
      </c>
      <c r="N43" s="3">
        <f t="shared" si="1"/>
        <v>0.83387271078576652</v>
      </c>
      <c r="O43" s="3">
        <f t="shared" si="1"/>
        <v>1.298651111599751</v>
      </c>
      <c r="P43" s="3">
        <f t="shared" si="1"/>
        <v>0.479863457272725</v>
      </c>
      <c r="Q43" s="3">
        <f t="shared" si="1"/>
        <v>2.4388990397487551</v>
      </c>
      <c r="R43" s="3">
        <f t="shared" si="1"/>
        <v>0.19709433913578506</v>
      </c>
      <c r="S43" s="3">
        <f t="shared" si="1"/>
        <v>2.5011710444171138</v>
      </c>
      <c r="T43" s="3">
        <f t="shared" si="1"/>
        <v>0.8799009823596321</v>
      </c>
      <c r="U43" s="3">
        <f t="shared" si="1"/>
        <v>0.96562511856398647</v>
      </c>
      <c r="V43" s="3">
        <f t="shared" si="1"/>
        <v>0.21728724194474133</v>
      </c>
      <c r="W43" s="3">
        <f t="shared" si="1"/>
        <v>0.81258236321018329</v>
      </c>
      <c r="X43" s="3">
        <f t="shared" si="1"/>
        <v>0.43496011206184093</v>
      </c>
      <c r="Y43" s="3">
        <f t="shared" si="1"/>
        <v>0.13102255084662456</v>
      </c>
      <c r="Z43" s="3">
        <f t="shared" si="1"/>
        <v>0.21007882196406019</v>
      </c>
      <c r="AA43" s="3">
        <f t="shared" si="1"/>
        <v>0.30890880081987421</v>
      </c>
      <c r="AB43" s="3">
        <f t="shared" si="1"/>
        <v>0.61237575558164958</v>
      </c>
      <c r="AC43" s="3">
        <f t="shared" si="1"/>
        <v>1.3519067026793272</v>
      </c>
      <c r="AD43" s="3">
        <f t="shared" si="1"/>
        <v>0.21220090151077689</v>
      </c>
      <c r="AE43" s="3">
        <f t="shared" si="1"/>
        <v>0.47642165205836107</v>
      </c>
      <c r="AZ43" s="2"/>
      <c r="BA43" s="4"/>
      <c r="BB43" s="4"/>
    </row>
    <row r="44" spans="1:54" x14ac:dyDescent="0.25">
      <c r="A44" s="1" t="s">
        <v>2</v>
      </c>
      <c r="B44" s="6">
        <f t="shared" ref="B44:AE44" si="2">B39-B38</f>
        <v>297860.61016000016</v>
      </c>
      <c r="C44" s="6">
        <f t="shared" si="2"/>
        <v>41346.467954000051</v>
      </c>
      <c r="D44" s="6">
        <f t="shared" si="2"/>
        <v>153721.19220200001</v>
      </c>
      <c r="E44" s="6">
        <f t="shared" si="2"/>
        <v>212589.26743000001</v>
      </c>
      <c r="F44" s="6">
        <f t="shared" si="2"/>
        <v>-429548.06428000005</v>
      </c>
      <c r="G44" s="6">
        <f t="shared" si="2"/>
        <v>1335951.5527299996</v>
      </c>
      <c r="H44" s="6">
        <f t="shared" si="2"/>
        <v>2445691.0563699999</v>
      </c>
      <c r="I44" s="6">
        <f t="shared" si="2"/>
        <v>2519519.1816500006</v>
      </c>
      <c r="J44" s="6">
        <f t="shared" si="2"/>
        <v>1467481.96832</v>
      </c>
      <c r="K44" s="6">
        <f t="shared" si="2"/>
        <v>-1858414.4772799993</v>
      </c>
      <c r="L44" s="6">
        <f t="shared" si="2"/>
        <v>1299886.2099699997</v>
      </c>
      <c r="M44" s="6">
        <f t="shared" si="2"/>
        <v>2299062.1594799999</v>
      </c>
      <c r="N44" s="6">
        <f t="shared" si="2"/>
        <v>4780135.1737899994</v>
      </c>
      <c r="O44" s="6">
        <f t="shared" si="2"/>
        <v>4742884.8783599995</v>
      </c>
      <c r="P44" s="6">
        <f t="shared" si="2"/>
        <v>455717.23437999934</v>
      </c>
      <c r="Q44" s="6">
        <f t="shared" si="2"/>
        <v>1089951.0002899999</v>
      </c>
      <c r="R44" s="6">
        <f t="shared" si="2"/>
        <v>-1093502.4733699998</v>
      </c>
      <c r="S44" s="6">
        <f t="shared" si="2"/>
        <v>4778890.4586800002</v>
      </c>
      <c r="T44" s="6">
        <f t="shared" si="2"/>
        <v>5143989.35066</v>
      </c>
      <c r="U44" s="6">
        <f t="shared" si="2"/>
        <v>4125091.7993799997</v>
      </c>
      <c r="V44" s="6">
        <f t="shared" si="2"/>
        <v>4738910.1234800005</v>
      </c>
      <c r="W44" s="6">
        <f t="shared" si="2"/>
        <v>2875987.2205500002</v>
      </c>
      <c r="X44" s="6">
        <f t="shared" si="2"/>
        <v>4523756.9404799994</v>
      </c>
      <c r="Y44" s="6">
        <f t="shared" si="2"/>
        <v>193782.47239000001</v>
      </c>
      <c r="Z44" s="6">
        <f t="shared" si="2"/>
        <v>1280128.7744100001</v>
      </c>
      <c r="AA44" s="6">
        <f t="shared" si="2"/>
        <v>2134243.9468999999</v>
      </c>
      <c r="AB44" s="6">
        <f t="shared" si="2"/>
        <v>1728404.47802</v>
      </c>
      <c r="AC44" s="6">
        <f t="shared" si="2"/>
        <v>1873102.2261099999</v>
      </c>
      <c r="AD44" s="6">
        <f t="shared" si="2"/>
        <v>1012166.2105900003</v>
      </c>
      <c r="AE44" s="6">
        <f t="shared" si="2"/>
        <v>1032423.0682099999</v>
      </c>
      <c r="AZ44" s="2"/>
      <c r="BA44" s="4"/>
      <c r="BB44" s="4"/>
    </row>
    <row r="45" spans="1:54" x14ac:dyDescent="0.25">
      <c r="A45" s="1" t="s">
        <v>1</v>
      </c>
      <c r="B45" s="3">
        <f t="shared" ref="B45:AE45" si="3">B44/B38</f>
        <v>0.16632108906737456</v>
      </c>
      <c r="C45" s="3">
        <f t="shared" si="3"/>
        <v>0.15297772338360091</v>
      </c>
      <c r="D45" s="3">
        <f t="shared" si="3"/>
        <v>0.37808686319846835</v>
      </c>
      <c r="E45" s="3">
        <f t="shared" si="3"/>
        <v>5.5251415947625247E-2</v>
      </c>
      <c r="F45" s="3">
        <f t="shared" si="3"/>
        <v>-0.10246659288775888</v>
      </c>
      <c r="G45" s="3">
        <f t="shared" si="3"/>
        <v>0.42420341215431767</v>
      </c>
      <c r="H45" s="3">
        <f t="shared" si="3"/>
        <v>0.59853892559587707</v>
      </c>
      <c r="I45" s="3">
        <f t="shared" si="3"/>
        <v>0.46137408859025197</v>
      </c>
      <c r="J45" s="3">
        <f t="shared" si="3"/>
        <v>0.45548740181533193</v>
      </c>
      <c r="K45" s="3">
        <f t="shared" si="3"/>
        <v>-0.30412076639949237</v>
      </c>
      <c r="L45" s="3">
        <f t="shared" si="3"/>
        <v>0.4479072872512655</v>
      </c>
      <c r="M45" s="3">
        <f t="shared" si="3"/>
        <v>0.53306318638426409</v>
      </c>
      <c r="N45" s="3">
        <f t="shared" si="3"/>
        <v>0.85939175733533324</v>
      </c>
      <c r="O45" s="3">
        <f t="shared" si="3"/>
        <v>1.1732940822087461</v>
      </c>
      <c r="P45" s="3">
        <f t="shared" si="3"/>
        <v>8.7890288372709943E-2</v>
      </c>
      <c r="Q45" s="3">
        <f t="shared" si="3"/>
        <v>1.0414469370620103</v>
      </c>
      <c r="R45" s="3">
        <f t="shared" si="3"/>
        <v>-0.19681941188448407</v>
      </c>
      <c r="S45" s="3">
        <f t="shared" si="3"/>
        <v>1.8197150156607649</v>
      </c>
      <c r="T45" s="3">
        <f t="shared" si="3"/>
        <v>1.3372887333202785</v>
      </c>
      <c r="U45" s="3">
        <f t="shared" si="3"/>
        <v>0.89241095020258254</v>
      </c>
      <c r="V45" s="3">
        <f t="shared" si="3"/>
        <v>0.72640921837583639</v>
      </c>
      <c r="W45" s="3">
        <f t="shared" si="3"/>
        <v>1.0008924662813516</v>
      </c>
      <c r="X45" s="3">
        <f t="shared" si="3"/>
        <v>1.0499898721026684</v>
      </c>
      <c r="Y45" s="3">
        <f t="shared" si="3"/>
        <v>0.12815030756354792</v>
      </c>
      <c r="Z45" s="3">
        <f t="shared" si="3"/>
        <v>0.32366870624610444</v>
      </c>
      <c r="AA45" s="3">
        <f t="shared" si="3"/>
        <v>0.65830680615878112</v>
      </c>
      <c r="AB45" s="3">
        <f t="shared" si="3"/>
        <v>0.84107108448707746</v>
      </c>
      <c r="AC45" s="3">
        <f t="shared" si="3"/>
        <v>1.6383895577211294</v>
      </c>
      <c r="AD45" s="3">
        <f t="shared" si="3"/>
        <v>0.32239772493813867</v>
      </c>
      <c r="AE45" s="3">
        <f t="shared" si="3"/>
        <v>0.70729787484604323</v>
      </c>
      <c r="AZ45" s="2"/>
      <c r="BA45" s="4"/>
      <c r="BB45" s="4"/>
    </row>
    <row r="46" spans="1:54" x14ac:dyDescent="0.25">
      <c r="A46" s="1" t="s">
        <v>0</v>
      </c>
      <c r="B46" s="6">
        <f t="shared" ref="B46:AE46" si="4">B40-B39</f>
        <v>-535280.09915999998</v>
      </c>
      <c r="C46" s="6">
        <f t="shared" si="4"/>
        <v>108565.036425</v>
      </c>
      <c r="D46" s="6">
        <f t="shared" si="4"/>
        <v>-1125.4195720000425</v>
      </c>
      <c r="E46" s="6">
        <f t="shared" si="4"/>
        <v>-766169.26811000006</v>
      </c>
      <c r="F46" s="6">
        <f t="shared" si="4"/>
        <v>-524065.42882000003</v>
      </c>
      <c r="G46" s="6">
        <f t="shared" si="4"/>
        <v>-623286.61824999982</v>
      </c>
      <c r="H46" s="6">
        <f t="shared" si="4"/>
        <v>-1712526.2600600002</v>
      </c>
      <c r="I46" s="6">
        <f t="shared" si="4"/>
        <v>2194904.3721399987</v>
      </c>
      <c r="J46" s="6">
        <f t="shared" si="4"/>
        <v>-822673.21111000003</v>
      </c>
      <c r="K46" s="6">
        <f t="shared" si="4"/>
        <v>809629.70940000005</v>
      </c>
      <c r="L46" s="6">
        <f t="shared" si="4"/>
        <v>-515009.02485999977</v>
      </c>
      <c r="M46" s="6">
        <f t="shared" si="4"/>
        <v>577926.78748000041</v>
      </c>
      <c r="N46" s="6">
        <f t="shared" si="4"/>
        <v>-809459.50492000021</v>
      </c>
      <c r="O46" s="6">
        <f t="shared" si="4"/>
        <v>-118166.51905999891</v>
      </c>
      <c r="P46" s="6">
        <f t="shared" si="4"/>
        <v>348065.61226000078</v>
      </c>
      <c r="Q46" s="6">
        <f t="shared" si="4"/>
        <v>1513765.6664700001</v>
      </c>
      <c r="R46" s="6">
        <f t="shared" si="4"/>
        <v>-624800.44356000004</v>
      </c>
      <c r="S46" s="6">
        <f t="shared" si="4"/>
        <v>-1634952.7107300004</v>
      </c>
      <c r="T46" s="6">
        <f t="shared" si="4"/>
        <v>-2486027.6209799992</v>
      </c>
      <c r="U46" s="6">
        <f t="shared" si="4"/>
        <v>-2873557.9192199996</v>
      </c>
      <c r="V46" s="6">
        <f t="shared" si="4"/>
        <v>-5222207.8188100001</v>
      </c>
      <c r="W46" s="6">
        <f t="shared" si="4"/>
        <v>-1043150.3853500001</v>
      </c>
      <c r="X46" s="6">
        <f t="shared" si="4"/>
        <v>-2350214.3485499993</v>
      </c>
      <c r="Y46" s="6">
        <f t="shared" si="4"/>
        <v>171883.3910099999</v>
      </c>
      <c r="Z46" s="6">
        <f t="shared" si="4"/>
        <v>-776672.86426999979</v>
      </c>
      <c r="AA46" s="6">
        <f t="shared" si="4"/>
        <v>-951295.14376999997</v>
      </c>
      <c r="AB46" s="6">
        <f t="shared" si="4"/>
        <v>-655656.52815000014</v>
      </c>
      <c r="AC46" s="6">
        <f t="shared" si="4"/>
        <v>-929408.76015999983</v>
      </c>
      <c r="AD46" s="6">
        <f t="shared" si="4"/>
        <v>-801670.70466999989</v>
      </c>
      <c r="AE46" s="6">
        <f t="shared" si="4"/>
        <v>-638548.19321999978</v>
      </c>
      <c r="AZ46" s="2"/>
      <c r="BA46" s="4"/>
      <c r="BB46" s="4"/>
    </row>
    <row r="47" spans="1:54" x14ac:dyDescent="0.25">
      <c r="A47" s="1" t="s">
        <v>1</v>
      </c>
      <c r="B47" s="3">
        <f t="shared" ref="B47:AE47" si="5">B46/B39</f>
        <v>-0.256269672634718</v>
      </c>
      <c r="C47" s="3">
        <f t="shared" si="5"/>
        <v>0.34838451549816646</v>
      </c>
      <c r="D47" s="3">
        <f t="shared" si="5"/>
        <v>-2.0086104355746897E-3</v>
      </c>
      <c r="E47" s="3">
        <f t="shared" si="5"/>
        <v>-0.18869954863197649</v>
      </c>
      <c r="F47" s="3">
        <f t="shared" si="5"/>
        <v>-0.13928534314151594</v>
      </c>
      <c r="G47" s="3">
        <f t="shared" si="5"/>
        <v>-0.13896301537832734</v>
      </c>
      <c r="H47" s="3">
        <f t="shared" si="5"/>
        <v>-0.26218318076074354</v>
      </c>
      <c r="I47" s="3">
        <f t="shared" si="5"/>
        <v>0.27503611964837565</v>
      </c>
      <c r="J47" s="3">
        <f t="shared" si="5"/>
        <v>-0.17543752857509912</v>
      </c>
      <c r="K47" s="3">
        <f t="shared" si="5"/>
        <v>0.19039522660678135</v>
      </c>
      <c r="L47" s="3">
        <f t="shared" si="5"/>
        <v>-0.12256229297415994</v>
      </c>
      <c r="M47" s="3">
        <f t="shared" si="5"/>
        <v>8.7405899690846958E-2</v>
      </c>
      <c r="N47" s="3">
        <f t="shared" si="5"/>
        <v>-7.8266377213888599E-2</v>
      </c>
      <c r="O47" s="3">
        <f t="shared" si="5"/>
        <v>-1.3450556146995793E-2</v>
      </c>
      <c r="P47" s="3">
        <f t="shared" si="5"/>
        <v>6.1705156059813845E-2</v>
      </c>
      <c r="Q47" s="3">
        <f t="shared" si="5"/>
        <v>0.70851773844026089</v>
      </c>
      <c r="R47" s="3">
        <f t="shared" si="5"/>
        <v>-0.14001555482747993</v>
      </c>
      <c r="S47" s="3">
        <f t="shared" si="5"/>
        <v>-0.2207884149112864</v>
      </c>
      <c r="T47" s="3">
        <f t="shared" si="5"/>
        <v>-0.27651500862174444</v>
      </c>
      <c r="U47" s="3">
        <f t="shared" si="5"/>
        <v>-0.3285003038823186</v>
      </c>
      <c r="V47" s="3">
        <f t="shared" si="5"/>
        <v>-0.46367457134342299</v>
      </c>
      <c r="W47" s="3">
        <f t="shared" si="5"/>
        <v>-0.18143607498357153</v>
      </c>
      <c r="X47" s="3">
        <f t="shared" si="5"/>
        <v>-0.26609799702593678</v>
      </c>
      <c r="Y47" s="3">
        <f t="shared" si="5"/>
        <v>0.10075627595847854</v>
      </c>
      <c r="Z47" s="3">
        <f t="shared" si="5"/>
        <v>-0.14835626209806016</v>
      </c>
      <c r="AA47" s="3">
        <f t="shared" si="5"/>
        <v>-0.17694352848043796</v>
      </c>
      <c r="AB47" s="3">
        <f t="shared" si="5"/>
        <v>-0.17329784101396975</v>
      </c>
      <c r="AC47" s="3">
        <f t="shared" si="5"/>
        <v>-0.30812258554471067</v>
      </c>
      <c r="AD47" s="3">
        <f t="shared" si="5"/>
        <v>-0.19309634507729836</v>
      </c>
      <c r="AE47" s="3">
        <f t="shared" si="5"/>
        <v>-0.25622944394176861</v>
      </c>
      <c r="AZ47" s="2"/>
      <c r="BA47" s="4"/>
      <c r="BB47" s="4"/>
    </row>
    <row r="48" spans="1:54" x14ac:dyDescent="0.25">
      <c r="A48" s="1" t="s">
        <v>48</v>
      </c>
      <c r="B48" s="6">
        <f t="shared" ref="B48:AE48" si="6">B41-B40</f>
        <v>784290.58576999977</v>
      </c>
      <c r="C48" s="6">
        <f t="shared" si="6"/>
        <v>1504.329636999988</v>
      </c>
      <c r="D48" s="6">
        <f t="shared" si="6"/>
        <v>81532.51274600008</v>
      </c>
      <c r="E48" s="6">
        <f t="shared" si="6"/>
        <v>996833.37210000027</v>
      </c>
      <c r="F48" s="6">
        <f t="shared" si="6"/>
        <v>316384.23815000011</v>
      </c>
      <c r="G48" s="6">
        <f t="shared" si="6"/>
        <v>278066.69940999988</v>
      </c>
      <c r="H48" s="6">
        <f t="shared" si="6"/>
        <v>1955913.1993100001</v>
      </c>
      <c r="I48" s="6">
        <f t="shared" si="6"/>
        <v>-1749519.3211899996</v>
      </c>
      <c r="J48" s="6">
        <f t="shared" si="6"/>
        <v>-62463.647109999787</v>
      </c>
      <c r="K48" s="6">
        <f t="shared" si="6"/>
        <v>1301136.9941299995</v>
      </c>
      <c r="L48" s="6">
        <f t="shared" si="6"/>
        <v>-131610.66541999998</v>
      </c>
      <c r="M48" s="6">
        <f t="shared" si="6"/>
        <v>1704593.418589999</v>
      </c>
      <c r="N48" s="6">
        <f t="shared" si="6"/>
        <v>667516.68202000111</v>
      </c>
      <c r="O48" s="6">
        <f t="shared" si="6"/>
        <v>624905.59505999833</v>
      </c>
      <c r="P48" s="6">
        <f t="shared" si="6"/>
        <v>1684342.4249599995</v>
      </c>
      <c r="Q48" s="6">
        <f t="shared" si="6"/>
        <v>-51229.013879999984</v>
      </c>
      <c r="R48" s="6">
        <f t="shared" si="6"/>
        <v>2813332.8495400003</v>
      </c>
      <c r="S48" s="6">
        <f t="shared" si="6"/>
        <v>3424575.63839</v>
      </c>
      <c r="T48" s="6">
        <f t="shared" si="6"/>
        <v>726648.61670000013</v>
      </c>
      <c r="U48" s="6">
        <f t="shared" si="6"/>
        <v>3211984.0282200007</v>
      </c>
      <c r="V48" s="6">
        <f t="shared" si="6"/>
        <v>1900824.7372599998</v>
      </c>
      <c r="W48" s="6">
        <f t="shared" si="6"/>
        <v>502055.84405000042</v>
      </c>
      <c r="X48" s="6">
        <f t="shared" si="6"/>
        <v>-299568.49175000004</v>
      </c>
      <c r="Y48" s="6">
        <f t="shared" si="6"/>
        <v>-167540.12867000001</v>
      </c>
      <c r="Z48" s="6">
        <f t="shared" si="6"/>
        <v>327418.18951999955</v>
      </c>
      <c r="AA48" s="6">
        <f t="shared" si="6"/>
        <v>-181460.23864000011</v>
      </c>
      <c r="AB48" s="6">
        <f t="shared" si="6"/>
        <v>185686.70292000007</v>
      </c>
      <c r="AC48" s="6">
        <f t="shared" si="6"/>
        <v>601884.89931000001</v>
      </c>
      <c r="AD48" s="6">
        <f t="shared" si="6"/>
        <v>455708.27205999987</v>
      </c>
      <c r="AE48" s="6">
        <f t="shared" si="6"/>
        <v>301544.58160999976</v>
      </c>
      <c r="AZ48" s="2"/>
      <c r="BA48" s="4"/>
      <c r="BB48" s="4"/>
    </row>
    <row r="49" spans="1:54" x14ac:dyDescent="0.25">
      <c r="A49" s="1" t="s">
        <v>1</v>
      </c>
      <c r="B49" s="3">
        <f t="shared" ref="B49:AE49" si="7">B48/B40</f>
        <v>0.50486774753433927</v>
      </c>
      <c r="C49" s="3">
        <f t="shared" si="7"/>
        <v>3.5801243923381E-3</v>
      </c>
      <c r="D49" s="3">
        <f t="shared" si="7"/>
        <v>0.14580931973377012</v>
      </c>
      <c r="E49" s="3">
        <f t="shared" si="7"/>
        <v>0.30261258448552941</v>
      </c>
      <c r="F49" s="3">
        <f t="shared" si="7"/>
        <v>9.7695722249477104E-2</v>
      </c>
      <c r="G49" s="3">
        <f t="shared" si="7"/>
        <v>7.200101224117271E-2</v>
      </c>
      <c r="H49" s="3">
        <f t="shared" si="7"/>
        <v>0.4058528635599874</v>
      </c>
      <c r="I49" s="3">
        <f t="shared" si="7"/>
        <v>-0.17193741135469268</v>
      </c>
      <c r="J49" s="3">
        <f t="shared" si="7"/>
        <v>-1.6154700788176241E-2</v>
      </c>
      <c r="K49" s="3">
        <f t="shared" si="7"/>
        <v>0.25704044712856261</v>
      </c>
      <c r="L49" s="3">
        <f t="shared" si="7"/>
        <v>-3.569577610640412E-2</v>
      </c>
      <c r="M49" s="3">
        <f t="shared" si="7"/>
        <v>0.23708116078223371</v>
      </c>
      <c r="N49" s="3">
        <f t="shared" si="7"/>
        <v>7.0022368795858062E-2</v>
      </c>
      <c r="O49" s="3">
        <f t="shared" si="7"/>
        <v>7.2101011330501022E-2</v>
      </c>
      <c r="P49" s="3">
        <f t="shared" si="7"/>
        <v>0.28124628709013849</v>
      </c>
      <c r="Q49" s="3">
        <f t="shared" si="7"/>
        <v>-1.40342297138668E-2</v>
      </c>
      <c r="R49" s="3">
        <f t="shared" si="7"/>
        <v>0.7331038117885833</v>
      </c>
      <c r="S49" s="3">
        <f t="shared" si="7"/>
        <v>0.5935023568661385</v>
      </c>
      <c r="T49" s="3">
        <f t="shared" si="7"/>
        <v>0.11171402107507071</v>
      </c>
      <c r="U49" s="3">
        <f t="shared" si="7"/>
        <v>0.54681872392253161</v>
      </c>
      <c r="V49" s="3">
        <f t="shared" si="7"/>
        <v>0.31468266186803689</v>
      </c>
      <c r="W49" s="3">
        <f t="shared" si="7"/>
        <v>0.10667831447668863</v>
      </c>
      <c r="X49" s="3">
        <f t="shared" si="7"/>
        <v>-4.6215982706220834E-2</v>
      </c>
      <c r="Y49" s="3">
        <f t="shared" si="7"/>
        <v>-8.9220749761784068E-2</v>
      </c>
      <c r="Z49" s="3">
        <f t="shared" si="7"/>
        <v>7.343660583263871E-2</v>
      </c>
      <c r="AA49" s="3">
        <f t="shared" si="7"/>
        <v>-4.1008251026676261E-2</v>
      </c>
      <c r="AB49" s="3">
        <f t="shared" si="7"/>
        <v>5.9367463730340325E-2</v>
      </c>
      <c r="AC49" s="3">
        <f t="shared" si="7"/>
        <v>0.28840385790855699</v>
      </c>
      <c r="AD49" s="3">
        <f t="shared" si="7"/>
        <v>0.1360326847426537</v>
      </c>
      <c r="AE49" s="3">
        <f t="shared" si="7"/>
        <v>0.16268514587385616</v>
      </c>
      <c r="AZ49" s="2"/>
      <c r="BA49" s="4"/>
      <c r="BB49" s="4"/>
    </row>
    <row r="50" spans="1:54" x14ac:dyDescent="0.25">
      <c r="A50" s="1" t="s">
        <v>49</v>
      </c>
      <c r="B50" s="6">
        <v>42929</v>
      </c>
      <c r="C50" s="6">
        <v>16674</v>
      </c>
      <c r="D50" s="6">
        <v>13398</v>
      </c>
      <c r="E50" s="6">
        <v>67933</v>
      </c>
      <c r="F50" s="6">
        <v>58163</v>
      </c>
      <c r="G50" s="6">
        <v>65566</v>
      </c>
      <c r="H50" s="6">
        <v>64783</v>
      </c>
      <c r="I50" s="6">
        <v>109049</v>
      </c>
      <c r="J50" s="6">
        <v>67227</v>
      </c>
      <c r="K50" s="6">
        <v>101040</v>
      </c>
      <c r="L50" s="6">
        <v>62689</v>
      </c>
      <c r="M50" s="6">
        <v>99312</v>
      </c>
      <c r="N50" s="6">
        <v>67909</v>
      </c>
      <c r="O50" s="6">
        <v>53157</v>
      </c>
      <c r="P50" s="6">
        <v>117398</v>
      </c>
      <c r="Q50" s="6">
        <v>38837</v>
      </c>
      <c r="R50" s="6">
        <v>95853</v>
      </c>
      <c r="S50" s="6">
        <v>115736</v>
      </c>
      <c r="T50" s="6">
        <v>64469</v>
      </c>
      <c r="U50" s="6">
        <v>70419</v>
      </c>
      <c r="V50" s="6">
        <v>82968</v>
      </c>
      <c r="W50" s="6">
        <v>53046</v>
      </c>
      <c r="X50" s="6">
        <v>56710</v>
      </c>
      <c r="Y50" s="6">
        <v>129081</v>
      </c>
      <c r="Z50" s="6">
        <v>157953</v>
      </c>
      <c r="AA50" s="6">
        <v>193661</v>
      </c>
      <c r="AB50" s="6">
        <v>118450</v>
      </c>
      <c r="AC50" s="6">
        <v>86786</v>
      </c>
      <c r="AD50" s="6">
        <v>192233</v>
      </c>
      <c r="AE50" s="6">
        <v>68208</v>
      </c>
      <c r="AF50" s="6"/>
      <c r="AZ50" s="2"/>
      <c r="BA50" s="4"/>
      <c r="BB50" s="4"/>
    </row>
    <row r="51" spans="1:54" x14ac:dyDescent="0.25">
      <c r="A51" s="1" t="s">
        <v>145</v>
      </c>
      <c r="B51" s="6">
        <f t="shared" ref="B51:AE51" si="8">B41/B50</f>
        <v>54.456150377134335</v>
      </c>
      <c r="C51" s="6">
        <f t="shared" si="8"/>
        <v>25.29048451277438</v>
      </c>
      <c r="D51" s="6">
        <f t="shared" si="8"/>
        <v>47.820919245708318</v>
      </c>
      <c r="E51" s="6">
        <f t="shared" si="8"/>
        <v>63.164063261007172</v>
      </c>
      <c r="F51" s="6">
        <f t="shared" si="8"/>
        <v>61.118750107284704</v>
      </c>
      <c r="G51" s="6">
        <f t="shared" si="8"/>
        <v>63.143243387731445</v>
      </c>
      <c r="H51" s="6">
        <f t="shared" si="8"/>
        <v>104.58268251130697</v>
      </c>
      <c r="I51" s="6">
        <f t="shared" si="8"/>
        <v>77.266250154609395</v>
      </c>
      <c r="J51" s="6">
        <f t="shared" si="8"/>
        <v>56.586326762164013</v>
      </c>
      <c r="K51" s="6">
        <f t="shared" si="8"/>
        <v>62.97634787054632</v>
      </c>
      <c r="L51" s="6">
        <f t="shared" si="8"/>
        <v>56.714875482780073</v>
      </c>
      <c r="M51" s="6">
        <f t="shared" si="8"/>
        <v>89.561266732922505</v>
      </c>
      <c r="N51" s="6">
        <f t="shared" si="8"/>
        <v>150.2072332356536</v>
      </c>
      <c r="O51" s="6">
        <f t="shared" si="8"/>
        <v>174.80276563218388</v>
      </c>
      <c r="P51" s="6">
        <f t="shared" si="8"/>
        <v>65.360521925927188</v>
      </c>
      <c r="Q51" s="6">
        <f t="shared" si="8"/>
        <v>92.670942087699871</v>
      </c>
      <c r="R51" s="6">
        <f t="shared" si="8"/>
        <v>69.386424233461653</v>
      </c>
      <c r="S51" s="6">
        <f t="shared" si="8"/>
        <v>79.445363532090269</v>
      </c>
      <c r="T51" s="6">
        <f t="shared" si="8"/>
        <v>112.16540173928556</v>
      </c>
      <c r="U51" s="6">
        <f t="shared" si="8"/>
        <v>129.02669320382284</v>
      </c>
      <c r="V51" s="6">
        <f t="shared" si="8"/>
        <v>95.714905362910997</v>
      </c>
      <c r="W51" s="6">
        <f t="shared" si="8"/>
        <v>98.184886077178305</v>
      </c>
      <c r="X51" s="6">
        <f t="shared" si="8"/>
        <v>109.01702698800918</v>
      </c>
      <c r="Y51" s="6">
        <f t="shared" si="8"/>
        <v>13.249630977293327</v>
      </c>
      <c r="Z51" s="6">
        <f t="shared" si="8"/>
        <v>30.299727950529586</v>
      </c>
      <c r="AA51" s="6">
        <f t="shared" si="8"/>
        <v>21.912045995218449</v>
      </c>
      <c r="AB51" s="6">
        <f t="shared" si="8"/>
        <v>27.973311055635289</v>
      </c>
      <c r="AC51" s="6">
        <f t="shared" si="8"/>
        <v>30.982376445509644</v>
      </c>
      <c r="AD51" s="6">
        <f t="shared" si="8"/>
        <v>19.797325590247251</v>
      </c>
      <c r="AE51" s="6">
        <f t="shared" si="8"/>
        <v>31.595878626700678</v>
      </c>
      <c r="AZ51" s="2"/>
      <c r="BA51" s="4"/>
      <c r="BB51" s="4"/>
    </row>
    <row r="52" spans="1:54" x14ac:dyDescent="0.25">
      <c r="AZ52" s="2"/>
      <c r="BA52" s="4"/>
      <c r="BB52" s="4"/>
    </row>
    <row r="53" spans="1:54" x14ac:dyDescent="0.25">
      <c r="A53" s="9"/>
      <c r="AZ53" s="2"/>
      <c r="BA53" s="4"/>
      <c r="BB53" s="4"/>
    </row>
    <row r="54" spans="1:54" x14ac:dyDescent="0.25">
      <c r="BA54" s="4"/>
      <c r="BB54" s="4"/>
    </row>
    <row r="55" spans="1:54" x14ac:dyDescent="0.25">
      <c r="A55" s="10"/>
      <c r="B55" s="6"/>
      <c r="C55" s="6"/>
      <c r="D55" s="6"/>
      <c r="E55" s="6"/>
      <c r="F55" s="6"/>
      <c r="G55" s="3"/>
      <c r="H55" s="16"/>
      <c r="AZ55" s="2"/>
      <c r="BA55" s="4"/>
      <c r="BB55" s="4"/>
    </row>
    <row r="56" spans="1:54" x14ac:dyDescent="0.25">
      <c r="A56" s="10"/>
      <c r="B56" s="6"/>
      <c r="C56" s="6"/>
      <c r="D56" s="6"/>
      <c r="E56" s="6"/>
      <c r="F56" s="6"/>
      <c r="G56" s="3"/>
      <c r="H56" s="16"/>
      <c r="AZ56" s="2"/>
      <c r="BA56" s="4"/>
      <c r="BB56" s="4"/>
    </row>
    <row r="57" spans="1:54" x14ac:dyDescent="0.25">
      <c r="A57" s="10"/>
      <c r="C57" s="50" t="s">
        <v>115</v>
      </c>
      <c r="D57" s="50"/>
      <c r="E57" s="50"/>
      <c r="F57" s="50"/>
      <c r="G57" s="41"/>
      <c r="H57" s="41"/>
      <c r="I57" s="41"/>
      <c r="J57" s="41"/>
      <c r="AZ57" s="2"/>
      <c r="BA57" s="4"/>
      <c r="BB57" s="4"/>
    </row>
    <row r="58" spans="1:54" x14ac:dyDescent="0.25">
      <c r="A58" s="10"/>
      <c r="C58" s="50" t="s">
        <v>131</v>
      </c>
      <c r="D58" s="50"/>
      <c r="E58" s="50"/>
      <c r="F58" s="50"/>
      <c r="G58" s="51" t="s">
        <v>132</v>
      </c>
      <c r="H58" s="51"/>
      <c r="I58" s="51"/>
      <c r="J58" s="51"/>
      <c r="AZ58" s="2"/>
      <c r="BA58" s="4"/>
      <c r="BB58" s="4"/>
    </row>
    <row r="59" spans="1:54" x14ac:dyDescent="0.25">
      <c r="B59" s="9" t="s">
        <v>4</v>
      </c>
      <c r="C59" s="45">
        <v>1990</v>
      </c>
      <c r="D59" s="45">
        <v>2000</v>
      </c>
      <c r="E59" s="45">
        <v>2010</v>
      </c>
      <c r="F59" s="45">
        <v>2015</v>
      </c>
      <c r="G59" s="46" t="s">
        <v>136</v>
      </c>
      <c r="H59" s="46" t="s">
        <v>133</v>
      </c>
      <c r="I59" s="46" t="s">
        <v>134</v>
      </c>
      <c r="J59" s="46" t="s">
        <v>135</v>
      </c>
      <c r="K59" s="13"/>
      <c r="L59" s="13"/>
      <c r="AZ59" s="2"/>
      <c r="BA59" s="4"/>
      <c r="BB59" s="4"/>
    </row>
    <row r="60" spans="1:54" x14ac:dyDescent="0.25">
      <c r="B60" s="2" t="s">
        <v>107</v>
      </c>
      <c r="C60" s="4">
        <v>22.691083218791039</v>
      </c>
      <c r="D60" s="4">
        <v>63.982388073633096</v>
      </c>
      <c r="E60" s="4">
        <v>49.855818028616852</v>
      </c>
      <c r="F60" s="4">
        <v>79.445363532090269</v>
      </c>
      <c r="G60" s="7">
        <f>(D60-C60)/C60</f>
        <v>1.8197150156607649</v>
      </c>
      <c r="H60" s="7">
        <f t="shared" ref="H60:H89" si="9">(E60-D60)/D60</f>
        <v>-0.22078841491128637</v>
      </c>
      <c r="I60" s="7">
        <f t="shared" ref="I60:I89" si="10">(F60-E60)/E60</f>
        <v>0.59350235686613839</v>
      </c>
      <c r="J60" s="7">
        <f>(F60-C60)/C60</f>
        <v>2.5011710444171138</v>
      </c>
      <c r="K60" s="7"/>
      <c r="L60" s="8"/>
      <c r="AZ60" s="2"/>
      <c r="BA60" s="4"/>
      <c r="BB60" s="4"/>
    </row>
    <row r="61" spans="1:54" x14ac:dyDescent="0.25">
      <c r="B61" s="2" t="s">
        <v>106</v>
      </c>
      <c r="C61" s="4">
        <v>26.947851919046272</v>
      </c>
      <c r="D61" s="4">
        <v>55.012609760537629</v>
      </c>
      <c r="E61" s="4">
        <v>93.990019613770372</v>
      </c>
      <c r="F61" s="4">
        <v>92.670942087699871</v>
      </c>
      <c r="G61" s="7">
        <f t="shared" ref="G61:G89" si="11">(D61-C61)/C61</f>
        <v>1.0414469370620103</v>
      </c>
      <c r="H61" s="7">
        <f t="shared" si="9"/>
        <v>0.70851773844026089</v>
      </c>
      <c r="I61" s="7">
        <f t="shared" si="10"/>
        <v>-1.4034229713866817E-2</v>
      </c>
      <c r="J61" s="7">
        <f t="shared" ref="J61:J89" si="12">(F61-C61)/C61</f>
        <v>2.4388990397487551</v>
      </c>
      <c r="K61" s="7"/>
      <c r="L61" s="8"/>
      <c r="AZ61" s="2"/>
      <c r="BA61" s="4"/>
      <c r="BB61" s="4"/>
    </row>
    <row r="62" spans="1:54" x14ac:dyDescent="0.25">
      <c r="B62" s="2" t="s">
        <v>105</v>
      </c>
      <c r="C62" s="4">
        <v>13.173301649344364</v>
      </c>
      <c r="D62" s="4">
        <v>34.756301512340698</v>
      </c>
      <c r="E62" s="4">
        <v>24.047100026386744</v>
      </c>
      <c r="F62" s="4">
        <v>30.982376445509644</v>
      </c>
      <c r="G62" s="7">
        <f t="shared" si="11"/>
        <v>1.6383895577211294</v>
      </c>
      <c r="H62" s="7">
        <f t="shared" si="9"/>
        <v>-0.30812258554471067</v>
      </c>
      <c r="I62" s="7">
        <f t="shared" si="10"/>
        <v>0.28840385790855699</v>
      </c>
      <c r="J62" s="7">
        <f t="shared" si="12"/>
        <v>1.3519067026793272</v>
      </c>
      <c r="K62" s="7"/>
      <c r="L62" s="8"/>
      <c r="AZ62" s="2"/>
      <c r="BA62" s="4"/>
      <c r="BB62" s="4"/>
    </row>
    <row r="63" spans="1:54" x14ac:dyDescent="0.25">
      <c r="B63" s="2" t="s">
        <v>99</v>
      </c>
      <c r="C63" s="4">
        <v>76.045801274526411</v>
      </c>
      <c r="D63" s="4">
        <v>165.26988988675058</v>
      </c>
      <c r="E63" s="4">
        <v>163.046917953421</v>
      </c>
      <c r="F63" s="4">
        <v>174.80276563218388</v>
      </c>
      <c r="G63" s="7">
        <f t="shared" si="11"/>
        <v>1.1732940822087461</v>
      </c>
      <c r="H63" s="7">
        <f t="shared" si="9"/>
        <v>-1.3450556146995939E-2</v>
      </c>
      <c r="I63" s="7">
        <f t="shared" si="10"/>
        <v>7.2101011330501008E-2</v>
      </c>
      <c r="J63" s="7">
        <f t="shared" si="12"/>
        <v>1.2986511115997508</v>
      </c>
      <c r="K63" s="7"/>
      <c r="L63" s="8"/>
      <c r="AZ63" s="2"/>
      <c r="BA63" s="4"/>
      <c r="BB63" s="4"/>
    </row>
    <row r="64" spans="1:54" x14ac:dyDescent="0.25">
      <c r="B64" s="2" t="s">
        <v>104</v>
      </c>
      <c r="C64" s="4">
        <v>43.428046522373933</v>
      </c>
      <c r="D64" s="4">
        <v>66.577939380034636</v>
      </c>
      <c r="E64" s="4">
        <v>72.397244071109228</v>
      </c>
      <c r="F64" s="4">
        <v>89.561266732922505</v>
      </c>
      <c r="G64" s="7">
        <f t="shared" si="11"/>
        <v>0.53306318638426398</v>
      </c>
      <c r="H64" s="7">
        <f t="shared" si="9"/>
        <v>8.7405899690846889E-2</v>
      </c>
      <c r="I64" s="7">
        <f t="shared" si="10"/>
        <v>0.2370811607822339</v>
      </c>
      <c r="J64" s="7">
        <f t="shared" si="12"/>
        <v>1.0622909364983972</v>
      </c>
      <c r="K64" s="7"/>
      <c r="L64" s="8"/>
      <c r="AZ64" s="2"/>
      <c r="BA64" s="4"/>
      <c r="BB64" s="4"/>
    </row>
    <row r="65" spans="2:54" x14ac:dyDescent="0.25">
      <c r="B65" s="2" t="s">
        <v>102</v>
      </c>
      <c r="C65" s="4">
        <v>65.641556970987935</v>
      </c>
      <c r="D65" s="4">
        <v>124.22080120024424</v>
      </c>
      <c r="E65" s="4">
        <v>83.414230257458925</v>
      </c>
      <c r="F65" s="4">
        <v>129.02669320382284</v>
      </c>
      <c r="G65" s="7">
        <f t="shared" si="11"/>
        <v>0.89241095020258265</v>
      </c>
      <c r="H65" s="7">
        <f t="shared" si="9"/>
        <v>-0.32850030388231855</v>
      </c>
      <c r="I65" s="7">
        <f t="shared" si="10"/>
        <v>0.54681872392253161</v>
      </c>
      <c r="J65" s="7">
        <f t="shared" si="12"/>
        <v>0.9656251185639867</v>
      </c>
      <c r="K65" s="7"/>
      <c r="L65" s="8"/>
      <c r="BA65" s="4"/>
      <c r="BB65" s="4"/>
    </row>
    <row r="66" spans="2:54" x14ac:dyDescent="0.25">
      <c r="B66" s="2" t="s">
        <v>108</v>
      </c>
      <c r="C66" s="4">
        <v>59.665590258108544</v>
      </c>
      <c r="D66" s="4">
        <v>139.45571187718127</v>
      </c>
      <c r="E66" s="4">
        <v>100.89411450511099</v>
      </c>
      <c r="F66" s="4">
        <v>112.16540173928556</v>
      </c>
      <c r="G66" s="7">
        <f t="shared" si="11"/>
        <v>1.3372887333202785</v>
      </c>
      <c r="H66" s="7">
        <f t="shared" si="9"/>
        <v>-0.27651500862174438</v>
      </c>
      <c r="I66" s="7">
        <f t="shared" si="10"/>
        <v>0.1117140210750707</v>
      </c>
      <c r="J66" s="7">
        <f t="shared" si="12"/>
        <v>0.87990098235963221</v>
      </c>
      <c r="K66" s="7"/>
      <c r="L66" s="8"/>
    </row>
    <row r="67" spans="2:54" x14ac:dyDescent="0.25">
      <c r="B67" s="2" t="s">
        <v>101</v>
      </c>
      <c r="C67" s="4">
        <v>81.907120571794607</v>
      </c>
      <c r="D67" s="4">
        <v>152.2974248582662</v>
      </c>
      <c r="E67" s="4">
        <v>140.37765715560528</v>
      </c>
      <c r="F67" s="4">
        <v>150.2072332356536</v>
      </c>
      <c r="G67" s="7">
        <f t="shared" si="11"/>
        <v>0.85939175733533324</v>
      </c>
      <c r="H67" s="7">
        <f t="shared" si="9"/>
        <v>-7.8266377213888627E-2</v>
      </c>
      <c r="I67" s="7">
        <f t="shared" si="10"/>
        <v>7.0022368795858131E-2</v>
      </c>
      <c r="J67" s="7">
        <f t="shared" si="12"/>
        <v>0.83387271078576652</v>
      </c>
      <c r="K67" s="7"/>
      <c r="L67" s="8"/>
    </row>
    <row r="68" spans="2:54" x14ac:dyDescent="0.25">
      <c r="B68" s="2" t="s">
        <v>109</v>
      </c>
      <c r="C68" s="4">
        <v>54.168510115748596</v>
      </c>
      <c r="D68" s="4">
        <v>108.38536380028654</v>
      </c>
      <c r="E68" s="4">
        <v>88.72034880669608</v>
      </c>
      <c r="F68" s="4">
        <v>98.184886077178305</v>
      </c>
      <c r="G68" s="7">
        <f t="shared" si="11"/>
        <v>1.0008924662813514</v>
      </c>
      <c r="H68" s="7">
        <f t="shared" si="9"/>
        <v>-0.18143607498357145</v>
      </c>
      <c r="I68" s="7">
        <f t="shared" si="10"/>
        <v>0.10667831447668856</v>
      </c>
      <c r="J68" s="7">
        <f t="shared" si="12"/>
        <v>0.81258236321018318</v>
      </c>
      <c r="K68" s="7"/>
      <c r="L68" s="8"/>
    </row>
    <row r="69" spans="2:54" x14ac:dyDescent="0.25">
      <c r="B69" s="2" t="s">
        <v>96</v>
      </c>
      <c r="C69" s="4">
        <v>63.073675586342098</v>
      </c>
      <c r="D69" s="4">
        <v>100.8257256051742</v>
      </c>
      <c r="E69" s="4">
        <v>74.390916163499682</v>
      </c>
      <c r="F69" s="4">
        <v>104.58268251130697</v>
      </c>
      <c r="G69" s="7">
        <f t="shared" si="11"/>
        <v>0.59853892559587707</v>
      </c>
      <c r="H69" s="7">
        <f t="shared" si="9"/>
        <v>-0.26218318076074354</v>
      </c>
      <c r="I69" s="7">
        <f t="shared" si="10"/>
        <v>0.40585286355998729</v>
      </c>
      <c r="J69" s="7">
        <f t="shared" si="12"/>
        <v>0.65810350418127816</v>
      </c>
      <c r="K69" s="7"/>
      <c r="L69" s="8"/>
      <c r="AH69" s="2"/>
      <c r="AI69" s="4"/>
      <c r="AJ69" s="4"/>
      <c r="AK69" s="4"/>
      <c r="AL69" s="4"/>
      <c r="AM69" s="7"/>
      <c r="AN69" s="7"/>
      <c r="AO69" s="7"/>
      <c r="AP69" s="7"/>
      <c r="AQ69" s="7"/>
      <c r="AR69" s="14"/>
    </row>
    <row r="70" spans="2:54" x14ac:dyDescent="0.25">
      <c r="B70" s="2" t="s">
        <v>110</v>
      </c>
      <c r="C70" s="4">
        <v>17.349126566061631</v>
      </c>
      <c r="D70" s="4">
        <v>31.940975261882652</v>
      </c>
      <c r="E70" s="4">
        <v>26.405673209117772</v>
      </c>
      <c r="F70" s="4">
        <v>27.973311055635289</v>
      </c>
      <c r="G70" s="7">
        <f t="shared" si="11"/>
        <v>0.84107108448707735</v>
      </c>
      <c r="H70" s="7">
        <f t="shared" si="9"/>
        <v>-0.17329784101396972</v>
      </c>
      <c r="I70" s="7">
        <f t="shared" si="10"/>
        <v>5.9367463730340263E-2</v>
      </c>
      <c r="J70" s="7">
        <f t="shared" si="12"/>
        <v>0.61237575558164936</v>
      </c>
      <c r="K70" s="7"/>
      <c r="L70" s="8"/>
      <c r="AH70" s="2"/>
      <c r="AI70" s="4"/>
      <c r="AJ70" s="4"/>
      <c r="AK70" s="4"/>
      <c r="AL70" s="4"/>
      <c r="AM70" s="7"/>
      <c r="AN70" s="7"/>
      <c r="AO70" s="7"/>
      <c r="AP70" s="7"/>
      <c r="AQ70" s="7"/>
      <c r="AR70" s="14"/>
    </row>
    <row r="71" spans="2:54" x14ac:dyDescent="0.25">
      <c r="B71" s="2" t="s">
        <v>111</v>
      </c>
      <c r="C71" s="4">
        <v>30.346050953724436</v>
      </c>
      <c r="D71" s="4">
        <v>41.819494169278997</v>
      </c>
      <c r="E71" s="4">
        <v>41.735495096880129</v>
      </c>
      <c r="F71" s="4">
        <v>47.820919245708318</v>
      </c>
      <c r="G71" s="7">
        <f t="shared" si="11"/>
        <v>0.37808686319846835</v>
      </c>
      <c r="H71" s="7">
        <f t="shared" si="9"/>
        <v>-2.0086104355746667E-3</v>
      </c>
      <c r="I71" s="7">
        <f t="shared" si="10"/>
        <v>0.14580931973377009</v>
      </c>
      <c r="J71" s="7">
        <f t="shared" si="12"/>
        <v>0.57585312562190738</v>
      </c>
      <c r="K71" s="7"/>
      <c r="L71" s="8"/>
      <c r="AH71" s="2"/>
      <c r="AI71" s="4"/>
      <c r="AJ71" s="4"/>
      <c r="AK71" s="4"/>
      <c r="AL71" s="4"/>
      <c r="AM71" s="7"/>
      <c r="AN71" s="7"/>
      <c r="AO71" s="7"/>
      <c r="AP71" s="7"/>
      <c r="AQ71" s="7"/>
      <c r="AR71" s="14"/>
    </row>
    <row r="72" spans="2:54" x14ac:dyDescent="0.25">
      <c r="B72" s="2" t="s">
        <v>113</v>
      </c>
      <c r="C72" s="4">
        <v>16.209530091759625</v>
      </c>
      <c r="D72" s="4">
        <v>18.689227102314984</v>
      </c>
      <c r="E72" s="4">
        <v>25.200264431390188</v>
      </c>
      <c r="F72" s="4">
        <v>25.29048451277438</v>
      </c>
      <c r="G72" s="7">
        <f t="shared" si="11"/>
        <v>0.15297772338360091</v>
      </c>
      <c r="H72" s="7">
        <f t="shared" si="9"/>
        <v>0.34838451549816629</v>
      </c>
      <c r="I72" s="7">
        <f t="shared" si="10"/>
        <v>3.5801243923381798E-3</v>
      </c>
      <c r="J72" s="7">
        <f t="shared" si="12"/>
        <v>0.56022317547818401</v>
      </c>
      <c r="K72" s="7"/>
      <c r="L72" s="8"/>
      <c r="AH72" s="2"/>
      <c r="AI72" s="4"/>
      <c r="AJ72" s="4"/>
      <c r="AK72" s="4"/>
      <c r="AL72" s="4"/>
      <c r="AM72" s="7"/>
      <c r="AN72" s="7"/>
      <c r="AO72" s="7"/>
      <c r="AP72" s="7"/>
      <c r="AQ72" s="7"/>
      <c r="AR72" s="14"/>
    </row>
    <row r="73" spans="2:54" x14ac:dyDescent="0.25">
      <c r="B73" s="2" t="s">
        <v>91</v>
      </c>
      <c r="C73" s="4">
        <v>50.077516350539661</v>
      </c>
      <c r="D73" s="4">
        <v>73.181984815633342</v>
      </c>
      <c r="E73" s="4">
        <v>93.30967394749149</v>
      </c>
      <c r="F73" s="4">
        <v>77.266250154609395</v>
      </c>
      <c r="G73" s="7">
        <f t="shared" si="11"/>
        <v>0.46137408859025208</v>
      </c>
      <c r="H73" s="7">
        <f t="shared" si="9"/>
        <v>0.27503611964837571</v>
      </c>
      <c r="I73" s="7">
        <f t="shared" si="10"/>
        <v>-0.17193741135469268</v>
      </c>
      <c r="J73" s="7">
        <f t="shared" si="12"/>
        <v>0.54293295246014606</v>
      </c>
      <c r="K73" s="7"/>
      <c r="L73" s="8"/>
      <c r="AH73" s="2"/>
      <c r="AI73" s="4"/>
      <c r="AJ73" s="4"/>
      <c r="AK73" s="4"/>
      <c r="AL73" s="4"/>
      <c r="AM73" s="7"/>
      <c r="AN73" s="7"/>
      <c r="AO73" s="7"/>
      <c r="AP73" s="7"/>
      <c r="AQ73" s="7"/>
      <c r="AR73" s="14"/>
    </row>
    <row r="74" spans="2:54" x14ac:dyDescent="0.25">
      <c r="B74" s="2" t="s">
        <v>93</v>
      </c>
      <c r="C74" s="4">
        <v>44.166589562513842</v>
      </c>
      <c r="D74" s="4">
        <v>48.048403855602309</v>
      </c>
      <c r="E74" s="4">
        <v>51.013238113937206</v>
      </c>
      <c r="F74" s="4">
        <v>65.360521925927188</v>
      </c>
      <c r="G74" s="7">
        <f t="shared" si="11"/>
        <v>8.7890288372710054E-2</v>
      </c>
      <c r="H74" s="7">
        <f t="shared" si="9"/>
        <v>6.1705156059813734E-2</v>
      </c>
      <c r="I74" s="7">
        <f t="shared" si="10"/>
        <v>0.28124628709013855</v>
      </c>
      <c r="J74" s="7">
        <f t="shared" si="12"/>
        <v>0.47986345727272506</v>
      </c>
      <c r="K74" s="7"/>
      <c r="L74" s="8"/>
      <c r="AH74" s="2"/>
      <c r="AI74" s="4"/>
      <c r="AJ74" s="4"/>
      <c r="AK74" s="4"/>
      <c r="AL74" s="4"/>
      <c r="AM74" s="7"/>
      <c r="AN74" s="7"/>
      <c r="AO74" s="7"/>
      <c r="AP74" s="7"/>
      <c r="AQ74" s="7"/>
      <c r="AR74" s="14"/>
    </row>
    <row r="75" spans="2:54" x14ac:dyDescent="0.25">
      <c r="B75" s="2" t="s">
        <v>112</v>
      </c>
      <c r="C75" s="4">
        <v>21.400308362215576</v>
      </c>
      <c r="D75" s="4">
        <v>36.536700987860662</v>
      </c>
      <c r="E75" s="4">
        <v>27.174922410274455</v>
      </c>
      <c r="F75" s="4">
        <v>31.595878626700678</v>
      </c>
      <c r="G75" s="7">
        <f t="shared" si="11"/>
        <v>0.70729787484604334</v>
      </c>
      <c r="H75" s="7">
        <f t="shared" si="9"/>
        <v>-0.25622944394176866</v>
      </c>
      <c r="I75" s="7">
        <f t="shared" si="10"/>
        <v>0.16268514587385619</v>
      </c>
      <c r="J75" s="7">
        <f t="shared" si="12"/>
        <v>0.47642165205836101</v>
      </c>
      <c r="K75" s="7"/>
      <c r="L75" s="8"/>
      <c r="AH75" s="2"/>
      <c r="AI75" s="4"/>
      <c r="AJ75" s="4"/>
      <c r="AK75" s="4"/>
      <c r="AL75" s="4"/>
      <c r="AM75" s="7"/>
      <c r="AN75" s="7"/>
      <c r="AO75" s="7"/>
      <c r="AP75" s="7"/>
      <c r="AQ75" s="7"/>
      <c r="AR75" s="14"/>
    </row>
    <row r="76" spans="2:54" x14ac:dyDescent="0.25">
      <c r="B76" s="2" t="s">
        <v>97</v>
      </c>
      <c r="C76" s="4">
        <v>75.972165408393579</v>
      </c>
      <c r="D76" s="4">
        <v>155.74216964891554</v>
      </c>
      <c r="E76" s="4">
        <v>114.29949025286545</v>
      </c>
      <c r="F76" s="4">
        <v>109.01702698800918</v>
      </c>
      <c r="G76" s="7">
        <f t="shared" si="11"/>
        <v>1.0499898721026686</v>
      </c>
      <c r="H76" s="7">
        <f t="shared" si="9"/>
        <v>-0.26609799702593689</v>
      </c>
      <c r="I76" s="7">
        <f t="shared" si="10"/>
        <v>-4.6215982706220737E-2</v>
      </c>
      <c r="J76" s="7">
        <f t="shared" si="12"/>
        <v>0.4349601120618411</v>
      </c>
      <c r="K76" s="7"/>
      <c r="L76" s="8"/>
      <c r="AH76" s="2"/>
      <c r="AI76" s="4"/>
      <c r="AJ76" s="4"/>
      <c r="AK76" s="4"/>
      <c r="AL76" s="4"/>
      <c r="AM76" s="7"/>
      <c r="AN76" s="7"/>
      <c r="AO76" s="7"/>
      <c r="AP76" s="7"/>
      <c r="AQ76" s="7"/>
      <c r="AR76" s="14"/>
    </row>
    <row r="77" spans="2:54" x14ac:dyDescent="0.25">
      <c r="B77" s="2" t="s">
        <v>95</v>
      </c>
      <c r="C77" s="4">
        <v>48.032795382820368</v>
      </c>
      <c r="D77" s="4">
        <v>68.408471079522926</v>
      </c>
      <c r="E77" s="4">
        <v>58.902223660891316</v>
      </c>
      <c r="F77" s="4">
        <v>63.143243387731445</v>
      </c>
      <c r="G77" s="7">
        <f t="shared" si="11"/>
        <v>0.42420341215431773</v>
      </c>
      <c r="H77" s="7">
        <f t="shared" si="9"/>
        <v>-0.13896301537832739</v>
      </c>
      <c r="I77" s="7">
        <f t="shared" si="10"/>
        <v>7.2001012241172724E-2</v>
      </c>
      <c r="J77" s="7">
        <f t="shared" si="12"/>
        <v>0.31458606321953836</v>
      </c>
      <c r="K77" s="7"/>
      <c r="L77" s="8"/>
      <c r="AH77" s="2"/>
      <c r="AI77" s="4"/>
      <c r="AJ77" s="4"/>
      <c r="AK77" s="4"/>
      <c r="AL77" s="4"/>
      <c r="AM77" s="7"/>
      <c r="AN77" s="7"/>
      <c r="AO77" s="7"/>
      <c r="AP77" s="7"/>
      <c r="AQ77" s="7"/>
      <c r="AR77" s="14"/>
    </row>
    <row r="78" spans="2:54" x14ac:dyDescent="0.25">
      <c r="B78" s="2" t="s">
        <v>100</v>
      </c>
      <c r="C78" s="4">
        <v>16.740697275083782</v>
      </c>
      <c r="D78" s="4">
        <v>27.761212231115195</v>
      </c>
      <c r="E78" s="4">
        <v>22.849045384047383</v>
      </c>
      <c r="F78" s="4">
        <v>21.912045995218449</v>
      </c>
      <c r="G78" s="7">
        <f t="shared" si="11"/>
        <v>0.65830680615878101</v>
      </c>
      <c r="H78" s="7">
        <f t="shared" si="9"/>
        <v>-0.1769435284804379</v>
      </c>
      <c r="I78" s="7">
        <f t="shared" si="10"/>
        <v>-4.1008251026676261E-2</v>
      </c>
      <c r="J78" s="7">
        <f t="shared" si="12"/>
        <v>0.30890880081987421</v>
      </c>
      <c r="K78" s="7"/>
      <c r="L78" s="8"/>
      <c r="AH78" s="2"/>
      <c r="AI78" s="4"/>
      <c r="AJ78" s="4"/>
      <c r="AK78" s="4"/>
      <c r="AL78" s="4"/>
      <c r="AM78" s="7"/>
      <c r="AN78" s="7"/>
      <c r="AO78" s="7"/>
      <c r="AP78" s="7"/>
      <c r="AQ78" s="7"/>
      <c r="AR78" s="14"/>
    </row>
    <row r="79" spans="2:54" x14ac:dyDescent="0.25">
      <c r="B79" s="2" t="s">
        <v>103</v>
      </c>
      <c r="C79" s="4">
        <v>41.717183786484661</v>
      </c>
      <c r="D79" s="4">
        <v>48.655631226676604</v>
      </c>
      <c r="E79" s="4">
        <v>36.18666854038063</v>
      </c>
      <c r="F79" s="4">
        <v>54.456150377134335</v>
      </c>
      <c r="G79" s="7">
        <f t="shared" si="11"/>
        <v>0.16632108906737442</v>
      </c>
      <c r="H79" s="7">
        <f t="shared" si="9"/>
        <v>-0.25626967263471795</v>
      </c>
      <c r="I79" s="7">
        <f t="shared" si="10"/>
        <v>0.50486774753433927</v>
      </c>
      <c r="J79" s="7">
        <f t="shared" si="12"/>
        <v>0.30536497036448529</v>
      </c>
      <c r="K79" s="7"/>
      <c r="L79" s="8"/>
      <c r="AH79" s="2"/>
      <c r="AI79" s="4"/>
      <c r="AJ79" s="4"/>
      <c r="AK79" s="4"/>
      <c r="AL79" s="4"/>
      <c r="AM79" s="7"/>
      <c r="AN79" s="7"/>
      <c r="AO79" s="7"/>
      <c r="AP79" s="7"/>
      <c r="AQ79" s="7"/>
      <c r="AR79" s="14"/>
    </row>
    <row r="80" spans="2:54" x14ac:dyDescent="0.25">
      <c r="B80" s="2" t="s">
        <v>92</v>
      </c>
      <c r="C80" s="4">
        <v>46.294123521670471</v>
      </c>
      <c r="D80" s="4">
        <v>67.029598803936892</v>
      </c>
      <c r="E80" s="4">
        <v>58.814297477388379</v>
      </c>
      <c r="F80" s="4">
        <v>56.714875482780073</v>
      </c>
      <c r="G80" s="7">
        <f t="shared" si="11"/>
        <v>0.44790728725126544</v>
      </c>
      <c r="H80" s="7">
        <f t="shared" si="9"/>
        <v>-0.12256229297415992</v>
      </c>
      <c r="I80" s="7">
        <f t="shared" si="10"/>
        <v>-3.5695776106404155E-2</v>
      </c>
      <c r="J80" s="7">
        <f t="shared" si="12"/>
        <v>0.22509880668183738</v>
      </c>
      <c r="K80" s="7"/>
      <c r="L80" s="8"/>
      <c r="AH80" s="2"/>
      <c r="AI80" s="4"/>
      <c r="AJ80" s="4"/>
      <c r="AK80" s="4"/>
      <c r="AL80" s="4"/>
      <c r="AM80" s="7"/>
      <c r="AN80" s="7"/>
      <c r="AO80" s="7"/>
      <c r="AP80" s="7"/>
      <c r="AQ80" s="7"/>
      <c r="AR80" s="14"/>
    </row>
    <row r="81" spans="1:44" x14ac:dyDescent="0.25">
      <c r="B81" s="2" t="s">
        <v>98</v>
      </c>
      <c r="C81" s="4">
        <v>78.629679228377199</v>
      </c>
      <c r="D81" s="4">
        <v>135.74700305780541</v>
      </c>
      <c r="E81" s="4">
        <v>72.804569603823168</v>
      </c>
      <c r="F81" s="4">
        <v>95.714905362910997</v>
      </c>
      <c r="G81" s="7">
        <f t="shared" si="11"/>
        <v>0.72640921837583639</v>
      </c>
      <c r="H81" s="7">
        <f t="shared" si="9"/>
        <v>-0.46367457134342294</v>
      </c>
      <c r="I81" s="7">
        <f t="shared" si="10"/>
        <v>0.31468266186803673</v>
      </c>
      <c r="J81" s="7">
        <f t="shared" si="12"/>
        <v>0.21728724194474133</v>
      </c>
      <c r="K81" s="7"/>
      <c r="L81" s="8"/>
      <c r="AH81" s="2"/>
      <c r="AI81" s="4"/>
      <c r="AJ81" s="4"/>
      <c r="AK81" s="4"/>
      <c r="AL81" s="4"/>
      <c r="AM81" s="7"/>
      <c r="AN81" s="7"/>
      <c r="AO81" s="7"/>
      <c r="AP81" s="7"/>
      <c r="AQ81" s="7"/>
      <c r="AR81" s="14"/>
    </row>
    <row r="82" spans="1:44" x14ac:dyDescent="0.25">
      <c r="B82" s="2" t="s">
        <v>114</v>
      </c>
      <c r="C82" s="4">
        <v>16.33171990350252</v>
      </c>
      <c r="D82" s="4">
        <v>21.597029244718648</v>
      </c>
      <c r="E82" s="4">
        <v>17.426721833035952</v>
      </c>
      <c r="F82" s="4">
        <v>19.797325590247251</v>
      </c>
      <c r="G82" s="7">
        <f t="shared" si="11"/>
        <v>0.32239772493813851</v>
      </c>
      <c r="H82" s="7">
        <f t="shared" si="9"/>
        <v>-0.19309634507729834</v>
      </c>
      <c r="I82" s="7">
        <f t="shared" si="10"/>
        <v>0.13603268474265365</v>
      </c>
      <c r="J82" s="7">
        <f t="shared" si="12"/>
        <v>0.21220090151077672</v>
      </c>
      <c r="K82" s="7"/>
      <c r="L82" s="8"/>
      <c r="AH82" s="2"/>
      <c r="AI82" s="4"/>
      <c r="AJ82" s="4"/>
      <c r="AK82" s="4"/>
      <c r="AL82" s="4"/>
      <c r="AM82" s="7"/>
      <c r="AN82" s="7"/>
      <c r="AO82" s="7"/>
      <c r="AP82" s="7"/>
      <c r="AQ82" s="7"/>
      <c r="AR82" s="14"/>
    </row>
    <row r="83" spans="1:44" x14ac:dyDescent="0.25">
      <c r="B83" s="2" t="s">
        <v>94</v>
      </c>
      <c r="C83" s="4">
        <v>25.039466355878012</v>
      </c>
      <c r="D83" s="4">
        <v>33.14395803637791</v>
      </c>
      <c r="E83" s="4">
        <v>28.226844310965923</v>
      </c>
      <c r="F83" s="4">
        <v>30.299727950529586</v>
      </c>
      <c r="G83" s="7">
        <f t="shared" si="11"/>
        <v>0.3236687062461045</v>
      </c>
      <c r="H83" s="7">
        <f t="shared" si="9"/>
        <v>-0.1483562620980601</v>
      </c>
      <c r="I83" s="7">
        <f t="shared" si="10"/>
        <v>7.3436605832638654E-2</v>
      </c>
      <c r="J83" s="7">
        <f t="shared" si="12"/>
        <v>0.21007882196406027</v>
      </c>
      <c r="K83" s="7"/>
      <c r="L83" s="8"/>
      <c r="AH83" s="2"/>
      <c r="AI83" s="4"/>
      <c r="AJ83" s="4"/>
      <c r="AK83" s="4"/>
      <c r="AL83" s="4"/>
      <c r="AM83" s="7"/>
      <c r="AN83" s="7"/>
      <c r="AO83" s="7"/>
      <c r="AP83" s="7"/>
      <c r="AQ83" s="7"/>
      <c r="AR83" s="14"/>
    </row>
    <row r="84" spans="1:44" x14ac:dyDescent="0.25">
      <c r="B84" s="2" t="s">
        <v>90</v>
      </c>
      <c r="C84" s="4">
        <v>57.962369351402664</v>
      </c>
      <c r="D84" s="4">
        <v>46.55424990422835</v>
      </c>
      <c r="E84" s="4">
        <v>40.035930774310664</v>
      </c>
      <c r="F84" s="4">
        <v>69.386424233461653</v>
      </c>
      <c r="G84" s="7">
        <f t="shared" si="11"/>
        <v>-0.19681941188448404</v>
      </c>
      <c r="H84" s="7">
        <f t="shared" si="9"/>
        <v>-0.1400155548274799</v>
      </c>
      <c r="I84" s="7">
        <f t="shared" si="10"/>
        <v>0.73310381178858319</v>
      </c>
      <c r="J84" s="7">
        <f t="shared" si="12"/>
        <v>0.19709433913578503</v>
      </c>
      <c r="K84" s="7"/>
      <c r="L84" s="8"/>
      <c r="AH84" s="2"/>
      <c r="AI84" s="4"/>
      <c r="AJ84" s="4"/>
      <c r="AK84" s="4"/>
      <c r="AL84" s="4"/>
      <c r="AM84" s="7"/>
      <c r="AN84" s="7"/>
      <c r="AO84" s="7"/>
      <c r="AP84" s="7"/>
      <c r="AQ84" s="7"/>
      <c r="AR84" s="14"/>
    </row>
    <row r="85" spans="1:44" x14ac:dyDescent="0.25">
      <c r="B85" s="2" t="s">
        <v>89</v>
      </c>
      <c r="C85" s="4">
        <v>47.923957325776847</v>
      </c>
      <c r="D85" s="4">
        <v>69.752716132803783</v>
      </c>
      <c r="E85" s="4">
        <v>57.515472003064239</v>
      </c>
      <c r="F85" s="4">
        <v>56.586326762164013</v>
      </c>
      <c r="G85" s="7">
        <f t="shared" si="11"/>
        <v>0.45548740181533187</v>
      </c>
      <c r="H85" s="7">
        <f t="shared" si="9"/>
        <v>-0.17543752857509917</v>
      </c>
      <c r="I85" s="7">
        <f t="shared" si="10"/>
        <v>-1.6154700788176168E-2</v>
      </c>
      <c r="J85" s="7">
        <f t="shared" si="12"/>
        <v>0.18075238189330287</v>
      </c>
      <c r="K85" s="7"/>
      <c r="L85" s="8"/>
      <c r="AH85" s="2"/>
      <c r="AI85" s="4"/>
      <c r="AJ85" s="4"/>
      <c r="AK85" s="4"/>
      <c r="AL85" s="4"/>
      <c r="AM85" s="7"/>
      <c r="AN85" s="7"/>
      <c r="AO85" s="7"/>
      <c r="AP85" s="7"/>
      <c r="AQ85" s="7"/>
      <c r="AR85" s="14"/>
    </row>
    <row r="86" spans="1:44" x14ac:dyDescent="0.25">
      <c r="B86" s="2" t="s">
        <v>87</v>
      </c>
      <c r="C86" s="4">
        <v>11.714736339585222</v>
      </c>
      <c r="D86" s="4">
        <v>13.21598340452894</v>
      </c>
      <c r="E86" s="4">
        <v>14.54757667549833</v>
      </c>
      <c r="F86" s="4">
        <v>13.249630977293327</v>
      </c>
      <c r="G86" s="7">
        <f t="shared" si="11"/>
        <v>0.12815030756354787</v>
      </c>
      <c r="H86" s="7">
        <f t="shared" si="9"/>
        <v>0.10075627595847855</v>
      </c>
      <c r="I86" s="7">
        <f t="shared" si="10"/>
        <v>-8.9220749761784096E-2</v>
      </c>
      <c r="J86" s="7">
        <f t="shared" si="12"/>
        <v>0.13102255084662451</v>
      </c>
      <c r="K86" s="7"/>
      <c r="L86" s="8"/>
      <c r="AH86" s="2"/>
      <c r="AI86" s="4"/>
      <c r="AJ86" s="4"/>
      <c r="AK86" s="4"/>
      <c r="AL86" s="4"/>
      <c r="AM86" s="7"/>
      <c r="AN86" s="7"/>
      <c r="AO86" s="7"/>
      <c r="AP86" s="7"/>
      <c r="AQ86" s="7"/>
      <c r="AR86" s="14"/>
    </row>
    <row r="87" spans="1:44" x14ac:dyDescent="0.25">
      <c r="B87" s="2" t="s">
        <v>85</v>
      </c>
      <c r="C87" s="4">
        <v>56.639202421356337</v>
      </c>
      <c r="D87" s="4">
        <v>59.768598553280434</v>
      </c>
      <c r="E87" s="4">
        <v>48.490290983910612</v>
      </c>
      <c r="F87" s="4">
        <v>63.164063261007172</v>
      </c>
      <c r="G87" s="7">
        <f t="shared" si="11"/>
        <v>5.525141594762515E-2</v>
      </c>
      <c r="H87" s="7">
        <f t="shared" si="9"/>
        <v>-0.18869954863197652</v>
      </c>
      <c r="I87" s="7">
        <f t="shared" si="10"/>
        <v>0.30261258448552952</v>
      </c>
      <c r="J87" s="7">
        <f t="shared" si="12"/>
        <v>0.11520043645936962</v>
      </c>
      <c r="K87" s="7"/>
      <c r="L87" s="8"/>
      <c r="AH87" s="2"/>
      <c r="AI87" s="4"/>
      <c r="AJ87" s="4"/>
      <c r="AK87" s="4"/>
      <c r="AL87" s="4"/>
      <c r="AM87" s="7"/>
      <c r="AN87" s="7"/>
      <c r="AO87" s="7"/>
      <c r="AP87" s="7"/>
      <c r="AQ87" s="7"/>
      <c r="AR87" s="14"/>
    </row>
    <row r="88" spans="1:44" x14ac:dyDescent="0.25">
      <c r="B88" s="2" t="s">
        <v>88</v>
      </c>
      <c r="C88" s="4">
        <v>60.47880010480997</v>
      </c>
      <c r="D88" s="4">
        <v>42.085941066013461</v>
      </c>
      <c r="E88" s="4">
        <v>50.098903352236739</v>
      </c>
      <c r="F88" s="4">
        <v>62.97634787054632</v>
      </c>
      <c r="G88" s="7">
        <f t="shared" si="11"/>
        <v>-0.30412076639949237</v>
      </c>
      <c r="H88" s="7">
        <f t="shared" si="9"/>
        <v>0.19039522660678135</v>
      </c>
      <c r="I88" s="7">
        <f t="shared" si="10"/>
        <v>0.25704044712856272</v>
      </c>
      <c r="J88" s="7">
        <f t="shared" si="12"/>
        <v>4.1296251933042503E-2</v>
      </c>
      <c r="K88" s="7"/>
      <c r="L88" s="8"/>
      <c r="AH88" s="2"/>
      <c r="AI88" s="4"/>
      <c r="AJ88" s="4"/>
      <c r="AK88" s="4"/>
      <c r="AL88" s="4"/>
      <c r="AM88" s="7"/>
      <c r="AN88" s="7"/>
      <c r="AO88" s="7"/>
      <c r="AP88" s="7"/>
      <c r="AQ88" s="7"/>
      <c r="AR88" s="14"/>
    </row>
    <row r="89" spans="1:44" x14ac:dyDescent="0.25">
      <c r="B89" s="2" t="s">
        <v>86</v>
      </c>
      <c r="C89" s="4">
        <v>72.074671482557648</v>
      </c>
      <c r="D89" s="4">
        <v>64.689425462235448</v>
      </c>
      <c r="E89" s="4">
        <v>55.679136639100463</v>
      </c>
      <c r="F89" s="4">
        <v>61.118750107284704</v>
      </c>
      <c r="G89" s="7">
        <f t="shared" si="11"/>
        <v>-0.10246659288775889</v>
      </c>
      <c r="H89" s="7">
        <f t="shared" si="9"/>
        <v>-0.13928534314151597</v>
      </c>
      <c r="I89" s="7">
        <f t="shared" si="10"/>
        <v>9.7695722249477077E-2</v>
      </c>
      <c r="J89" s="7">
        <f t="shared" si="12"/>
        <v>-0.15200792663930934</v>
      </c>
      <c r="K89" s="7"/>
      <c r="L89" s="8"/>
      <c r="AH89" s="2"/>
      <c r="AI89" s="4"/>
      <c r="AJ89" s="4"/>
      <c r="AK89" s="4"/>
      <c r="AL89" s="4"/>
      <c r="AM89" s="7"/>
      <c r="AN89" s="7"/>
      <c r="AO89" s="7"/>
      <c r="AP89" s="7"/>
      <c r="AQ89" s="7"/>
      <c r="AR89" s="14"/>
    </row>
    <row r="90" spans="1:44" x14ac:dyDescent="0.25">
      <c r="B90" s="6"/>
      <c r="C90" s="6"/>
      <c r="D90" s="6"/>
      <c r="E90" s="6"/>
      <c r="AH90" s="2"/>
      <c r="AI90" s="4"/>
      <c r="AJ90" s="4"/>
      <c r="AK90" s="4"/>
      <c r="AL90" s="4"/>
      <c r="AM90" s="7"/>
      <c r="AN90" s="7"/>
      <c r="AO90" s="7"/>
      <c r="AP90" s="7"/>
      <c r="AQ90" s="7"/>
      <c r="AR90" s="14"/>
    </row>
    <row r="91" spans="1:44" x14ac:dyDescent="0.25">
      <c r="B91" s="6"/>
      <c r="C91" s="6"/>
      <c r="D91" s="6"/>
      <c r="E91" s="6"/>
      <c r="AH91" s="2"/>
      <c r="AI91" s="4"/>
      <c r="AJ91" s="4"/>
      <c r="AK91" s="4"/>
      <c r="AL91" s="4"/>
      <c r="AM91" s="7"/>
      <c r="AN91" s="7"/>
      <c r="AO91" s="7"/>
      <c r="AP91" s="7"/>
      <c r="AQ91" s="7"/>
      <c r="AR91" s="14"/>
    </row>
    <row r="93" spans="1:44" x14ac:dyDescent="0.25">
      <c r="A93" s="9" t="s">
        <v>175</v>
      </c>
      <c r="D93" s="52" t="s">
        <v>147</v>
      </c>
      <c r="E93" s="52"/>
      <c r="F93" s="52"/>
      <c r="G93" s="52"/>
      <c r="H93" s="49" t="s">
        <v>148</v>
      </c>
      <c r="I93" s="49"/>
      <c r="J93" s="49"/>
      <c r="K93" s="49"/>
      <c r="L93" s="49"/>
    </row>
    <row r="94" spans="1:44" x14ac:dyDescent="0.25">
      <c r="A94" s="2"/>
      <c r="B94" s="18" t="s">
        <v>84</v>
      </c>
      <c r="C94" s="18" t="s">
        <v>137</v>
      </c>
      <c r="D94" s="47">
        <v>1990</v>
      </c>
      <c r="E94" s="47">
        <v>2000</v>
      </c>
      <c r="F94" s="47">
        <v>2010</v>
      </c>
      <c r="G94" s="47">
        <v>2015</v>
      </c>
      <c r="H94" s="41">
        <v>1990</v>
      </c>
      <c r="I94" s="41">
        <v>2000</v>
      </c>
      <c r="J94" s="41">
        <v>2010</v>
      </c>
      <c r="K94" s="41">
        <v>2015</v>
      </c>
      <c r="L94" s="37" t="s">
        <v>149</v>
      </c>
    </row>
    <row r="95" spans="1:44" x14ac:dyDescent="0.25">
      <c r="A95" s="2"/>
      <c r="B95" s="4" t="s">
        <v>124</v>
      </c>
      <c r="C95" s="4">
        <v>334807.88929200004</v>
      </c>
      <c r="D95" s="4">
        <v>19477859.419799998</v>
      </c>
      <c r="E95" s="4">
        <v>31471880.8627</v>
      </c>
      <c r="F95" s="4">
        <v>31912226.012600001</v>
      </c>
      <c r="G95" s="4">
        <v>31634595.509</v>
      </c>
      <c r="H95" s="2">
        <f t="shared" ref="H95:H103" si="13">D95/C95</f>
        <v>58.176225957484945</v>
      </c>
      <c r="I95" s="2">
        <f t="shared" ref="I95:I103" si="14">E95/C95</f>
        <v>93.999818610164382</v>
      </c>
      <c r="J95" s="2">
        <f t="shared" ref="J95:J103" si="15">F95/C95</f>
        <v>95.315035975057341</v>
      </c>
      <c r="K95" s="2">
        <f t="shared" ref="K95:K103" si="16">G95/C95</f>
        <v>94.485812672741829</v>
      </c>
      <c r="L95" s="15">
        <f t="shared" ref="L95:L103" si="17">(K95-H95)/H95</f>
        <v>0.62413101086673872</v>
      </c>
    </row>
    <row r="96" spans="1:44" x14ac:dyDescent="0.25">
      <c r="A96" s="2"/>
      <c r="B96" s="4" t="s">
        <v>123</v>
      </c>
      <c r="C96" s="4">
        <v>330635.05838599999</v>
      </c>
      <c r="D96" s="4">
        <v>18812582.416200001</v>
      </c>
      <c r="E96" s="4">
        <v>31385516.087900002</v>
      </c>
      <c r="F96" s="4">
        <v>22155112.519900002</v>
      </c>
      <c r="G96" s="4">
        <v>27042744.738499999</v>
      </c>
      <c r="H96" s="2">
        <f t="shared" si="13"/>
        <v>56.898329257743882</v>
      </c>
      <c r="I96" s="2">
        <f t="shared" si="14"/>
        <v>94.924949099798638</v>
      </c>
      <c r="J96" s="2">
        <f t="shared" si="15"/>
        <v>67.007753588051173</v>
      </c>
      <c r="K96" s="2">
        <f t="shared" si="16"/>
        <v>81.790312468706631</v>
      </c>
      <c r="L96" s="15">
        <f t="shared" si="17"/>
        <v>0.43748179490832662</v>
      </c>
    </row>
    <row r="97" spans="1:12" x14ac:dyDescent="0.25">
      <c r="A97" s="2"/>
      <c r="B97" s="4" t="s">
        <v>117</v>
      </c>
      <c r="C97" s="4">
        <v>346426.47850999999</v>
      </c>
      <c r="D97" s="4">
        <v>12132639.523700001</v>
      </c>
      <c r="E97" s="4">
        <v>19248260.011700001</v>
      </c>
      <c r="F97" s="4">
        <v>19089827.582400002</v>
      </c>
      <c r="G97" s="4">
        <v>25457657.532299999</v>
      </c>
      <c r="H97" s="2">
        <f t="shared" si="13"/>
        <v>35.022263817370927</v>
      </c>
      <c r="I97" s="2">
        <f t="shared" si="14"/>
        <v>55.562323337661319</v>
      </c>
      <c r="J97" s="2">
        <f t="shared" si="15"/>
        <v>55.10498985096762</v>
      </c>
      <c r="K97" s="2">
        <f t="shared" si="16"/>
        <v>73.486465704916185</v>
      </c>
      <c r="L97" s="15">
        <f t="shared" si="17"/>
        <v>1.0982785718285619</v>
      </c>
    </row>
    <row r="98" spans="1:12" x14ac:dyDescent="0.25">
      <c r="A98" s="2"/>
      <c r="B98" s="4" t="s">
        <v>121</v>
      </c>
      <c r="C98" s="4">
        <v>182766.447258</v>
      </c>
      <c r="D98" s="4">
        <v>11042586.388499999</v>
      </c>
      <c r="E98" s="4">
        <v>24471717.423799999</v>
      </c>
      <c r="F98" s="4">
        <v>20360060.136</v>
      </c>
      <c r="G98" s="4">
        <v>23631037.294799998</v>
      </c>
      <c r="H98" s="2">
        <f t="shared" si="13"/>
        <v>60.419111681433897</v>
      </c>
      <c r="I98" s="2">
        <f t="shared" si="14"/>
        <v>133.8961160045684</v>
      </c>
      <c r="J98" s="2">
        <f t="shared" si="15"/>
        <v>111.39933199696645</v>
      </c>
      <c r="K98" s="2">
        <f t="shared" si="16"/>
        <v>129.29636511148863</v>
      </c>
      <c r="L98" s="15">
        <f t="shared" si="17"/>
        <v>1.1399911636108997</v>
      </c>
    </row>
    <row r="99" spans="1:12" x14ac:dyDescent="0.25">
      <c r="A99" s="2"/>
      <c r="B99" s="4" t="s">
        <v>119</v>
      </c>
      <c r="C99" s="4">
        <v>340478.81028099998</v>
      </c>
      <c r="D99" s="4">
        <v>16168218.829500001</v>
      </c>
      <c r="E99" s="4">
        <v>15872977.4562</v>
      </c>
      <c r="F99" s="4">
        <v>14766541.535599999</v>
      </c>
      <c r="G99" s="4">
        <v>17496678.722199999</v>
      </c>
      <c r="H99" s="2">
        <f t="shared" si="13"/>
        <v>47.486710894449601</v>
      </c>
      <c r="I99" s="2">
        <f t="shared" si="14"/>
        <v>46.619575071646601</v>
      </c>
      <c r="J99" s="2">
        <f t="shared" si="15"/>
        <v>43.369928141528248</v>
      </c>
      <c r="K99" s="2">
        <f t="shared" si="16"/>
        <v>51.388451186609366</v>
      </c>
      <c r="L99" s="15">
        <f t="shared" si="17"/>
        <v>8.2164888211194539E-2</v>
      </c>
    </row>
    <row r="100" spans="1:12" x14ac:dyDescent="0.25">
      <c r="A100" s="2"/>
      <c r="B100" s="4" t="s">
        <v>120</v>
      </c>
      <c r="C100" s="4">
        <v>305609.20074200002</v>
      </c>
      <c r="D100" s="4">
        <v>5051921.28</v>
      </c>
      <c r="E100" s="4">
        <v>9418945.5159200002</v>
      </c>
      <c r="F100" s="4">
        <v>7408049.02355</v>
      </c>
      <c r="G100" s="4">
        <v>8726956.1247000005</v>
      </c>
      <c r="H100" s="2">
        <f t="shared" si="13"/>
        <v>16.530658330096905</v>
      </c>
      <c r="I100" s="2">
        <f t="shared" si="14"/>
        <v>30.82022888398448</v>
      </c>
      <c r="J100" s="2">
        <f t="shared" si="15"/>
        <v>24.240268308557859</v>
      </c>
      <c r="K100" s="2">
        <f t="shared" si="16"/>
        <v>28.555933864266837</v>
      </c>
      <c r="L100" s="15">
        <f t="shared" si="17"/>
        <v>0.72745291167719861</v>
      </c>
    </row>
    <row r="101" spans="1:12" x14ac:dyDescent="0.25">
      <c r="A101" s="2"/>
      <c r="B101" s="4" t="s">
        <v>118</v>
      </c>
      <c r="C101" s="4">
        <v>429273.78225300001</v>
      </c>
      <c r="D101" s="4">
        <v>7112464.1883899998</v>
      </c>
      <c r="E101" s="4">
        <v>10151733.9628</v>
      </c>
      <c r="F101" s="4">
        <v>9158900.3395399991</v>
      </c>
      <c r="G101" s="4">
        <v>8685708.8293900006</v>
      </c>
      <c r="H101" s="2">
        <f t="shared" si="13"/>
        <v>16.568596738102549</v>
      </c>
      <c r="I101" s="2">
        <f t="shared" si="14"/>
        <v>23.648623285399939</v>
      </c>
      <c r="J101" s="2">
        <f t="shared" si="15"/>
        <v>21.335801808045293</v>
      </c>
      <c r="K101" s="2">
        <f t="shared" si="16"/>
        <v>20.233494772972008</v>
      </c>
      <c r="L101" s="15">
        <f t="shared" si="17"/>
        <v>0.22119543934830335</v>
      </c>
    </row>
    <row r="102" spans="1:12" x14ac:dyDescent="0.25">
      <c r="A102" s="2"/>
      <c r="B102" s="4" t="s">
        <v>122</v>
      </c>
      <c r="C102" s="4">
        <v>156705.34323199998</v>
      </c>
      <c r="D102" s="4">
        <v>6779802.5427900003</v>
      </c>
      <c r="E102" s="4">
        <v>11019344.9263</v>
      </c>
      <c r="F102" s="4">
        <v>6680972.6955199996</v>
      </c>
      <c r="G102" s="4">
        <v>8507815.0341599993</v>
      </c>
      <c r="H102" s="2">
        <f t="shared" si="13"/>
        <v>43.264654560965425</v>
      </c>
      <c r="I102" s="2">
        <f t="shared" si="14"/>
        <v>70.318884468323589</v>
      </c>
      <c r="J102" s="2">
        <f t="shared" si="15"/>
        <v>42.633981443944236</v>
      </c>
      <c r="K102" s="2">
        <f t="shared" si="16"/>
        <v>54.291799237274908</v>
      </c>
      <c r="L102" s="15">
        <f t="shared" si="17"/>
        <v>0.25487652191399857</v>
      </c>
    </row>
    <row r="103" spans="1:12" x14ac:dyDescent="0.25">
      <c r="A103" s="2"/>
      <c r="B103" s="4" t="s">
        <v>70</v>
      </c>
      <c r="C103" s="4">
        <v>100677.00936499999</v>
      </c>
      <c r="D103" s="4">
        <v>5273982.4800300002</v>
      </c>
      <c r="E103" s="4">
        <v>3643398.9054200002</v>
      </c>
      <c r="F103" s="4">
        <v>3692108.5467699999</v>
      </c>
      <c r="G103" s="4">
        <v>6263530.6845000004</v>
      </c>
      <c r="H103" s="2">
        <f t="shared" si="13"/>
        <v>52.385172278105848</v>
      </c>
      <c r="I103" s="2">
        <f t="shared" si="14"/>
        <v>36.188986228335615</v>
      </c>
      <c r="J103" s="2">
        <f t="shared" si="15"/>
        <v>36.672807129028094</v>
      </c>
      <c r="K103" s="2">
        <f t="shared" si="16"/>
        <v>62.21411148390245</v>
      </c>
      <c r="L103" s="15">
        <f t="shared" si="17"/>
        <v>0.18762826919068018</v>
      </c>
    </row>
    <row r="107" spans="1:12" x14ac:dyDescent="0.25">
      <c r="C107" s="2"/>
    </row>
    <row r="108" spans="1:12" x14ac:dyDescent="0.25">
      <c r="C108" s="2"/>
    </row>
    <row r="109" spans="1:12" x14ac:dyDescent="0.25">
      <c r="C109" s="2"/>
    </row>
    <row r="110" spans="1:12" x14ac:dyDescent="0.25">
      <c r="C110" s="2"/>
    </row>
    <row r="111" spans="1:12" x14ac:dyDescent="0.25">
      <c r="C111" s="2"/>
    </row>
    <row r="112" spans="1:12" x14ac:dyDescent="0.25">
      <c r="C112" s="2"/>
      <c r="H112" s="9"/>
      <c r="I112" s="9"/>
      <c r="J112" s="9"/>
      <c r="K112" s="9"/>
      <c r="L112" s="9"/>
    </row>
    <row r="113" spans="3:12" x14ac:dyDescent="0.25">
      <c r="C113" s="2"/>
      <c r="I113" s="2"/>
      <c r="J113" s="2"/>
      <c r="K113" s="2"/>
      <c r="L113" s="2"/>
    </row>
    <row r="114" spans="3:12" x14ac:dyDescent="0.25">
      <c r="C114" s="2"/>
      <c r="I114" s="2"/>
      <c r="J114" s="2"/>
      <c r="K114" s="2"/>
      <c r="L114" s="2"/>
    </row>
    <row r="115" spans="3:12" x14ac:dyDescent="0.25">
      <c r="C115" s="2"/>
      <c r="I115" s="2"/>
      <c r="J115" s="2"/>
      <c r="K115" s="2"/>
      <c r="L115" s="2"/>
    </row>
    <row r="116" spans="3:12" x14ac:dyDescent="0.25">
      <c r="I116" s="2"/>
      <c r="J116" s="2"/>
      <c r="K116" s="2"/>
      <c r="L116" s="2"/>
    </row>
    <row r="117" spans="3:12" x14ac:dyDescent="0.25">
      <c r="I117" s="2"/>
      <c r="J117" s="2"/>
      <c r="K117" s="2"/>
      <c r="L117" s="2"/>
    </row>
    <row r="118" spans="3:12" x14ac:dyDescent="0.25">
      <c r="I118" s="2"/>
      <c r="J118" s="2"/>
      <c r="K118" s="2"/>
      <c r="L118" s="2"/>
    </row>
    <row r="119" spans="3:12" x14ac:dyDescent="0.25">
      <c r="I119" s="2"/>
      <c r="J119" s="2"/>
      <c r="K119" s="2"/>
      <c r="L119" s="2"/>
    </row>
    <row r="120" spans="3:12" x14ac:dyDescent="0.25">
      <c r="I120" s="2"/>
      <c r="J120" s="2"/>
      <c r="K120" s="2"/>
      <c r="L120" s="2"/>
    </row>
    <row r="121" spans="3:12" x14ac:dyDescent="0.25">
      <c r="I121" s="2"/>
      <c r="J121" s="2"/>
      <c r="K121" s="2"/>
      <c r="L121" s="2"/>
    </row>
  </sheetData>
  <autoFilter ref="B94:M94" xr:uid="{00000000-0009-0000-0000-000000000000}">
    <sortState xmlns:xlrd2="http://schemas.microsoft.com/office/spreadsheetml/2017/richdata2" ref="B95:M103">
      <sortCondition descending="1" ref="G94"/>
    </sortState>
  </autoFilter>
  <mergeCells count="10">
    <mergeCell ref="M36:S36"/>
    <mergeCell ref="T36:X36"/>
    <mergeCell ref="Y36:AE36"/>
    <mergeCell ref="H93:L93"/>
    <mergeCell ref="C57:F57"/>
    <mergeCell ref="C58:F58"/>
    <mergeCell ref="G58:J58"/>
    <mergeCell ref="D93:G93"/>
    <mergeCell ref="B36:D36"/>
    <mergeCell ref="E36:L36"/>
  </mergeCells>
  <pageMargins left="0.7" right="0.7" top="0.75" bottom="0.75" header="0.3" footer="0.3"/>
  <pageSetup orientation="portrait" r:id="rId1"/>
  <headerFooter>
    <oddFooter>&amp;R_x000D_&amp;1#&amp;"Aptos"&amp;10&amp;K000000 Official Use Only</oddFooter>
  </headerFooter>
  <ignoredErrors>
    <ignoredError sqref="B20:B23 C20:F24" formulaRange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V111"/>
  <sheetViews>
    <sheetView topLeftCell="A66" workbookViewId="0">
      <selection activeCell="G91" sqref="G91"/>
    </sheetView>
  </sheetViews>
  <sheetFormatPr defaultColWidth="9.140625" defaultRowHeight="15" x14ac:dyDescent="0.25"/>
  <cols>
    <col min="1" max="1" width="18.85546875" style="1" customWidth="1"/>
    <col min="2" max="2" width="13.28515625" style="1" customWidth="1"/>
    <col min="3" max="3" width="14.7109375" style="1" customWidth="1"/>
    <col min="4" max="4" width="10.28515625" style="1" customWidth="1"/>
    <col min="5" max="5" width="13" style="1" customWidth="1"/>
    <col min="6" max="6" width="11.28515625" style="1" customWidth="1"/>
    <col min="7" max="7" width="10.85546875" style="1" customWidth="1"/>
    <col min="8" max="8" width="8.85546875" style="1" customWidth="1"/>
    <col min="9" max="9" width="12.42578125" style="1" customWidth="1"/>
    <col min="10" max="10" width="11" style="1" bestFit="1" customWidth="1"/>
    <col min="11" max="11" width="9.42578125" style="1" customWidth="1"/>
    <col min="12" max="12" width="16.140625" style="1" customWidth="1"/>
    <col min="13" max="13" width="12.85546875" style="1" customWidth="1"/>
    <col min="14" max="14" width="13.140625" style="1" customWidth="1"/>
    <col min="15" max="15" width="11.42578125" style="1" bestFit="1" customWidth="1"/>
    <col min="16" max="16" width="15.42578125" style="1" bestFit="1" customWidth="1"/>
    <col min="17" max="17" width="10.7109375" style="1" bestFit="1" customWidth="1"/>
    <col min="18" max="18" width="11" style="1" bestFit="1" customWidth="1"/>
    <col min="19" max="19" width="11.5703125" style="1" bestFit="1" customWidth="1"/>
    <col min="20" max="20" width="11" style="1" bestFit="1" customWidth="1"/>
    <col min="21" max="21" width="11.7109375" style="1" bestFit="1" customWidth="1"/>
    <col min="22" max="22" width="11.42578125" style="1" bestFit="1" customWidth="1"/>
    <col min="23" max="23" width="12.140625" style="1" bestFit="1" customWidth="1"/>
    <col min="24" max="24" width="11.5703125" style="1" bestFit="1" customWidth="1"/>
    <col min="25" max="25" width="12.140625" style="1" bestFit="1" customWidth="1"/>
    <col min="26" max="26" width="11" style="1" bestFit="1" customWidth="1"/>
    <col min="27" max="27" width="11.5703125" style="1" bestFit="1" customWidth="1"/>
    <col min="28" max="28" width="12.28515625" style="1" customWidth="1"/>
    <col min="29" max="29" width="11" style="1" bestFit="1" customWidth="1"/>
    <col min="30" max="30" width="13.140625" style="1" bestFit="1" customWidth="1"/>
    <col min="31" max="31" width="14.7109375" style="1" bestFit="1" customWidth="1"/>
    <col min="32" max="32" width="16.5703125" style="1" customWidth="1"/>
    <col min="33" max="33" width="15.28515625" style="1" customWidth="1"/>
    <col min="34" max="34" width="17.7109375" style="1" customWidth="1"/>
    <col min="35" max="35" width="14" style="1" customWidth="1"/>
    <col min="36" max="36" width="14.5703125" style="1" customWidth="1"/>
    <col min="37" max="37" width="14.140625" style="1" customWidth="1"/>
    <col min="38" max="38" width="13.7109375" style="1" customWidth="1"/>
    <col min="39" max="39" width="10.28515625" style="1" customWidth="1"/>
    <col min="40" max="40" width="10.140625" style="1" bestFit="1" customWidth="1"/>
    <col min="41" max="43" width="10.5703125" style="1" bestFit="1" customWidth="1"/>
    <col min="44" max="16384" width="9.140625" style="1"/>
  </cols>
  <sheetData>
    <row r="1" spans="1:31" x14ac:dyDescent="0.25">
      <c r="A1" s="9" t="s">
        <v>152</v>
      </c>
    </row>
    <row r="2" spans="1:31" x14ac:dyDescent="0.25">
      <c r="B2" s="1" t="s">
        <v>40</v>
      </c>
      <c r="C2" s="9"/>
      <c r="D2" s="9"/>
    </row>
    <row r="3" spans="1:31" x14ac:dyDescent="0.25">
      <c r="A3" s="10">
        <v>1990</v>
      </c>
      <c r="B3" s="6">
        <f>SUM(B20:F20)</f>
        <v>6294484.5918490002</v>
      </c>
      <c r="C3" s="6"/>
      <c r="D3" s="19"/>
      <c r="E3" s="6"/>
      <c r="F3" s="6"/>
    </row>
    <row r="4" spans="1:31" x14ac:dyDescent="0.25">
      <c r="A4" s="10">
        <v>2000</v>
      </c>
      <c r="B4" s="6">
        <f>SUM(B21:F21)</f>
        <v>11088279.142949</v>
      </c>
      <c r="C4" s="6"/>
      <c r="D4" s="19"/>
      <c r="E4" s="7"/>
      <c r="F4" s="6"/>
    </row>
    <row r="5" spans="1:31" x14ac:dyDescent="0.25">
      <c r="A5" s="10">
        <v>2010</v>
      </c>
      <c r="B5" s="6">
        <f>SUM(B22:F22)</f>
        <v>10107983.481437001</v>
      </c>
      <c r="C5" s="6"/>
      <c r="D5" s="19"/>
      <c r="E5" s="7"/>
      <c r="F5" s="6"/>
      <c r="H5" s="6"/>
      <c r="I5" s="6"/>
      <c r="J5" s="6"/>
      <c r="K5" s="6"/>
    </row>
    <row r="6" spans="1:31" x14ac:dyDescent="0.25">
      <c r="A6" s="10">
        <v>2015</v>
      </c>
      <c r="B6" s="6">
        <f>SUM(B23:F23)</f>
        <v>14039860.065466</v>
      </c>
      <c r="C6" s="6"/>
      <c r="D6" s="19"/>
      <c r="E6" s="7"/>
      <c r="F6" s="6"/>
      <c r="H6" s="6"/>
      <c r="I6" s="6"/>
      <c r="J6" s="6"/>
      <c r="K6" s="6"/>
    </row>
    <row r="7" spans="1:31" x14ac:dyDescent="0.25">
      <c r="A7" s="1" t="s">
        <v>47</v>
      </c>
      <c r="B7" s="6">
        <f>B6-B3</f>
        <v>7745375.4736169996</v>
      </c>
    </row>
    <row r="8" spans="1:31" x14ac:dyDescent="0.25">
      <c r="A8" s="1" t="s">
        <v>1</v>
      </c>
      <c r="B8" s="3">
        <f>B7/B3</f>
        <v>1.2305019355590798</v>
      </c>
    </row>
    <row r="9" spans="1:31" x14ac:dyDescent="0.25">
      <c r="A9" s="1" t="s">
        <v>2</v>
      </c>
      <c r="B9" s="6">
        <f>B4-B3</f>
        <v>4793794.5510999998</v>
      </c>
      <c r="C9" s="6"/>
      <c r="D9" s="6"/>
      <c r="E9" s="6"/>
      <c r="F9" s="6"/>
    </row>
    <row r="10" spans="1:31" x14ac:dyDescent="0.25">
      <c r="A10" s="1" t="s">
        <v>1</v>
      </c>
      <c r="B10" s="3">
        <f>B9/B3</f>
        <v>0.76158650976883657</v>
      </c>
      <c r="C10" s="6"/>
      <c r="D10" s="6"/>
      <c r="E10" s="6"/>
      <c r="F10" s="6"/>
    </row>
    <row r="11" spans="1:31" x14ac:dyDescent="0.25">
      <c r="A11" s="1" t="s">
        <v>0</v>
      </c>
      <c r="B11" s="6">
        <f>B5-B4</f>
        <v>-980295.66151199862</v>
      </c>
      <c r="C11" s="6"/>
      <c r="D11" s="6"/>
      <c r="E11" s="6"/>
      <c r="F11" s="6"/>
    </row>
    <row r="12" spans="1:31" x14ac:dyDescent="0.25">
      <c r="A12" s="1" t="s">
        <v>1</v>
      </c>
      <c r="B12" s="3">
        <f>B11/B4</f>
        <v>-8.8408277684402042E-2</v>
      </c>
      <c r="C12" s="6"/>
      <c r="D12" s="6"/>
      <c r="E12" s="6"/>
      <c r="F12" s="6"/>
    </row>
    <row r="13" spans="1:31" x14ac:dyDescent="0.25">
      <c r="A13" s="1" t="s">
        <v>48</v>
      </c>
      <c r="B13" s="6">
        <f>B6-B5</f>
        <v>3931876.5840289984</v>
      </c>
      <c r="C13" s="6"/>
      <c r="D13" s="6"/>
      <c r="E13" s="6"/>
      <c r="F13" s="6"/>
      <c r="AB13" s="16"/>
      <c r="AE13" s="16"/>
    </row>
    <row r="14" spans="1:31" x14ac:dyDescent="0.25">
      <c r="A14" s="1" t="s">
        <v>1</v>
      </c>
      <c r="B14" s="3">
        <f>B13/B5</f>
        <v>0.38898723877514918</v>
      </c>
      <c r="AE14" s="16"/>
    </row>
    <row r="15" spans="1:31" x14ac:dyDescent="0.25">
      <c r="A15" s="1" t="s">
        <v>49</v>
      </c>
      <c r="B15" s="12">
        <v>2534568.9300000002</v>
      </c>
      <c r="AE15" s="16"/>
    </row>
    <row r="16" spans="1:31" x14ac:dyDescent="0.25">
      <c r="A16" s="1" t="s">
        <v>50</v>
      </c>
      <c r="B16" s="16">
        <f>B6/B15</f>
        <v>5.5393482888887142</v>
      </c>
      <c r="C16" s="16"/>
      <c r="AE16" s="16"/>
    </row>
    <row r="17" spans="1:31" x14ac:dyDescent="0.25">
      <c r="AE17" s="16"/>
    </row>
    <row r="18" spans="1:31" x14ac:dyDescent="0.25">
      <c r="A18" s="9" t="s">
        <v>159</v>
      </c>
    </row>
    <row r="19" spans="1:31" x14ac:dyDescent="0.25">
      <c r="B19" s="2" t="s">
        <v>5</v>
      </c>
      <c r="C19" s="2" t="s">
        <v>25</v>
      </c>
      <c r="D19" s="2" t="s">
        <v>24</v>
      </c>
      <c r="E19" s="2" t="s">
        <v>26</v>
      </c>
      <c r="F19" s="2" t="s">
        <v>32</v>
      </c>
      <c r="G19" s="2" t="s">
        <v>150</v>
      </c>
      <c r="H19" s="2" t="s">
        <v>151</v>
      </c>
    </row>
    <row r="20" spans="1:31" x14ac:dyDescent="0.25">
      <c r="A20" s="10">
        <v>1990</v>
      </c>
      <c r="B20" s="6">
        <f>SUM(B38:D38)</f>
        <v>139987.86131000001</v>
      </c>
      <c r="C20" s="6">
        <f>SUM(E38:L38)</f>
        <v>1892623.2548150001</v>
      </c>
      <c r="D20" s="6">
        <f>SUM(M38:S38)</f>
        <v>1861381.1777510003</v>
      </c>
      <c r="E20" s="6">
        <f>SUM(T38:X38)</f>
        <v>1476585.6373159999</v>
      </c>
      <c r="F20" s="6">
        <f>SUM(Y38:AE38)</f>
        <v>923906.66065700003</v>
      </c>
      <c r="G20" s="4">
        <f>E20+D20</f>
        <v>3337966.8150670002</v>
      </c>
      <c r="H20" s="7">
        <f>G20/B3</f>
        <v>0.53030025991158636</v>
      </c>
    </row>
    <row r="21" spans="1:31" x14ac:dyDescent="0.25">
      <c r="A21" s="10">
        <v>2000</v>
      </c>
      <c r="B21" s="6">
        <f>SUM(B39:D39)</f>
        <v>176562.05015900001</v>
      </c>
      <c r="C21" s="6">
        <f>SUM(E39:L39)</f>
        <v>2556295.7779919999</v>
      </c>
      <c r="D21" s="6">
        <f>SUM(M39:S39)</f>
        <v>3260343.6172270002</v>
      </c>
      <c r="E21" s="6">
        <f>SUM(T39:X39)</f>
        <v>3507318.3834540001</v>
      </c>
      <c r="F21" s="6">
        <f>SUM(Y39:AE39)</f>
        <v>1587759.314117</v>
      </c>
      <c r="G21" s="4">
        <f t="shared" ref="G21:G31" si="0">E21+D21</f>
        <v>6767662.0006809998</v>
      </c>
      <c r="H21" s="7">
        <f>G21/B4</f>
        <v>0.61034376150103808</v>
      </c>
    </row>
    <row r="22" spans="1:31" x14ac:dyDescent="0.25">
      <c r="A22" s="10">
        <v>2010</v>
      </c>
      <c r="B22" s="6">
        <f>SUM(B40:D40)</f>
        <v>158598.550131</v>
      </c>
      <c r="C22" s="6">
        <f>SUM(E40:L40)</f>
        <v>2972258.5366770001</v>
      </c>
      <c r="D22" s="6">
        <f>SUM(M40:S40)</f>
        <v>3778811.8907569996</v>
      </c>
      <c r="E22" s="6">
        <f>SUM(T40:X40)</f>
        <v>1937058.0298659999</v>
      </c>
      <c r="F22" s="6">
        <f>SUM(Y40:AE40)</f>
        <v>1261256.4740060002</v>
      </c>
      <c r="G22" s="4">
        <f t="shared" si="0"/>
        <v>5715869.9206229998</v>
      </c>
      <c r="H22" s="7">
        <f>G22/B5</f>
        <v>0.56548073422557699</v>
      </c>
    </row>
    <row r="23" spans="1:31" x14ac:dyDescent="0.25">
      <c r="A23" s="10">
        <v>2015</v>
      </c>
      <c r="B23" s="6">
        <f>SUM(B41:D41)</f>
        <v>290402.67090299999</v>
      </c>
      <c r="C23" s="6">
        <f>SUM(E41:L41)</f>
        <v>3459139.6845010002</v>
      </c>
      <c r="D23" s="6">
        <f>SUM(M41:S41)</f>
        <v>5459397.7490109997</v>
      </c>
      <c r="E23" s="6">
        <f>SUM(T41:X41)</f>
        <v>3011206.1083519999</v>
      </c>
      <c r="F23" s="6">
        <f>SUM(Y41:AE41)</f>
        <v>1819713.8526989999</v>
      </c>
      <c r="G23" s="4">
        <f t="shared" si="0"/>
        <v>8470603.8573630005</v>
      </c>
      <c r="H23" s="7">
        <f>G23/B6</f>
        <v>0.60332537631185079</v>
      </c>
    </row>
    <row r="24" spans="1:31" x14ac:dyDescent="0.25">
      <c r="A24" s="1" t="s">
        <v>47</v>
      </c>
      <c r="B24" s="6">
        <f>B23-B20</f>
        <v>150414.80959299998</v>
      </c>
      <c r="C24" s="6">
        <f>C23-C20</f>
        <v>1566516.4296860001</v>
      </c>
      <c r="D24" s="6">
        <f>D23-D20</f>
        <v>3598016.5712599996</v>
      </c>
      <c r="E24" s="6">
        <f>E23-E20</f>
        <v>1534620.4710359999</v>
      </c>
      <c r="F24" s="6">
        <f>F23-F20</f>
        <v>895807.19204199989</v>
      </c>
      <c r="G24" s="4">
        <f t="shared" si="0"/>
        <v>5132637.0422959998</v>
      </c>
    </row>
    <row r="25" spans="1:31" x14ac:dyDescent="0.25">
      <c r="A25" s="1" t="s">
        <v>1</v>
      </c>
      <c r="B25" s="3">
        <f>B24/B20</f>
        <v>1.0744846602085714</v>
      </c>
      <c r="C25" s="3">
        <f>C24/C20</f>
        <v>0.82769585848670324</v>
      </c>
      <c r="D25" s="3">
        <f>D24/D20</f>
        <v>1.9329821394279252</v>
      </c>
      <c r="E25" s="3">
        <f>E24/E20</f>
        <v>1.0393033984980988</v>
      </c>
      <c r="F25" s="3">
        <f>F24/F20</f>
        <v>0.96958624738670218</v>
      </c>
      <c r="G25" s="7">
        <f t="shared" si="0"/>
        <v>2.972285537926024</v>
      </c>
    </row>
    <row r="26" spans="1:31" x14ac:dyDescent="0.25">
      <c r="A26" s="1" t="s">
        <v>2</v>
      </c>
      <c r="B26" s="6">
        <f>B21-B20</f>
        <v>36574.188848999998</v>
      </c>
      <c r="C26" s="6">
        <f>C21-C20</f>
        <v>663672.52317699976</v>
      </c>
      <c r="D26" s="6">
        <f>D21-D20</f>
        <v>1398962.4394759999</v>
      </c>
      <c r="E26" s="6">
        <f>E21-E20</f>
        <v>2030732.7461380002</v>
      </c>
      <c r="F26" s="6">
        <f>F21-F20</f>
        <v>663852.65345999994</v>
      </c>
      <c r="G26" s="4">
        <f t="shared" si="0"/>
        <v>3429695.1856140001</v>
      </c>
    </row>
    <row r="27" spans="1:31" x14ac:dyDescent="0.25">
      <c r="A27" s="1" t="s">
        <v>1</v>
      </c>
      <c r="B27" s="3">
        <f>B26/B20</f>
        <v>0.26126685918864972</v>
      </c>
      <c r="C27" s="3">
        <f>C26/C20</f>
        <v>0.3506627753244384</v>
      </c>
      <c r="D27" s="3">
        <f>D26/D20</f>
        <v>0.75157224978834569</v>
      </c>
      <c r="E27" s="3">
        <f>E26/E20</f>
        <v>1.3752895157705023</v>
      </c>
      <c r="F27" s="3">
        <f>F26/F20</f>
        <v>0.7185278359049031</v>
      </c>
      <c r="G27" s="7">
        <f t="shared" si="0"/>
        <v>2.1268617655588482</v>
      </c>
    </row>
    <row r="28" spans="1:31" x14ac:dyDescent="0.25">
      <c r="A28" s="1" t="s">
        <v>0</v>
      </c>
      <c r="B28" s="6">
        <f>B22-B21</f>
        <v>-17963.500028000009</v>
      </c>
      <c r="C28" s="6">
        <f>C22-C21</f>
        <v>415962.75868500024</v>
      </c>
      <c r="D28" s="6">
        <f>D22-D21</f>
        <v>518468.27352999942</v>
      </c>
      <c r="E28" s="6">
        <f>E22-E21</f>
        <v>-1570260.3535880002</v>
      </c>
      <c r="F28" s="6">
        <f>F22-F21</f>
        <v>-326502.84011099976</v>
      </c>
      <c r="G28" s="4">
        <f t="shared" si="0"/>
        <v>-1051792.0800580007</v>
      </c>
    </row>
    <row r="29" spans="1:31" x14ac:dyDescent="0.25">
      <c r="A29" s="1" t="s">
        <v>1</v>
      </c>
      <c r="B29" s="3">
        <f>B28/B21</f>
        <v>-0.10174043636117319</v>
      </c>
      <c r="C29" s="3">
        <f>C28/C21</f>
        <v>0.16272090353008517</v>
      </c>
      <c r="D29" s="3">
        <f>D28/D21</f>
        <v>0.15902258608280345</v>
      </c>
      <c r="E29" s="3">
        <f>E28/E21</f>
        <v>-0.44770966930056999</v>
      </c>
      <c r="F29" s="3">
        <f>F28/F21</f>
        <v>-0.20563749002006496</v>
      </c>
      <c r="G29" s="7">
        <f t="shared" si="0"/>
        <v>-0.28868708321776654</v>
      </c>
    </row>
    <row r="30" spans="1:31" x14ac:dyDescent="0.25">
      <c r="A30" s="1" t="s">
        <v>48</v>
      </c>
      <c r="B30" s="6">
        <f>B23-B22</f>
        <v>131804.12077199999</v>
      </c>
      <c r="C30" s="6">
        <f>C23-C22</f>
        <v>486881.1478240001</v>
      </c>
      <c r="D30" s="6">
        <f>D23-D22</f>
        <v>1680585.8582540001</v>
      </c>
      <c r="E30" s="6">
        <f>E23-E22</f>
        <v>1074148.078486</v>
      </c>
      <c r="F30" s="6">
        <f>F23-F22</f>
        <v>558457.37869299971</v>
      </c>
      <c r="G30" s="4">
        <f t="shared" si="0"/>
        <v>2754733.9367399998</v>
      </c>
    </row>
    <row r="31" spans="1:31" x14ac:dyDescent="0.25">
      <c r="A31" s="1" t="s">
        <v>1</v>
      </c>
      <c r="B31" s="3">
        <f>B30/B22</f>
        <v>0.83105501697923334</v>
      </c>
      <c r="C31" s="3">
        <f>C30/C22</f>
        <v>0.16380847823834857</v>
      </c>
      <c r="D31" s="3">
        <f>D30/D22</f>
        <v>0.44473922143749067</v>
      </c>
      <c r="E31" s="3">
        <f>E30/E22</f>
        <v>0.55452550306936665</v>
      </c>
      <c r="F31" s="3">
        <f>F30/F22</f>
        <v>0.44277860229270305</v>
      </c>
      <c r="G31" s="7">
        <f t="shared" si="0"/>
        <v>0.99926472450685733</v>
      </c>
    </row>
    <row r="32" spans="1:31" x14ac:dyDescent="0.25">
      <c r="A32" s="1" t="s">
        <v>49</v>
      </c>
      <c r="B32" s="6">
        <v>73001</v>
      </c>
      <c r="C32" s="6">
        <v>596451</v>
      </c>
      <c r="D32" s="6">
        <v>588201</v>
      </c>
      <c r="E32" s="6">
        <v>327613</v>
      </c>
      <c r="F32" s="6">
        <v>946373</v>
      </c>
      <c r="G32" s="4">
        <f>E32+D32</f>
        <v>915814</v>
      </c>
    </row>
    <row r="33" spans="1:41" x14ac:dyDescent="0.25">
      <c r="A33" s="1" t="s">
        <v>153</v>
      </c>
      <c r="B33" s="16">
        <f>B23/B32</f>
        <v>3.9780642854618429</v>
      </c>
      <c r="C33" s="16">
        <f t="shared" ref="C33:G33" si="1">C23/C32</f>
        <v>5.7995370692663775</v>
      </c>
      <c r="D33" s="16">
        <f t="shared" si="1"/>
        <v>9.2815172857764594</v>
      </c>
      <c r="E33" s="16">
        <f t="shared" si="1"/>
        <v>9.1913511013055036</v>
      </c>
      <c r="F33" s="16">
        <f t="shared" si="1"/>
        <v>1.9228294263456374</v>
      </c>
      <c r="G33" s="16">
        <f t="shared" si="1"/>
        <v>9.2492622490625838</v>
      </c>
    </row>
    <row r="35" spans="1:41" x14ac:dyDescent="0.25">
      <c r="A35" s="9" t="s">
        <v>162</v>
      </c>
    </row>
    <row r="36" spans="1:41" x14ac:dyDescent="0.25">
      <c r="A36" s="1" t="s">
        <v>3</v>
      </c>
      <c r="B36" s="48" t="s">
        <v>5</v>
      </c>
      <c r="C36" s="48"/>
      <c r="D36" s="48"/>
      <c r="E36" s="48" t="s">
        <v>25</v>
      </c>
      <c r="F36" s="48"/>
      <c r="G36" s="48"/>
      <c r="H36" s="48"/>
      <c r="I36" s="48"/>
      <c r="J36" s="48"/>
      <c r="K36" s="48"/>
      <c r="L36" s="48"/>
      <c r="M36" s="48" t="s">
        <v>24</v>
      </c>
      <c r="N36" s="48"/>
      <c r="O36" s="48"/>
      <c r="P36" s="48"/>
      <c r="Q36" s="48"/>
      <c r="R36" s="48"/>
      <c r="S36" s="48"/>
      <c r="T36" s="48" t="s">
        <v>26</v>
      </c>
      <c r="U36" s="48"/>
      <c r="V36" s="48"/>
      <c r="W36" s="48"/>
      <c r="X36" s="48"/>
      <c r="Y36" s="48" t="s">
        <v>32</v>
      </c>
      <c r="Z36" s="48"/>
      <c r="AA36" s="48"/>
      <c r="AB36" s="48"/>
      <c r="AC36" s="48"/>
      <c r="AD36" s="48"/>
      <c r="AE36" s="48"/>
      <c r="AF36" s="13"/>
      <c r="AG36" s="13"/>
      <c r="AH36" s="13"/>
      <c r="AI36" s="13"/>
      <c r="AJ36" s="13"/>
      <c r="AK36" s="13"/>
      <c r="AL36" s="13"/>
      <c r="AM36" s="13"/>
      <c r="AN36" s="13"/>
      <c r="AO36" s="13"/>
    </row>
    <row r="37" spans="1:41" x14ac:dyDescent="0.25">
      <c r="A37" s="1" t="s">
        <v>4</v>
      </c>
      <c r="B37" s="2" t="s">
        <v>6</v>
      </c>
      <c r="C37" s="2" t="s">
        <v>7</v>
      </c>
      <c r="D37" s="2" t="s">
        <v>8</v>
      </c>
      <c r="E37" s="2" t="s">
        <v>9</v>
      </c>
      <c r="F37" s="2" t="s">
        <v>10</v>
      </c>
      <c r="G37" s="2" t="s">
        <v>11</v>
      </c>
      <c r="H37" s="2" t="s">
        <v>12</v>
      </c>
      <c r="I37" s="2" t="s">
        <v>13</v>
      </c>
      <c r="J37" s="2" t="s">
        <v>14</v>
      </c>
      <c r="K37" s="2" t="s">
        <v>15</v>
      </c>
      <c r="L37" s="2" t="s">
        <v>16</v>
      </c>
      <c r="M37" s="2" t="s">
        <v>17</v>
      </c>
      <c r="N37" s="2" t="s">
        <v>18</v>
      </c>
      <c r="O37" s="2" t="s">
        <v>19</v>
      </c>
      <c r="P37" s="2" t="s">
        <v>20</v>
      </c>
      <c r="Q37" s="2" t="s">
        <v>21</v>
      </c>
      <c r="R37" s="2" t="s">
        <v>22</v>
      </c>
      <c r="S37" s="2" t="s">
        <v>23</v>
      </c>
      <c r="T37" s="2" t="s">
        <v>27</v>
      </c>
      <c r="U37" s="2" t="s">
        <v>28</v>
      </c>
      <c r="V37" s="2" t="s">
        <v>29</v>
      </c>
      <c r="W37" s="2" t="s">
        <v>30</v>
      </c>
      <c r="X37" s="2" t="s">
        <v>31</v>
      </c>
      <c r="Y37" s="2" t="s">
        <v>33</v>
      </c>
      <c r="Z37" s="2" t="s">
        <v>34</v>
      </c>
      <c r="AA37" s="2" t="s">
        <v>35</v>
      </c>
      <c r="AB37" s="1" t="s">
        <v>36</v>
      </c>
      <c r="AC37" s="1" t="s">
        <v>37</v>
      </c>
      <c r="AD37" s="1" t="s">
        <v>38</v>
      </c>
      <c r="AE37" s="1" t="s">
        <v>39</v>
      </c>
    </row>
    <row r="38" spans="1:41" x14ac:dyDescent="0.25">
      <c r="A38" s="10">
        <v>1990</v>
      </c>
      <c r="B38" s="6">
        <v>102705.33210100001</v>
      </c>
      <c r="C38" s="6">
        <v>14592.928339</v>
      </c>
      <c r="D38" s="6">
        <v>22689.600869999998</v>
      </c>
      <c r="E38" s="6">
        <v>217513.81138999999</v>
      </c>
      <c r="F38" s="6">
        <v>260881.43008600001</v>
      </c>
      <c r="G38" s="6">
        <v>180472.98482799999</v>
      </c>
      <c r="H38" s="6">
        <v>252298.67611199999</v>
      </c>
      <c r="I38" s="6">
        <v>305012.37196399999</v>
      </c>
      <c r="J38" s="6">
        <v>178353.41112199999</v>
      </c>
      <c r="K38" s="6">
        <v>326814.80839199998</v>
      </c>
      <c r="L38" s="6">
        <v>171275.76092100001</v>
      </c>
      <c r="M38" s="6">
        <v>284506.85617500002</v>
      </c>
      <c r="N38" s="6">
        <v>394409.65116299997</v>
      </c>
      <c r="O38" s="6">
        <v>277260.24869600002</v>
      </c>
      <c r="P38" s="6">
        <v>293217.27484700002</v>
      </c>
      <c r="Q38" s="6">
        <v>56072.034999000003</v>
      </c>
      <c r="R38" s="6">
        <v>162777.971082</v>
      </c>
      <c r="S38" s="6">
        <v>393137.14078900003</v>
      </c>
      <c r="T38" s="6">
        <v>248405.95983499999</v>
      </c>
      <c r="U38" s="6">
        <v>292065.96068999998</v>
      </c>
      <c r="V38" s="6">
        <v>449998.02505599998</v>
      </c>
      <c r="W38" s="6">
        <v>192160.13260899999</v>
      </c>
      <c r="X38" s="6">
        <v>293955.55912599998</v>
      </c>
      <c r="Y38" s="6">
        <v>79053.023283000002</v>
      </c>
      <c r="Z38" s="6">
        <v>220206.94400300001</v>
      </c>
      <c r="AA38" s="6">
        <v>196599.41417100001</v>
      </c>
      <c r="AB38" s="6">
        <v>121608.431245</v>
      </c>
      <c r="AC38" s="6">
        <v>48975.391814000002</v>
      </c>
      <c r="AD38" s="6">
        <v>182244.108488</v>
      </c>
      <c r="AE38" s="6">
        <v>75219.347653000004</v>
      </c>
      <c r="AF38" s="6"/>
    </row>
    <row r="39" spans="1:41" x14ac:dyDescent="0.25">
      <c r="A39" s="10">
        <v>2000</v>
      </c>
      <c r="B39" s="6">
        <v>127904.66095200001</v>
      </c>
      <c r="C39" s="6">
        <v>16349.072049</v>
      </c>
      <c r="D39" s="6">
        <v>32308.317158000002</v>
      </c>
      <c r="E39" s="6">
        <v>247710.03312099999</v>
      </c>
      <c r="F39" s="6">
        <v>235132.283321</v>
      </c>
      <c r="G39" s="6">
        <v>321510.12449000002</v>
      </c>
      <c r="H39" s="6">
        <v>434466.872424</v>
      </c>
      <c r="I39" s="6">
        <v>495580.59380799998</v>
      </c>
      <c r="J39" s="6">
        <v>305233.70779800002</v>
      </c>
      <c r="K39" s="6">
        <v>227201.82803800001</v>
      </c>
      <c r="L39" s="6">
        <v>289460.33499200002</v>
      </c>
      <c r="M39" s="6">
        <v>455494.694693</v>
      </c>
      <c r="N39" s="6">
        <v>841908.33894599997</v>
      </c>
      <c r="O39" s="6">
        <v>690877.29205100005</v>
      </c>
      <c r="P39" s="6">
        <v>347347.51944399998</v>
      </c>
      <c r="Q39" s="6">
        <v>119330.532423</v>
      </c>
      <c r="R39" s="6">
        <v>528681.937607</v>
      </c>
      <c r="S39" s="6">
        <v>276703.30206299998</v>
      </c>
      <c r="T39" s="6">
        <v>710995.259341</v>
      </c>
      <c r="U39" s="6">
        <v>621990.86626299995</v>
      </c>
      <c r="V39" s="6">
        <v>958478.77637900005</v>
      </c>
      <c r="W39" s="6">
        <v>435005.46229200001</v>
      </c>
      <c r="X39" s="6">
        <v>780848.01917900005</v>
      </c>
      <c r="Y39" s="6">
        <v>81475.237708999994</v>
      </c>
      <c r="Z39" s="6">
        <v>327670.177065</v>
      </c>
      <c r="AA39" s="6">
        <v>352130.192346</v>
      </c>
      <c r="AB39" s="6">
        <v>255767.268442</v>
      </c>
      <c r="AC39" s="6">
        <v>168866.74703299999</v>
      </c>
      <c r="AD39" s="6">
        <v>259550.02570299999</v>
      </c>
      <c r="AE39" s="6">
        <v>142299.66581899999</v>
      </c>
    </row>
    <row r="40" spans="1:41" x14ac:dyDescent="0.25">
      <c r="A40" s="10">
        <v>2010</v>
      </c>
      <c r="B40" s="6">
        <v>96697.894599000007</v>
      </c>
      <c r="C40" s="6">
        <v>26460.35398</v>
      </c>
      <c r="D40" s="6">
        <v>35440.301551999997</v>
      </c>
      <c r="E40" s="6">
        <v>235419.33744800001</v>
      </c>
      <c r="F40" s="6">
        <v>246720.146071</v>
      </c>
      <c r="G40" s="6">
        <v>312323.63007200003</v>
      </c>
      <c r="H40" s="6">
        <v>359928.58480999997</v>
      </c>
      <c r="I40" s="6">
        <v>880715.07237800001</v>
      </c>
      <c r="J40" s="6">
        <v>298386.199448</v>
      </c>
      <c r="K40" s="6">
        <v>342935.26048200001</v>
      </c>
      <c r="L40" s="6">
        <v>295830.30596799997</v>
      </c>
      <c r="M40" s="6">
        <v>612079.622646</v>
      </c>
      <c r="N40" s="6">
        <v>902187.336901</v>
      </c>
      <c r="O40" s="6">
        <v>756751.51628700003</v>
      </c>
      <c r="P40" s="6">
        <v>466140.60584500001</v>
      </c>
      <c r="Q40" s="6">
        <v>281808.830028</v>
      </c>
      <c r="R40" s="6">
        <v>478813.58248400001</v>
      </c>
      <c r="S40" s="6">
        <v>281030.39656600001</v>
      </c>
      <c r="T40" s="6">
        <v>435784.48385800002</v>
      </c>
      <c r="U40" s="6">
        <v>343746.58103900001</v>
      </c>
      <c r="V40" s="6">
        <v>363729.91928799998</v>
      </c>
      <c r="W40" s="6">
        <v>316424.85228599998</v>
      </c>
      <c r="X40" s="6">
        <v>477372.19339500001</v>
      </c>
      <c r="Y40" s="6">
        <v>96986.509241000007</v>
      </c>
      <c r="Z40" s="6">
        <v>246321.923232</v>
      </c>
      <c r="AA40" s="6">
        <v>298080.56696700002</v>
      </c>
      <c r="AB40" s="6">
        <v>202769.08212400001</v>
      </c>
      <c r="AC40" s="6">
        <v>102253.741968</v>
      </c>
      <c r="AD40" s="6">
        <v>214836.30371899999</v>
      </c>
      <c r="AE40" s="6">
        <v>100008.34675500001</v>
      </c>
    </row>
    <row r="41" spans="1:41" x14ac:dyDescent="0.25">
      <c r="A41" s="10">
        <v>2015</v>
      </c>
      <c r="B41" s="6">
        <v>209811.60904099999</v>
      </c>
      <c r="C41" s="6">
        <v>29984.411510999998</v>
      </c>
      <c r="D41" s="6">
        <v>50606.650350999997</v>
      </c>
      <c r="E41" s="6">
        <v>354504.49861800001</v>
      </c>
      <c r="F41" s="6">
        <v>290303.629763</v>
      </c>
      <c r="G41" s="6">
        <v>365743.96698899998</v>
      </c>
      <c r="H41" s="6">
        <v>637176.42998599994</v>
      </c>
      <c r="I41" s="6">
        <v>705860.01742799999</v>
      </c>
      <c r="J41" s="6">
        <v>303409.34851099999</v>
      </c>
      <c r="K41" s="6">
        <v>513686.727617</v>
      </c>
      <c r="L41" s="6">
        <v>288455.06558900001</v>
      </c>
      <c r="M41" s="6">
        <v>866925.56249299995</v>
      </c>
      <c r="N41" s="6">
        <v>1083841.2332830001</v>
      </c>
      <c r="O41" s="6">
        <v>970740.83038000006</v>
      </c>
      <c r="P41" s="6">
        <v>683951.92067200004</v>
      </c>
      <c r="Q41" s="6">
        <v>306597.80765899998</v>
      </c>
      <c r="R41" s="6">
        <v>903930.30996500002</v>
      </c>
      <c r="S41" s="6">
        <v>643410.08455899998</v>
      </c>
      <c r="T41" s="6">
        <v>567696.73612200003</v>
      </c>
      <c r="U41" s="6">
        <v>775697.05262600002</v>
      </c>
      <c r="V41" s="6">
        <v>724725.56578099995</v>
      </c>
      <c r="W41" s="6">
        <v>394701.83271500003</v>
      </c>
      <c r="X41" s="6">
        <v>548384.92110799998</v>
      </c>
      <c r="Y41" s="6">
        <v>108612.15264499999</v>
      </c>
      <c r="Z41" s="6">
        <v>394822.56699399999</v>
      </c>
      <c r="AA41" s="6">
        <v>357214.49388600001</v>
      </c>
      <c r="AB41" s="6">
        <v>271591.30450899998</v>
      </c>
      <c r="AC41" s="6">
        <v>200317.68281299999</v>
      </c>
      <c r="AD41" s="6">
        <v>321339.26848899998</v>
      </c>
      <c r="AE41" s="6">
        <v>165816.383363</v>
      </c>
    </row>
    <row r="42" spans="1:41" x14ac:dyDescent="0.25">
      <c r="A42" s="1" t="s">
        <v>47</v>
      </c>
      <c r="B42" s="6">
        <f t="shared" ref="B42:AE42" si="2">B41-B38</f>
        <v>107106.27693999998</v>
      </c>
      <c r="C42" s="6">
        <f t="shared" si="2"/>
        <v>15391.483171999998</v>
      </c>
      <c r="D42" s="6">
        <f t="shared" si="2"/>
        <v>27917.049480999998</v>
      </c>
      <c r="E42" s="6">
        <f t="shared" si="2"/>
        <v>136990.68722800002</v>
      </c>
      <c r="F42" s="6">
        <f t="shared" si="2"/>
        <v>29422.199676999997</v>
      </c>
      <c r="G42" s="6">
        <f t="shared" si="2"/>
        <v>185270.98216099999</v>
      </c>
      <c r="H42" s="6">
        <f t="shared" si="2"/>
        <v>384877.75387399993</v>
      </c>
      <c r="I42" s="6">
        <f t="shared" si="2"/>
        <v>400847.645464</v>
      </c>
      <c r="J42" s="6">
        <f t="shared" si="2"/>
        <v>125055.937389</v>
      </c>
      <c r="K42" s="6">
        <f t="shared" si="2"/>
        <v>186871.91922500002</v>
      </c>
      <c r="L42" s="6">
        <f t="shared" si="2"/>
        <v>117179.304668</v>
      </c>
      <c r="M42" s="6">
        <f t="shared" si="2"/>
        <v>582418.70631799987</v>
      </c>
      <c r="N42" s="6">
        <f t="shared" si="2"/>
        <v>689431.58212000015</v>
      </c>
      <c r="O42" s="6">
        <f t="shared" si="2"/>
        <v>693480.58168400009</v>
      </c>
      <c r="P42" s="6">
        <f t="shared" si="2"/>
        <v>390734.64582500001</v>
      </c>
      <c r="Q42" s="6">
        <f t="shared" si="2"/>
        <v>250525.77265999999</v>
      </c>
      <c r="R42" s="6">
        <f t="shared" si="2"/>
        <v>741152.33888299996</v>
      </c>
      <c r="S42" s="6">
        <f t="shared" si="2"/>
        <v>250272.94376999995</v>
      </c>
      <c r="T42" s="6">
        <f t="shared" si="2"/>
        <v>319290.77628700004</v>
      </c>
      <c r="U42" s="6">
        <f t="shared" si="2"/>
        <v>483631.09193600004</v>
      </c>
      <c r="V42" s="6">
        <f t="shared" si="2"/>
        <v>274727.54072499997</v>
      </c>
      <c r="W42" s="6">
        <f t="shared" si="2"/>
        <v>202541.70010600003</v>
      </c>
      <c r="X42" s="6">
        <f t="shared" si="2"/>
        <v>254429.361982</v>
      </c>
      <c r="Y42" s="6">
        <f t="shared" si="2"/>
        <v>29559.129361999992</v>
      </c>
      <c r="Z42" s="6">
        <f t="shared" si="2"/>
        <v>174615.62299099998</v>
      </c>
      <c r="AA42" s="6">
        <f t="shared" si="2"/>
        <v>160615.079715</v>
      </c>
      <c r="AB42" s="6">
        <f t="shared" si="2"/>
        <v>149982.87326399999</v>
      </c>
      <c r="AC42" s="6">
        <f t="shared" si="2"/>
        <v>151342.29099899999</v>
      </c>
      <c r="AD42" s="6">
        <f t="shared" si="2"/>
        <v>139095.16000099998</v>
      </c>
      <c r="AE42" s="6">
        <f t="shared" si="2"/>
        <v>90597.035709999996</v>
      </c>
    </row>
    <row r="43" spans="1:41" x14ac:dyDescent="0.25">
      <c r="A43" s="1" t="s">
        <v>1</v>
      </c>
      <c r="B43" s="3">
        <f t="shared" ref="B43:AE43" si="3">B42/B38</f>
        <v>1.0428502079587465</v>
      </c>
      <c r="C43" s="3">
        <f t="shared" si="3"/>
        <v>1.0547220416937044</v>
      </c>
      <c r="D43" s="3">
        <f t="shared" si="3"/>
        <v>1.2303896239052705</v>
      </c>
      <c r="E43" s="3">
        <f t="shared" si="3"/>
        <v>0.62980224728064349</v>
      </c>
      <c r="F43" s="3">
        <f t="shared" si="3"/>
        <v>0.11277996930368298</v>
      </c>
      <c r="G43" s="3">
        <f t="shared" si="3"/>
        <v>1.0265856817161458</v>
      </c>
      <c r="H43" s="3">
        <f t="shared" si="3"/>
        <v>1.5254846351359594</v>
      </c>
      <c r="I43" s="3">
        <f t="shared" si="3"/>
        <v>1.3142012662729341</v>
      </c>
      <c r="J43" s="3">
        <f t="shared" si="3"/>
        <v>0.70116930538243172</v>
      </c>
      <c r="K43" s="3">
        <f t="shared" si="3"/>
        <v>0.57179758819513271</v>
      </c>
      <c r="L43" s="3">
        <f t="shared" si="3"/>
        <v>0.68415579669821636</v>
      </c>
      <c r="M43" s="3">
        <f t="shared" si="3"/>
        <v>2.0471165937728912</v>
      </c>
      <c r="N43" s="3">
        <f t="shared" si="3"/>
        <v>1.7480089041611073</v>
      </c>
      <c r="O43" s="3">
        <f t="shared" si="3"/>
        <v>2.5011900730290471</v>
      </c>
      <c r="P43" s="3">
        <f t="shared" si="3"/>
        <v>1.3325771683434555</v>
      </c>
      <c r="Q43" s="3">
        <f t="shared" si="3"/>
        <v>4.4679272415290061</v>
      </c>
      <c r="R43" s="3">
        <f t="shared" si="3"/>
        <v>4.5531488932838569</v>
      </c>
      <c r="S43" s="3">
        <f t="shared" si="3"/>
        <v>0.63660468015746063</v>
      </c>
      <c r="T43" s="3">
        <f t="shared" si="3"/>
        <v>1.2853587591017714</v>
      </c>
      <c r="U43" s="3">
        <f t="shared" si="3"/>
        <v>1.6558968076712235</v>
      </c>
      <c r="V43" s="3">
        <f t="shared" si="3"/>
        <v>0.61050832543278721</v>
      </c>
      <c r="W43" s="3">
        <f t="shared" si="3"/>
        <v>1.0540256053950798</v>
      </c>
      <c r="X43" s="3">
        <f t="shared" si="3"/>
        <v>0.86553682719414871</v>
      </c>
      <c r="Y43" s="3">
        <f t="shared" si="3"/>
        <v>0.3739152297336179</v>
      </c>
      <c r="Z43" s="3">
        <f t="shared" si="3"/>
        <v>0.79296147440573483</v>
      </c>
      <c r="AA43" s="3">
        <f t="shared" si="3"/>
        <v>0.81696621728129248</v>
      </c>
      <c r="AB43" s="3">
        <f t="shared" si="3"/>
        <v>1.2333262729278618</v>
      </c>
      <c r="AC43" s="3">
        <f t="shared" si="3"/>
        <v>3.0901700914159425</v>
      </c>
      <c r="AD43" s="3">
        <f t="shared" si="3"/>
        <v>0.76323542722457227</v>
      </c>
      <c r="AE43" s="3">
        <f t="shared" si="3"/>
        <v>1.2044379343455616</v>
      </c>
    </row>
    <row r="44" spans="1:41" x14ac:dyDescent="0.25">
      <c r="A44" s="1" t="s">
        <v>2</v>
      </c>
      <c r="B44" s="6">
        <f t="shared" ref="B44:AE44" si="4">B39-B38</f>
        <v>25199.328850999998</v>
      </c>
      <c r="C44" s="6">
        <f t="shared" si="4"/>
        <v>1756.1437100000003</v>
      </c>
      <c r="D44" s="6">
        <f t="shared" si="4"/>
        <v>9618.7162880000033</v>
      </c>
      <c r="E44" s="6">
        <f t="shared" si="4"/>
        <v>30196.221730999998</v>
      </c>
      <c r="F44" s="6">
        <f t="shared" si="4"/>
        <v>-25749.146765000012</v>
      </c>
      <c r="G44" s="6">
        <f t="shared" si="4"/>
        <v>141037.13966200003</v>
      </c>
      <c r="H44" s="6">
        <f t="shared" si="4"/>
        <v>182168.19631200001</v>
      </c>
      <c r="I44" s="6">
        <f t="shared" si="4"/>
        <v>190568.22184399999</v>
      </c>
      <c r="J44" s="6">
        <f t="shared" si="4"/>
        <v>126880.29667600003</v>
      </c>
      <c r="K44" s="6">
        <f t="shared" si="4"/>
        <v>-99612.98035399997</v>
      </c>
      <c r="L44" s="6">
        <f t="shared" si="4"/>
        <v>118184.57407100001</v>
      </c>
      <c r="M44" s="6">
        <f t="shared" si="4"/>
        <v>170987.83851799998</v>
      </c>
      <c r="N44" s="6">
        <f t="shared" si="4"/>
        <v>447498.687783</v>
      </c>
      <c r="O44" s="6">
        <f t="shared" si="4"/>
        <v>413617.04335500003</v>
      </c>
      <c r="P44" s="6">
        <f t="shared" si="4"/>
        <v>54130.244596999954</v>
      </c>
      <c r="Q44" s="6">
        <f t="shared" si="4"/>
        <v>63258.497423999994</v>
      </c>
      <c r="R44" s="6">
        <f t="shared" si="4"/>
        <v>365903.966525</v>
      </c>
      <c r="S44" s="6">
        <f t="shared" si="4"/>
        <v>-116433.83872600005</v>
      </c>
      <c r="T44" s="6">
        <f t="shared" si="4"/>
        <v>462589.29950600001</v>
      </c>
      <c r="U44" s="6">
        <f t="shared" si="4"/>
        <v>329924.90557299997</v>
      </c>
      <c r="V44" s="6">
        <f t="shared" si="4"/>
        <v>508480.75132300006</v>
      </c>
      <c r="W44" s="6">
        <f t="shared" si="4"/>
        <v>242845.32968300002</v>
      </c>
      <c r="X44" s="6">
        <f t="shared" si="4"/>
        <v>486892.46005300008</v>
      </c>
      <c r="Y44" s="6">
        <f t="shared" si="4"/>
        <v>2422.2144259999914</v>
      </c>
      <c r="Z44" s="6">
        <f t="shared" si="4"/>
        <v>107463.23306199998</v>
      </c>
      <c r="AA44" s="6">
        <f t="shared" si="4"/>
        <v>155530.77817499998</v>
      </c>
      <c r="AB44" s="6">
        <f t="shared" si="4"/>
        <v>134158.83719699999</v>
      </c>
      <c r="AC44" s="6">
        <f t="shared" si="4"/>
        <v>119891.35521899999</v>
      </c>
      <c r="AD44" s="6">
        <f t="shared" si="4"/>
        <v>77305.917214999994</v>
      </c>
      <c r="AE44" s="6">
        <f t="shared" si="4"/>
        <v>67080.318165999983</v>
      </c>
    </row>
    <row r="45" spans="1:41" x14ac:dyDescent="0.25">
      <c r="A45" s="1" t="s">
        <v>1</v>
      </c>
      <c r="B45" s="3">
        <f t="shared" ref="B45:AE45" si="5">B44/B38</f>
        <v>0.24535560457775532</v>
      </c>
      <c r="C45" s="3">
        <f t="shared" si="5"/>
        <v>0.12034210469646851</v>
      </c>
      <c r="D45" s="3">
        <f t="shared" si="5"/>
        <v>0.42392620051407737</v>
      </c>
      <c r="E45" s="3">
        <f t="shared" si="5"/>
        <v>0.1388243879229282</v>
      </c>
      <c r="F45" s="3">
        <f t="shared" si="5"/>
        <v>-9.8700573500044686E-2</v>
      </c>
      <c r="G45" s="3">
        <f t="shared" si="5"/>
        <v>0.78148615869802152</v>
      </c>
      <c r="H45" s="3">
        <f t="shared" si="5"/>
        <v>0.72203389696397868</v>
      </c>
      <c r="I45" s="3">
        <f t="shared" si="5"/>
        <v>0.62478849830554539</v>
      </c>
      <c r="J45" s="3">
        <f t="shared" si="5"/>
        <v>0.71139820583083468</v>
      </c>
      <c r="K45" s="3">
        <f t="shared" si="5"/>
        <v>-0.3047994699019837</v>
      </c>
      <c r="L45" s="3">
        <f t="shared" si="5"/>
        <v>0.6900251000812192</v>
      </c>
      <c r="M45" s="3">
        <f t="shared" si="5"/>
        <v>0.60099725123258696</v>
      </c>
      <c r="N45" s="3">
        <f t="shared" si="5"/>
        <v>1.1346037970000373</v>
      </c>
      <c r="O45" s="3">
        <f t="shared" si="5"/>
        <v>1.4918007370342778</v>
      </c>
      <c r="P45" s="3">
        <f t="shared" si="5"/>
        <v>0.18460796562973641</v>
      </c>
      <c r="Q45" s="3">
        <f t="shared" si="5"/>
        <v>1.128164822716496</v>
      </c>
      <c r="R45" s="3">
        <f t="shared" si="5"/>
        <v>2.2478715276569856</v>
      </c>
      <c r="S45" s="3">
        <f t="shared" si="5"/>
        <v>-0.29616596003197532</v>
      </c>
      <c r="T45" s="3">
        <f t="shared" si="5"/>
        <v>1.8622310825926567</v>
      </c>
      <c r="U45" s="3">
        <f t="shared" si="5"/>
        <v>1.1296246395627858</v>
      </c>
      <c r="V45" s="3">
        <f t="shared" si="5"/>
        <v>1.1299621843000804</v>
      </c>
      <c r="W45" s="3">
        <f t="shared" si="5"/>
        <v>1.263765414739447</v>
      </c>
      <c r="X45" s="3">
        <f t="shared" si="5"/>
        <v>1.6563471754051788</v>
      </c>
      <c r="Y45" s="3">
        <f t="shared" si="5"/>
        <v>3.0640376868684257E-2</v>
      </c>
      <c r="Z45" s="3">
        <f t="shared" si="5"/>
        <v>0.48801019217875324</v>
      </c>
      <c r="AA45" s="3">
        <f t="shared" si="5"/>
        <v>0.79110499301753268</v>
      </c>
      <c r="AB45" s="3">
        <f t="shared" si="5"/>
        <v>1.1032034195615528</v>
      </c>
      <c r="AC45" s="3">
        <f t="shared" si="5"/>
        <v>2.4479917521502728</v>
      </c>
      <c r="AD45" s="3">
        <f t="shared" si="5"/>
        <v>0.42418884130945861</v>
      </c>
      <c r="AE45" s="3">
        <f t="shared" si="5"/>
        <v>0.89179606389905441</v>
      </c>
    </row>
    <row r="46" spans="1:41" x14ac:dyDescent="0.25">
      <c r="A46" s="1" t="s">
        <v>0</v>
      </c>
      <c r="B46" s="6">
        <f t="shared" ref="B46:AE46" si="6">B40-B39</f>
        <v>-31206.766352999999</v>
      </c>
      <c r="C46" s="6">
        <f t="shared" si="6"/>
        <v>10111.281931</v>
      </c>
      <c r="D46" s="6">
        <f t="shared" si="6"/>
        <v>3131.9843939999955</v>
      </c>
      <c r="E46" s="6">
        <f t="shared" si="6"/>
        <v>-12290.69567299998</v>
      </c>
      <c r="F46" s="6">
        <f t="shared" si="6"/>
        <v>11587.86275</v>
      </c>
      <c r="G46" s="6">
        <f t="shared" si="6"/>
        <v>-9186.4944179999875</v>
      </c>
      <c r="H46" s="6">
        <f t="shared" si="6"/>
        <v>-74538.28761400003</v>
      </c>
      <c r="I46" s="6">
        <f t="shared" si="6"/>
        <v>385134.47857000004</v>
      </c>
      <c r="J46" s="6">
        <f t="shared" si="6"/>
        <v>-6847.5083500000183</v>
      </c>
      <c r="K46" s="6">
        <f t="shared" si="6"/>
        <v>115733.43244400001</v>
      </c>
      <c r="L46" s="6">
        <f t="shared" si="6"/>
        <v>6369.9709759999532</v>
      </c>
      <c r="M46" s="6">
        <f t="shared" si="6"/>
        <v>156584.92795300001</v>
      </c>
      <c r="N46" s="6">
        <f t="shared" si="6"/>
        <v>60278.997955000028</v>
      </c>
      <c r="O46" s="6">
        <f t="shared" si="6"/>
        <v>65874.22423599998</v>
      </c>
      <c r="P46" s="6">
        <f t="shared" si="6"/>
        <v>118793.08640100004</v>
      </c>
      <c r="Q46" s="6">
        <f t="shared" si="6"/>
        <v>162478.297605</v>
      </c>
      <c r="R46" s="6">
        <f t="shared" si="6"/>
        <v>-49868.355122999987</v>
      </c>
      <c r="S46" s="6">
        <f t="shared" si="6"/>
        <v>4327.0945030000294</v>
      </c>
      <c r="T46" s="6">
        <f t="shared" si="6"/>
        <v>-275210.77548299998</v>
      </c>
      <c r="U46" s="6">
        <f t="shared" si="6"/>
        <v>-278244.28522399993</v>
      </c>
      <c r="V46" s="6">
        <f t="shared" si="6"/>
        <v>-594748.85709100007</v>
      </c>
      <c r="W46" s="6">
        <f t="shared" si="6"/>
        <v>-118580.61000600003</v>
      </c>
      <c r="X46" s="6">
        <f t="shared" si="6"/>
        <v>-303475.82578400004</v>
      </c>
      <c r="Y46" s="6">
        <f t="shared" si="6"/>
        <v>15511.271532000013</v>
      </c>
      <c r="Z46" s="6">
        <f t="shared" si="6"/>
        <v>-81348.253832999995</v>
      </c>
      <c r="AA46" s="6">
        <f t="shared" si="6"/>
        <v>-54049.625378999976</v>
      </c>
      <c r="AB46" s="6">
        <f t="shared" si="6"/>
        <v>-52998.186317999993</v>
      </c>
      <c r="AC46" s="6">
        <f t="shared" si="6"/>
        <v>-66613.00506499999</v>
      </c>
      <c r="AD46" s="6">
        <f t="shared" si="6"/>
        <v>-44713.721984000003</v>
      </c>
      <c r="AE46" s="6">
        <f t="shared" si="6"/>
        <v>-42291.319063999981</v>
      </c>
    </row>
    <row r="47" spans="1:41" x14ac:dyDescent="0.25">
      <c r="A47" s="1" t="s">
        <v>1</v>
      </c>
      <c r="B47" s="3">
        <f t="shared" ref="B47:AE47" si="7">B46/B39</f>
        <v>-0.24398459071566797</v>
      </c>
      <c r="C47" s="3">
        <f t="shared" si="7"/>
        <v>0.61846213049250476</v>
      </c>
      <c r="D47" s="3">
        <f t="shared" si="7"/>
        <v>9.6940499212119169E-2</v>
      </c>
      <c r="E47" s="3">
        <f t="shared" si="7"/>
        <v>-4.9617270314587104E-2</v>
      </c>
      <c r="F47" s="3">
        <f t="shared" si="7"/>
        <v>4.9282312859525029E-2</v>
      </c>
      <c r="G47" s="3">
        <f t="shared" si="7"/>
        <v>-2.8572955307619611E-2</v>
      </c>
      <c r="H47" s="3">
        <f t="shared" si="7"/>
        <v>-0.17156264917997582</v>
      </c>
      <c r="I47" s="3">
        <f t="shared" si="7"/>
        <v>0.77713793353096983</v>
      </c>
      <c r="J47" s="3">
        <f t="shared" si="7"/>
        <v>-2.2433657145532616E-2</v>
      </c>
      <c r="K47" s="3">
        <f t="shared" si="7"/>
        <v>0.50938600909779364</v>
      </c>
      <c r="L47" s="3">
        <f t="shared" si="7"/>
        <v>2.2006369115049922E-2</v>
      </c>
      <c r="M47" s="3">
        <f t="shared" si="7"/>
        <v>0.3437689390839932</v>
      </c>
      <c r="N47" s="3">
        <f t="shared" si="7"/>
        <v>7.1598053097400582E-2</v>
      </c>
      <c r="O47" s="3">
        <f t="shared" si="7"/>
        <v>9.5348660310487082E-2</v>
      </c>
      <c r="P47" s="3">
        <f t="shared" si="7"/>
        <v>0.34200067583943716</v>
      </c>
      <c r="Q47" s="3">
        <f t="shared" si="7"/>
        <v>1.3615819380496086</v>
      </c>
      <c r="R47" s="3">
        <f t="shared" si="7"/>
        <v>-9.4325815912534597E-2</v>
      </c>
      <c r="S47" s="3">
        <f t="shared" si="7"/>
        <v>1.5638029870763282E-2</v>
      </c>
      <c r="T47" s="3">
        <f t="shared" si="7"/>
        <v>-0.38707821447091578</v>
      </c>
      <c r="U47" s="3">
        <f t="shared" si="7"/>
        <v>-0.44734464815492697</v>
      </c>
      <c r="V47" s="3">
        <f t="shared" si="7"/>
        <v>-0.62051332981819252</v>
      </c>
      <c r="W47" s="3">
        <f t="shared" si="7"/>
        <v>-0.27259568047998922</v>
      </c>
      <c r="X47" s="3">
        <f t="shared" si="7"/>
        <v>-0.38864903070776935</v>
      </c>
      <c r="Y47" s="3">
        <f t="shared" si="7"/>
        <v>0.19038019364117292</v>
      </c>
      <c r="Z47" s="3">
        <f t="shared" si="7"/>
        <v>-0.2482626113906696</v>
      </c>
      <c r="AA47" s="3">
        <f t="shared" si="7"/>
        <v>-0.15349330035832684</v>
      </c>
      <c r="AB47" s="3">
        <f t="shared" si="7"/>
        <v>-0.20721254381312018</v>
      </c>
      <c r="AC47" s="3">
        <f t="shared" si="7"/>
        <v>-0.39447082528321847</v>
      </c>
      <c r="AD47" s="3">
        <f t="shared" si="7"/>
        <v>-0.17227400329817491</v>
      </c>
      <c r="AE47" s="3">
        <f t="shared" si="7"/>
        <v>-0.29719900479452288</v>
      </c>
    </row>
    <row r="48" spans="1:41" x14ac:dyDescent="0.25">
      <c r="A48" s="1" t="s">
        <v>48</v>
      </c>
      <c r="B48" s="6">
        <f t="shared" ref="B48:AE48" si="8">B41-B40</f>
        <v>113113.71444199998</v>
      </c>
      <c r="C48" s="6">
        <f t="shared" si="8"/>
        <v>3524.0575309999986</v>
      </c>
      <c r="D48" s="6">
        <f t="shared" si="8"/>
        <v>15166.348798999999</v>
      </c>
      <c r="E48" s="6">
        <f t="shared" si="8"/>
        <v>119085.16117000001</v>
      </c>
      <c r="F48" s="6">
        <f t="shared" si="8"/>
        <v>43583.483692000009</v>
      </c>
      <c r="G48" s="6">
        <f t="shared" si="8"/>
        <v>53420.33691699995</v>
      </c>
      <c r="H48" s="6">
        <f t="shared" si="8"/>
        <v>277247.84517599997</v>
      </c>
      <c r="I48" s="6">
        <f t="shared" si="8"/>
        <v>-174855.05495000002</v>
      </c>
      <c r="J48" s="6">
        <f t="shared" si="8"/>
        <v>5023.1490629999898</v>
      </c>
      <c r="K48" s="6">
        <f t="shared" si="8"/>
        <v>170751.46713499998</v>
      </c>
      <c r="L48" s="6">
        <f t="shared" si="8"/>
        <v>-7375.2403789999662</v>
      </c>
      <c r="M48" s="6">
        <f t="shared" si="8"/>
        <v>254845.93984699994</v>
      </c>
      <c r="N48" s="6">
        <f t="shared" si="8"/>
        <v>181653.89638200006</v>
      </c>
      <c r="O48" s="6">
        <f t="shared" si="8"/>
        <v>213989.31409300002</v>
      </c>
      <c r="P48" s="6">
        <f t="shared" si="8"/>
        <v>217811.31482700002</v>
      </c>
      <c r="Q48" s="6">
        <f t="shared" si="8"/>
        <v>24788.977630999987</v>
      </c>
      <c r="R48" s="6">
        <f t="shared" si="8"/>
        <v>425116.72748100001</v>
      </c>
      <c r="S48" s="6">
        <f t="shared" si="8"/>
        <v>362379.68799299997</v>
      </c>
      <c r="T48" s="6">
        <f t="shared" si="8"/>
        <v>131912.25226400001</v>
      </c>
      <c r="U48" s="6">
        <f t="shared" si="8"/>
        <v>431950.47158700001</v>
      </c>
      <c r="V48" s="6">
        <f t="shared" si="8"/>
        <v>360995.64649299998</v>
      </c>
      <c r="W48" s="6">
        <f t="shared" si="8"/>
        <v>78276.980429000047</v>
      </c>
      <c r="X48" s="6">
        <f t="shared" si="8"/>
        <v>71012.727712999971</v>
      </c>
      <c r="Y48" s="6">
        <f t="shared" si="8"/>
        <v>11625.643403999988</v>
      </c>
      <c r="Z48" s="6">
        <f t="shared" si="8"/>
        <v>148500.64376199999</v>
      </c>
      <c r="AA48" s="6">
        <f t="shared" si="8"/>
        <v>59133.92691899999</v>
      </c>
      <c r="AB48" s="6">
        <f t="shared" si="8"/>
        <v>68822.222384999972</v>
      </c>
      <c r="AC48" s="6">
        <f t="shared" si="8"/>
        <v>98063.94084499999</v>
      </c>
      <c r="AD48" s="6">
        <f t="shared" si="8"/>
        <v>106502.96476999999</v>
      </c>
      <c r="AE48" s="6">
        <f t="shared" si="8"/>
        <v>65808.036607999995</v>
      </c>
    </row>
    <row r="49" spans="1:48" x14ac:dyDescent="0.25">
      <c r="A49" s="1" t="s">
        <v>1</v>
      </c>
      <c r="B49" s="3">
        <f t="shared" ref="B49:AE49" si="9">B48/B40</f>
        <v>1.1697639841185306</v>
      </c>
      <c r="C49" s="3">
        <f t="shared" si="9"/>
        <v>0.13318255430987996</v>
      </c>
      <c r="D49" s="3">
        <f t="shared" si="9"/>
        <v>0.42794073794059234</v>
      </c>
      <c r="E49" s="3">
        <f t="shared" si="9"/>
        <v>0.50584273348532305</v>
      </c>
      <c r="F49" s="3">
        <f t="shared" si="9"/>
        <v>0.17665149922316337</v>
      </c>
      <c r="G49" s="3">
        <f t="shared" si="9"/>
        <v>0.17104161124371201</v>
      </c>
      <c r="H49" s="3">
        <f t="shared" si="9"/>
        <v>0.77028570910074923</v>
      </c>
      <c r="I49" s="3">
        <f t="shared" si="9"/>
        <v>-0.19853759795194331</v>
      </c>
      <c r="J49" s="3">
        <f t="shared" si="9"/>
        <v>1.6834388025627766E-2</v>
      </c>
      <c r="K49" s="3">
        <f t="shared" si="9"/>
        <v>0.49791166675309667</v>
      </c>
      <c r="L49" s="3">
        <f t="shared" si="9"/>
        <v>-2.4930645137478738E-2</v>
      </c>
      <c r="M49" s="3">
        <f t="shared" si="9"/>
        <v>0.41636076487125867</v>
      </c>
      <c r="N49" s="3">
        <f t="shared" si="9"/>
        <v>0.20134831087962116</v>
      </c>
      <c r="O49" s="3">
        <f t="shared" si="9"/>
        <v>0.28277355180328967</v>
      </c>
      <c r="P49" s="3">
        <f t="shared" si="9"/>
        <v>0.46726526738034518</v>
      </c>
      <c r="Q49" s="3">
        <f t="shared" si="9"/>
        <v>8.7963807338957409E-2</v>
      </c>
      <c r="R49" s="3">
        <f t="shared" si="9"/>
        <v>0.88785436134783347</v>
      </c>
      <c r="S49" s="3">
        <f t="shared" si="9"/>
        <v>1.2894679451797133</v>
      </c>
      <c r="T49" s="3">
        <f t="shared" si="9"/>
        <v>0.30270066317226546</v>
      </c>
      <c r="U49" s="3">
        <f t="shared" si="9"/>
        <v>1.2565956882578935</v>
      </c>
      <c r="V49" s="3">
        <f t="shared" si="9"/>
        <v>0.99248268385412908</v>
      </c>
      <c r="W49" s="3">
        <f t="shared" si="9"/>
        <v>0.24737936942528632</v>
      </c>
      <c r="X49" s="3">
        <f t="shared" si="9"/>
        <v>0.14875757049854124</v>
      </c>
      <c r="Y49" s="3">
        <f t="shared" si="9"/>
        <v>0.11986866518838861</v>
      </c>
      <c r="Z49" s="3">
        <f t="shared" si="9"/>
        <v>0.60287221621817899</v>
      </c>
      <c r="AA49" s="3">
        <f t="shared" si="9"/>
        <v>0.19838236192548106</v>
      </c>
      <c r="AB49" s="3">
        <f t="shared" si="9"/>
        <v>0.33941181596370251</v>
      </c>
      <c r="AC49" s="3">
        <f t="shared" si="9"/>
        <v>0.95902544941278334</v>
      </c>
      <c r="AD49" s="3">
        <f t="shared" si="9"/>
        <v>0.49574007244745261</v>
      </c>
      <c r="AE49" s="3">
        <f t="shared" si="9"/>
        <v>0.6580254423084928</v>
      </c>
    </row>
    <row r="50" spans="1:48" x14ac:dyDescent="0.25">
      <c r="A50" s="1" t="s">
        <v>49</v>
      </c>
      <c r="B50" s="6">
        <v>42929</v>
      </c>
      <c r="C50" s="6">
        <v>16674</v>
      </c>
      <c r="D50" s="6">
        <v>13398</v>
      </c>
      <c r="E50" s="6">
        <v>67933</v>
      </c>
      <c r="F50" s="6">
        <v>58163</v>
      </c>
      <c r="G50" s="6">
        <v>65566</v>
      </c>
      <c r="H50" s="6">
        <v>64783</v>
      </c>
      <c r="I50" s="6">
        <v>109049</v>
      </c>
      <c r="J50" s="6">
        <v>67227</v>
      </c>
      <c r="K50" s="6">
        <v>101040</v>
      </c>
      <c r="L50" s="6">
        <v>62689</v>
      </c>
      <c r="M50" s="6">
        <v>99312</v>
      </c>
      <c r="N50" s="6">
        <v>67909</v>
      </c>
      <c r="O50" s="6">
        <v>53157</v>
      </c>
      <c r="P50" s="6">
        <v>117398</v>
      </c>
      <c r="Q50" s="6">
        <v>38837</v>
      </c>
      <c r="R50" s="6">
        <v>95853</v>
      </c>
      <c r="S50" s="6">
        <v>115736</v>
      </c>
      <c r="T50" s="6">
        <v>64469</v>
      </c>
      <c r="U50" s="6">
        <v>70419</v>
      </c>
      <c r="V50" s="6">
        <v>82968</v>
      </c>
      <c r="W50" s="6">
        <v>53046</v>
      </c>
      <c r="X50" s="6">
        <v>56710</v>
      </c>
      <c r="Y50" s="6">
        <v>129081</v>
      </c>
      <c r="Z50" s="6">
        <v>157953</v>
      </c>
      <c r="AA50" s="6">
        <v>193661</v>
      </c>
      <c r="AB50" s="6">
        <v>118450</v>
      </c>
      <c r="AC50" s="6">
        <v>86786</v>
      </c>
      <c r="AD50" s="6">
        <v>192233</v>
      </c>
      <c r="AE50" s="6">
        <v>68208</v>
      </c>
      <c r="AF50" s="6"/>
    </row>
    <row r="51" spans="1:48" x14ac:dyDescent="0.25">
      <c r="A51" s="1" t="s">
        <v>160</v>
      </c>
      <c r="B51" s="16">
        <f>B41/B50</f>
        <v>4.887409654103287</v>
      </c>
      <c r="C51" s="16">
        <f t="shared" ref="C51:AE51" si="10">C41/C50</f>
        <v>1.7982734503418496</v>
      </c>
      <c r="D51" s="16">
        <f t="shared" si="10"/>
        <v>3.7771794559635765</v>
      </c>
      <c r="E51" s="16">
        <f t="shared" si="10"/>
        <v>5.2184431516052587</v>
      </c>
      <c r="F51" s="16">
        <f t="shared" si="10"/>
        <v>4.9912079803827174</v>
      </c>
      <c r="G51" s="16">
        <f t="shared" si="10"/>
        <v>5.5782565199798677</v>
      </c>
      <c r="H51" s="16">
        <f t="shared" si="10"/>
        <v>9.8355499125696539</v>
      </c>
      <c r="I51" s="16">
        <f t="shared" si="10"/>
        <v>6.4728701540408435</v>
      </c>
      <c r="J51" s="16">
        <f t="shared" si="10"/>
        <v>4.5132067251401962</v>
      </c>
      <c r="K51" s="16">
        <f t="shared" si="10"/>
        <v>5.0839937412608869</v>
      </c>
      <c r="L51" s="16">
        <f t="shared" si="10"/>
        <v>4.6013665170763609</v>
      </c>
      <c r="M51" s="16">
        <f t="shared" si="10"/>
        <v>8.7293133004370063</v>
      </c>
      <c r="N51" s="16">
        <f t="shared" si="10"/>
        <v>15.960200169093936</v>
      </c>
      <c r="O51" s="16">
        <f t="shared" si="10"/>
        <v>18.261768541866548</v>
      </c>
      <c r="P51" s="16">
        <f t="shared" si="10"/>
        <v>5.8259248085316617</v>
      </c>
      <c r="Q51" s="16">
        <f t="shared" si="10"/>
        <v>7.8944771135515097</v>
      </c>
      <c r="R51" s="16">
        <f t="shared" si="10"/>
        <v>9.4303809997078858</v>
      </c>
      <c r="S51" s="16">
        <f t="shared" si="10"/>
        <v>5.5592908391425313</v>
      </c>
      <c r="T51" s="16">
        <f t="shared" si="10"/>
        <v>8.8057319971148935</v>
      </c>
      <c r="U51" s="16">
        <f t="shared" si="10"/>
        <v>11.015451122935572</v>
      </c>
      <c r="V51" s="16">
        <f t="shared" si="10"/>
        <v>8.7350010339046378</v>
      </c>
      <c r="W51" s="16">
        <f t="shared" si="10"/>
        <v>7.4407463845530302</v>
      </c>
      <c r="X51" s="16">
        <f t="shared" si="10"/>
        <v>9.6699862653500261</v>
      </c>
      <c r="Y51" s="16">
        <f t="shared" si="10"/>
        <v>0.84142633420100554</v>
      </c>
      <c r="Z51" s="16">
        <f t="shared" si="10"/>
        <v>2.4996205643071039</v>
      </c>
      <c r="AA51" s="16">
        <f t="shared" si="10"/>
        <v>1.8445350064597417</v>
      </c>
      <c r="AB51" s="16">
        <f t="shared" si="10"/>
        <v>2.2928772014267622</v>
      </c>
      <c r="AC51" s="16">
        <f t="shared" si="10"/>
        <v>2.3081796927269376</v>
      </c>
      <c r="AD51" s="16">
        <f t="shared" si="10"/>
        <v>1.6716134508070934</v>
      </c>
      <c r="AE51" s="16">
        <f t="shared" si="10"/>
        <v>2.4310401032576823</v>
      </c>
    </row>
    <row r="53" spans="1:48" x14ac:dyDescent="0.25">
      <c r="A53" s="9"/>
    </row>
    <row r="54" spans="1:48" x14ac:dyDescent="0.25">
      <c r="C54" s="53" t="s">
        <v>156</v>
      </c>
      <c r="D54" s="53"/>
      <c r="E54" s="53"/>
      <c r="F54" s="53"/>
      <c r="H54" s="53" t="s">
        <v>161</v>
      </c>
      <c r="I54" s="53"/>
      <c r="J54" s="53"/>
      <c r="K54" s="53"/>
    </row>
    <row r="55" spans="1:48" x14ac:dyDescent="0.25">
      <c r="A55" s="10"/>
      <c r="B55" s="20" t="s">
        <v>4</v>
      </c>
      <c r="C55" s="20">
        <v>1990</v>
      </c>
      <c r="D55" s="20">
        <v>2000</v>
      </c>
      <c r="E55" s="20">
        <v>2010</v>
      </c>
      <c r="F55" s="20">
        <v>2015</v>
      </c>
      <c r="G55" s="20" t="s">
        <v>154</v>
      </c>
      <c r="H55" s="20">
        <v>1990</v>
      </c>
      <c r="I55" s="20">
        <v>2000</v>
      </c>
      <c r="J55" s="20">
        <v>2010</v>
      </c>
      <c r="K55" s="20">
        <v>2015</v>
      </c>
    </row>
    <row r="56" spans="1:48" x14ac:dyDescent="0.25">
      <c r="A56" s="21"/>
      <c r="B56" s="2" t="s">
        <v>67</v>
      </c>
      <c r="C56" s="22">
        <v>277260.24869600002</v>
      </c>
      <c r="D56" s="22">
        <v>690877.29205100005</v>
      </c>
      <c r="E56" s="22">
        <v>756751.51628700003</v>
      </c>
      <c r="F56" s="22">
        <v>970740.83038000006</v>
      </c>
      <c r="G56" s="22">
        <v>53157</v>
      </c>
      <c r="H56" s="23">
        <f t="shared" ref="H56:H85" si="11">C56/G56</f>
        <v>5.2158746486069569</v>
      </c>
      <c r="I56" s="23">
        <f t="shared" ref="I56:I85" si="12">D56/G56</f>
        <v>12.996920293677221</v>
      </c>
      <c r="J56" s="23">
        <f t="shared" ref="J56:J85" si="13">E56/G56</f>
        <v>14.236159231841526</v>
      </c>
      <c r="K56" s="23">
        <f t="shared" ref="K56:K85" si="14">F56/G56</f>
        <v>18.261768541866548</v>
      </c>
    </row>
    <row r="57" spans="1:48" x14ac:dyDescent="0.25">
      <c r="A57" s="21"/>
      <c r="B57" s="2" t="s">
        <v>66</v>
      </c>
      <c r="C57" s="22">
        <v>394409.65116299997</v>
      </c>
      <c r="D57" s="22">
        <v>841908.33894599997</v>
      </c>
      <c r="E57" s="22">
        <v>902187.336901</v>
      </c>
      <c r="F57" s="22">
        <v>1083841.2332830001</v>
      </c>
      <c r="G57" s="22">
        <v>67909</v>
      </c>
      <c r="H57" s="23">
        <f t="shared" si="11"/>
        <v>5.8079142847487075</v>
      </c>
      <c r="I57" s="23">
        <f t="shared" si="12"/>
        <v>12.397595884875347</v>
      </c>
      <c r="J57" s="23">
        <f t="shared" si="13"/>
        <v>13.285239613320767</v>
      </c>
      <c r="K57" s="23">
        <f t="shared" si="14"/>
        <v>15.960200169093936</v>
      </c>
    </row>
    <row r="58" spans="1:48" x14ac:dyDescent="0.25">
      <c r="A58" s="10"/>
      <c r="B58" s="2" t="s">
        <v>155</v>
      </c>
      <c r="C58" s="22">
        <v>292065.96068999998</v>
      </c>
      <c r="D58" s="22">
        <v>621990.86626299995</v>
      </c>
      <c r="E58" s="22">
        <v>343746.58103900001</v>
      </c>
      <c r="F58" s="22">
        <v>775697.05262600002</v>
      </c>
      <c r="G58" s="22">
        <v>70419</v>
      </c>
      <c r="H58" s="23">
        <f t="shared" si="11"/>
        <v>4.1475448485493969</v>
      </c>
      <c r="I58" s="23">
        <f t="shared" si="12"/>
        <v>8.8327137031624972</v>
      </c>
      <c r="J58" s="23">
        <f t="shared" si="13"/>
        <v>4.8814464993680682</v>
      </c>
      <c r="K58" s="23">
        <f t="shared" si="14"/>
        <v>11.015451122935572</v>
      </c>
    </row>
    <row r="59" spans="1:48" x14ac:dyDescent="0.25">
      <c r="A59" s="21"/>
      <c r="B59" s="2" t="s">
        <v>60</v>
      </c>
      <c r="C59" s="22">
        <v>252298.67611199999</v>
      </c>
      <c r="D59" s="22">
        <v>434466.872424</v>
      </c>
      <c r="E59" s="22">
        <v>359928.58480999997</v>
      </c>
      <c r="F59" s="22">
        <v>637176.42998599994</v>
      </c>
      <c r="G59" s="22">
        <v>64783</v>
      </c>
      <c r="H59" s="23">
        <f t="shared" si="11"/>
        <v>3.894519798589136</v>
      </c>
      <c r="I59" s="23">
        <f t="shared" si="12"/>
        <v>6.7064951055678188</v>
      </c>
      <c r="J59" s="23">
        <f t="shared" si="13"/>
        <v>5.5559110385440622</v>
      </c>
      <c r="K59" s="23">
        <f t="shared" si="14"/>
        <v>9.8355499125696539</v>
      </c>
    </row>
    <row r="60" spans="1:48" x14ac:dyDescent="0.25">
      <c r="A60" s="21"/>
      <c r="B60" s="2" t="s">
        <v>75</v>
      </c>
      <c r="C60" s="22">
        <v>293955.55912599998</v>
      </c>
      <c r="D60" s="22">
        <v>780848.01917900005</v>
      </c>
      <c r="E60" s="22">
        <v>477372.19339500001</v>
      </c>
      <c r="F60" s="22">
        <v>548384.92110799998</v>
      </c>
      <c r="G60" s="22">
        <v>56710</v>
      </c>
      <c r="H60" s="23">
        <f t="shared" si="11"/>
        <v>5.1834872002468693</v>
      </c>
      <c r="I60" s="23">
        <f t="shared" si="12"/>
        <v>13.76914158312467</v>
      </c>
      <c r="J60" s="23">
        <f t="shared" si="13"/>
        <v>8.4177780531652271</v>
      </c>
      <c r="K60" s="23">
        <f t="shared" si="14"/>
        <v>9.6699862653500261</v>
      </c>
    </row>
    <row r="61" spans="1:48" x14ac:dyDescent="0.25">
      <c r="A61" s="10"/>
      <c r="B61" s="2" t="s">
        <v>70</v>
      </c>
      <c r="C61" s="22">
        <v>162777.971082</v>
      </c>
      <c r="D61" s="22">
        <v>528681.937607</v>
      </c>
      <c r="E61" s="22">
        <v>478813.58248400001</v>
      </c>
      <c r="F61" s="22">
        <v>903930.30996500002</v>
      </c>
      <c r="G61" s="22">
        <v>95853</v>
      </c>
      <c r="H61" s="23">
        <f t="shared" si="11"/>
        <v>1.6982042406810429</v>
      </c>
      <c r="I61" s="23">
        <f t="shared" si="12"/>
        <v>5.5155492014543102</v>
      </c>
      <c r="J61" s="23">
        <f t="shared" si="13"/>
        <v>4.9952905228214037</v>
      </c>
      <c r="K61" s="23">
        <f t="shared" si="14"/>
        <v>9.4303809997078858</v>
      </c>
    </row>
    <row r="62" spans="1:48" x14ac:dyDescent="0.25">
      <c r="A62" s="21"/>
      <c r="B62" s="2" t="s">
        <v>72</v>
      </c>
      <c r="C62" s="22">
        <v>248405.95983499999</v>
      </c>
      <c r="D62" s="22">
        <v>710995.259341</v>
      </c>
      <c r="E62" s="22">
        <v>435784.48385800002</v>
      </c>
      <c r="F62" s="22">
        <v>567696.73612200003</v>
      </c>
      <c r="G62" s="22">
        <v>64469</v>
      </c>
      <c r="H62" s="23">
        <f t="shared" si="11"/>
        <v>3.853107072158712</v>
      </c>
      <c r="I62" s="23">
        <f t="shared" si="12"/>
        <v>11.028482826490251</v>
      </c>
      <c r="J62" s="23">
        <f t="shared" si="13"/>
        <v>6.7595973856892462</v>
      </c>
      <c r="K62" s="23">
        <f t="shared" si="14"/>
        <v>8.8057319971148935</v>
      </c>
      <c r="AR62" s="3"/>
      <c r="AS62" s="6"/>
      <c r="AT62" s="3"/>
      <c r="AU62" s="6"/>
      <c r="AV62" s="16"/>
    </row>
    <row r="63" spans="1:48" x14ac:dyDescent="0.25">
      <c r="A63" s="21"/>
      <c r="B63" s="2" t="s">
        <v>73</v>
      </c>
      <c r="C63" s="22">
        <v>449998.02505599998</v>
      </c>
      <c r="D63" s="22">
        <v>958478.77637900005</v>
      </c>
      <c r="E63" s="22">
        <v>363729.91928799998</v>
      </c>
      <c r="F63" s="22">
        <v>724725.56578099995</v>
      </c>
      <c r="G63" s="22">
        <v>82968</v>
      </c>
      <c r="H63" s="23">
        <f t="shared" si="11"/>
        <v>5.4237540383762415</v>
      </c>
      <c r="I63" s="23">
        <f t="shared" si="12"/>
        <v>11.55239099868624</v>
      </c>
      <c r="J63" s="23">
        <f t="shared" si="13"/>
        <v>4.3839783927297269</v>
      </c>
      <c r="K63" s="23">
        <f t="shared" si="14"/>
        <v>8.7350010339046378</v>
      </c>
      <c r="AR63" s="3"/>
      <c r="AS63" s="6"/>
      <c r="AT63" s="3"/>
      <c r="AU63" s="6"/>
      <c r="AV63" s="16"/>
    </row>
    <row r="64" spans="1:48" x14ac:dyDescent="0.25">
      <c r="A64" s="10"/>
      <c r="B64" s="2" t="s">
        <v>65</v>
      </c>
      <c r="C64" s="22">
        <v>284506.85617500002</v>
      </c>
      <c r="D64" s="22">
        <v>455494.694693</v>
      </c>
      <c r="E64" s="22">
        <v>612079.622646</v>
      </c>
      <c r="F64" s="22">
        <v>866925.56249299995</v>
      </c>
      <c r="G64" s="22">
        <v>99312</v>
      </c>
      <c r="H64" s="23">
        <f t="shared" si="11"/>
        <v>2.864778236013775</v>
      </c>
      <c r="I64" s="23">
        <f t="shared" si="12"/>
        <v>4.5865020812489927</v>
      </c>
      <c r="J64" s="23">
        <f t="shared" si="13"/>
        <v>6.1631990358264863</v>
      </c>
      <c r="K64" s="23">
        <f t="shared" si="14"/>
        <v>8.7293133004370063</v>
      </c>
      <c r="AR64" s="3"/>
      <c r="AS64" s="6"/>
      <c r="AT64" s="3"/>
      <c r="AU64" s="6"/>
      <c r="AV64" s="16"/>
    </row>
    <row r="65" spans="2:48" x14ac:dyDescent="0.25">
      <c r="B65" s="2" t="s">
        <v>69</v>
      </c>
      <c r="C65" s="22">
        <v>56072.034999000003</v>
      </c>
      <c r="D65" s="22">
        <v>119330.532423</v>
      </c>
      <c r="E65" s="22">
        <v>281808.830028</v>
      </c>
      <c r="F65" s="22">
        <v>306597.80765899998</v>
      </c>
      <c r="G65" s="22">
        <v>38837</v>
      </c>
      <c r="H65" s="23">
        <f t="shared" si="11"/>
        <v>1.4437787418956152</v>
      </c>
      <c r="I65" s="23">
        <f t="shared" si="12"/>
        <v>3.0725991302881273</v>
      </c>
      <c r="J65" s="23">
        <f t="shared" si="13"/>
        <v>7.2561946089553775</v>
      </c>
      <c r="K65" s="23">
        <f t="shared" si="14"/>
        <v>7.8944771135515097</v>
      </c>
      <c r="AR65" s="3"/>
      <c r="AS65" s="6"/>
      <c r="AT65" s="3"/>
      <c r="AU65" s="6"/>
      <c r="AV65" s="16"/>
    </row>
    <row r="66" spans="2:48" x14ac:dyDescent="0.25">
      <c r="B66" s="2" t="s">
        <v>74</v>
      </c>
      <c r="C66" s="22">
        <v>192160.13260899999</v>
      </c>
      <c r="D66" s="22">
        <v>435005.46229200001</v>
      </c>
      <c r="E66" s="22">
        <v>316424.85228599998</v>
      </c>
      <c r="F66" s="22">
        <v>394701.83271500003</v>
      </c>
      <c r="G66" s="22">
        <v>53046</v>
      </c>
      <c r="H66" s="23">
        <f t="shared" si="11"/>
        <v>3.6225188064887077</v>
      </c>
      <c r="I66" s="23">
        <f t="shared" si="12"/>
        <v>8.2005327883723567</v>
      </c>
      <c r="J66" s="23">
        <f t="shared" si="13"/>
        <v>5.9651029726275304</v>
      </c>
      <c r="K66" s="23">
        <f t="shared" si="14"/>
        <v>7.4407463845530302</v>
      </c>
      <c r="AR66" s="3"/>
      <c r="AS66" s="6"/>
      <c r="AT66" s="3"/>
      <c r="AU66" s="6"/>
      <c r="AV66" s="16"/>
    </row>
    <row r="67" spans="2:48" x14ac:dyDescent="0.25">
      <c r="B67" s="2" t="s">
        <v>61</v>
      </c>
      <c r="C67" s="22">
        <v>305012.37196399999</v>
      </c>
      <c r="D67" s="22">
        <v>495580.59380799998</v>
      </c>
      <c r="E67" s="22">
        <v>880715.07237800001</v>
      </c>
      <c r="F67" s="22">
        <v>705860.01742799999</v>
      </c>
      <c r="G67" s="22">
        <v>109049</v>
      </c>
      <c r="H67" s="23">
        <f t="shared" si="11"/>
        <v>2.7970212653394344</v>
      </c>
      <c r="I67" s="23">
        <f t="shared" si="12"/>
        <v>4.5445679814395366</v>
      </c>
      <c r="J67" s="23">
        <f t="shared" si="13"/>
        <v>8.0763241513264674</v>
      </c>
      <c r="K67" s="23">
        <f t="shared" si="14"/>
        <v>6.4728701540408435</v>
      </c>
      <c r="AR67" s="3"/>
      <c r="AS67" s="6"/>
      <c r="AT67" s="3"/>
      <c r="AU67" s="6"/>
      <c r="AV67" s="16"/>
    </row>
    <row r="68" spans="2:48" x14ac:dyDescent="0.25">
      <c r="B68" s="2" t="s">
        <v>68</v>
      </c>
      <c r="C68" s="22">
        <v>293217.27484700002</v>
      </c>
      <c r="D68" s="22">
        <v>347347.51944399998</v>
      </c>
      <c r="E68" s="22">
        <v>466140.60584500001</v>
      </c>
      <c r="F68" s="22">
        <v>683951.92067200004</v>
      </c>
      <c r="G68" s="22">
        <v>117398</v>
      </c>
      <c r="H68" s="23">
        <f t="shared" si="11"/>
        <v>2.4976343280720288</v>
      </c>
      <c r="I68" s="23">
        <f t="shared" si="12"/>
        <v>2.9587175202643996</v>
      </c>
      <c r="J68" s="23">
        <f t="shared" si="13"/>
        <v>3.9706009118128076</v>
      </c>
      <c r="K68" s="23">
        <f t="shared" si="14"/>
        <v>5.8259248085316617</v>
      </c>
      <c r="AH68" s="2"/>
      <c r="AI68" s="22"/>
      <c r="AJ68" s="22"/>
      <c r="AK68" s="22"/>
      <c r="AL68" s="22"/>
      <c r="AM68" s="22"/>
      <c r="AN68" s="23"/>
      <c r="AO68" s="23"/>
      <c r="AP68" s="23"/>
      <c r="AQ68" s="23"/>
      <c r="AR68" s="3"/>
      <c r="AS68" s="6"/>
      <c r="AT68" s="3"/>
      <c r="AU68" s="6"/>
      <c r="AV68" s="16"/>
    </row>
    <row r="69" spans="2:48" x14ac:dyDescent="0.25">
      <c r="B69" s="2" t="s">
        <v>59</v>
      </c>
      <c r="C69" s="22">
        <v>180472.98482799999</v>
      </c>
      <c r="D69" s="22">
        <v>321510.12449000002</v>
      </c>
      <c r="E69" s="22">
        <v>312323.63007200003</v>
      </c>
      <c r="F69" s="22">
        <v>365743.96698899998</v>
      </c>
      <c r="G69" s="22">
        <v>65566</v>
      </c>
      <c r="H69" s="23">
        <f t="shared" si="11"/>
        <v>2.7525391945215505</v>
      </c>
      <c r="I69" s="23">
        <f t="shared" si="12"/>
        <v>4.9036104763139434</v>
      </c>
      <c r="J69" s="23">
        <f t="shared" si="13"/>
        <v>4.7634998333282494</v>
      </c>
      <c r="K69" s="23">
        <f t="shared" si="14"/>
        <v>5.5782565199798677</v>
      </c>
      <c r="AH69" s="2"/>
      <c r="AI69" s="22"/>
      <c r="AJ69" s="22"/>
      <c r="AK69" s="22"/>
      <c r="AL69" s="22"/>
      <c r="AM69" s="22"/>
      <c r="AN69" s="23"/>
      <c r="AO69" s="23"/>
      <c r="AP69" s="23"/>
      <c r="AQ69" s="23"/>
      <c r="AR69" s="3"/>
      <c r="AS69" s="6"/>
      <c r="AT69" s="3"/>
      <c r="AU69" s="6"/>
      <c r="AV69" s="16"/>
    </row>
    <row r="70" spans="2:48" x14ac:dyDescent="0.25">
      <c r="B70" s="2" t="s">
        <v>71</v>
      </c>
      <c r="C70" s="22">
        <v>393137.14078900003</v>
      </c>
      <c r="D70" s="22">
        <v>276703.30206299998</v>
      </c>
      <c r="E70" s="22">
        <v>281030.39656600001</v>
      </c>
      <c r="F70" s="22">
        <v>643410.08455899998</v>
      </c>
      <c r="G70" s="22">
        <v>115736</v>
      </c>
      <c r="H70" s="23">
        <f t="shared" si="11"/>
        <v>3.396844031148476</v>
      </c>
      <c r="I70" s="23">
        <f t="shared" si="12"/>
        <v>2.3908144575845025</v>
      </c>
      <c r="J70" s="23">
        <f t="shared" si="13"/>
        <v>2.4282020854876616</v>
      </c>
      <c r="K70" s="23">
        <f t="shared" si="14"/>
        <v>5.5592908391425313</v>
      </c>
      <c r="AH70" s="2"/>
      <c r="AI70" s="22"/>
      <c r="AJ70" s="22"/>
      <c r="AK70" s="22"/>
      <c r="AL70" s="22"/>
      <c r="AM70" s="22"/>
      <c r="AN70" s="23"/>
      <c r="AO70" s="23"/>
      <c r="AP70" s="23"/>
      <c r="AQ70" s="23"/>
      <c r="AR70" s="3"/>
      <c r="AS70" s="6"/>
      <c r="AT70" s="3"/>
      <c r="AU70" s="6"/>
      <c r="AV70" s="16"/>
    </row>
    <row r="71" spans="2:48" x14ac:dyDescent="0.25">
      <c r="B71" s="2" t="s">
        <v>57</v>
      </c>
      <c r="C71" s="22">
        <v>217513.81138999999</v>
      </c>
      <c r="D71" s="22">
        <v>247710.03312099999</v>
      </c>
      <c r="E71" s="22">
        <v>235419.33744800001</v>
      </c>
      <c r="F71" s="22">
        <v>354504.49861800001</v>
      </c>
      <c r="G71" s="22">
        <v>67933</v>
      </c>
      <c r="H71" s="23">
        <f t="shared" si="11"/>
        <v>3.2018873211841079</v>
      </c>
      <c r="I71" s="23">
        <f t="shared" si="12"/>
        <v>3.6463873687456756</v>
      </c>
      <c r="J71" s="23">
        <f t="shared" si="13"/>
        <v>3.4654635809989256</v>
      </c>
      <c r="K71" s="23">
        <f t="shared" si="14"/>
        <v>5.2184431516052587</v>
      </c>
      <c r="AH71" s="2"/>
      <c r="AI71" s="22"/>
      <c r="AJ71" s="22"/>
      <c r="AK71" s="22"/>
      <c r="AL71" s="22"/>
      <c r="AM71" s="22"/>
      <c r="AN71" s="23"/>
      <c r="AO71" s="23"/>
      <c r="AP71" s="23"/>
      <c r="AQ71" s="23"/>
      <c r="AR71" s="3"/>
      <c r="AS71" s="6"/>
      <c r="AT71" s="3"/>
      <c r="AU71" s="6"/>
      <c r="AV71" s="16"/>
    </row>
    <row r="72" spans="2:48" x14ac:dyDescent="0.25">
      <c r="B72" s="2" t="s">
        <v>63</v>
      </c>
      <c r="C72" s="22">
        <v>326814.80839199998</v>
      </c>
      <c r="D72" s="22">
        <v>227201.82803800001</v>
      </c>
      <c r="E72" s="22">
        <v>342935.26048200001</v>
      </c>
      <c r="F72" s="22">
        <v>513686.727617</v>
      </c>
      <c r="G72" s="22">
        <v>101040</v>
      </c>
      <c r="H72" s="23">
        <f t="shared" si="11"/>
        <v>3.2345091883610451</v>
      </c>
      <c r="I72" s="23">
        <f t="shared" si="12"/>
        <v>2.2486325023555027</v>
      </c>
      <c r="J72" s="23">
        <f t="shared" si="13"/>
        <v>3.3940544386579572</v>
      </c>
      <c r="K72" s="23">
        <f t="shared" si="14"/>
        <v>5.0839937412608869</v>
      </c>
      <c r="AH72" s="2"/>
      <c r="AI72" s="22"/>
      <c r="AJ72" s="22"/>
      <c r="AK72" s="22"/>
      <c r="AL72" s="22"/>
      <c r="AM72" s="22"/>
      <c r="AN72" s="23"/>
      <c r="AO72" s="23"/>
      <c r="AP72" s="23"/>
      <c r="AQ72" s="23"/>
      <c r="AR72" s="3"/>
      <c r="AS72" s="6"/>
      <c r="AT72" s="3"/>
      <c r="AU72" s="6"/>
      <c r="AV72" s="16"/>
    </row>
    <row r="73" spans="2:48" x14ac:dyDescent="0.25">
      <c r="B73" s="2" t="s">
        <v>58</v>
      </c>
      <c r="C73" s="22">
        <v>260881.43008600001</v>
      </c>
      <c r="D73" s="22">
        <v>235132.283321</v>
      </c>
      <c r="E73" s="22">
        <v>246720.146071</v>
      </c>
      <c r="F73" s="22">
        <v>290303.629763</v>
      </c>
      <c r="G73" s="22">
        <v>58163</v>
      </c>
      <c r="H73" s="23">
        <f t="shared" si="11"/>
        <v>4.4853503100940459</v>
      </c>
      <c r="I73" s="23">
        <f t="shared" si="12"/>
        <v>4.0426436621391604</v>
      </c>
      <c r="J73" s="23">
        <f t="shared" si="13"/>
        <v>4.2418744918762785</v>
      </c>
      <c r="K73" s="23">
        <f t="shared" si="14"/>
        <v>4.9912079803827174</v>
      </c>
      <c r="AH73" s="2"/>
      <c r="AI73" s="22"/>
      <c r="AJ73" s="22"/>
      <c r="AK73" s="22"/>
      <c r="AL73" s="22"/>
      <c r="AM73" s="22"/>
      <c r="AN73" s="23"/>
      <c r="AO73" s="23"/>
      <c r="AP73" s="23"/>
      <c r="AQ73" s="23"/>
      <c r="AR73" s="3"/>
      <c r="AS73" s="6"/>
      <c r="AT73" s="3"/>
      <c r="AU73" s="6"/>
      <c r="AV73" s="16"/>
    </row>
    <row r="74" spans="2:48" x14ac:dyDescent="0.25">
      <c r="B74" s="2" t="s">
        <v>83</v>
      </c>
      <c r="C74" s="22">
        <v>102705.33210100001</v>
      </c>
      <c r="D74" s="22">
        <v>127904.66095200001</v>
      </c>
      <c r="E74" s="22">
        <v>96697.894599000007</v>
      </c>
      <c r="F74" s="22">
        <v>209811.60904099999</v>
      </c>
      <c r="G74" s="22">
        <v>42929</v>
      </c>
      <c r="H74" s="23">
        <f t="shared" si="11"/>
        <v>2.3924464138694126</v>
      </c>
      <c r="I74" s="23">
        <f t="shared" si="12"/>
        <v>2.9794465501642247</v>
      </c>
      <c r="J74" s="23">
        <f t="shared" si="13"/>
        <v>2.2525075030631974</v>
      </c>
      <c r="K74" s="23">
        <f t="shared" si="14"/>
        <v>4.887409654103287</v>
      </c>
      <c r="AH74" s="2"/>
      <c r="AI74" s="22"/>
      <c r="AJ74" s="22"/>
      <c r="AK74" s="22"/>
      <c r="AL74" s="22"/>
      <c r="AM74" s="22"/>
      <c r="AN74" s="23"/>
      <c r="AO74" s="23"/>
      <c r="AP74" s="23"/>
      <c r="AQ74" s="23"/>
      <c r="AR74" s="3"/>
      <c r="AS74" s="6"/>
      <c r="AT74" s="3"/>
      <c r="AU74" s="6"/>
      <c r="AV74" s="16"/>
    </row>
    <row r="75" spans="2:48" x14ac:dyDescent="0.25">
      <c r="B75" s="2" t="s">
        <v>64</v>
      </c>
      <c r="C75" s="22">
        <v>171275.76092100001</v>
      </c>
      <c r="D75" s="22">
        <v>289460.33499200002</v>
      </c>
      <c r="E75" s="22">
        <v>295830.30596799997</v>
      </c>
      <c r="F75" s="22">
        <v>288455.06558900001</v>
      </c>
      <c r="G75" s="22">
        <v>62689</v>
      </c>
      <c r="H75" s="23">
        <f t="shared" si="11"/>
        <v>2.732150152674313</v>
      </c>
      <c r="I75" s="23">
        <f t="shared" si="12"/>
        <v>4.6174023352103246</v>
      </c>
      <c r="J75" s="23">
        <f t="shared" si="13"/>
        <v>4.7190145953516565</v>
      </c>
      <c r="K75" s="23">
        <f t="shared" si="14"/>
        <v>4.6013665170763609</v>
      </c>
      <c r="AH75" s="2"/>
      <c r="AI75" s="22"/>
      <c r="AJ75" s="22"/>
      <c r="AK75" s="22"/>
      <c r="AL75" s="22"/>
      <c r="AM75" s="22"/>
      <c r="AN75" s="23"/>
      <c r="AO75" s="23"/>
      <c r="AP75" s="23"/>
      <c r="AQ75" s="23"/>
      <c r="AR75" s="3"/>
      <c r="AS75" s="6"/>
      <c r="AT75" s="3"/>
      <c r="AU75" s="6"/>
      <c r="AV75" s="16"/>
    </row>
    <row r="76" spans="2:48" x14ac:dyDescent="0.25">
      <c r="B76" s="2" t="s">
        <v>62</v>
      </c>
      <c r="C76" s="22">
        <v>178353.41112199999</v>
      </c>
      <c r="D76" s="22">
        <v>305233.70779800002</v>
      </c>
      <c r="E76" s="22">
        <v>298386.199448</v>
      </c>
      <c r="F76" s="22">
        <v>303409.34851099999</v>
      </c>
      <c r="G76" s="22">
        <v>67227</v>
      </c>
      <c r="H76" s="23">
        <f t="shared" si="11"/>
        <v>2.6530026793103958</v>
      </c>
      <c r="I76" s="23">
        <f t="shared" si="12"/>
        <v>4.5403440254362089</v>
      </c>
      <c r="J76" s="23">
        <f t="shared" si="13"/>
        <v>4.4384875042468055</v>
      </c>
      <c r="K76" s="23">
        <f t="shared" si="14"/>
        <v>4.5132067251401962</v>
      </c>
      <c r="AH76" s="2"/>
      <c r="AI76" s="22"/>
      <c r="AJ76" s="22"/>
      <c r="AK76" s="22"/>
      <c r="AL76" s="22"/>
      <c r="AM76" s="22"/>
      <c r="AN76" s="23"/>
      <c r="AO76" s="23"/>
      <c r="AP76" s="23"/>
      <c r="AQ76" s="23"/>
      <c r="AR76" s="3"/>
      <c r="AS76" s="6"/>
      <c r="AT76" s="3"/>
      <c r="AU76" s="6"/>
      <c r="AV76" s="16"/>
    </row>
    <row r="77" spans="2:48" x14ac:dyDescent="0.25">
      <c r="B77" s="2" t="s">
        <v>56</v>
      </c>
      <c r="C77" s="22">
        <v>22689.600869999998</v>
      </c>
      <c r="D77" s="22">
        <v>32308.317158000002</v>
      </c>
      <c r="E77" s="22">
        <v>35440.301551999997</v>
      </c>
      <c r="F77" s="22">
        <v>50606.650350999997</v>
      </c>
      <c r="G77" s="22">
        <v>13398</v>
      </c>
      <c r="H77" s="23">
        <f t="shared" si="11"/>
        <v>1.6935065584415583</v>
      </c>
      <c r="I77" s="23">
        <f t="shared" si="12"/>
        <v>2.4114283593073593</v>
      </c>
      <c r="J77" s="23">
        <f t="shared" si="13"/>
        <v>2.6451934282728762</v>
      </c>
      <c r="K77" s="23">
        <f t="shared" si="14"/>
        <v>3.7771794559635765</v>
      </c>
      <c r="AH77" s="2"/>
      <c r="AI77" s="22"/>
      <c r="AJ77" s="22"/>
      <c r="AK77" s="22"/>
      <c r="AL77" s="22"/>
      <c r="AM77" s="22"/>
      <c r="AN77" s="23"/>
      <c r="AO77" s="23"/>
      <c r="AP77" s="23"/>
      <c r="AQ77" s="23"/>
      <c r="AR77" s="3"/>
      <c r="AS77" s="6"/>
      <c r="AT77" s="3"/>
      <c r="AU77" s="6"/>
      <c r="AV77" s="16"/>
    </row>
    <row r="78" spans="2:48" x14ac:dyDescent="0.25">
      <c r="B78" s="2" t="s">
        <v>77</v>
      </c>
      <c r="C78" s="22">
        <v>220206.94400300001</v>
      </c>
      <c r="D78" s="22">
        <v>327670.177065</v>
      </c>
      <c r="E78" s="22">
        <v>246321.923232</v>
      </c>
      <c r="F78" s="22">
        <v>394822.56699399999</v>
      </c>
      <c r="G78" s="22">
        <v>157953</v>
      </c>
      <c r="H78" s="23">
        <f t="shared" si="11"/>
        <v>1.3941295448836046</v>
      </c>
      <c r="I78" s="23">
        <f t="shared" si="12"/>
        <v>2.0744789720043304</v>
      </c>
      <c r="J78" s="23">
        <f t="shared" si="13"/>
        <v>1.5594634051395035</v>
      </c>
      <c r="K78" s="23">
        <f t="shared" si="14"/>
        <v>2.4996205643071039</v>
      </c>
      <c r="AH78" s="2"/>
      <c r="AI78" s="22"/>
      <c r="AJ78" s="22"/>
      <c r="AK78" s="22"/>
      <c r="AL78" s="22"/>
      <c r="AM78" s="22"/>
      <c r="AN78" s="23"/>
      <c r="AO78" s="23"/>
      <c r="AP78" s="23"/>
      <c r="AQ78" s="23"/>
      <c r="AR78" s="3"/>
      <c r="AS78" s="6"/>
      <c r="AT78" s="3"/>
      <c r="AU78" s="6"/>
      <c r="AV78" s="16"/>
    </row>
    <row r="79" spans="2:48" x14ac:dyDescent="0.25">
      <c r="B79" s="1" t="s">
        <v>82</v>
      </c>
      <c r="C79" s="22">
        <v>75219.347653000004</v>
      </c>
      <c r="D79" s="22">
        <v>142299.66581899999</v>
      </c>
      <c r="E79" s="22">
        <v>100008.34675500001</v>
      </c>
      <c r="F79" s="22">
        <v>165816.383363</v>
      </c>
      <c r="G79" s="22">
        <v>68208</v>
      </c>
      <c r="H79" s="23">
        <f t="shared" si="11"/>
        <v>1.1027936261582221</v>
      </c>
      <c r="I79" s="23">
        <f t="shared" si="12"/>
        <v>2.0862606412590896</v>
      </c>
      <c r="J79" s="23">
        <f t="shared" si="13"/>
        <v>1.4662260549349051</v>
      </c>
      <c r="K79" s="23">
        <f t="shared" si="14"/>
        <v>2.4310401032576823</v>
      </c>
      <c r="AH79" s="2"/>
      <c r="AI79" s="22"/>
      <c r="AJ79" s="22"/>
      <c r="AK79" s="22"/>
      <c r="AL79" s="22"/>
      <c r="AM79" s="22"/>
      <c r="AN79" s="23"/>
      <c r="AO79" s="23"/>
      <c r="AP79" s="23"/>
      <c r="AQ79" s="23"/>
      <c r="AR79" s="3"/>
      <c r="AS79" s="6"/>
      <c r="AT79" s="3"/>
      <c r="AU79" s="6"/>
      <c r="AV79" s="16"/>
    </row>
    <row r="80" spans="2:48" x14ac:dyDescent="0.25">
      <c r="B80" s="1" t="s">
        <v>80</v>
      </c>
      <c r="C80" s="22">
        <v>48975.391814000002</v>
      </c>
      <c r="D80" s="22">
        <v>168866.74703299999</v>
      </c>
      <c r="E80" s="22">
        <v>102253.741968</v>
      </c>
      <c r="F80" s="22">
        <v>200317.68281299999</v>
      </c>
      <c r="G80" s="22">
        <v>86786</v>
      </c>
      <c r="H80" s="23">
        <f t="shared" si="11"/>
        <v>0.56432364452791928</v>
      </c>
      <c r="I80" s="23">
        <f t="shared" si="12"/>
        <v>1.945783271875648</v>
      </c>
      <c r="J80" s="23">
        <f t="shared" si="13"/>
        <v>1.1782285387965801</v>
      </c>
      <c r="K80" s="23">
        <f t="shared" si="14"/>
        <v>2.3081796927269376</v>
      </c>
      <c r="AH80" s="2"/>
      <c r="AI80" s="22"/>
      <c r="AJ80" s="22"/>
      <c r="AK80" s="22"/>
      <c r="AL80" s="22"/>
      <c r="AM80" s="22"/>
      <c r="AN80" s="23"/>
      <c r="AO80" s="23"/>
      <c r="AP80" s="23"/>
      <c r="AQ80" s="23"/>
      <c r="AR80" s="3"/>
      <c r="AS80" s="6"/>
      <c r="AT80" s="3"/>
      <c r="AU80" s="6"/>
      <c r="AV80" s="16"/>
    </row>
    <row r="81" spans="1:48" x14ac:dyDescent="0.25">
      <c r="B81" s="1" t="s">
        <v>79</v>
      </c>
      <c r="C81" s="22">
        <v>121608.431245</v>
      </c>
      <c r="D81" s="22">
        <v>255767.268442</v>
      </c>
      <c r="E81" s="22">
        <v>202769.08212400001</v>
      </c>
      <c r="F81" s="22">
        <v>271591.30450899998</v>
      </c>
      <c r="G81" s="22">
        <v>118450</v>
      </c>
      <c r="H81" s="23">
        <f t="shared" si="11"/>
        <v>1.0266646791473195</v>
      </c>
      <c r="I81" s="23">
        <f t="shared" si="12"/>
        <v>2.1592846639257068</v>
      </c>
      <c r="J81" s="23">
        <f t="shared" si="13"/>
        <v>1.711853795897003</v>
      </c>
      <c r="K81" s="23">
        <f t="shared" si="14"/>
        <v>2.2928772014267622</v>
      </c>
      <c r="AH81" s="2"/>
      <c r="AI81" s="22"/>
      <c r="AJ81" s="22"/>
      <c r="AK81" s="22"/>
      <c r="AL81" s="22"/>
      <c r="AM81" s="22"/>
      <c r="AN81" s="23"/>
      <c r="AO81" s="23"/>
      <c r="AP81" s="23"/>
      <c r="AQ81" s="23"/>
      <c r="AR81" s="3"/>
      <c r="AS81" s="6"/>
      <c r="AT81" s="3"/>
      <c r="AU81" s="6"/>
      <c r="AV81" s="16"/>
    </row>
    <row r="82" spans="1:48" x14ac:dyDescent="0.25">
      <c r="B82" s="2" t="s">
        <v>78</v>
      </c>
      <c r="C82" s="22">
        <v>196599.41417100001</v>
      </c>
      <c r="D82" s="22">
        <v>352130.192346</v>
      </c>
      <c r="E82" s="22">
        <v>298080.56696700002</v>
      </c>
      <c r="F82" s="22">
        <v>357214.49388600001</v>
      </c>
      <c r="G82" s="22">
        <v>193661</v>
      </c>
      <c r="H82" s="23">
        <f t="shared" si="11"/>
        <v>1.0151729784055645</v>
      </c>
      <c r="I82" s="23">
        <f t="shared" si="12"/>
        <v>1.8182813903986863</v>
      </c>
      <c r="J82" s="23">
        <f t="shared" si="13"/>
        <v>1.5391873788062647</v>
      </c>
      <c r="K82" s="23">
        <f t="shared" si="14"/>
        <v>1.8445350064597417</v>
      </c>
      <c r="AH82" s="2"/>
      <c r="AI82" s="22"/>
      <c r="AJ82" s="22"/>
      <c r="AK82" s="22"/>
      <c r="AL82" s="22"/>
      <c r="AM82" s="22"/>
      <c r="AN82" s="23"/>
      <c r="AO82" s="23"/>
      <c r="AP82" s="23"/>
      <c r="AQ82" s="23"/>
      <c r="AR82" s="3"/>
      <c r="AS82" s="6"/>
      <c r="AT82" s="3"/>
      <c r="AU82" s="6"/>
      <c r="AV82" s="16"/>
    </row>
    <row r="83" spans="1:48" x14ac:dyDescent="0.25">
      <c r="B83" s="2" t="s">
        <v>55</v>
      </c>
      <c r="C83" s="22">
        <v>14592.928339</v>
      </c>
      <c r="D83" s="22">
        <v>16349.072049</v>
      </c>
      <c r="E83" s="22">
        <v>26460.35398</v>
      </c>
      <c r="F83" s="22">
        <v>29984.411510999998</v>
      </c>
      <c r="G83" s="22">
        <v>16674</v>
      </c>
      <c r="H83" s="23">
        <f t="shared" si="11"/>
        <v>0.87519061646875373</v>
      </c>
      <c r="I83" s="23">
        <f t="shared" si="12"/>
        <v>0.9805128972652033</v>
      </c>
      <c r="J83" s="23">
        <f t="shared" si="13"/>
        <v>1.5869229926832193</v>
      </c>
      <c r="K83" s="23">
        <f t="shared" si="14"/>
        <v>1.7982734503418496</v>
      </c>
      <c r="AH83" s="2"/>
      <c r="AI83" s="22"/>
      <c r="AJ83" s="22"/>
      <c r="AK83" s="22"/>
      <c r="AL83" s="22"/>
      <c r="AM83" s="22"/>
      <c r="AN83" s="23"/>
      <c r="AO83" s="23"/>
      <c r="AP83" s="23"/>
      <c r="AQ83" s="23"/>
      <c r="AR83" s="3"/>
      <c r="AS83" s="6"/>
      <c r="AT83" s="3"/>
      <c r="AU83" s="6"/>
      <c r="AV83" s="16"/>
    </row>
    <row r="84" spans="1:48" x14ac:dyDescent="0.25">
      <c r="B84" s="1" t="s">
        <v>81</v>
      </c>
      <c r="C84" s="22">
        <v>182244.108488</v>
      </c>
      <c r="D84" s="22">
        <v>259550.02570299999</v>
      </c>
      <c r="E84" s="22">
        <v>214836.30371899999</v>
      </c>
      <c r="F84" s="22">
        <v>321339.26848899998</v>
      </c>
      <c r="G84" s="22">
        <v>192233</v>
      </c>
      <c r="H84" s="23">
        <f t="shared" si="11"/>
        <v>0.94803758193442333</v>
      </c>
      <c r="I84" s="23">
        <f t="shared" si="12"/>
        <v>1.3501845453330072</v>
      </c>
      <c r="J84" s="23">
        <f t="shared" si="13"/>
        <v>1.1175828485171639</v>
      </c>
      <c r="K84" s="23">
        <f t="shared" si="14"/>
        <v>1.6716134508070934</v>
      </c>
      <c r="AH84" s="2"/>
      <c r="AI84" s="22"/>
      <c r="AJ84" s="22"/>
      <c r="AK84" s="22"/>
      <c r="AL84" s="22"/>
      <c r="AM84" s="22"/>
      <c r="AN84" s="23"/>
      <c r="AO84" s="23"/>
      <c r="AP84" s="23"/>
      <c r="AQ84" s="23"/>
      <c r="AR84" s="3"/>
      <c r="AS84" s="6"/>
      <c r="AT84" s="3"/>
      <c r="AU84" s="6"/>
      <c r="AV84" s="16"/>
    </row>
    <row r="85" spans="1:48" x14ac:dyDescent="0.25">
      <c r="B85" s="2" t="s">
        <v>76</v>
      </c>
      <c r="C85" s="22">
        <v>79053.023283000002</v>
      </c>
      <c r="D85" s="22">
        <v>81475.237708999994</v>
      </c>
      <c r="E85" s="22">
        <v>96986.509241000007</v>
      </c>
      <c r="F85" s="22">
        <v>108612.15264499999</v>
      </c>
      <c r="G85" s="22">
        <v>129081</v>
      </c>
      <c r="H85" s="23">
        <f t="shared" si="11"/>
        <v>0.61242958516745305</v>
      </c>
      <c r="I85" s="23">
        <f t="shared" si="12"/>
        <v>0.63119465846251577</v>
      </c>
      <c r="J85" s="23">
        <f t="shared" si="13"/>
        <v>0.75136161976588345</v>
      </c>
      <c r="K85" s="23">
        <f t="shared" si="14"/>
        <v>0.84142633420100554</v>
      </c>
      <c r="AH85" s="2"/>
      <c r="AI85" s="22"/>
      <c r="AJ85" s="22"/>
      <c r="AK85" s="22"/>
      <c r="AL85" s="22"/>
      <c r="AM85" s="22"/>
      <c r="AN85" s="23"/>
      <c r="AO85" s="23"/>
      <c r="AP85" s="23"/>
      <c r="AQ85" s="23"/>
      <c r="AR85" s="3"/>
      <c r="AS85" s="6"/>
      <c r="AT85" s="3"/>
      <c r="AU85" s="6"/>
      <c r="AV85" s="16"/>
    </row>
    <row r="86" spans="1:48" x14ac:dyDescent="0.25">
      <c r="B86" s="6"/>
      <c r="C86" s="6"/>
      <c r="D86" s="6"/>
      <c r="E86" s="6"/>
      <c r="F86" s="6"/>
      <c r="AH86" s="2"/>
      <c r="AI86" s="22"/>
      <c r="AJ86" s="22"/>
      <c r="AK86" s="22"/>
      <c r="AL86" s="22"/>
      <c r="AM86" s="22"/>
      <c r="AN86" s="23"/>
      <c r="AO86" s="23"/>
      <c r="AP86" s="23"/>
      <c r="AQ86" s="23"/>
      <c r="AR86" s="3"/>
      <c r="AS86" s="6"/>
      <c r="AT86" s="3"/>
      <c r="AU86" s="6"/>
      <c r="AV86" s="16"/>
    </row>
    <row r="87" spans="1:48" x14ac:dyDescent="0.25">
      <c r="AI87" s="24"/>
      <c r="AJ87" s="24"/>
      <c r="AK87" s="24"/>
      <c r="AL87" s="24"/>
      <c r="AM87" s="7"/>
    </row>
    <row r="88" spans="1:48" x14ac:dyDescent="0.25">
      <c r="A88" s="1" t="s">
        <v>163</v>
      </c>
      <c r="C88" s="48" t="s">
        <v>157</v>
      </c>
      <c r="D88" s="48"/>
      <c r="E88" s="48"/>
      <c r="F88" s="48"/>
      <c r="G88" s="48" t="s">
        <v>158</v>
      </c>
      <c r="H88" s="48"/>
      <c r="I88" s="48"/>
      <c r="J88" s="48"/>
      <c r="AI88" s="24"/>
      <c r="AJ88" s="24"/>
      <c r="AK88" s="24"/>
      <c r="AL88" s="24"/>
      <c r="AM88" s="7"/>
    </row>
    <row r="89" spans="1:48" x14ac:dyDescent="0.25">
      <c r="A89" s="9" t="s">
        <v>116</v>
      </c>
      <c r="B89" s="1" t="s">
        <v>154</v>
      </c>
      <c r="C89" s="1">
        <v>1990</v>
      </c>
      <c r="D89" s="1">
        <v>2000</v>
      </c>
      <c r="E89" s="1">
        <v>2010</v>
      </c>
      <c r="F89" s="1">
        <v>2015</v>
      </c>
      <c r="G89" s="1">
        <v>1990</v>
      </c>
      <c r="H89" s="1">
        <v>2000</v>
      </c>
      <c r="I89" s="1">
        <v>2010</v>
      </c>
      <c r="J89" s="1">
        <v>2015</v>
      </c>
      <c r="AI89" s="24"/>
      <c r="AJ89" s="24"/>
      <c r="AK89" s="24"/>
      <c r="AL89" s="24"/>
      <c r="AM89" s="7"/>
    </row>
    <row r="90" spans="1:48" x14ac:dyDescent="0.25">
      <c r="A90" s="2" t="s">
        <v>121</v>
      </c>
      <c r="B90" s="4">
        <v>182766.447258</v>
      </c>
      <c r="C90" s="4">
        <v>701935</v>
      </c>
      <c r="D90" s="4">
        <v>1854187</v>
      </c>
      <c r="E90" s="4">
        <v>1528825</v>
      </c>
      <c r="F90" s="4">
        <v>2082366</v>
      </c>
      <c r="G90" s="25">
        <f t="shared" ref="G90:G98" si="15">C90/B90</f>
        <v>3.8406119423502396</v>
      </c>
      <c r="H90" s="25">
        <f t="shared" ref="H90:H98" si="16">D90/B90</f>
        <v>10.145117048659154</v>
      </c>
      <c r="I90" s="25">
        <f t="shared" ref="I90:I98" si="17">E90/B90</f>
        <v>8.3649106438111858</v>
      </c>
      <c r="J90" s="25">
        <f t="shared" ref="J90:J98" si="18">F90/B90</f>
        <v>11.39359018704595</v>
      </c>
      <c r="K90" s="2"/>
    </row>
    <row r="91" spans="1:48" x14ac:dyDescent="0.25">
      <c r="A91" s="2" t="s">
        <v>124</v>
      </c>
      <c r="B91" s="4">
        <v>334807.88929200004</v>
      </c>
      <c r="C91" s="4">
        <v>1207538</v>
      </c>
      <c r="D91" s="4">
        <v>2194491</v>
      </c>
      <c r="E91" s="4">
        <v>2776813</v>
      </c>
      <c r="F91" s="4">
        <v>2933298</v>
      </c>
      <c r="G91" s="25">
        <f t="shared" si="15"/>
        <v>3.6066593369514521</v>
      </c>
      <c r="H91" s="25">
        <f t="shared" si="16"/>
        <v>6.5544781654953539</v>
      </c>
      <c r="I91" s="25">
        <f t="shared" si="17"/>
        <v>8.2937502036525323</v>
      </c>
      <c r="J91" s="25">
        <f t="shared" si="18"/>
        <v>8.7611376368785248</v>
      </c>
      <c r="K91" s="2"/>
    </row>
    <row r="92" spans="1:48" x14ac:dyDescent="0.25">
      <c r="A92" s="2" t="s">
        <v>123</v>
      </c>
      <c r="B92" s="4">
        <v>330635.05838599999</v>
      </c>
      <c r="C92" s="4">
        <v>1212706</v>
      </c>
      <c r="D92" s="4">
        <v>2409648</v>
      </c>
      <c r="E92" s="4">
        <v>1535322</v>
      </c>
      <c r="F92" s="4">
        <v>2403649</v>
      </c>
      <c r="G92" s="25">
        <f t="shared" si="15"/>
        <v>3.6678082654629627</v>
      </c>
      <c r="H92" s="25">
        <f t="shared" si="16"/>
        <v>7.2879385863154775</v>
      </c>
      <c r="I92" s="25">
        <f t="shared" si="17"/>
        <v>4.6435547624462377</v>
      </c>
      <c r="J92" s="25">
        <f t="shared" si="18"/>
        <v>7.2697947148540409</v>
      </c>
      <c r="K92" s="2"/>
    </row>
    <row r="93" spans="1:48" x14ac:dyDescent="0.25">
      <c r="A93" s="2" t="s">
        <v>117</v>
      </c>
      <c r="B93" s="4">
        <v>346426.47850999999</v>
      </c>
      <c r="C93" s="4">
        <v>724579</v>
      </c>
      <c r="D93" s="4">
        <v>1247083</v>
      </c>
      <c r="E93" s="4">
        <v>1472422</v>
      </c>
      <c r="F93" s="4">
        <v>2350099</v>
      </c>
      <c r="G93" s="25">
        <f t="shared" si="15"/>
        <v>2.0915808835296179</v>
      </c>
      <c r="H93" s="25">
        <f t="shared" si="16"/>
        <v>3.5998489646743375</v>
      </c>
      <c r="I93" s="25">
        <f t="shared" si="17"/>
        <v>4.2503159871987002</v>
      </c>
      <c r="J93" s="25">
        <f t="shared" si="18"/>
        <v>6.7838319117750743</v>
      </c>
      <c r="K93" s="2"/>
    </row>
    <row r="94" spans="1:48" x14ac:dyDescent="0.25">
      <c r="A94" s="2" t="s">
        <v>70</v>
      </c>
      <c r="B94" s="4">
        <v>100677.00936499999</v>
      </c>
      <c r="C94" s="4">
        <v>350873</v>
      </c>
      <c r="D94" s="4">
        <v>219907</v>
      </c>
      <c r="E94" s="4">
        <v>264224</v>
      </c>
      <c r="F94" s="4">
        <v>619391</v>
      </c>
      <c r="G94" s="25">
        <f t="shared" si="15"/>
        <v>3.4851353075847302</v>
      </c>
      <c r="H94" s="25">
        <f t="shared" si="16"/>
        <v>2.184282204914699</v>
      </c>
      <c r="I94" s="25">
        <f t="shared" si="17"/>
        <v>2.6244720782484481</v>
      </c>
      <c r="J94" s="25">
        <f t="shared" si="18"/>
        <v>6.1522586328962721</v>
      </c>
      <c r="K94" s="2"/>
    </row>
    <row r="95" spans="1:48" x14ac:dyDescent="0.25">
      <c r="A95" s="2" t="s">
        <v>122</v>
      </c>
      <c r="B95" s="4">
        <v>156705.34323199998</v>
      </c>
      <c r="C95" s="4">
        <v>430996</v>
      </c>
      <c r="D95" s="4">
        <v>885545</v>
      </c>
      <c r="E95" s="4">
        <v>411547</v>
      </c>
      <c r="F95" s="4">
        <v>767857</v>
      </c>
      <c r="G95" s="25">
        <f t="shared" si="15"/>
        <v>2.7503593120109291</v>
      </c>
      <c r="H95" s="25">
        <f t="shared" si="16"/>
        <v>5.6510198167841894</v>
      </c>
      <c r="I95" s="25">
        <f t="shared" si="17"/>
        <v>2.6262473985377168</v>
      </c>
      <c r="J95" s="25">
        <f t="shared" si="18"/>
        <v>4.9000052210293736</v>
      </c>
      <c r="K95" s="2"/>
    </row>
    <row r="96" spans="1:48" x14ac:dyDescent="0.25">
      <c r="A96" s="2" t="s">
        <v>119</v>
      </c>
      <c r="B96" s="4">
        <v>340478.81028099998</v>
      </c>
      <c r="C96" s="4">
        <v>922908</v>
      </c>
      <c r="D96" s="4">
        <v>960958</v>
      </c>
      <c r="E96" s="4">
        <v>1045072</v>
      </c>
      <c r="F96" s="4">
        <v>1405508</v>
      </c>
      <c r="G96" s="25">
        <f t="shared" si="15"/>
        <v>2.7106180241828159</v>
      </c>
      <c r="H96" s="25">
        <f t="shared" si="16"/>
        <v>2.8223724090404141</v>
      </c>
      <c r="I96" s="25">
        <f t="shared" si="17"/>
        <v>3.0694186200236468</v>
      </c>
      <c r="J96" s="25">
        <f t="shared" si="18"/>
        <v>4.1280336912597368</v>
      </c>
      <c r="K96" s="2"/>
    </row>
    <row r="97" spans="1:11" x14ac:dyDescent="0.25">
      <c r="A97" s="2" t="s">
        <v>120</v>
      </c>
      <c r="B97" s="4">
        <v>305609.20074200002</v>
      </c>
      <c r="C97" s="4">
        <v>265784</v>
      </c>
      <c r="D97" s="4">
        <v>559708</v>
      </c>
      <c r="E97" s="4">
        <v>416503</v>
      </c>
      <c r="F97" s="4">
        <v>683416</v>
      </c>
      <c r="G97" s="25">
        <f t="shared" si="15"/>
        <v>0.86968585813088439</v>
      </c>
      <c r="H97" s="25">
        <f t="shared" si="16"/>
        <v>1.8314500958775586</v>
      </c>
      <c r="I97" s="25">
        <f t="shared" si="17"/>
        <v>1.3628614550502955</v>
      </c>
      <c r="J97" s="25">
        <f t="shared" si="18"/>
        <v>2.2362415736853101</v>
      </c>
      <c r="K97" s="2"/>
    </row>
    <row r="98" spans="1:11" x14ac:dyDescent="0.25">
      <c r="A98" s="2" t="s">
        <v>118</v>
      </c>
      <c r="B98" s="4">
        <v>429273.78225300001</v>
      </c>
      <c r="C98" s="4">
        <v>416850</v>
      </c>
      <c r="D98" s="4">
        <v>652742</v>
      </c>
      <c r="E98" s="4">
        <v>585198</v>
      </c>
      <c r="F98" s="4">
        <v>706731</v>
      </c>
      <c r="G98" s="25">
        <f t="shared" si="15"/>
        <v>0.97105860463270077</v>
      </c>
      <c r="H98" s="25">
        <f t="shared" si="16"/>
        <v>1.5205727136983527</v>
      </c>
      <c r="I98" s="25">
        <f t="shared" si="17"/>
        <v>1.3632279076738567</v>
      </c>
      <c r="J98" s="25">
        <f t="shared" si="18"/>
        <v>1.6463409348942621</v>
      </c>
      <c r="K98" s="2"/>
    </row>
    <row r="103" spans="1:11" x14ac:dyDescent="0.25">
      <c r="B103" s="13"/>
      <c r="C103" s="13"/>
      <c r="D103" s="13"/>
      <c r="E103" s="13"/>
      <c r="F103" s="13"/>
    </row>
    <row r="104" spans="1:11" x14ac:dyDescent="0.25">
      <c r="B104" s="26"/>
      <c r="C104" s="26"/>
      <c r="D104" s="26"/>
      <c r="E104" s="26"/>
      <c r="F104" s="27"/>
    </row>
    <row r="105" spans="1:11" x14ac:dyDescent="0.25">
      <c r="B105" s="26"/>
      <c r="C105" s="26"/>
      <c r="D105" s="26"/>
      <c r="E105" s="26"/>
      <c r="F105" s="27"/>
    </row>
    <row r="106" spans="1:11" x14ac:dyDescent="0.25">
      <c r="B106" s="26"/>
      <c r="C106" s="26"/>
      <c r="D106" s="26"/>
      <c r="E106" s="26"/>
      <c r="F106" s="27"/>
    </row>
    <row r="107" spans="1:11" x14ac:dyDescent="0.25">
      <c r="B107" s="26"/>
      <c r="C107" s="26"/>
      <c r="D107" s="26"/>
      <c r="E107" s="26"/>
      <c r="F107" s="27"/>
    </row>
    <row r="108" spans="1:11" x14ac:dyDescent="0.25">
      <c r="B108" s="26"/>
      <c r="C108" s="26"/>
      <c r="D108" s="26"/>
      <c r="E108" s="26"/>
      <c r="F108" s="27"/>
    </row>
    <row r="109" spans="1:11" x14ac:dyDescent="0.25">
      <c r="B109" s="26"/>
      <c r="C109" s="26"/>
      <c r="D109" s="26"/>
      <c r="E109" s="26"/>
      <c r="F109" s="27"/>
    </row>
    <row r="110" spans="1:11" x14ac:dyDescent="0.25">
      <c r="B110" s="26"/>
      <c r="C110" s="26"/>
      <c r="D110" s="26"/>
      <c r="E110" s="26"/>
      <c r="F110" s="27"/>
    </row>
    <row r="111" spans="1:11" x14ac:dyDescent="0.25">
      <c r="B111" s="26"/>
      <c r="C111" s="26"/>
      <c r="D111" s="26"/>
      <c r="E111" s="26"/>
      <c r="F111" s="27"/>
    </row>
  </sheetData>
  <autoFilter ref="A89:J89" xr:uid="{00000000-0009-0000-0000-000001000000}">
    <sortState xmlns:xlrd2="http://schemas.microsoft.com/office/spreadsheetml/2017/richdata2" ref="A90:J98">
      <sortCondition descending="1" ref="J89"/>
    </sortState>
  </autoFilter>
  <mergeCells count="9">
    <mergeCell ref="M36:S36"/>
    <mergeCell ref="T36:X36"/>
    <mergeCell ref="Y36:AE36"/>
    <mergeCell ref="G88:J88"/>
    <mergeCell ref="C88:F88"/>
    <mergeCell ref="C54:F54"/>
    <mergeCell ref="H54:K54"/>
    <mergeCell ref="B36:D36"/>
    <mergeCell ref="E36:L36"/>
  </mergeCells>
  <pageMargins left="0.7" right="0.7" top="0.75" bottom="0.75" header="0.3" footer="0.3"/>
  <pageSetup orientation="portrait" r:id="rId1"/>
  <headerFooter>
    <oddFooter>&amp;R_x000D_&amp;1#&amp;"Aptos"&amp;10&amp;K000000 Official Use Only</oddFooter>
  </headerFooter>
  <ignoredErrors>
    <ignoredError sqref="B20:F23" formulaRange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O116"/>
  <sheetViews>
    <sheetView topLeftCell="A73" workbookViewId="0">
      <selection activeCell="G99" sqref="G99"/>
    </sheetView>
  </sheetViews>
  <sheetFormatPr defaultColWidth="9.140625" defaultRowHeight="15" x14ac:dyDescent="0.25"/>
  <cols>
    <col min="1" max="1" width="16.5703125" style="1" customWidth="1"/>
    <col min="2" max="2" width="16" style="1" customWidth="1"/>
    <col min="3" max="3" width="17" style="1" customWidth="1"/>
    <col min="4" max="4" width="21.5703125" style="1" customWidth="1"/>
    <col min="5" max="5" width="12.5703125" style="1" customWidth="1"/>
    <col min="6" max="6" width="14.85546875" style="1" customWidth="1"/>
    <col min="7" max="7" width="8.85546875" style="1" customWidth="1"/>
    <col min="8" max="8" width="8.5703125" style="1" customWidth="1"/>
    <col min="9" max="9" width="10.85546875" style="1" customWidth="1"/>
    <col min="10" max="10" width="15.140625" style="1" customWidth="1"/>
    <col min="11" max="11" width="13.7109375" style="1" customWidth="1"/>
    <col min="12" max="12" width="12.85546875" style="1" customWidth="1"/>
    <col min="13" max="15" width="17.7109375" style="1" bestFit="1" customWidth="1"/>
    <col min="16" max="16" width="15.42578125" style="1" bestFit="1" customWidth="1"/>
    <col min="17" max="29" width="13.28515625" style="1" bestFit="1" customWidth="1"/>
    <col min="30" max="30" width="13.140625" style="1" bestFit="1" customWidth="1"/>
    <col min="31" max="31" width="14.7109375" style="1" bestFit="1" customWidth="1"/>
    <col min="32" max="32" width="16.5703125" style="1" customWidth="1"/>
    <col min="33" max="33" width="15.28515625" style="1" customWidth="1"/>
    <col min="34" max="34" width="13" style="1" customWidth="1"/>
    <col min="35" max="35" width="15.140625" style="1" customWidth="1"/>
    <col min="36" max="36" width="22.28515625" style="1" bestFit="1" customWidth="1"/>
    <col min="37" max="37" width="19.140625" style="1" customWidth="1"/>
    <col min="38" max="38" width="17.5703125" style="1" bestFit="1" customWidth="1"/>
    <col min="39" max="39" width="11" style="1" bestFit="1" customWidth="1"/>
    <col min="40" max="40" width="11.42578125" style="1" bestFit="1" customWidth="1"/>
    <col min="41" max="41" width="20.28515625" style="1" bestFit="1" customWidth="1"/>
    <col min="42" max="42" width="16.7109375" style="1" customWidth="1"/>
    <col min="43" max="16384" width="9.140625" style="1"/>
  </cols>
  <sheetData>
    <row r="1" spans="1:31" x14ac:dyDescent="0.25">
      <c r="A1" s="9" t="s">
        <v>41</v>
      </c>
    </row>
    <row r="2" spans="1:31" x14ac:dyDescent="0.25">
      <c r="B2" s="1" t="s">
        <v>40</v>
      </c>
      <c r="C2" s="9"/>
      <c r="D2" s="9"/>
    </row>
    <row r="3" spans="1:31" x14ac:dyDescent="0.25">
      <c r="A3" s="10">
        <v>1990</v>
      </c>
      <c r="B3" s="6">
        <f>SUM(B20:F20)</f>
        <v>7928109461.1784</v>
      </c>
      <c r="C3" s="6"/>
      <c r="D3" s="6"/>
      <c r="E3" s="6"/>
      <c r="F3" s="7"/>
      <c r="J3" s="6"/>
      <c r="K3" s="6"/>
      <c r="L3" s="7"/>
    </row>
    <row r="4" spans="1:31" x14ac:dyDescent="0.25">
      <c r="A4" s="10">
        <v>2000</v>
      </c>
      <c r="B4" s="6">
        <f>SUM(B21:F21)</f>
        <v>7793320618.3624001</v>
      </c>
      <c r="C4" s="6"/>
      <c r="D4" s="6"/>
      <c r="E4" s="6"/>
      <c r="F4" s="6"/>
      <c r="G4" s="7"/>
      <c r="J4" s="6"/>
      <c r="K4" s="6"/>
      <c r="L4" s="7"/>
    </row>
    <row r="5" spans="1:31" x14ac:dyDescent="0.25">
      <c r="A5" s="10">
        <v>2010</v>
      </c>
      <c r="B5" s="6">
        <f>SUM(B22:F22)</f>
        <v>7962700157.6919003</v>
      </c>
      <c r="C5" s="6"/>
      <c r="D5" s="6"/>
      <c r="E5" s="6"/>
      <c r="F5" s="6"/>
      <c r="G5" s="7"/>
      <c r="H5" s="6"/>
      <c r="I5" s="6"/>
      <c r="J5" s="6"/>
      <c r="K5" s="6"/>
      <c r="L5" s="7"/>
    </row>
    <row r="6" spans="1:31" x14ac:dyDescent="0.25">
      <c r="A6" s="10">
        <v>2015</v>
      </c>
      <c r="B6" s="6">
        <f>SUM(B23:F23)</f>
        <v>8249488807.2289</v>
      </c>
      <c r="C6" s="6"/>
      <c r="D6" s="6"/>
      <c r="E6" s="6"/>
      <c r="F6" s="7"/>
      <c r="G6" s="7"/>
      <c r="J6" s="6"/>
      <c r="K6" s="6"/>
      <c r="L6" s="7"/>
      <c r="AB6" s="16"/>
      <c r="AE6" s="16"/>
    </row>
    <row r="7" spans="1:31" x14ac:dyDescent="0.25">
      <c r="A7" s="1" t="s">
        <v>47</v>
      </c>
      <c r="B7" s="6">
        <f>B6-B3</f>
        <v>321379346.05049992</v>
      </c>
    </row>
    <row r="8" spans="1:31" x14ac:dyDescent="0.25">
      <c r="A8" s="1" t="s">
        <v>1</v>
      </c>
      <c r="B8" s="3">
        <f>B7/B3</f>
        <v>4.0536693851693048E-2</v>
      </c>
      <c r="G8" s="6"/>
    </row>
    <row r="9" spans="1:31" x14ac:dyDescent="0.25">
      <c r="A9" s="1" t="s">
        <v>2</v>
      </c>
      <c r="B9" s="6">
        <f>B4-B3</f>
        <v>-134788842.81599998</v>
      </c>
      <c r="C9" s="6"/>
      <c r="D9" s="6"/>
      <c r="E9" s="6"/>
      <c r="F9" s="6"/>
      <c r="G9" s="6"/>
    </row>
    <row r="10" spans="1:31" x14ac:dyDescent="0.25">
      <c r="A10" s="1" t="s">
        <v>1</v>
      </c>
      <c r="B10" s="3">
        <f>B9/B3</f>
        <v>-1.700138519479593E-2</v>
      </c>
      <c r="C10" s="6"/>
      <c r="D10" s="6"/>
      <c r="E10" s="6"/>
      <c r="F10" s="6"/>
      <c r="G10" s="6"/>
      <c r="H10" s="7"/>
    </row>
    <row r="11" spans="1:31" x14ac:dyDescent="0.25">
      <c r="A11" s="1" t="s">
        <v>0</v>
      </c>
      <c r="B11" s="6">
        <f>B5-B4</f>
        <v>169379539.3295002</v>
      </c>
      <c r="C11" s="6"/>
      <c r="D11" s="6"/>
      <c r="E11" s="6"/>
      <c r="F11" s="6"/>
    </row>
    <row r="12" spans="1:31" x14ac:dyDescent="0.25">
      <c r="A12" s="1" t="s">
        <v>1</v>
      </c>
      <c r="B12" s="3">
        <f>B11/B4</f>
        <v>2.1733936998615578E-2</v>
      </c>
      <c r="C12" s="6"/>
      <c r="D12" s="6"/>
      <c r="E12" s="6"/>
      <c r="F12" s="6"/>
    </row>
    <row r="13" spans="1:31" ht="17.25" customHeight="1" x14ac:dyDescent="0.25">
      <c r="A13" s="1" t="s">
        <v>48</v>
      </c>
      <c r="B13" s="6">
        <f>B6-B5</f>
        <v>286788649.5369997</v>
      </c>
      <c r="C13" s="6"/>
      <c r="D13" s="6"/>
      <c r="E13" s="6"/>
      <c r="F13" s="6"/>
      <c r="AB13" s="16"/>
      <c r="AE13" s="16"/>
    </row>
    <row r="14" spans="1:31" x14ac:dyDescent="0.25">
      <c r="A14" s="1" t="s">
        <v>1</v>
      </c>
      <c r="B14" s="3">
        <f>B13/B5</f>
        <v>3.6016507448163086E-2</v>
      </c>
      <c r="AE14" s="16"/>
    </row>
    <row r="15" spans="1:31" x14ac:dyDescent="0.25">
      <c r="A15" s="1" t="s">
        <v>49</v>
      </c>
      <c r="B15" s="12">
        <v>2534568.9300000002</v>
      </c>
      <c r="AE15" s="16"/>
    </row>
    <row r="16" spans="1:31" x14ac:dyDescent="0.25">
      <c r="A16" s="1" t="s">
        <v>51</v>
      </c>
      <c r="B16" s="6">
        <f>B6/B15</f>
        <v>3254.7896841885849</v>
      </c>
      <c r="C16" s="6"/>
      <c r="D16" s="2"/>
      <c r="E16" s="6"/>
      <c r="F16" s="6"/>
      <c r="AB16" s="16"/>
      <c r="AE16" s="16"/>
    </row>
    <row r="17" spans="1:31" x14ac:dyDescent="0.25">
      <c r="AE17" s="16"/>
    </row>
    <row r="18" spans="1:31" x14ac:dyDescent="0.25">
      <c r="A18" s="9" t="s">
        <v>42</v>
      </c>
    </row>
    <row r="19" spans="1:31" x14ac:dyDescent="0.25">
      <c r="B19" s="2" t="s">
        <v>5</v>
      </c>
      <c r="C19" s="2" t="s">
        <v>25</v>
      </c>
      <c r="D19" s="2" t="s">
        <v>24</v>
      </c>
      <c r="E19" s="2" t="s">
        <v>26</v>
      </c>
      <c r="F19" s="2" t="s">
        <v>32</v>
      </c>
      <c r="G19" s="2"/>
    </row>
    <row r="20" spans="1:31" x14ac:dyDescent="0.25">
      <c r="A20" s="10">
        <v>1990</v>
      </c>
      <c r="B20" s="33">
        <f>SUM(B38:D38)</f>
        <v>114618050.49529999</v>
      </c>
      <c r="C20" s="33">
        <f>SUM(E38:L38)</f>
        <v>2489862620.3510003</v>
      </c>
      <c r="D20" s="33">
        <f>SUM(M38:S38)</f>
        <v>2823849507.8200002</v>
      </c>
      <c r="E20" s="33">
        <f>SUM(T38:X38)</f>
        <v>1096897436.543</v>
      </c>
      <c r="F20" s="33">
        <f>SUM(Y38:AE38)</f>
        <v>1402881845.9691</v>
      </c>
      <c r="G20" s="6"/>
    </row>
    <row r="21" spans="1:31" x14ac:dyDescent="0.25">
      <c r="A21" s="10">
        <v>2000</v>
      </c>
      <c r="B21" s="33">
        <f>SUM(B39:D39)</f>
        <v>107730210.70110001</v>
      </c>
      <c r="C21" s="33">
        <f>SUM(E39:L39)</f>
        <v>2543914465.3300004</v>
      </c>
      <c r="D21" s="33">
        <f>SUM(M39:S39)</f>
        <v>2853831340.8179998</v>
      </c>
      <c r="E21" s="33">
        <f>SUM(T39:X39)</f>
        <v>1124093575.4579999</v>
      </c>
      <c r="F21" s="33">
        <f>SUM(Y39:AE39)</f>
        <v>1163751026.0553</v>
      </c>
      <c r="G21" s="6"/>
    </row>
    <row r="22" spans="1:31" x14ac:dyDescent="0.25">
      <c r="A22" s="10">
        <v>2010</v>
      </c>
      <c r="B22" s="33">
        <f>SUM(B40:D40)</f>
        <v>112165666.6029</v>
      </c>
      <c r="C22" s="33">
        <f>SUM(E40:L40)</f>
        <v>2572330811.0240002</v>
      </c>
      <c r="D22" s="33">
        <f>SUM(M40:S40)</f>
        <v>2905259919.8589997</v>
      </c>
      <c r="E22" s="33">
        <f>SUM(T40:X40)</f>
        <v>1111390201.1140001</v>
      </c>
      <c r="F22" s="33">
        <f>SUM(Y40:AE40)</f>
        <v>1261553559.092</v>
      </c>
      <c r="G22" s="6"/>
    </row>
    <row r="23" spans="1:31" x14ac:dyDescent="0.25">
      <c r="A23" s="10">
        <v>2015</v>
      </c>
      <c r="B23" s="33">
        <f>SUM(B41:D41)</f>
        <v>122236103.57589999</v>
      </c>
      <c r="C23" s="33">
        <f>SUM(E41:L41)</f>
        <v>2614299962.7829995</v>
      </c>
      <c r="D23" s="33">
        <f>SUM(M41:S41)</f>
        <v>2953253567.0559998</v>
      </c>
      <c r="E23" s="33">
        <f>SUM(T41:X41)</f>
        <v>1135774005.4909999</v>
      </c>
      <c r="F23" s="33">
        <f>SUM(Y41:AE41)</f>
        <v>1423925168.323</v>
      </c>
      <c r="G23" s="6"/>
    </row>
    <row r="24" spans="1:31" x14ac:dyDescent="0.25">
      <c r="A24" s="1" t="s">
        <v>47</v>
      </c>
      <c r="B24" s="33">
        <f>B23-B20</f>
        <v>7618053.0805999935</v>
      </c>
      <c r="C24" s="33">
        <f>C23-C20</f>
        <v>124437342.43199921</v>
      </c>
      <c r="D24" s="33">
        <f>D23-D20</f>
        <v>129404059.23599958</v>
      </c>
      <c r="E24" s="33">
        <f>E23-E20</f>
        <v>38876568.947999954</v>
      </c>
      <c r="F24" s="33">
        <f>F23-F20</f>
        <v>21043322.353899956</v>
      </c>
      <c r="G24" s="3"/>
    </row>
    <row r="25" spans="1:31" x14ac:dyDescent="0.25">
      <c r="A25" s="1" t="s">
        <v>1</v>
      </c>
      <c r="B25" s="3">
        <f>B24/B20</f>
        <v>6.646468900561503E-2</v>
      </c>
      <c r="C25" s="3">
        <f>C24/C20</f>
        <v>4.9977593709349739E-2</v>
      </c>
      <c r="D25" s="3">
        <f>D24/D20</f>
        <v>4.5825409207411683E-2</v>
      </c>
      <c r="E25" s="3">
        <f>E24/E20</f>
        <v>3.5442300850409489E-2</v>
      </c>
      <c r="F25" s="3">
        <f>F24/F20</f>
        <v>1.500006747850058E-2</v>
      </c>
      <c r="G25" s="6"/>
    </row>
    <row r="26" spans="1:31" x14ac:dyDescent="0.25">
      <c r="A26" s="1" t="s">
        <v>2</v>
      </c>
      <c r="B26" s="6">
        <f>B21-B20</f>
        <v>-6887839.7941999882</v>
      </c>
      <c r="C26" s="6">
        <f>C21-C20</f>
        <v>54051844.979000092</v>
      </c>
      <c r="D26" s="6">
        <f>D21-D20</f>
        <v>29981832.997999668</v>
      </c>
      <c r="E26" s="6">
        <f>E21-E20</f>
        <v>27196138.914999962</v>
      </c>
      <c r="F26" s="6">
        <f>F21-F20</f>
        <v>-239130819.9138</v>
      </c>
      <c r="G26" s="3"/>
    </row>
    <row r="27" spans="1:31" x14ac:dyDescent="0.25">
      <c r="A27" s="1" t="s">
        <v>1</v>
      </c>
      <c r="B27" s="3">
        <f>B26/B20</f>
        <v>-6.0093848782416949E-2</v>
      </c>
      <c r="C27" s="3">
        <f>C26/C20</f>
        <v>2.1708765992631475E-2</v>
      </c>
      <c r="D27" s="3">
        <f>D26/D20</f>
        <v>1.061736219121164E-2</v>
      </c>
      <c r="E27" s="3">
        <f>E26/E20</f>
        <v>2.4793693566019955E-2</v>
      </c>
      <c r="F27" s="3">
        <f>F26/F20</f>
        <v>-0.17045684966335156</v>
      </c>
      <c r="G27" s="3"/>
    </row>
    <row r="28" spans="1:31" x14ac:dyDescent="0.25">
      <c r="A28" s="1" t="s">
        <v>0</v>
      </c>
      <c r="B28" s="6">
        <f>B22-B21</f>
        <v>4435455.9017999917</v>
      </c>
      <c r="C28" s="6">
        <f>C22-C21</f>
        <v>28416345.693999767</v>
      </c>
      <c r="D28" s="6">
        <f>D22-D21</f>
        <v>51428579.040999889</v>
      </c>
      <c r="E28" s="6">
        <f>E22-E21</f>
        <v>-12703374.343999863</v>
      </c>
      <c r="F28" s="6">
        <f>F22-F21</f>
        <v>97802533.03670001</v>
      </c>
    </row>
    <row r="29" spans="1:31" x14ac:dyDescent="0.25">
      <c r="A29" s="1" t="s">
        <v>1</v>
      </c>
      <c r="B29" s="3">
        <f>B28/B21</f>
        <v>4.1171885517854112E-2</v>
      </c>
      <c r="C29" s="3">
        <f>C28/C21</f>
        <v>1.1170322776679347E-2</v>
      </c>
      <c r="D29" s="3">
        <f>D28/D21</f>
        <v>1.8020889428686002E-2</v>
      </c>
      <c r="E29" s="3">
        <f>E28/E21</f>
        <v>-1.1300993637317078E-2</v>
      </c>
      <c r="F29" s="3">
        <f>F28/F21</f>
        <v>8.4040770617591326E-2</v>
      </c>
      <c r="G29" s="3"/>
    </row>
    <row r="30" spans="1:31" x14ac:dyDescent="0.25">
      <c r="A30" s="1" t="s">
        <v>48</v>
      </c>
      <c r="B30" s="6">
        <f>B23-B22</f>
        <v>10070436.97299999</v>
      </c>
      <c r="C30" s="6">
        <f>C23-C22</f>
        <v>41969151.758999348</v>
      </c>
      <c r="D30" s="6">
        <f>D23-D22</f>
        <v>47993647.197000027</v>
      </c>
      <c r="E30" s="6">
        <f>E23-E22</f>
        <v>24383804.376999855</v>
      </c>
      <c r="F30" s="6">
        <f>F23-F22</f>
        <v>162371609.23099995</v>
      </c>
    </row>
    <row r="31" spans="1:31" x14ac:dyDescent="0.25">
      <c r="A31" s="1" t="s">
        <v>1</v>
      </c>
      <c r="B31" s="3">
        <f>B30/B22</f>
        <v>8.9781813615500972E-2</v>
      </c>
      <c r="C31" s="3">
        <f>C30/C22</f>
        <v>1.6315612120780126E-2</v>
      </c>
      <c r="D31" s="3">
        <f>D30/D22</f>
        <v>1.6519570888972056E-2</v>
      </c>
      <c r="E31" s="3">
        <f>E30/E22</f>
        <v>2.1939913049943027E-2</v>
      </c>
      <c r="F31" s="3">
        <f>F30/F22</f>
        <v>0.12870766212087459</v>
      </c>
      <c r="G31" s="3"/>
    </row>
    <row r="32" spans="1:31" x14ac:dyDescent="0.25">
      <c r="A32" s="1" t="s">
        <v>49</v>
      </c>
      <c r="B32" s="6">
        <v>73001</v>
      </c>
      <c r="C32" s="6">
        <v>596451</v>
      </c>
      <c r="D32" s="6">
        <v>588201</v>
      </c>
      <c r="E32" s="6">
        <v>327613</v>
      </c>
      <c r="F32" s="6">
        <v>946373</v>
      </c>
      <c r="G32" s="3"/>
    </row>
    <row r="33" spans="1:41" x14ac:dyDescent="0.25">
      <c r="A33" s="1" t="s">
        <v>51</v>
      </c>
      <c r="B33" s="6">
        <f>B23/B32</f>
        <v>1674.4442346803467</v>
      </c>
      <c r="C33" s="6">
        <f>C23/C32</f>
        <v>4383.0925973516678</v>
      </c>
      <c r="D33" s="6">
        <f>D23/D32</f>
        <v>5020.8237780214586</v>
      </c>
      <c r="E33" s="6">
        <f>E23/E32</f>
        <v>3466.8160466495528</v>
      </c>
      <c r="F33" s="6">
        <f>F23/F32</f>
        <v>1504.6130524888179</v>
      </c>
      <c r="G33" s="3"/>
    </row>
    <row r="35" spans="1:41" x14ac:dyDescent="0.25">
      <c r="A35" s="9" t="s">
        <v>43</v>
      </c>
    </row>
    <row r="36" spans="1:41" x14ac:dyDescent="0.25">
      <c r="A36" s="1" t="s">
        <v>3</v>
      </c>
      <c r="B36" s="48" t="s">
        <v>5</v>
      </c>
      <c r="C36" s="48"/>
      <c r="D36" s="48"/>
      <c r="E36" s="48" t="s">
        <v>25</v>
      </c>
      <c r="F36" s="48"/>
      <c r="G36" s="48"/>
      <c r="H36" s="48"/>
      <c r="I36" s="48"/>
      <c r="J36" s="48"/>
      <c r="K36" s="48"/>
      <c r="L36" s="48"/>
      <c r="M36" s="48" t="s">
        <v>24</v>
      </c>
      <c r="N36" s="48"/>
      <c r="O36" s="48"/>
      <c r="P36" s="48"/>
      <c r="Q36" s="48"/>
      <c r="R36" s="48"/>
      <c r="S36" s="48"/>
      <c r="T36" s="48" t="s">
        <v>26</v>
      </c>
      <c r="U36" s="48"/>
      <c r="V36" s="48"/>
      <c r="W36" s="48"/>
      <c r="X36" s="48"/>
      <c r="Y36" s="48" t="s">
        <v>32</v>
      </c>
      <c r="Z36" s="48"/>
      <c r="AA36" s="48"/>
      <c r="AB36" s="48"/>
      <c r="AC36" s="48"/>
      <c r="AD36" s="48"/>
      <c r="AE36" s="48"/>
      <c r="AF36" s="13"/>
      <c r="AG36" s="13"/>
      <c r="AH36" s="13"/>
      <c r="AI36" s="13"/>
      <c r="AJ36" s="13"/>
      <c r="AK36" s="13"/>
      <c r="AL36" s="13"/>
      <c r="AM36" s="13"/>
      <c r="AN36" s="13"/>
      <c r="AO36" s="13"/>
    </row>
    <row r="37" spans="1:41" x14ac:dyDescent="0.25">
      <c r="A37" s="1" t="s">
        <v>4</v>
      </c>
      <c r="B37" s="2" t="s">
        <v>6</v>
      </c>
      <c r="C37" s="2" t="s">
        <v>7</v>
      </c>
      <c r="D37" s="2" t="s">
        <v>8</v>
      </c>
      <c r="E37" s="2" t="s">
        <v>9</v>
      </c>
      <c r="F37" s="2" t="s">
        <v>10</v>
      </c>
      <c r="G37" s="2" t="s">
        <v>11</v>
      </c>
      <c r="H37" s="2" t="s">
        <v>12</v>
      </c>
      <c r="I37" s="2" t="s">
        <v>13</v>
      </c>
      <c r="J37" s="2" t="s">
        <v>14</v>
      </c>
      <c r="K37" s="2" t="s">
        <v>15</v>
      </c>
      <c r="L37" s="2" t="s">
        <v>16</v>
      </c>
      <c r="M37" s="2" t="s">
        <v>17</v>
      </c>
      <c r="N37" s="2" t="s">
        <v>18</v>
      </c>
      <c r="O37" s="2" t="s">
        <v>19</v>
      </c>
      <c r="P37" s="2" t="s">
        <v>20</v>
      </c>
      <c r="Q37" s="2" t="s">
        <v>21</v>
      </c>
      <c r="R37" s="2" t="s">
        <v>22</v>
      </c>
      <c r="S37" s="2" t="s">
        <v>23</v>
      </c>
      <c r="T37" s="2" t="s">
        <v>27</v>
      </c>
      <c r="U37" s="2" t="s">
        <v>28</v>
      </c>
      <c r="V37" s="2" t="s">
        <v>29</v>
      </c>
      <c r="W37" s="2" t="s">
        <v>30</v>
      </c>
      <c r="X37" s="2" t="s">
        <v>31</v>
      </c>
      <c r="Y37" s="2" t="s">
        <v>33</v>
      </c>
      <c r="Z37" s="2" t="s">
        <v>34</v>
      </c>
      <c r="AA37" s="2" t="s">
        <v>35</v>
      </c>
      <c r="AB37" s="1" t="s">
        <v>36</v>
      </c>
      <c r="AC37" s="1" t="s">
        <v>37</v>
      </c>
      <c r="AD37" s="1" t="s">
        <v>38</v>
      </c>
      <c r="AE37" s="1" t="s">
        <v>39</v>
      </c>
    </row>
    <row r="38" spans="1:41" x14ac:dyDescent="0.25">
      <c r="A38" s="10">
        <v>1990</v>
      </c>
      <c r="B38" s="4">
        <v>72440500.630899996</v>
      </c>
      <c r="C38" s="4">
        <v>21340354.715100002</v>
      </c>
      <c r="D38" s="4">
        <v>20837195.149300002</v>
      </c>
      <c r="E38" s="4">
        <v>198210074.322</v>
      </c>
      <c r="F38" s="4">
        <v>215826485.537</v>
      </c>
      <c r="G38" s="4">
        <v>175892129.93200001</v>
      </c>
      <c r="H38" s="4">
        <v>210501371.808</v>
      </c>
      <c r="I38" s="4">
        <v>660313585.07700002</v>
      </c>
      <c r="J38" s="4">
        <v>221806118.74200001</v>
      </c>
      <c r="K38" s="4">
        <v>595686675.125</v>
      </c>
      <c r="L38" s="4">
        <v>211626179.808</v>
      </c>
      <c r="M38" s="4">
        <v>397443171.95599997</v>
      </c>
      <c r="N38" s="4">
        <v>348291194.02999997</v>
      </c>
      <c r="O38" s="4">
        <v>390325783.005</v>
      </c>
      <c r="P38" s="4">
        <v>572439528.03400004</v>
      </c>
      <c r="Q38" s="4">
        <v>183904367.21900001</v>
      </c>
      <c r="R38" s="4">
        <v>565568047.40999997</v>
      </c>
      <c r="S38" s="4">
        <v>365877416.16600001</v>
      </c>
      <c r="T38" s="4">
        <v>196206388.81900001</v>
      </c>
      <c r="U38" s="4">
        <v>247799112.685</v>
      </c>
      <c r="V38" s="4">
        <v>180526262.63999999</v>
      </c>
      <c r="W38" s="4">
        <v>316179870.648</v>
      </c>
      <c r="X38" s="4">
        <v>156185801.75099999</v>
      </c>
      <c r="Y38" s="4">
        <v>198721858.45100001</v>
      </c>
      <c r="Z38" s="4">
        <v>249070909.56999999</v>
      </c>
      <c r="AA38" s="4">
        <v>273650552.296</v>
      </c>
      <c r="AB38" s="4">
        <v>175206969.44400001</v>
      </c>
      <c r="AC38" s="4">
        <v>84742566.690599993</v>
      </c>
      <c r="AD38" s="4">
        <v>324091948.62199998</v>
      </c>
      <c r="AE38" s="4">
        <v>97397040.895500004</v>
      </c>
      <c r="AF38" s="6"/>
    </row>
    <row r="39" spans="1:41" x14ac:dyDescent="0.25">
      <c r="A39" s="10">
        <v>2000</v>
      </c>
      <c r="B39" s="4">
        <v>66508787.130000003</v>
      </c>
      <c r="C39" s="4">
        <v>20806098.998599999</v>
      </c>
      <c r="D39" s="4">
        <v>20415324.572500002</v>
      </c>
      <c r="E39" s="4">
        <v>209366294.95100001</v>
      </c>
      <c r="F39" s="4">
        <v>225129126.58000001</v>
      </c>
      <c r="G39" s="4">
        <v>174901516.04499999</v>
      </c>
      <c r="H39" s="4">
        <v>215412677.19499999</v>
      </c>
      <c r="I39" s="4">
        <v>676394091.99300003</v>
      </c>
      <c r="J39" s="4">
        <v>231890683.65700001</v>
      </c>
      <c r="K39" s="4">
        <v>600861281.93799996</v>
      </c>
      <c r="L39" s="4">
        <v>209958792.97099999</v>
      </c>
      <c r="M39" s="4">
        <v>391760215.583</v>
      </c>
      <c r="N39" s="4">
        <v>360106343.10500002</v>
      </c>
      <c r="O39" s="4">
        <v>402840475.745</v>
      </c>
      <c r="P39" s="4">
        <v>573175012.26800001</v>
      </c>
      <c r="Q39" s="4">
        <v>191434821.75799999</v>
      </c>
      <c r="R39" s="4">
        <v>551610215.24600005</v>
      </c>
      <c r="S39" s="4">
        <v>382904257.11299998</v>
      </c>
      <c r="T39" s="4">
        <v>202337773.498</v>
      </c>
      <c r="U39" s="4">
        <v>257383585.965</v>
      </c>
      <c r="V39" s="4">
        <v>180830842.93799999</v>
      </c>
      <c r="W39" s="4">
        <v>317513616.95700002</v>
      </c>
      <c r="X39" s="4">
        <v>166027756.09999999</v>
      </c>
      <c r="Y39" s="4">
        <v>152005239.255</v>
      </c>
      <c r="Z39" s="4">
        <v>210863941.623</v>
      </c>
      <c r="AA39" s="4">
        <v>236457712.00799999</v>
      </c>
      <c r="AB39" s="4">
        <v>138084719.808</v>
      </c>
      <c r="AC39" s="4">
        <v>80125504.1329</v>
      </c>
      <c r="AD39" s="4">
        <v>260407307.06900001</v>
      </c>
      <c r="AE39" s="4">
        <v>85806602.159400001</v>
      </c>
      <c r="AF39" s="12"/>
    </row>
    <row r="40" spans="1:41" x14ac:dyDescent="0.25">
      <c r="A40" s="10">
        <v>2010</v>
      </c>
      <c r="B40" s="4">
        <v>68098715.201700002</v>
      </c>
      <c r="C40" s="4">
        <v>22536976.289700001</v>
      </c>
      <c r="D40" s="4">
        <v>21529975.111499999</v>
      </c>
      <c r="E40" s="4">
        <v>207488305.21200001</v>
      </c>
      <c r="F40" s="4">
        <v>228821176.58700001</v>
      </c>
      <c r="G40" s="4">
        <v>180017767.61899999</v>
      </c>
      <c r="H40" s="4">
        <v>210663746.38299999</v>
      </c>
      <c r="I40" s="4">
        <v>689632973.03299999</v>
      </c>
      <c r="J40" s="4">
        <v>226489182.64199999</v>
      </c>
      <c r="K40" s="4">
        <v>620461001.67499995</v>
      </c>
      <c r="L40" s="4">
        <v>208756657.873</v>
      </c>
      <c r="M40" s="4">
        <v>404526194.16399997</v>
      </c>
      <c r="N40" s="4">
        <v>362915477.04400003</v>
      </c>
      <c r="O40" s="4">
        <v>405440429.51499999</v>
      </c>
      <c r="P40" s="4">
        <v>584477197.46899998</v>
      </c>
      <c r="Q40" s="4">
        <v>210812138.414</v>
      </c>
      <c r="R40" s="4">
        <v>549586593.53699994</v>
      </c>
      <c r="S40" s="4">
        <v>387501889.71600002</v>
      </c>
      <c r="T40" s="4">
        <v>200314259.70199999</v>
      </c>
      <c r="U40" s="4">
        <v>251337390.19600001</v>
      </c>
      <c r="V40" s="4">
        <v>169416829.47299999</v>
      </c>
      <c r="W40" s="4">
        <v>326288704.51999998</v>
      </c>
      <c r="X40" s="4">
        <v>164033017.22299999</v>
      </c>
      <c r="Y40" s="4">
        <v>158090768.47400001</v>
      </c>
      <c r="Z40" s="4">
        <v>223002213.991</v>
      </c>
      <c r="AA40" s="4">
        <v>270517752.59500003</v>
      </c>
      <c r="AB40" s="4">
        <v>146959018.27000001</v>
      </c>
      <c r="AC40" s="4">
        <v>85514533.266000003</v>
      </c>
      <c r="AD40" s="4">
        <v>287628263.41399997</v>
      </c>
      <c r="AE40" s="4">
        <v>89841009.082000002</v>
      </c>
    </row>
    <row r="41" spans="1:41" x14ac:dyDescent="0.25">
      <c r="A41" s="10">
        <v>2015</v>
      </c>
      <c r="B41" s="4">
        <v>75516642.010299996</v>
      </c>
      <c r="C41" s="4">
        <v>23987382.5902</v>
      </c>
      <c r="D41" s="4">
        <v>22732078.975400001</v>
      </c>
      <c r="E41" s="4">
        <v>227086769.94800001</v>
      </c>
      <c r="F41" s="4">
        <v>226981036.25400001</v>
      </c>
      <c r="G41" s="4">
        <v>179975380.245</v>
      </c>
      <c r="H41" s="4">
        <v>222287326.06600001</v>
      </c>
      <c r="I41" s="4">
        <v>690930754.58299994</v>
      </c>
      <c r="J41" s="4">
        <v>235459162.50299999</v>
      </c>
      <c r="K41" s="4">
        <v>617892519.74699998</v>
      </c>
      <c r="L41" s="4">
        <v>213687013.43700001</v>
      </c>
      <c r="M41" s="4">
        <v>412327567.55299997</v>
      </c>
      <c r="N41" s="4">
        <v>368297186.08399999</v>
      </c>
      <c r="O41" s="4">
        <v>407243564.13700002</v>
      </c>
      <c r="P41" s="4">
        <v>596466097.17900002</v>
      </c>
      <c r="Q41" s="4">
        <v>205581196.04699999</v>
      </c>
      <c r="R41" s="4">
        <v>568507856.46700001</v>
      </c>
      <c r="S41" s="4">
        <v>394830099.58899999</v>
      </c>
      <c r="T41" s="4">
        <v>201477170.62099999</v>
      </c>
      <c r="U41" s="4">
        <v>265242493.31</v>
      </c>
      <c r="V41" s="4">
        <v>181045060.48500001</v>
      </c>
      <c r="W41" s="4">
        <v>324376324.78200001</v>
      </c>
      <c r="X41" s="4">
        <v>163632956.29300001</v>
      </c>
      <c r="Y41" s="4">
        <v>201042660.22600001</v>
      </c>
      <c r="Z41" s="4">
        <v>240805012.361</v>
      </c>
      <c r="AA41" s="4">
        <v>306683450.56199998</v>
      </c>
      <c r="AB41" s="4">
        <v>175625703.43599999</v>
      </c>
      <c r="AC41" s="4">
        <v>101551163.12100001</v>
      </c>
      <c r="AD41" s="4">
        <v>292489238.38599998</v>
      </c>
      <c r="AE41" s="4">
        <v>105727940.23100001</v>
      </c>
      <c r="AF41" s="4"/>
    </row>
    <row r="42" spans="1:41" x14ac:dyDescent="0.25">
      <c r="A42" s="1" t="s">
        <v>47</v>
      </c>
      <c r="B42" s="6">
        <f t="shared" ref="B42:AE42" si="0">B41-B38</f>
        <v>3076141.3794</v>
      </c>
      <c r="C42" s="6">
        <f t="shared" si="0"/>
        <v>2647027.875099998</v>
      </c>
      <c r="D42" s="6">
        <f t="shared" si="0"/>
        <v>1894883.8260999992</v>
      </c>
      <c r="E42" s="6">
        <f t="shared" si="0"/>
        <v>28876695.626000017</v>
      </c>
      <c r="F42" s="6">
        <f t="shared" si="0"/>
        <v>11154550.717000008</v>
      </c>
      <c r="G42" s="6">
        <f t="shared" si="0"/>
        <v>4083250.3129999936</v>
      </c>
      <c r="H42" s="6">
        <f t="shared" si="0"/>
        <v>11785954.258000016</v>
      </c>
      <c r="I42" s="6">
        <f t="shared" si="0"/>
        <v>30617169.505999923</v>
      </c>
      <c r="J42" s="6">
        <f t="shared" si="0"/>
        <v>13653043.760999978</v>
      </c>
      <c r="K42" s="6">
        <f t="shared" si="0"/>
        <v>22205844.621999979</v>
      </c>
      <c r="L42" s="6">
        <f t="shared" si="0"/>
        <v>2060833.6290000081</v>
      </c>
      <c r="M42" s="6">
        <f t="shared" si="0"/>
        <v>14884395.597000003</v>
      </c>
      <c r="N42" s="6">
        <f t="shared" si="0"/>
        <v>20005992.05400002</v>
      </c>
      <c r="O42" s="6">
        <f t="shared" si="0"/>
        <v>16917781.132000029</v>
      </c>
      <c r="P42" s="6">
        <f t="shared" si="0"/>
        <v>24026569.144999981</v>
      </c>
      <c r="Q42" s="6">
        <f t="shared" si="0"/>
        <v>21676828.827999979</v>
      </c>
      <c r="R42" s="6">
        <f t="shared" si="0"/>
        <v>2939809.057000041</v>
      </c>
      <c r="S42" s="6">
        <f t="shared" si="0"/>
        <v>28952683.422999978</v>
      </c>
      <c r="T42" s="6">
        <f t="shared" si="0"/>
        <v>5270781.8019999862</v>
      </c>
      <c r="U42" s="6">
        <f t="shared" si="0"/>
        <v>17443380.625</v>
      </c>
      <c r="V42" s="6">
        <f t="shared" si="0"/>
        <v>518797.84500002861</v>
      </c>
      <c r="W42" s="6">
        <f t="shared" si="0"/>
        <v>8196454.1340000033</v>
      </c>
      <c r="X42" s="6">
        <f t="shared" si="0"/>
        <v>7447154.5420000255</v>
      </c>
      <c r="Y42" s="6">
        <f t="shared" si="0"/>
        <v>2320801.775000006</v>
      </c>
      <c r="Z42" s="6">
        <f t="shared" si="0"/>
        <v>-8265897.2089999914</v>
      </c>
      <c r="AA42" s="6">
        <f t="shared" si="0"/>
        <v>33032898.265999973</v>
      </c>
      <c r="AB42" s="6">
        <f t="shared" si="0"/>
        <v>418733.99199998379</v>
      </c>
      <c r="AC42" s="6">
        <f t="shared" si="0"/>
        <v>16808596.430400014</v>
      </c>
      <c r="AD42" s="6">
        <f t="shared" si="0"/>
        <v>-31602710.236000001</v>
      </c>
      <c r="AE42" s="6">
        <f t="shared" si="0"/>
        <v>8330899.3355000019</v>
      </c>
    </row>
    <row r="43" spans="1:41" x14ac:dyDescent="0.25">
      <c r="A43" s="1" t="s">
        <v>1</v>
      </c>
      <c r="B43" s="3">
        <f t="shared" ref="B43:AE43" si="1">B42/B38</f>
        <v>4.2464385980345513E-2</v>
      </c>
      <c r="C43" s="3">
        <f t="shared" si="1"/>
        <v>0.12403860715712541</v>
      </c>
      <c r="D43" s="3">
        <f t="shared" si="1"/>
        <v>9.093756681372038E-2</v>
      </c>
      <c r="E43" s="3">
        <f t="shared" si="1"/>
        <v>0.14568732555484892</v>
      </c>
      <c r="F43" s="3">
        <f t="shared" si="1"/>
        <v>5.1682955820951539E-2</v>
      </c>
      <c r="G43" s="3">
        <f t="shared" si="1"/>
        <v>2.321451400115844E-2</v>
      </c>
      <c r="H43" s="3">
        <f t="shared" si="1"/>
        <v>5.598991662985494E-2</v>
      </c>
      <c r="I43" s="3">
        <f t="shared" si="1"/>
        <v>4.6367620170088754E-2</v>
      </c>
      <c r="J43" s="3">
        <f t="shared" si="1"/>
        <v>6.1553954590769865E-2</v>
      </c>
      <c r="K43" s="3">
        <f t="shared" si="1"/>
        <v>3.7277725940974359E-2</v>
      </c>
      <c r="L43" s="3">
        <f t="shared" si="1"/>
        <v>9.7380845359951226E-3</v>
      </c>
      <c r="M43" s="3">
        <f t="shared" si="1"/>
        <v>3.7450374411383325E-2</v>
      </c>
      <c r="N43" s="3">
        <f t="shared" si="1"/>
        <v>5.7440418813106166E-2</v>
      </c>
      <c r="O43" s="3">
        <f t="shared" si="1"/>
        <v>4.3342720026730376E-2</v>
      </c>
      <c r="P43" s="3">
        <f t="shared" si="1"/>
        <v>4.1972239805866313E-2</v>
      </c>
      <c r="Q43" s="3">
        <f t="shared" si="1"/>
        <v>0.11787011453722805</v>
      </c>
      <c r="R43" s="3">
        <f t="shared" si="1"/>
        <v>5.1979758588958456E-3</v>
      </c>
      <c r="S43" s="3">
        <f t="shared" si="1"/>
        <v>7.913219604093856E-2</v>
      </c>
      <c r="T43" s="3">
        <f t="shared" si="1"/>
        <v>2.6863456555750953E-2</v>
      </c>
      <c r="U43" s="3">
        <f t="shared" si="1"/>
        <v>7.0393232792459057E-2</v>
      </c>
      <c r="V43" s="3">
        <f t="shared" si="1"/>
        <v>2.873808150754218E-3</v>
      </c>
      <c r="W43" s="3">
        <f t="shared" si="1"/>
        <v>2.5923390117155928E-2</v>
      </c>
      <c r="X43" s="3">
        <f t="shared" si="1"/>
        <v>4.7681379859820357E-2</v>
      </c>
      <c r="Y43" s="3">
        <f t="shared" si="1"/>
        <v>1.1678643673575845E-2</v>
      </c>
      <c r="Z43" s="3">
        <f t="shared" si="1"/>
        <v>-3.3186923447906337E-2</v>
      </c>
      <c r="AA43" s="3">
        <f t="shared" si="1"/>
        <v>0.12071197367900514</v>
      </c>
      <c r="AB43" s="3">
        <f t="shared" si="1"/>
        <v>2.3899391292982802E-3</v>
      </c>
      <c r="AC43" s="3">
        <f t="shared" si="1"/>
        <v>0.198348918221573</v>
      </c>
      <c r="AD43" s="3">
        <f t="shared" si="1"/>
        <v>-9.751155611970902E-2</v>
      </c>
      <c r="AE43" s="3">
        <f t="shared" si="1"/>
        <v>8.5535446035146553E-2</v>
      </c>
    </row>
    <row r="44" spans="1:41" x14ac:dyDescent="0.25">
      <c r="A44" s="1" t="s">
        <v>2</v>
      </c>
      <c r="B44" s="6">
        <f t="shared" ref="B44:AE44" si="2">B39-B38</f>
        <v>-5931713.5008999929</v>
      </c>
      <c r="C44" s="6">
        <f t="shared" si="2"/>
        <v>-534255.71650000289</v>
      </c>
      <c r="D44" s="6">
        <f t="shared" si="2"/>
        <v>-421870.57679999992</v>
      </c>
      <c r="E44" s="6">
        <f t="shared" si="2"/>
        <v>11156220.629000008</v>
      </c>
      <c r="F44" s="6">
        <f t="shared" si="2"/>
        <v>9302641.0430000126</v>
      </c>
      <c r="G44" s="6">
        <f t="shared" si="2"/>
        <v>-990613.88700002432</v>
      </c>
      <c r="H44" s="6">
        <f t="shared" si="2"/>
        <v>4911305.3869999945</v>
      </c>
      <c r="I44" s="6">
        <f t="shared" si="2"/>
        <v>16080506.916000009</v>
      </c>
      <c r="J44" s="6">
        <f t="shared" si="2"/>
        <v>10084564.914999992</v>
      </c>
      <c r="K44" s="6">
        <f t="shared" si="2"/>
        <v>5174606.8129999638</v>
      </c>
      <c r="L44" s="6">
        <f t="shared" si="2"/>
        <v>-1667386.8370000124</v>
      </c>
      <c r="M44" s="6">
        <f t="shared" si="2"/>
        <v>-5682956.3729999661</v>
      </c>
      <c r="N44" s="6">
        <f t="shared" si="2"/>
        <v>11815149.075000048</v>
      </c>
      <c r="O44" s="6">
        <f t="shared" si="2"/>
        <v>12514692.74000001</v>
      </c>
      <c r="P44" s="6">
        <f t="shared" si="2"/>
        <v>735484.23399996758</v>
      </c>
      <c r="Q44" s="6">
        <f t="shared" si="2"/>
        <v>7530454.5389999747</v>
      </c>
      <c r="R44" s="6">
        <f t="shared" si="2"/>
        <v>-13957832.163999915</v>
      </c>
      <c r="S44" s="6">
        <f t="shared" si="2"/>
        <v>17026840.946999967</v>
      </c>
      <c r="T44" s="6">
        <f t="shared" si="2"/>
        <v>6131384.6789999902</v>
      </c>
      <c r="U44" s="6">
        <f t="shared" si="2"/>
        <v>9584473.2800000012</v>
      </c>
      <c r="V44" s="6">
        <f t="shared" si="2"/>
        <v>304580.29800000787</v>
      </c>
      <c r="W44" s="6">
        <f t="shared" si="2"/>
        <v>1333746.3090000153</v>
      </c>
      <c r="X44" s="6">
        <f t="shared" si="2"/>
        <v>9841954.3490000069</v>
      </c>
      <c r="Y44" s="6">
        <f t="shared" si="2"/>
        <v>-46716619.19600001</v>
      </c>
      <c r="Z44" s="6">
        <f t="shared" si="2"/>
        <v>-38206967.946999997</v>
      </c>
      <c r="AA44" s="6">
        <f t="shared" si="2"/>
        <v>-37192840.288000017</v>
      </c>
      <c r="AB44" s="6">
        <f t="shared" si="2"/>
        <v>-37122249.636000007</v>
      </c>
      <c r="AC44" s="6">
        <f t="shared" si="2"/>
        <v>-4617062.5576999933</v>
      </c>
      <c r="AD44" s="6">
        <f t="shared" si="2"/>
        <v>-63684641.552999973</v>
      </c>
      <c r="AE44" s="6">
        <f t="shared" si="2"/>
        <v>-11590438.736100003</v>
      </c>
    </row>
    <row r="45" spans="1:41" x14ac:dyDescent="0.25">
      <c r="A45" s="1" t="s">
        <v>1</v>
      </c>
      <c r="B45" s="3">
        <f t="shared" ref="B45:AE45" si="3">B44/B38</f>
        <v>-8.188393853216662E-2</v>
      </c>
      <c r="C45" s="3">
        <f t="shared" si="3"/>
        <v>-2.5034997010709218E-2</v>
      </c>
      <c r="D45" s="3">
        <f t="shared" si="3"/>
        <v>-2.0246034736310089E-2</v>
      </c>
      <c r="E45" s="3">
        <f t="shared" si="3"/>
        <v>5.6284831470656188E-2</v>
      </c>
      <c r="F45" s="3">
        <f t="shared" si="3"/>
        <v>4.3102407101955169E-2</v>
      </c>
      <c r="G45" s="3">
        <f t="shared" si="3"/>
        <v>-5.6319397995976067E-3</v>
      </c>
      <c r="H45" s="3">
        <f t="shared" si="3"/>
        <v>2.3331464991494858E-2</v>
      </c>
      <c r="I45" s="3">
        <f t="shared" si="3"/>
        <v>2.4352833682991452E-2</v>
      </c>
      <c r="J45" s="3">
        <f t="shared" si="3"/>
        <v>4.5465675032752978E-2</v>
      </c>
      <c r="K45" s="3">
        <f t="shared" si="3"/>
        <v>8.6867929552295504E-3</v>
      </c>
      <c r="L45" s="3">
        <f t="shared" si="3"/>
        <v>-7.878925180772843E-3</v>
      </c>
      <c r="M45" s="3">
        <f t="shared" si="3"/>
        <v>-1.4298789799385743E-2</v>
      </c>
      <c r="N45" s="3">
        <f t="shared" si="3"/>
        <v>3.3923192080424387E-2</v>
      </c>
      <c r="O45" s="3">
        <f t="shared" si="3"/>
        <v>3.20621728947885E-2</v>
      </c>
      <c r="P45" s="3">
        <f t="shared" si="3"/>
        <v>1.2848243316214241E-3</v>
      </c>
      <c r="Q45" s="3">
        <f t="shared" si="3"/>
        <v>4.0947665642069475E-2</v>
      </c>
      <c r="R45" s="3">
        <f t="shared" si="3"/>
        <v>-2.4679315297105878E-2</v>
      </c>
      <c r="S45" s="3">
        <f t="shared" si="3"/>
        <v>4.6537009923768628E-2</v>
      </c>
      <c r="T45" s="3">
        <f t="shared" si="3"/>
        <v>3.1249668860967521E-2</v>
      </c>
      <c r="U45" s="3">
        <f t="shared" si="3"/>
        <v>3.8678400322537464E-2</v>
      </c>
      <c r="V45" s="3">
        <f t="shared" si="3"/>
        <v>1.687179990023904E-3</v>
      </c>
      <c r="W45" s="3">
        <f t="shared" si="3"/>
        <v>4.2183150567635663E-3</v>
      </c>
      <c r="X45" s="3">
        <f t="shared" si="3"/>
        <v>6.3014398483484391E-2</v>
      </c>
      <c r="Y45" s="3">
        <f t="shared" si="3"/>
        <v>-0.23508545843998935</v>
      </c>
      <c r="Z45" s="3">
        <f t="shared" si="3"/>
        <v>-0.15339795407244114</v>
      </c>
      <c r="AA45" s="3">
        <f t="shared" si="3"/>
        <v>-0.13591363136650855</v>
      </c>
      <c r="AB45" s="3">
        <f t="shared" si="3"/>
        <v>-0.21187655807188135</v>
      </c>
      <c r="AC45" s="3">
        <f t="shared" si="3"/>
        <v>-5.4483392915831257E-2</v>
      </c>
      <c r="AD45" s="3">
        <f t="shared" si="3"/>
        <v>-0.19650177001859939</v>
      </c>
      <c r="AE45" s="3">
        <f t="shared" si="3"/>
        <v>-0.11900195970569277</v>
      </c>
    </row>
    <row r="46" spans="1:41" x14ac:dyDescent="0.25">
      <c r="A46" s="1" t="s">
        <v>0</v>
      </c>
      <c r="B46" s="6">
        <f t="shared" ref="B46:AE46" si="4">B40-B39</f>
        <v>1589928.0716999993</v>
      </c>
      <c r="C46" s="6">
        <f t="shared" si="4"/>
        <v>1730877.2911000028</v>
      </c>
      <c r="D46" s="6">
        <f t="shared" si="4"/>
        <v>1114650.5389999971</v>
      </c>
      <c r="E46" s="6">
        <f t="shared" si="4"/>
        <v>-1877989.7389999926</v>
      </c>
      <c r="F46" s="6">
        <f t="shared" si="4"/>
        <v>3692050.0069999993</v>
      </c>
      <c r="G46" s="6">
        <f t="shared" si="4"/>
        <v>5116251.574000001</v>
      </c>
      <c r="H46" s="6">
        <f t="shared" si="4"/>
        <v>-4748930.8120000064</v>
      </c>
      <c r="I46" s="6">
        <f t="shared" si="4"/>
        <v>13238881.039999962</v>
      </c>
      <c r="J46" s="6">
        <f t="shared" si="4"/>
        <v>-5401501.0150000155</v>
      </c>
      <c r="K46" s="6">
        <f t="shared" si="4"/>
        <v>19599719.736999989</v>
      </c>
      <c r="L46" s="6">
        <f t="shared" si="4"/>
        <v>-1202135.09799999</v>
      </c>
      <c r="M46" s="6">
        <f t="shared" si="4"/>
        <v>12765978.58099997</v>
      </c>
      <c r="N46" s="6">
        <f t="shared" si="4"/>
        <v>2809133.9390000105</v>
      </c>
      <c r="O46" s="6">
        <f t="shared" si="4"/>
        <v>2599953.7699999809</v>
      </c>
      <c r="P46" s="6">
        <f t="shared" si="4"/>
        <v>11302185.200999975</v>
      </c>
      <c r="Q46" s="6">
        <f t="shared" si="4"/>
        <v>19377316.656000018</v>
      </c>
      <c r="R46" s="6">
        <f t="shared" si="4"/>
        <v>-2023621.7090001106</v>
      </c>
      <c r="S46" s="6">
        <f t="shared" si="4"/>
        <v>4597632.6030000448</v>
      </c>
      <c r="T46" s="6">
        <f t="shared" si="4"/>
        <v>-2023513.7960000038</v>
      </c>
      <c r="U46" s="6">
        <f t="shared" si="4"/>
        <v>-6046195.7689999938</v>
      </c>
      <c r="V46" s="6">
        <f t="shared" si="4"/>
        <v>-11414013.465000004</v>
      </c>
      <c r="W46" s="6">
        <f t="shared" si="4"/>
        <v>8775087.5629999638</v>
      </c>
      <c r="X46" s="6">
        <f t="shared" si="4"/>
        <v>-1994738.8770000041</v>
      </c>
      <c r="Y46" s="6">
        <f t="shared" si="4"/>
        <v>6085529.2190000117</v>
      </c>
      <c r="Z46" s="6">
        <f t="shared" si="4"/>
        <v>12138272.368000001</v>
      </c>
      <c r="AA46" s="6">
        <f t="shared" si="4"/>
        <v>34060040.587000042</v>
      </c>
      <c r="AB46" s="6">
        <f t="shared" si="4"/>
        <v>8874298.4620000124</v>
      </c>
      <c r="AC46" s="6">
        <f t="shared" si="4"/>
        <v>5389029.133100003</v>
      </c>
      <c r="AD46" s="6">
        <f t="shared" si="4"/>
        <v>27220956.344999969</v>
      </c>
      <c r="AE46" s="6">
        <f t="shared" si="4"/>
        <v>4034406.9226000011</v>
      </c>
    </row>
    <row r="47" spans="1:41" x14ac:dyDescent="0.25">
      <c r="A47" s="1" t="s">
        <v>1</v>
      </c>
      <c r="B47" s="3">
        <f t="shared" ref="B47:AE47" si="5">B46/B39</f>
        <v>2.39055339949634E-2</v>
      </c>
      <c r="C47" s="3">
        <f t="shared" si="5"/>
        <v>8.3190861065136248E-2</v>
      </c>
      <c r="D47" s="3">
        <f t="shared" si="5"/>
        <v>5.4598717499767878E-2</v>
      </c>
      <c r="E47" s="3">
        <f t="shared" si="5"/>
        <v>-8.9698761657864574E-3</v>
      </c>
      <c r="F47" s="3">
        <f t="shared" si="5"/>
        <v>1.6399699421780607E-2</v>
      </c>
      <c r="G47" s="3">
        <f t="shared" si="5"/>
        <v>2.9252185399488779E-2</v>
      </c>
      <c r="H47" s="3">
        <f t="shared" si="5"/>
        <v>-2.2045735069255411E-2</v>
      </c>
      <c r="I47" s="3">
        <f t="shared" si="5"/>
        <v>1.9572733110355095E-2</v>
      </c>
      <c r="J47" s="3">
        <f t="shared" si="5"/>
        <v>-2.32933075612025E-2</v>
      </c>
      <c r="K47" s="3">
        <f t="shared" si="5"/>
        <v>3.2619375430188544E-2</v>
      </c>
      <c r="L47" s="3">
        <f t="shared" si="5"/>
        <v>-5.7255763428113813E-3</v>
      </c>
      <c r="M47" s="3">
        <f t="shared" si="5"/>
        <v>3.2586204706882275E-2</v>
      </c>
      <c r="N47" s="3">
        <f t="shared" si="5"/>
        <v>7.8008454801945038E-3</v>
      </c>
      <c r="O47" s="3">
        <f t="shared" si="5"/>
        <v>6.4540529726853082E-3</v>
      </c>
      <c r="P47" s="3">
        <f t="shared" si="5"/>
        <v>1.9718558832978926E-2</v>
      </c>
      <c r="Q47" s="3">
        <f t="shared" si="5"/>
        <v>0.10122148352140249</v>
      </c>
      <c r="R47" s="3">
        <f t="shared" si="5"/>
        <v>-3.6685718521322921E-3</v>
      </c>
      <c r="S47" s="3">
        <f t="shared" si="5"/>
        <v>1.2007264264087887E-2</v>
      </c>
      <c r="T47" s="3">
        <f t="shared" si="5"/>
        <v>-1.0000672444979757E-2</v>
      </c>
      <c r="U47" s="3">
        <f t="shared" si="5"/>
        <v>-2.3490992039493064E-2</v>
      </c>
      <c r="V47" s="3">
        <f t="shared" si="5"/>
        <v>-6.3119837742024093E-2</v>
      </c>
      <c r="W47" s="3">
        <f t="shared" si="5"/>
        <v>2.763688577233004E-2</v>
      </c>
      <c r="X47" s="3">
        <f t="shared" si="5"/>
        <v>-1.2014490371107318E-2</v>
      </c>
      <c r="Y47" s="3">
        <f t="shared" si="5"/>
        <v>4.0034996483187583E-2</v>
      </c>
      <c r="Z47" s="3">
        <f t="shared" si="5"/>
        <v>5.7564476290127446E-2</v>
      </c>
      <c r="AA47" s="3">
        <f t="shared" si="5"/>
        <v>0.14404284088584812</v>
      </c>
      <c r="AB47" s="3">
        <f t="shared" si="5"/>
        <v>6.4267056299489811E-2</v>
      </c>
      <c r="AC47" s="3">
        <f t="shared" si="5"/>
        <v>6.72573507202089E-2</v>
      </c>
      <c r="AD47" s="3">
        <f t="shared" si="5"/>
        <v>0.10453222934250168</v>
      </c>
      <c r="AE47" s="3">
        <f t="shared" si="5"/>
        <v>4.7017441794343758E-2</v>
      </c>
    </row>
    <row r="48" spans="1:41" x14ac:dyDescent="0.25">
      <c r="A48" s="1" t="s">
        <v>48</v>
      </c>
      <c r="B48" s="6">
        <f t="shared" ref="B48:AE48" si="6">B41-B40</f>
        <v>7417926.8085999936</v>
      </c>
      <c r="C48" s="6">
        <f t="shared" si="6"/>
        <v>1450406.300499998</v>
      </c>
      <c r="D48" s="6">
        <f t="shared" si="6"/>
        <v>1202103.8639000021</v>
      </c>
      <c r="E48" s="6">
        <f t="shared" si="6"/>
        <v>19598464.736000001</v>
      </c>
      <c r="F48" s="6">
        <f t="shared" si="6"/>
        <v>-1840140.3330000043</v>
      </c>
      <c r="G48" s="6">
        <f t="shared" si="6"/>
        <v>-42387.373999983072</v>
      </c>
      <c r="H48" s="6">
        <f t="shared" si="6"/>
        <v>11623579.683000028</v>
      </c>
      <c r="I48" s="6">
        <f t="shared" si="6"/>
        <v>1297781.5499999523</v>
      </c>
      <c r="J48" s="6">
        <f t="shared" si="6"/>
        <v>8969979.8610000014</v>
      </c>
      <c r="K48" s="6">
        <f t="shared" si="6"/>
        <v>-2568481.9279999733</v>
      </c>
      <c r="L48" s="6">
        <f t="shared" si="6"/>
        <v>4930355.5640000105</v>
      </c>
      <c r="M48" s="6">
        <f t="shared" si="6"/>
        <v>7801373.3889999986</v>
      </c>
      <c r="N48" s="6">
        <f t="shared" si="6"/>
        <v>5381709.0399999619</v>
      </c>
      <c r="O48" s="6">
        <f t="shared" si="6"/>
        <v>1803134.6220000386</v>
      </c>
      <c r="P48" s="6">
        <f t="shared" si="6"/>
        <v>11988899.710000038</v>
      </c>
      <c r="Q48" s="6">
        <f t="shared" si="6"/>
        <v>-5230942.3670000136</v>
      </c>
      <c r="R48" s="6">
        <f t="shared" si="6"/>
        <v>18921262.930000067</v>
      </c>
      <c r="S48" s="6">
        <f t="shared" si="6"/>
        <v>7328209.8729999661</v>
      </c>
      <c r="T48" s="6">
        <f t="shared" si="6"/>
        <v>1162910.9189999998</v>
      </c>
      <c r="U48" s="6">
        <f t="shared" si="6"/>
        <v>13905103.113999993</v>
      </c>
      <c r="V48" s="6">
        <f t="shared" si="6"/>
        <v>11628231.012000024</v>
      </c>
      <c r="W48" s="6">
        <f t="shared" si="6"/>
        <v>-1912379.7379999757</v>
      </c>
      <c r="X48" s="6">
        <f t="shared" si="6"/>
        <v>-400060.92999997735</v>
      </c>
      <c r="Y48" s="6">
        <f t="shared" si="6"/>
        <v>42951891.752000004</v>
      </c>
      <c r="Z48" s="6">
        <f t="shared" si="6"/>
        <v>17802798.370000005</v>
      </c>
      <c r="AA48" s="6">
        <f t="shared" si="6"/>
        <v>36165697.966999948</v>
      </c>
      <c r="AB48" s="6">
        <f t="shared" si="6"/>
        <v>28666685.165999979</v>
      </c>
      <c r="AC48" s="6">
        <f t="shared" si="6"/>
        <v>16036629.855000004</v>
      </c>
      <c r="AD48" s="6">
        <f t="shared" si="6"/>
        <v>4860974.9720000029</v>
      </c>
      <c r="AE48" s="6">
        <f t="shared" si="6"/>
        <v>15886931.149000004</v>
      </c>
    </row>
    <row r="49" spans="1:32" x14ac:dyDescent="0.25">
      <c r="A49" s="1" t="s">
        <v>1</v>
      </c>
      <c r="B49" s="3">
        <f t="shared" ref="B49:AE49" si="7">B48/B40</f>
        <v>0.10892902731907655</v>
      </c>
      <c r="C49" s="3">
        <f t="shared" si="7"/>
        <v>6.4356738981123762E-2</v>
      </c>
      <c r="D49" s="3">
        <f t="shared" si="7"/>
        <v>5.5833964399611011E-2</v>
      </c>
      <c r="E49" s="3">
        <f t="shared" si="7"/>
        <v>9.4455756029118751E-2</v>
      </c>
      <c r="F49" s="3">
        <f t="shared" si="7"/>
        <v>-8.0418270740792441E-3</v>
      </c>
      <c r="G49" s="3">
        <f t="shared" si="7"/>
        <v>-2.3546216887709753E-4</v>
      </c>
      <c r="H49" s="3">
        <f t="shared" si="7"/>
        <v>5.5175984869592257E-2</v>
      </c>
      <c r="I49" s="3">
        <f t="shared" si="7"/>
        <v>1.8818438223629592E-3</v>
      </c>
      <c r="J49" s="3">
        <f t="shared" si="7"/>
        <v>3.9604451552012511E-2</v>
      </c>
      <c r="K49" s="3">
        <f t="shared" si="7"/>
        <v>-4.1396347571661801E-3</v>
      </c>
      <c r="L49" s="3">
        <f t="shared" si="7"/>
        <v>2.3617716504157969E-2</v>
      </c>
      <c r="M49" s="3">
        <f t="shared" si="7"/>
        <v>1.928521193818471E-2</v>
      </c>
      <c r="N49" s="3">
        <f t="shared" si="7"/>
        <v>1.482909762855741E-2</v>
      </c>
      <c r="O49" s="3">
        <f t="shared" si="7"/>
        <v>4.4473478487505611E-3</v>
      </c>
      <c r="P49" s="3">
        <f t="shared" si="7"/>
        <v>2.0512176971003077E-2</v>
      </c>
      <c r="Q49" s="3">
        <f t="shared" si="7"/>
        <v>-2.4813288297125057E-2</v>
      </c>
      <c r="R49" s="3">
        <f t="shared" si="7"/>
        <v>3.4428174108519671E-2</v>
      </c>
      <c r="S49" s="3">
        <f t="shared" si="7"/>
        <v>1.8911417124625657E-2</v>
      </c>
      <c r="T49" s="3">
        <f t="shared" si="7"/>
        <v>5.8054325275196019E-3</v>
      </c>
      <c r="U49" s="3">
        <f t="shared" si="7"/>
        <v>5.5324450942839817E-2</v>
      </c>
      <c r="V49" s="3">
        <f t="shared" si="7"/>
        <v>6.8636811633009692E-2</v>
      </c>
      <c r="W49" s="3">
        <f t="shared" si="7"/>
        <v>-5.8610050287007578E-3</v>
      </c>
      <c r="X49" s="3">
        <f t="shared" si="7"/>
        <v>-2.4389049032494574E-3</v>
      </c>
      <c r="Y49" s="3">
        <f t="shared" si="7"/>
        <v>0.27169133382423893</v>
      </c>
      <c r="Z49" s="3">
        <f t="shared" si="7"/>
        <v>7.983238395435166E-2</v>
      </c>
      <c r="AA49" s="3">
        <f t="shared" si="7"/>
        <v>0.1336906639955148</v>
      </c>
      <c r="AB49" s="3">
        <f t="shared" si="7"/>
        <v>0.19506584559058635</v>
      </c>
      <c r="AC49" s="3">
        <f t="shared" si="7"/>
        <v>0.18753104580617597</v>
      </c>
      <c r="AD49" s="3">
        <f t="shared" si="7"/>
        <v>1.6900199286060149E-2</v>
      </c>
      <c r="AE49" s="3">
        <f t="shared" si="7"/>
        <v>0.17683384582757333</v>
      </c>
    </row>
    <row r="50" spans="1:32" x14ac:dyDescent="0.25">
      <c r="A50" s="1" t="s">
        <v>49</v>
      </c>
      <c r="B50" s="6">
        <v>42929</v>
      </c>
      <c r="C50" s="6">
        <v>16674</v>
      </c>
      <c r="D50" s="6">
        <v>13398</v>
      </c>
      <c r="E50" s="6">
        <v>67933</v>
      </c>
      <c r="F50" s="6">
        <v>58163</v>
      </c>
      <c r="G50" s="6">
        <v>65566</v>
      </c>
      <c r="H50" s="6">
        <v>64783</v>
      </c>
      <c r="I50" s="6">
        <v>109049</v>
      </c>
      <c r="J50" s="6">
        <v>67227</v>
      </c>
      <c r="K50" s="6">
        <v>101040</v>
      </c>
      <c r="L50" s="6">
        <v>62689</v>
      </c>
      <c r="M50" s="6">
        <v>99312</v>
      </c>
      <c r="N50" s="6">
        <v>67909</v>
      </c>
      <c r="O50" s="6">
        <v>53157</v>
      </c>
      <c r="P50" s="6">
        <v>117398</v>
      </c>
      <c r="Q50" s="6">
        <v>38837</v>
      </c>
      <c r="R50" s="6">
        <v>95853</v>
      </c>
      <c r="S50" s="6">
        <v>115736</v>
      </c>
      <c r="T50" s="6">
        <v>64469</v>
      </c>
      <c r="U50" s="6">
        <v>70419</v>
      </c>
      <c r="V50" s="6">
        <v>82968</v>
      </c>
      <c r="W50" s="6">
        <v>53046</v>
      </c>
      <c r="X50" s="6">
        <v>56710</v>
      </c>
      <c r="Y50" s="6">
        <v>129081</v>
      </c>
      <c r="Z50" s="6">
        <v>157953</v>
      </c>
      <c r="AA50" s="6">
        <v>193661</v>
      </c>
      <c r="AB50" s="6">
        <v>118450</v>
      </c>
      <c r="AC50" s="6">
        <v>86786</v>
      </c>
      <c r="AD50" s="6">
        <v>192233</v>
      </c>
      <c r="AE50" s="6">
        <v>68208</v>
      </c>
      <c r="AF50" s="6"/>
    </row>
    <row r="51" spans="1:32" x14ac:dyDescent="0.25">
      <c r="A51" s="1" t="s">
        <v>51</v>
      </c>
      <c r="B51" s="6">
        <f>B41/B50</f>
        <v>1759.1055466071884</v>
      </c>
      <c r="C51" s="6">
        <f t="shared" ref="C51:AE51" si="8">C41/C50</f>
        <v>1438.6099670265082</v>
      </c>
      <c r="D51" s="6">
        <f t="shared" si="8"/>
        <v>1696.6770395133603</v>
      </c>
      <c r="E51" s="6">
        <f t="shared" si="8"/>
        <v>3342.8049688369424</v>
      </c>
      <c r="F51" s="6">
        <f t="shared" si="8"/>
        <v>3902.4987750631844</v>
      </c>
      <c r="G51" s="6">
        <f t="shared" si="8"/>
        <v>2744.9498252905469</v>
      </c>
      <c r="H51" s="6">
        <f t="shared" si="8"/>
        <v>3431.2601464273039</v>
      </c>
      <c r="I51" s="6">
        <f t="shared" si="8"/>
        <v>6335.9659839429978</v>
      </c>
      <c r="J51" s="6">
        <f t="shared" si="8"/>
        <v>3502.4493507519301</v>
      </c>
      <c r="K51" s="6">
        <f t="shared" si="8"/>
        <v>6115.3258090558193</v>
      </c>
      <c r="L51" s="6">
        <f t="shared" si="8"/>
        <v>3408.6843535069947</v>
      </c>
      <c r="M51" s="6">
        <f t="shared" si="8"/>
        <v>4151.8403370488959</v>
      </c>
      <c r="N51" s="6">
        <f t="shared" si="8"/>
        <v>5423.3928652166869</v>
      </c>
      <c r="O51" s="6">
        <f t="shared" si="8"/>
        <v>7661.1464931617666</v>
      </c>
      <c r="P51" s="6">
        <f t="shared" si="8"/>
        <v>5080.7177054038402</v>
      </c>
      <c r="Q51" s="6">
        <f t="shared" si="8"/>
        <v>5293.4365694312119</v>
      </c>
      <c r="R51" s="6">
        <f t="shared" si="8"/>
        <v>5931.0387412704868</v>
      </c>
      <c r="S51" s="6">
        <f t="shared" si="8"/>
        <v>3411.4717943336559</v>
      </c>
      <c r="T51" s="6">
        <f t="shared" si="8"/>
        <v>3125.1790879492469</v>
      </c>
      <c r="U51" s="6">
        <f t="shared" si="8"/>
        <v>3766.6324899529955</v>
      </c>
      <c r="V51" s="6">
        <f t="shared" si="8"/>
        <v>2182.1070832730693</v>
      </c>
      <c r="W51" s="6">
        <f t="shared" si="8"/>
        <v>6115.0006556950575</v>
      </c>
      <c r="X51" s="6">
        <f t="shared" si="8"/>
        <v>2885.4338968964912</v>
      </c>
      <c r="Y51" s="6">
        <f t="shared" si="8"/>
        <v>1557.4922740449797</v>
      </c>
      <c r="Z51" s="6">
        <f t="shared" si="8"/>
        <v>1524.535857888106</v>
      </c>
      <c r="AA51" s="6">
        <f t="shared" si="8"/>
        <v>1583.6097642891443</v>
      </c>
      <c r="AB51" s="6">
        <f t="shared" si="8"/>
        <v>1482.6990581342338</v>
      </c>
      <c r="AC51" s="6">
        <f t="shared" si="8"/>
        <v>1170.1330067176734</v>
      </c>
      <c r="AD51" s="6">
        <f t="shared" si="8"/>
        <v>1521.5350038026768</v>
      </c>
      <c r="AE51" s="6">
        <f t="shared" si="8"/>
        <v>1550.0812255307296</v>
      </c>
    </row>
    <row r="53" spans="1:32" x14ac:dyDescent="0.25">
      <c r="A53" s="9"/>
    </row>
    <row r="55" spans="1:32" x14ac:dyDescent="0.25">
      <c r="A55" s="10"/>
      <c r="B55" s="6"/>
      <c r="C55" s="54" t="s">
        <v>164</v>
      </c>
      <c r="D55" s="54"/>
      <c r="E55" s="54"/>
      <c r="F55" s="54"/>
      <c r="G55" s="1" t="s">
        <v>165</v>
      </c>
      <c r="H55" s="16"/>
    </row>
    <row r="56" spans="1:32" x14ac:dyDescent="0.25">
      <c r="A56" s="21"/>
      <c r="B56" s="9" t="s">
        <v>4</v>
      </c>
      <c r="C56" s="43">
        <v>1990</v>
      </c>
      <c r="D56" s="43">
        <v>2000</v>
      </c>
      <c r="E56" s="43">
        <v>2010</v>
      </c>
      <c r="F56" s="43">
        <v>2015</v>
      </c>
      <c r="G56" s="9" t="s">
        <v>47</v>
      </c>
      <c r="H56" s="9" t="s">
        <v>1</v>
      </c>
    </row>
    <row r="57" spans="1:32" x14ac:dyDescent="0.25">
      <c r="A57" s="21"/>
      <c r="B57" s="1" t="s">
        <v>80</v>
      </c>
      <c r="C57" s="4">
        <v>84742566.690599993</v>
      </c>
      <c r="D57" s="4">
        <v>80125504.1329</v>
      </c>
      <c r="E57" s="4">
        <v>85514533.266000003</v>
      </c>
      <c r="F57" s="4">
        <v>101551163.12100001</v>
      </c>
      <c r="G57" s="6">
        <f t="shared" ref="G57:G86" si="9">F57-C57</f>
        <v>16808596.430400014</v>
      </c>
      <c r="H57" s="3">
        <f t="shared" ref="H57:H86" si="10">G57/C57</f>
        <v>0.198348918221573</v>
      </c>
      <c r="I57" s="6"/>
    </row>
    <row r="58" spans="1:32" x14ac:dyDescent="0.25">
      <c r="A58" s="10"/>
      <c r="B58" s="2" t="s">
        <v>57</v>
      </c>
      <c r="C58" s="4">
        <v>198210074.322</v>
      </c>
      <c r="D58" s="4">
        <v>209366294.95100001</v>
      </c>
      <c r="E58" s="4">
        <v>207488305.21200001</v>
      </c>
      <c r="F58" s="4">
        <v>227086769.94800001</v>
      </c>
      <c r="G58" s="6">
        <f t="shared" si="9"/>
        <v>28876695.626000017</v>
      </c>
      <c r="H58" s="3">
        <f t="shared" si="10"/>
        <v>0.14568732555484892</v>
      </c>
    </row>
    <row r="59" spans="1:32" x14ac:dyDescent="0.25">
      <c r="A59" s="21"/>
      <c r="B59" s="2" t="s">
        <v>55</v>
      </c>
      <c r="C59" s="4">
        <v>21340354.715100002</v>
      </c>
      <c r="D59" s="4">
        <v>20806098.998599999</v>
      </c>
      <c r="E59" s="4">
        <v>22536976.289700001</v>
      </c>
      <c r="F59" s="4">
        <v>23987382.5902</v>
      </c>
      <c r="G59" s="6">
        <f t="shared" si="9"/>
        <v>2647027.875099998</v>
      </c>
      <c r="H59" s="3">
        <f t="shared" si="10"/>
        <v>0.12403860715712541</v>
      </c>
    </row>
    <row r="60" spans="1:32" x14ac:dyDescent="0.25">
      <c r="A60" s="21"/>
      <c r="B60" s="2" t="s">
        <v>78</v>
      </c>
      <c r="C60" s="4">
        <v>273650552.296</v>
      </c>
      <c r="D60" s="4">
        <v>236457712.00799999</v>
      </c>
      <c r="E60" s="4">
        <v>270517752.59500003</v>
      </c>
      <c r="F60" s="4">
        <v>306683450.56199998</v>
      </c>
      <c r="G60" s="6">
        <f t="shared" si="9"/>
        <v>33032898.265999973</v>
      </c>
      <c r="H60" s="3">
        <f t="shared" si="10"/>
        <v>0.12071197367900514</v>
      </c>
    </row>
    <row r="61" spans="1:32" x14ac:dyDescent="0.25">
      <c r="A61" s="10"/>
      <c r="B61" s="2" t="s">
        <v>69</v>
      </c>
      <c r="C61" s="4">
        <v>183904367.21900001</v>
      </c>
      <c r="D61" s="4">
        <v>191434821.75799999</v>
      </c>
      <c r="E61" s="4">
        <v>210812138.414</v>
      </c>
      <c r="F61" s="4">
        <v>205581196.04699999</v>
      </c>
      <c r="G61" s="6">
        <f t="shared" si="9"/>
        <v>21676828.827999979</v>
      </c>
      <c r="H61" s="3">
        <f t="shared" si="10"/>
        <v>0.11787011453722805</v>
      </c>
    </row>
    <row r="62" spans="1:32" x14ac:dyDescent="0.25">
      <c r="A62" s="21"/>
      <c r="B62" s="2" t="s">
        <v>56</v>
      </c>
      <c r="C62" s="4">
        <v>20837195.149300002</v>
      </c>
      <c r="D62" s="4">
        <v>20415324.572500002</v>
      </c>
      <c r="E62" s="4">
        <v>21529975.111499999</v>
      </c>
      <c r="F62" s="4">
        <v>22732078.975400001</v>
      </c>
      <c r="G62" s="6">
        <f t="shared" si="9"/>
        <v>1894883.8260999992</v>
      </c>
      <c r="H62" s="3">
        <f t="shared" si="10"/>
        <v>9.093756681372038E-2</v>
      </c>
    </row>
    <row r="63" spans="1:32" x14ac:dyDescent="0.25">
      <c r="A63" s="21"/>
      <c r="B63" s="1" t="s">
        <v>82</v>
      </c>
      <c r="C63" s="4">
        <v>97397040.895500004</v>
      </c>
      <c r="D63" s="4">
        <v>85806602.159400001</v>
      </c>
      <c r="E63" s="4">
        <v>89841009.082000002</v>
      </c>
      <c r="F63" s="4">
        <v>105727940.23100001</v>
      </c>
      <c r="G63" s="6">
        <f t="shared" si="9"/>
        <v>8330899.3355000019</v>
      </c>
      <c r="H63" s="3">
        <f t="shared" si="10"/>
        <v>8.5535446035146553E-2</v>
      </c>
    </row>
    <row r="64" spans="1:32" x14ac:dyDescent="0.25">
      <c r="A64" s="10"/>
      <c r="B64" s="2" t="s">
        <v>71</v>
      </c>
      <c r="C64" s="4">
        <v>365877416.16600001</v>
      </c>
      <c r="D64" s="4">
        <v>382904257.11299998</v>
      </c>
      <c r="E64" s="4">
        <v>387501889.71600002</v>
      </c>
      <c r="F64" s="4">
        <v>394830099.58899999</v>
      </c>
      <c r="G64" s="6">
        <f t="shared" si="9"/>
        <v>28952683.422999978</v>
      </c>
      <c r="H64" s="3">
        <f t="shared" si="10"/>
        <v>7.913219604093856E-2</v>
      </c>
    </row>
    <row r="65" spans="1:8" x14ac:dyDescent="0.25">
      <c r="B65" s="2" t="s">
        <v>155</v>
      </c>
      <c r="C65" s="4">
        <v>247799112.685</v>
      </c>
      <c r="D65" s="4">
        <v>257383585.965</v>
      </c>
      <c r="E65" s="4">
        <v>251337390.19600001</v>
      </c>
      <c r="F65" s="4">
        <v>265242493.31</v>
      </c>
      <c r="G65" s="6">
        <f t="shared" si="9"/>
        <v>17443380.625</v>
      </c>
      <c r="H65" s="3">
        <f t="shared" si="10"/>
        <v>7.0393232792459057E-2</v>
      </c>
    </row>
    <row r="66" spans="1:8" x14ac:dyDescent="0.25">
      <c r="B66" s="2" t="s">
        <v>62</v>
      </c>
      <c r="C66" s="4">
        <v>221806118.74200001</v>
      </c>
      <c r="D66" s="4">
        <v>231890683.65700001</v>
      </c>
      <c r="E66" s="4">
        <v>226489182.64199999</v>
      </c>
      <c r="F66" s="4">
        <v>235459162.50299999</v>
      </c>
      <c r="G66" s="6">
        <f t="shared" si="9"/>
        <v>13653043.760999978</v>
      </c>
      <c r="H66" s="3">
        <f t="shared" si="10"/>
        <v>6.1553954590769865E-2</v>
      </c>
    </row>
    <row r="67" spans="1:8" x14ac:dyDescent="0.25">
      <c r="B67" s="2" t="s">
        <v>66</v>
      </c>
      <c r="C67" s="4">
        <v>348291194.02999997</v>
      </c>
      <c r="D67" s="4">
        <v>360106343.10500002</v>
      </c>
      <c r="E67" s="4">
        <v>362915477.04400003</v>
      </c>
      <c r="F67" s="4">
        <v>368297186.08399999</v>
      </c>
      <c r="G67" s="6">
        <f t="shared" si="9"/>
        <v>20005992.05400002</v>
      </c>
      <c r="H67" s="3">
        <f t="shared" si="10"/>
        <v>5.7440418813106166E-2</v>
      </c>
    </row>
    <row r="68" spans="1:8" x14ac:dyDescent="0.25">
      <c r="B68" s="2" t="s">
        <v>60</v>
      </c>
      <c r="C68" s="4">
        <v>210501371.808</v>
      </c>
      <c r="D68" s="4">
        <v>215412677.19499999</v>
      </c>
      <c r="E68" s="4">
        <v>210663746.38299999</v>
      </c>
      <c r="F68" s="4">
        <v>222287326.06600001</v>
      </c>
      <c r="G68" s="6">
        <f t="shared" si="9"/>
        <v>11785954.258000016</v>
      </c>
      <c r="H68" s="3">
        <f t="shared" si="10"/>
        <v>5.598991662985494E-2</v>
      </c>
    </row>
    <row r="69" spans="1:8" x14ac:dyDescent="0.25">
      <c r="B69" s="2" t="s">
        <v>58</v>
      </c>
      <c r="C69" s="4">
        <v>215826485.537</v>
      </c>
      <c r="D69" s="4">
        <v>225129126.58000001</v>
      </c>
      <c r="E69" s="4">
        <v>228821176.58700001</v>
      </c>
      <c r="F69" s="4">
        <v>226981036.25400001</v>
      </c>
      <c r="G69" s="6">
        <f t="shared" si="9"/>
        <v>11154550.717000008</v>
      </c>
      <c r="H69" s="3">
        <f t="shared" si="10"/>
        <v>5.1682955820951539E-2</v>
      </c>
    </row>
    <row r="70" spans="1:8" x14ac:dyDescent="0.25">
      <c r="B70" s="2" t="s">
        <v>75</v>
      </c>
      <c r="C70" s="4">
        <v>156185801.75099999</v>
      </c>
      <c r="D70" s="4">
        <v>166027756.09999999</v>
      </c>
      <c r="E70" s="4">
        <v>164033017.22299999</v>
      </c>
      <c r="F70" s="4">
        <v>163632956.29300001</v>
      </c>
      <c r="G70" s="6">
        <f t="shared" si="9"/>
        <v>7447154.5420000255</v>
      </c>
      <c r="H70" s="3">
        <f t="shared" si="10"/>
        <v>4.7681379859820357E-2</v>
      </c>
    </row>
    <row r="71" spans="1:8" x14ac:dyDescent="0.25">
      <c r="B71" s="2" t="s">
        <v>61</v>
      </c>
      <c r="C71" s="4">
        <v>660313585.07700002</v>
      </c>
      <c r="D71" s="4">
        <v>676394091.99300003</v>
      </c>
      <c r="E71" s="4">
        <v>689632973.03299999</v>
      </c>
      <c r="F71" s="4">
        <v>690930754.58299994</v>
      </c>
      <c r="G71" s="6">
        <f t="shared" si="9"/>
        <v>30617169.505999923</v>
      </c>
      <c r="H71" s="3">
        <f t="shared" si="10"/>
        <v>4.6367620170088754E-2</v>
      </c>
    </row>
    <row r="72" spans="1:8" x14ac:dyDescent="0.25">
      <c r="B72" s="2" t="s">
        <v>67</v>
      </c>
      <c r="C72" s="4">
        <v>390325783.005</v>
      </c>
      <c r="D72" s="4">
        <v>402840475.745</v>
      </c>
      <c r="E72" s="4">
        <v>405440429.51499999</v>
      </c>
      <c r="F72" s="4">
        <v>407243564.13700002</v>
      </c>
      <c r="G72" s="6">
        <f t="shared" si="9"/>
        <v>16917781.132000029</v>
      </c>
      <c r="H72" s="3">
        <f t="shared" si="10"/>
        <v>4.3342720026730376E-2</v>
      </c>
    </row>
    <row r="73" spans="1:8" x14ac:dyDescent="0.25">
      <c r="B73" s="2" t="s">
        <v>83</v>
      </c>
      <c r="C73" s="4">
        <v>72440500.630899996</v>
      </c>
      <c r="D73" s="4">
        <v>66508787.130000003</v>
      </c>
      <c r="E73" s="4">
        <v>68098715.201700002</v>
      </c>
      <c r="F73" s="4">
        <v>75516642.010299996</v>
      </c>
      <c r="G73" s="6">
        <f t="shared" si="9"/>
        <v>3076141.3794</v>
      </c>
      <c r="H73" s="3">
        <f t="shared" si="10"/>
        <v>4.2464385980345513E-2</v>
      </c>
    </row>
    <row r="74" spans="1:8" x14ac:dyDescent="0.25">
      <c r="B74" s="2" t="s">
        <v>68</v>
      </c>
      <c r="C74" s="4">
        <v>572439528.03400004</v>
      </c>
      <c r="D74" s="4">
        <v>573175012.26800001</v>
      </c>
      <c r="E74" s="4">
        <v>584477197.46899998</v>
      </c>
      <c r="F74" s="4">
        <v>596466097.17900002</v>
      </c>
      <c r="G74" s="6">
        <f t="shared" si="9"/>
        <v>24026569.144999981</v>
      </c>
      <c r="H74" s="3">
        <f t="shared" si="10"/>
        <v>4.1972239805866313E-2</v>
      </c>
    </row>
    <row r="75" spans="1:8" x14ac:dyDescent="0.25">
      <c r="B75" s="2" t="s">
        <v>65</v>
      </c>
      <c r="C75" s="4">
        <v>397443171.95599997</v>
      </c>
      <c r="D75" s="4">
        <v>391760215.583</v>
      </c>
      <c r="E75" s="4">
        <v>404526194.16399997</v>
      </c>
      <c r="F75" s="4">
        <v>412327567.55299997</v>
      </c>
      <c r="G75" s="6">
        <f t="shared" si="9"/>
        <v>14884395.597000003</v>
      </c>
      <c r="H75" s="3">
        <f t="shared" si="10"/>
        <v>3.7450374411383325E-2</v>
      </c>
    </row>
    <row r="76" spans="1:8" x14ac:dyDescent="0.25">
      <c r="A76" s="9"/>
      <c r="B76" s="2" t="s">
        <v>63</v>
      </c>
      <c r="C76" s="4">
        <v>595686675.125</v>
      </c>
      <c r="D76" s="4">
        <v>600861281.93799996</v>
      </c>
      <c r="E76" s="4">
        <v>620461001.67499995</v>
      </c>
      <c r="F76" s="4">
        <v>617892519.74699998</v>
      </c>
      <c r="G76" s="6">
        <f t="shared" si="9"/>
        <v>22205844.621999979</v>
      </c>
      <c r="H76" s="3">
        <f t="shared" si="10"/>
        <v>3.7277725940974359E-2</v>
      </c>
    </row>
    <row r="77" spans="1:8" x14ac:dyDescent="0.25">
      <c r="B77" s="2" t="s">
        <v>72</v>
      </c>
      <c r="C77" s="4">
        <v>196206388.81900001</v>
      </c>
      <c r="D77" s="4">
        <v>202337773.498</v>
      </c>
      <c r="E77" s="4">
        <v>200314259.70199999</v>
      </c>
      <c r="F77" s="4">
        <v>201477170.62099999</v>
      </c>
      <c r="G77" s="6">
        <f t="shared" si="9"/>
        <v>5270781.8019999862</v>
      </c>
      <c r="H77" s="3">
        <f t="shared" si="10"/>
        <v>2.6863456555750953E-2</v>
      </c>
    </row>
    <row r="78" spans="1:8" x14ac:dyDescent="0.25">
      <c r="A78" s="10"/>
      <c r="B78" s="2" t="s">
        <v>74</v>
      </c>
      <c r="C78" s="4">
        <v>316179870.648</v>
      </c>
      <c r="D78" s="4">
        <v>317513616.95700002</v>
      </c>
      <c r="E78" s="4">
        <v>326288704.51999998</v>
      </c>
      <c r="F78" s="4">
        <v>324376324.78200001</v>
      </c>
      <c r="G78" s="6">
        <f t="shared" si="9"/>
        <v>8196454.1340000033</v>
      </c>
      <c r="H78" s="3">
        <f t="shared" si="10"/>
        <v>2.5923390117155928E-2</v>
      </c>
    </row>
    <row r="79" spans="1:8" x14ac:dyDescent="0.25">
      <c r="A79" s="21"/>
      <c r="B79" s="2" t="s">
        <v>59</v>
      </c>
      <c r="C79" s="4">
        <v>175892129.93200001</v>
      </c>
      <c r="D79" s="4">
        <v>174901516.04499999</v>
      </c>
      <c r="E79" s="4">
        <v>180017767.61899999</v>
      </c>
      <c r="F79" s="4">
        <v>179975380.245</v>
      </c>
      <c r="G79" s="6">
        <f t="shared" si="9"/>
        <v>4083250.3129999936</v>
      </c>
      <c r="H79" s="3">
        <f t="shared" si="10"/>
        <v>2.321451400115844E-2</v>
      </c>
    </row>
    <row r="80" spans="1:8" x14ac:dyDescent="0.25">
      <c r="A80" s="21"/>
      <c r="B80" s="2" t="s">
        <v>76</v>
      </c>
      <c r="C80" s="4">
        <v>198721858.45100001</v>
      </c>
      <c r="D80" s="4">
        <v>152005239.255</v>
      </c>
      <c r="E80" s="4">
        <v>158090768.47400001</v>
      </c>
      <c r="F80" s="4">
        <v>201042660.22600001</v>
      </c>
      <c r="G80" s="6">
        <f t="shared" si="9"/>
        <v>2320801.775000006</v>
      </c>
      <c r="H80" s="3">
        <f t="shared" si="10"/>
        <v>1.1678643673575845E-2</v>
      </c>
    </row>
    <row r="81" spans="1:37" x14ac:dyDescent="0.25">
      <c r="A81" s="10"/>
      <c r="B81" s="2" t="s">
        <v>64</v>
      </c>
      <c r="C81" s="4">
        <v>211626179.808</v>
      </c>
      <c r="D81" s="4">
        <v>209958792.97099999</v>
      </c>
      <c r="E81" s="4">
        <v>208756657.873</v>
      </c>
      <c r="F81" s="4">
        <v>213687013.43700001</v>
      </c>
      <c r="G81" s="6">
        <f t="shared" si="9"/>
        <v>2060833.6290000081</v>
      </c>
      <c r="H81" s="3">
        <f t="shared" si="10"/>
        <v>9.7380845359951226E-3</v>
      </c>
    </row>
    <row r="82" spans="1:37" x14ac:dyDescent="0.25">
      <c r="A82" s="21"/>
      <c r="B82" s="2" t="s">
        <v>70</v>
      </c>
      <c r="C82" s="4">
        <v>565568047.40999997</v>
      </c>
      <c r="D82" s="4">
        <v>551610215.24600005</v>
      </c>
      <c r="E82" s="4">
        <v>549586593.53699994</v>
      </c>
      <c r="F82" s="4">
        <v>568507856.46700001</v>
      </c>
      <c r="G82" s="6">
        <f t="shared" si="9"/>
        <v>2939809.057000041</v>
      </c>
      <c r="H82" s="3">
        <f t="shared" si="10"/>
        <v>5.1979758588958456E-3</v>
      </c>
    </row>
    <row r="83" spans="1:37" x14ac:dyDescent="0.25">
      <c r="A83" s="21"/>
      <c r="B83" s="2" t="s">
        <v>73</v>
      </c>
      <c r="C83" s="4">
        <v>180526262.63999999</v>
      </c>
      <c r="D83" s="4">
        <v>180830842.93799999</v>
      </c>
      <c r="E83" s="4">
        <v>169416829.47299999</v>
      </c>
      <c r="F83" s="4">
        <v>181045060.48500001</v>
      </c>
      <c r="G83" s="6">
        <f t="shared" si="9"/>
        <v>518797.84500002861</v>
      </c>
      <c r="H83" s="3">
        <f t="shared" si="10"/>
        <v>2.873808150754218E-3</v>
      </c>
    </row>
    <row r="84" spans="1:37" x14ac:dyDescent="0.25">
      <c r="A84" s="10"/>
      <c r="B84" s="1" t="s">
        <v>79</v>
      </c>
      <c r="C84" s="4">
        <v>175206969.44400001</v>
      </c>
      <c r="D84" s="4">
        <v>138084719.808</v>
      </c>
      <c r="E84" s="4">
        <v>146959018.27000001</v>
      </c>
      <c r="F84" s="4">
        <v>175625703.43599999</v>
      </c>
      <c r="G84" s="6">
        <f t="shared" si="9"/>
        <v>418733.99199998379</v>
      </c>
      <c r="H84" s="3">
        <f t="shared" si="10"/>
        <v>2.3899391292982802E-3</v>
      </c>
    </row>
    <row r="85" spans="1:37" x14ac:dyDescent="0.25">
      <c r="A85" s="21"/>
      <c r="B85" s="2" t="s">
        <v>77</v>
      </c>
      <c r="C85" s="4">
        <v>249070909.56999999</v>
      </c>
      <c r="D85" s="4">
        <v>210863941.623</v>
      </c>
      <c r="E85" s="4">
        <v>223002213.991</v>
      </c>
      <c r="F85" s="4">
        <v>240805012.361</v>
      </c>
      <c r="G85" s="6">
        <f t="shared" si="9"/>
        <v>-8265897.2089999914</v>
      </c>
      <c r="H85" s="3">
        <f t="shared" si="10"/>
        <v>-3.3186923447906337E-2</v>
      </c>
    </row>
    <row r="86" spans="1:37" x14ac:dyDescent="0.25">
      <c r="A86" s="21"/>
      <c r="B86" s="1" t="s">
        <v>81</v>
      </c>
      <c r="C86" s="4">
        <v>324091948.62199998</v>
      </c>
      <c r="D86" s="4">
        <v>260407307.06900001</v>
      </c>
      <c r="E86" s="4">
        <v>287628263.41399997</v>
      </c>
      <c r="F86" s="4">
        <v>292489238.38599998</v>
      </c>
      <c r="G86" s="6">
        <f t="shared" si="9"/>
        <v>-31602710.236000001</v>
      </c>
      <c r="H86" s="3">
        <f t="shared" si="10"/>
        <v>-9.751155611970902E-2</v>
      </c>
    </row>
    <row r="87" spans="1:37" x14ac:dyDescent="0.25">
      <c r="A87" s="10"/>
      <c r="B87" s="6"/>
      <c r="C87" s="6"/>
      <c r="D87" s="6"/>
    </row>
    <row r="88" spans="1:37" x14ac:dyDescent="0.25">
      <c r="A88" s="10"/>
      <c r="B88" s="2"/>
      <c r="C88" s="2"/>
      <c r="D88" s="2"/>
      <c r="E88" s="2"/>
      <c r="F88" s="2"/>
      <c r="G88" s="2"/>
      <c r="H88" s="2"/>
      <c r="I88" s="2"/>
      <c r="J88" s="2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/>
      <c r="AI88" s="6"/>
      <c r="AJ88" s="6"/>
      <c r="AK88" s="6"/>
    </row>
    <row r="91" spans="1:37" x14ac:dyDescent="0.25">
      <c r="B91" s="52" t="s">
        <v>166</v>
      </c>
      <c r="C91" s="52"/>
      <c r="D91" s="52"/>
      <c r="E91" s="52"/>
      <c r="F91" s="49" t="s">
        <v>180</v>
      </c>
      <c r="G91" s="49"/>
      <c r="H91" s="49"/>
      <c r="I91" s="49"/>
      <c r="K91" s="48"/>
      <c r="L91" s="48"/>
      <c r="M91" s="48"/>
      <c r="N91" s="48"/>
    </row>
    <row r="92" spans="1:37" x14ac:dyDescent="0.25">
      <c r="A92" s="34" t="s">
        <v>84</v>
      </c>
      <c r="B92" s="42">
        <v>1990</v>
      </c>
      <c r="C92" s="42">
        <v>2000</v>
      </c>
      <c r="D92" s="42">
        <v>2010</v>
      </c>
      <c r="E92" s="42">
        <v>2015</v>
      </c>
      <c r="F92" s="44">
        <v>1990</v>
      </c>
      <c r="G92" s="44">
        <v>2000</v>
      </c>
      <c r="H92" s="44">
        <v>2010</v>
      </c>
      <c r="I92" s="44">
        <v>2015</v>
      </c>
      <c r="K92" s="2"/>
      <c r="L92" s="2"/>
      <c r="M92" s="2"/>
      <c r="N92" s="2"/>
      <c r="P92" s="2"/>
      <c r="Q92" s="2"/>
      <c r="R92" s="2"/>
      <c r="S92" s="2"/>
    </row>
    <row r="93" spans="1:37" x14ac:dyDescent="0.25">
      <c r="A93" s="2" t="s">
        <v>128</v>
      </c>
      <c r="B93" s="28">
        <v>652595417.54299998</v>
      </c>
      <c r="C93" s="28">
        <v>643735232.79900002</v>
      </c>
      <c r="D93" s="28">
        <v>645102207.96000004</v>
      </c>
      <c r="E93" s="28">
        <v>659899996.12</v>
      </c>
      <c r="F93" s="4">
        <v>6475</v>
      </c>
      <c r="G93" s="4">
        <v>6386</v>
      </c>
      <c r="H93" s="4">
        <v>6396</v>
      </c>
      <c r="I93" s="4">
        <v>6544</v>
      </c>
      <c r="K93" s="4"/>
      <c r="L93" s="4"/>
      <c r="M93" s="4"/>
      <c r="N93" s="4"/>
      <c r="P93" s="2"/>
      <c r="Q93" s="2"/>
      <c r="R93" s="2"/>
      <c r="S93" s="2"/>
    </row>
    <row r="94" spans="1:37" x14ac:dyDescent="0.25">
      <c r="A94" s="2" t="s">
        <v>124</v>
      </c>
      <c r="B94" s="28">
        <v>1612652842</v>
      </c>
      <c r="C94" s="28">
        <v>1656440648.6400001</v>
      </c>
      <c r="D94" s="28">
        <v>1669062372.5899999</v>
      </c>
      <c r="E94" s="28">
        <v>1691207854.8699999</v>
      </c>
      <c r="F94" s="4">
        <v>4809</v>
      </c>
      <c r="G94" s="4">
        <v>4958</v>
      </c>
      <c r="H94" s="4">
        <v>4988</v>
      </c>
      <c r="I94" s="4">
        <v>5048</v>
      </c>
      <c r="K94" s="4"/>
      <c r="L94" s="4"/>
      <c r="M94" s="4"/>
      <c r="N94" s="4"/>
      <c r="P94" s="2"/>
      <c r="Q94" s="2"/>
      <c r="R94" s="2"/>
      <c r="S94" s="2"/>
    </row>
    <row r="95" spans="1:37" x14ac:dyDescent="0.25">
      <c r="A95" s="2" t="s">
        <v>121</v>
      </c>
      <c r="B95" s="28">
        <v>884547925.44799995</v>
      </c>
      <c r="C95" s="28">
        <v>907560327.61399996</v>
      </c>
      <c r="D95" s="28">
        <v>915684430.33299994</v>
      </c>
      <c r="E95" s="28">
        <v>921763334.56400001</v>
      </c>
      <c r="F95" s="4">
        <v>4841</v>
      </c>
      <c r="G95" s="4">
        <v>4967</v>
      </c>
      <c r="H95" s="4">
        <v>5011</v>
      </c>
      <c r="I95" s="4">
        <v>5043</v>
      </c>
      <c r="K95" s="4"/>
      <c r="L95" s="4"/>
      <c r="M95" s="4"/>
      <c r="N95" s="4"/>
      <c r="P95" s="2"/>
      <c r="Q95" s="2"/>
      <c r="R95" s="2"/>
      <c r="S95" s="2"/>
    </row>
    <row r="96" spans="1:37" x14ac:dyDescent="0.25">
      <c r="A96" s="2" t="s">
        <v>125</v>
      </c>
      <c r="B96" s="28">
        <v>1444010283.5699999</v>
      </c>
      <c r="C96" s="28">
        <v>1457542011.28</v>
      </c>
      <c r="D96" s="28">
        <v>1497834876.47</v>
      </c>
      <c r="E96" s="28">
        <v>1520391978.5799999</v>
      </c>
      <c r="F96" s="4">
        <v>4154</v>
      </c>
      <c r="G96" s="4">
        <v>4212</v>
      </c>
      <c r="H96" s="4">
        <v>4327</v>
      </c>
      <c r="I96" s="4">
        <v>4385</v>
      </c>
      <c r="K96" s="4"/>
      <c r="L96" s="4"/>
      <c r="M96" s="4"/>
      <c r="N96" s="4"/>
      <c r="P96" s="2"/>
      <c r="Q96" s="2"/>
      <c r="R96" s="2"/>
      <c r="S96" s="2"/>
    </row>
    <row r="97" spans="1:19" x14ac:dyDescent="0.25">
      <c r="A97" s="2" t="s">
        <v>119</v>
      </c>
      <c r="B97" s="28">
        <v>1187279011.74</v>
      </c>
      <c r="C97" s="28">
        <v>1179245268.73</v>
      </c>
      <c r="D97" s="28">
        <v>1206226245.1500001</v>
      </c>
      <c r="E97" s="28">
        <v>1259087879.45</v>
      </c>
      <c r="F97" s="4">
        <v>3494</v>
      </c>
      <c r="G97" s="4">
        <v>3465</v>
      </c>
      <c r="H97" s="4">
        <v>3553</v>
      </c>
      <c r="I97" s="4">
        <v>3700</v>
      </c>
      <c r="K97" s="4"/>
      <c r="L97" s="4"/>
      <c r="M97" s="4"/>
      <c r="N97" s="4"/>
      <c r="P97" s="2"/>
      <c r="Q97" s="2"/>
      <c r="R97" s="2"/>
      <c r="S97" s="2"/>
    </row>
    <row r="98" spans="1:19" x14ac:dyDescent="0.25">
      <c r="A98" s="2" t="s">
        <v>126</v>
      </c>
      <c r="B98" s="28">
        <v>799074771.801</v>
      </c>
      <c r="C98" s="28">
        <v>794019140.755</v>
      </c>
      <c r="D98" s="28">
        <v>789739132.55999994</v>
      </c>
      <c r="E98" s="28">
        <v>823948784.45099998</v>
      </c>
      <c r="F98" s="4">
        <v>2417</v>
      </c>
      <c r="G98" s="4">
        <v>2401</v>
      </c>
      <c r="H98" s="4">
        <v>2389</v>
      </c>
      <c r="I98" s="4">
        <v>2492</v>
      </c>
      <c r="K98" s="4"/>
      <c r="L98" s="4"/>
      <c r="M98" s="4"/>
      <c r="N98" s="4"/>
      <c r="P98" s="2"/>
      <c r="Q98" s="2"/>
      <c r="R98" s="2"/>
      <c r="S98" s="2"/>
    </row>
    <row r="99" spans="1:19" x14ac:dyDescent="0.25">
      <c r="A99" s="2" t="s">
        <v>127</v>
      </c>
      <c r="B99" s="28">
        <v>282521192.52600002</v>
      </c>
      <c r="C99" s="28">
        <v>262519220.02500001</v>
      </c>
      <c r="D99" s="28">
        <v>250495633.80700001</v>
      </c>
      <c r="E99" s="28">
        <v>267989810.04499999</v>
      </c>
      <c r="F99" s="4">
        <v>1805</v>
      </c>
      <c r="G99" s="4">
        <v>1677</v>
      </c>
      <c r="H99" s="4">
        <v>1594</v>
      </c>
      <c r="I99" s="4">
        <v>1709</v>
      </c>
      <c r="K99" s="4"/>
      <c r="L99" s="4"/>
      <c r="M99" s="4"/>
      <c r="N99" s="4"/>
      <c r="P99" s="2"/>
      <c r="Q99" s="2"/>
      <c r="R99" s="2"/>
      <c r="S99" s="2"/>
    </row>
    <row r="100" spans="1:19" x14ac:dyDescent="0.25">
      <c r="A100" s="2" t="s">
        <v>129</v>
      </c>
      <c r="B100" s="28">
        <v>659822998.06599998</v>
      </c>
      <c r="C100" s="28">
        <v>546134967.36899996</v>
      </c>
      <c r="D100" s="28">
        <v>618235824.24199998</v>
      </c>
      <c r="E100" s="28">
        <v>670757484.52199996</v>
      </c>
      <c r="F100" s="4">
        <v>1537</v>
      </c>
      <c r="G100" s="4">
        <v>1271</v>
      </c>
      <c r="H100" s="4">
        <v>1439</v>
      </c>
      <c r="I100" s="4">
        <v>1562</v>
      </c>
      <c r="K100" s="4"/>
      <c r="L100" s="4"/>
      <c r="M100" s="4"/>
      <c r="N100" s="4"/>
      <c r="P100" s="2"/>
      <c r="Q100" s="2"/>
      <c r="R100" s="2"/>
      <c r="S100" s="2"/>
    </row>
    <row r="101" spans="1:19" x14ac:dyDescent="0.25">
      <c r="A101" s="2" t="s">
        <v>120</v>
      </c>
      <c r="B101" s="28">
        <v>392533477.67299998</v>
      </c>
      <c r="C101" s="28">
        <v>332242642.94499999</v>
      </c>
      <c r="D101" s="28">
        <v>356733922.17199999</v>
      </c>
      <c r="E101" s="28">
        <v>420710305.18000001</v>
      </c>
      <c r="F101" s="4">
        <v>1286</v>
      </c>
      <c r="G101" s="4">
        <v>1086</v>
      </c>
      <c r="H101" s="4">
        <v>1168</v>
      </c>
      <c r="I101" s="4">
        <v>1377</v>
      </c>
      <c r="K101" s="4"/>
      <c r="L101" s="4"/>
      <c r="M101" s="4"/>
      <c r="N101" s="4"/>
      <c r="P101" s="2"/>
      <c r="Q101" s="2"/>
      <c r="R101" s="2"/>
      <c r="S101" s="2"/>
    </row>
    <row r="103" spans="1:19" x14ac:dyDescent="0.25">
      <c r="B103" s="35"/>
      <c r="D103" s="4"/>
      <c r="E103" s="28"/>
    </row>
    <row r="104" spans="1:19" x14ac:dyDescent="0.25">
      <c r="B104" s="35"/>
      <c r="D104" s="4"/>
      <c r="E104" s="28"/>
    </row>
    <row r="105" spans="1:19" x14ac:dyDescent="0.25">
      <c r="B105" s="35"/>
      <c r="D105" s="4"/>
      <c r="E105" s="28"/>
      <c r="F105" s="13"/>
      <c r="G105" s="13"/>
      <c r="H105" s="13"/>
    </row>
    <row r="106" spans="1:19" x14ac:dyDescent="0.25">
      <c r="B106" s="35"/>
      <c r="D106" s="4"/>
      <c r="E106" s="28"/>
    </row>
    <row r="107" spans="1:19" x14ac:dyDescent="0.25">
      <c r="B107" s="35"/>
      <c r="D107" s="4"/>
      <c r="E107" s="28"/>
      <c r="F107" s="2"/>
      <c r="G107" s="2"/>
      <c r="H107" s="2"/>
    </row>
    <row r="108" spans="1:19" x14ac:dyDescent="0.25">
      <c r="B108" s="35"/>
      <c r="D108" s="4"/>
      <c r="E108" s="28"/>
      <c r="F108" s="2"/>
      <c r="G108" s="2"/>
      <c r="H108" s="2"/>
    </row>
    <row r="109" spans="1:19" x14ac:dyDescent="0.25">
      <c r="B109" s="35"/>
      <c r="D109" s="4"/>
      <c r="E109" s="28"/>
      <c r="F109" s="2"/>
      <c r="G109" s="2"/>
      <c r="H109" s="2"/>
    </row>
    <row r="110" spans="1:19" x14ac:dyDescent="0.25">
      <c r="A110" s="2"/>
      <c r="B110" s="35"/>
      <c r="D110" s="4"/>
      <c r="E110" s="28"/>
      <c r="F110" s="2"/>
      <c r="G110" s="2"/>
      <c r="H110" s="2"/>
    </row>
    <row r="111" spans="1:19" x14ac:dyDescent="0.25">
      <c r="A111" s="2"/>
      <c r="B111" s="35"/>
      <c r="D111" s="4"/>
      <c r="E111" s="28"/>
      <c r="F111" s="2"/>
      <c r="G111" s="2"/>
      <c r="H111" s="2"/>
    </row>
    <row r="112" spans="1:19" x14ac:dyDescent="0.25">
      <c r="A112" s="2"/>
      <c r="D112" s="2"/>
      <c r="E112" s="2"/>
      <c r="F112" s="2"/>
      <c r="G112" s="2"/>
      <c r="H112" s="2"/>
    </row>
    <row r="113" spans="1:8" x14ac:dyDescent="0.25">
      <c r="A113" s="2"/>
      <c r="D113" s="2"/>
      <c r="E113" s="2"/>
      <c r="F113" s="2"/>
      <c r="G113" s="2"/>
      <c r="H113" s="2"/>
    </row>
    <row r="114" spans="1:8" x14ac:dyDescent="0.25">
      <c r="D114" s="2"/>
      <c r="E114" s="2"/>
      <c r="F114" s="2"/>
      <c r="G114" s="2"/>
      <c r="H114" s="2"/>
    </row>
    <row r="115" spans="1:8" x14ac:dyDescent="0.25">
      <c r="D115" s="2"/>
      <c r="E115" s="2"/>
      <c r="F115" s="2"/>
      <c r="G115" s="2"/>
      <c r="H115" s="2"/>
    </row>
    <row r="116" spans="1:8" x14ac:dyDescent="0.25">
      <c r="D116" s="2"/>
      <c r="E116" s="2"/>
      <c r="F116" s="2"/>
      <c r="G116" s="2"/>
      <c r="H116" s="2"/>
    </row>
  </sheetData>
  <autoFilter ref="A92:I92" xr:uid="{00000000-0009-0000-0000-000002000000}">
    <sortState xmlns:xlrd2="http://schemas.microsoft.com/office/spreadsheetml/2017/richdata2" ref="A93:I101">
      <sortCondition descending="1" ref="I92"/>
    </sortState>
  </autoFilter>
  <mergeCells count="9">
    <mergeCell ref="Y36:AE36"/>
    <mergeCell ref="B36:D36"/>
    <mergeCell ref="E36:L36"/>
    <mergeCell ref="M36:S36"/>
    <mergeCell ref="C55:F55"/>
    <mergeCell ref="K91:N91"/>
    <mergeCell ref="B91:E91"/>
    <mergeCell ref="F91:I91"/>
    <mergeCell ref="T36:X36"/>
  </mergeCells>
  <pageMargins left="0.7" right="0.7" top="0.75" bottom="0.75" header="0.3" footer="0.3"/>
  <pageSetup orientation="portrait" r:id="rId1"/>
  <headerFooter>
    <oddFooter>&amp;R_x000D_&amp;1#&amp;"Aptos"&amp;10&amp;K000000 Official Use Only</oddFooter>
  </headerFooter>
  <ignoredErrors>
    <ignoredError sqref="B20:E23 F20:F23" formulaRange="1"/>
  </ignoredError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E112"/>
  <sheetViews>
    <sheetView zoomScale="90" zoomScaleNormal="90" workbookViewId="0"/>
  </sheetViews>
  <sheetFormatPr defaultColWidth="9.140625" defaultRowHeight="15" x14ac:dyDescent="0.25"/>
  <cols>
    <col min="1" max="1" width="19.5703125" style="1" customWidth="1"/>
    <col min="2" max="2" width="17.5703125" style="1" customWidth="1"/>
    <col min="3" max="4" width="15.5703125" style="1" customWidth="1"/>
    <col min="5" max="5" width="16.140625" style="1" customWidth="1"/>
    <col min="6" max="6" width="15.5703125" style="1" customWidth="1"/>
    <col min="7" max="7" width="19.42578125" style="1" customWidth="1"/>
    <col min="8" max="8" width="12.85546875" style="1" customWidth="1"/>
    <col min="9" max="9" width="13.28515625" style="1" customWidth="1"/>
    <col min="10" max="10" width="11.7109375" style="1" customWidth="1"/>
    <col min="11" max="11" width="13.42578125" style="1" bestFit="1" customWidth="1"/>
    <col min="12" max="13" width="12.140625" style="1" bestFit="1" customWidth="1"/>
    <col min="14" max="14" width="13.28515625" style="1" bestFit="1" customWidth="1"/>
    <col min="15" max="15" width="12.140625" style="1" bestFit="1" customWidth="1"/>
    <col min="16" max="16" width="15.42578125" style="1" bestFit="1" customWidth="1"/>
    <col min="17" max="23" width="12.140625" style="1" bestFit="1" customWidth="1"/>
    <col min="24" max="24" width="17.5703125" style="1" customWidth="1"/>
    <col min="25" max="28" width="12.140625" style="1" bestFit="1" customWidth="1"/>
    <col min="29" max="29" width="13.5703125" style="1" bestFit="1" customWidth="1"/>
    <col min="30" max="30" width="13.140625" style="1" bestFit="1" customWidth="1"/>
    <col min="31" max="31" width="14.7109375" style="1" bestFit="1" customWidth="1"/>
    <col min="32" max="32" width="16.5703125" style="1" customWidth="1"/>
    <col min="33" max="33" width="15.28515625" style="1" customWidth="1"/>
    <col min="34" max="34" width="13" style="1" customWidth="1"/>
    <col min="35" max="35" width="15.140625" style="1" customWidth="1"/>
    <col min="36" max="36" width="22.28515625" style="1" bestFit="1" customWidth="1"/>
    <col min="37" max="37" width="19.140625" style="1" customWidth="1"/>
    <col min="38" max="38" width="12.140625" style="1" bestFit="1" customWidth="1"/>
    <col min="39" max="39" width="11" style="1" bestFit="1" customWidth="1"/>
    <col min="40" max="40" width="11.42578125" style="1" bestFit="1" customWidth="1"/>
    <col min="41" max="41" width="20.28515625" style="1" bestFit="1" customWidth="1"/>
    <col min="42" max="42" width="16.7109375" style="1" customWidth="1"/>
    <col min="43" max="48" width="9.140625" style="1"/>
    <col min="49" max="49" width="17.28515625" style="1" bestFit="1" customWidth="1"/>
    <col min="50" max="50" width="24.28515625" style="1" bestFit="1" customWidth="1"/>
    <col min="51" max="51" width="15.85546875" style="1" bestFit="1" customWidth="1"/>
    <col min="52" max="55" width="9.140625" style="1"/>
    <col min="56" max="58" width="14" style="1" bestFit="1" customWidth="1"/>
    <col min="59" max="59" width="12.140625" style="1" customWidth="1"/>
    <col min="60" max="60" width="14" style="1" bestFit="1" customWidth="1"/>
    <col min="61" max="61" width="18.140625" style="1" customWidth="1"/>
    <col min="62" max="62" width="10.42578125" style="1" bestFit="1" customWidth="1"/>
    <col min="63" max="88" width="9.140625" style="1"/>
    <col min="89" max="89" width="11" style="1" bestFit="1" customWidth="1"/>
    <col min="90" max="110" width="9.140625" style="1"/>
    <col min="111" max="111" width="12" style="1" bestFit="1" customWidth="1"/>
    <col min="112" max="16384" width="9.140625" style="1"/>
  </cols>
  <sheetData>
    <row r="1" spans="1:31" x14ac:dyDescent="0.25">
      <c r="A1" s="9" t="s">
        <v>167</v>
      </c>
    </row>
    <row r="2" spans="1:31" x14ac:dyDescent="0.25">
      <c r="B2" s="1" t="s">
        <v>40</v>
      </c>
      <c r="C2" s="9"/>
      <c r="D2" s="9"/>
    </row>
    <row r="3" spans="1:31" x14ac:dyDescent="0.25">
      <c r="A3" s="10">
        <v>1990</v>
      </c>
      <c r="B3" s="6">
        <f t="shared" ref="B3" si="0">SUM(B20:F20)</f>
        <v>5072284214.7660065</v>
      </c>
      <c r="C3" s="6"/>
      <c r="D3" s="6"/>
      <c r="E3" s="6"/>
      <c r="F3" s="6"/>
    </row>
    <row r="4" spans="1:31" x14ac:dyDescent="0.25">
      <c r="A4" s="10">
        <v>2000</v>
      </c>
      <c r="B4" s="6">
        <f>SUM(B21:F21)</f>
        <v>4783300582.2608833</v>
      </c>
      <c r="C4" s="6"/>
      <c r="D4" s="6"/>
      <c r="E4" s="6"/>
      <c r="F4" s="6"/>
    </row>
    <row r="5" spans="1:31" x14ac:dyDescent="0.25">
      <c r="A5" s="10">
        <v>2010</v>
      </c>
      <c r="B5" s="6">
        <f>SUM(B22:F22)</f>
        <v>4780294682.0002956</v>
      </c>
      <c r="C5" s="6"/>
      <c r="D5" s="6"/>
      <c r="E5" s="6"/>
      <c r="F5" s="6"/>
      <c r="H5" s="6"/>
      <c r="I5" s="6"/>
      <c r="J5" s="6"/>
      <c r="K5" s="6"/>
    </row>
    <row r="6" spans="1:31" x14ac:dyDescent="0.25">
      <c r="A6" s="10">
        <v>2015</v>
      </c>
      <c r="B6" s="6">
        <f>SUM(B23:F23)</f>
        <v>4492574434.60462</v>
      </c>
      <c r="C6" s="6"/>
      <c r="D6" s="6"/>
      <c r="E6" s="6"/>
      <c r="F6" s="6"/>
    </row>
    <row r="7" spans="1:31" x14ac:dyDescent="0.25">
      <c r="A7" s="1" t="s">
        <v>47</v>
      </c>
      <c r="B7" s="6">
        <f>B6-B3</f>
        <v>-579709780.16138649</v>
      </c>
      <c r="C7" s="6"/>
      <c r="D7" s="6"/>
      <c r="E7" s="6"/>
      <c r="F7" s="6"/>
    </row>
    <row r="8" spans="1:31" x14ac:dyDescent="0.25">
      <c r="A8" s="1" t="s">
        <v>1</v>
      </c>
      <c r="B8" s="3">
        <f>B7/B3</f>
        <v>-0.11428968796223686</v>
      </c>
      <c r="C8" s="6"/>
      <c r="D8" s="6"/>
      <c r="E8" s="6"/>
      <c r="F8" s="6"/>
    </row>
    <row r="9" spans="1:31" x14ac:dyDescent="0.25">
      <c r="A9" s="1" t="s">
        <v>2</v>
      </c>
      <c r="B9" s="6">
        <f>B4-B3</f>
        <v>-288983632.50512314</v>
      </c>
      <c r="C9" s="6"/>
      <c r="D9" s="6"/>
      <c r="E9" s="6"/>
      <c r="F9" s="6"/>
    </row>
    <row r="10" spans="1:31" x14ac:dyDescent="0.25">
      <c r="A10" s="1" t="s">
        <v>1</v>
      </c>
      <c r="B10" s="3">
        <f>B9/B3</f>
        <v>-5.6973075693167653E-2</v>
      </c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</row>
    <row r="11" spans="1:31" x14ac:dyDescent="0.25">
      <c r="A11" s="1" t="s">
        <v>0</v>
      </c>
      <c r="B11" s="6">
        <f>B5-B4</f>
        <v>-3005900.2605876923</v>
      </c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</row>
    <row r="12" spans="1:31" x14ac:dyDescent="0.25">
      <c r="A12" s="1" t="s">
        <v>1</v>
      </c>
      <c r="B12" s="3">
        <f>B11/B4</f>
        <v>-6.284155070110434E-4</v>
      </c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</row>
    <row r="13" spans="1:31" x14ac:dyDescent="0.25">
      <c r="A13" s="1" t="s">
        <v>48</v>
      </c>
      <c r="B13" s="6">
        <f>B6-B5</f>
        <v>-287720247.39567566</v>
      </c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</row>
    <row r="14" spans="1:31" x14ac:dyDescent="0.25">
      <c r="A14" s="1" t="s">
        <v>1</v>
      </c>
      <c r="B14" s="3">
        <f>B13/B5</f>
        <v>-6.0188809798495571E-2</v>
      </c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</row>
    <row r="15" spans="1:31" x14ac:dyDescent="0.25">
      <c r="A15" s="1" t="s">
        <v>49</v>
      </c>
      <c r="B15" s="12">
        <v>2534568.9300000002</v>
      </c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</row>
    <row r="16" spans="1:31" x14ac:dyDescent="0.25">
      <c r="A16" s="1" t="s">
        <v>169</v>
      </c>
      <c r="B16" s="6">
        <f>B6/B15</f>
        <v>1772.5201242029823</v>
      </c>
      <c r="C16" s="6"/>
      <c r="D16" s="2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</row>
    <row r="17" spans="1:31" x14ac:dyDescent="0.25">
      <c r="B17" s="12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</row>
    <row r="18" spans="1:31" x14ac:dyDescent="0.25">
      <c r="A18" s="9" t="s">
        <v>168</v>
      </c>
    </row>
    <row r="19" spans="1:31" x14ac:dyDescent="0.25">
      <c r="B19" s="2" t="s">
        <v>5</v>
      </c>
      <c r="C19" s="2" t="s">
        <v>25</v>
      </c>
      <c r="D19" s="2" t="s">
        <v>24</v>
      </c>
      <c r="E19" s="2" t="s">
        <v>26</v>
      </c>
      <c r="F19" s="2" t="s">
        <v>32</v>
      </c>
      <c r="G19" s="2"/>
    </row>
    <row r="20" spans="1:31" x14ac:dyDescent="0.25">
      <c r="A20" s="10">
        <v>1990</v>
      </c>
      <c r="B20" s="6">
        <f>SUM(B38:D38)</f>
        <v>30934727.570517465</v>
      </c>
      <c r="C20" s="6">
        <f>SUM(E38:L38)</f>
        <v>1602994722.1631424</v>
      </c>
      <c r="D20" s="6">
        <f>SUM(M38:S38)</f>
        <v>2294526523.971159</v>
      </c>
      <c r="E20" s="6">
        <f>SUM(T38:X38)</f>
        <v>778577513.07147563</v>
      </c>
      <c r="F20" s="6">
        <f>SUM(Y38:AE38)</f>
        <v>365250727.98971158</v>
      </c>
      <c r="G20" s="6"/>
    </row>
    <row r="21" spans="1:31" x14ac:dyDescent="0.25">
      <c r="A21" s="10">
        <v>2000</v>
      </c>
      <c r="B21" s="6">
        <f>SUM(B39:D39)</f>
        <v>27977336.307579387</v>
      </c>
      <c r="C21" s="6">
        <f>SUM(E39:L39)</f>
        <v>1545306802.4216266</v>
      </c>
      <c r="D21" s="6">
        <f>SUM(M39:S39)</f>
        <v>2195935987.2392454</v>
      </c>
      <c r="E21" s="6">
        <f>SUM(T39:X39)</f>
        <v>691720334.05423343</v>
      </c>
      <c r="F21" s="6">
        <f>SUM(Y39:AE39)</f>
        <v>322360122.2381984</v>
      </c>
      <c r="G21" s="6"/>
    </row>
    <row r="22" spans="1:31" x14ac:dyDescent="0.25">
      <c r="A22" s="10">
        <v>2010</v>
      </c>
      <c r="B22" s="6">
        <f>SUM(B40:D40)</f>
        <v>27762500.927204292</v>
      </c>
      <c r="C22" s="6">
        <f>SUM(E40:L40)</f>
        <v>1513900331.1609488</v>
      </c>
      <c r="D22" s="6">
        <f>SUM(M40:S40)</f>
        <v>2198618416.3925967</v>
      </c>
      <c r="E22" s="6">
        <f>SUM(T40:X40)</f>
        <v>716597711.20473802</v>
      </c>
      <c r="F22" s="6">
        <f>SUM(Y40:AE40)</f>
        <v>323415722.31480837</v>
      </c>
      <c r="G22" s="6"/>
    </row>
    <row r="23" spans="1:31" x14ac:dyDescent="0.25">
      <c r="A23" s="10">
        <v>2015</v>
      </c>
      <c r="B23" s="6">
        <f>SUM(B41:D41)</f>
        <v>22819041.688461993</v>
      </c>
      <c r="C23" s="6">
        <f>SUM(E41:L41)</f>
        <v>1451176662.0953104</v>
      </c>
      <c r="D23" s="6">
        <f>SUM(M41:S41)</f>
        <v>2032630326.9365089</v>
      </c>
      <c r="E23" s="6">
        <f>SUM(T41:X41)</f>
        <v>666759984.15652525</v>
      </c>
      <c r="F23" s="6">
        <f>SUM(Y41:AE41)</f>
        <v>319188419.72781324</v>
      </c>
      <c r="G23" s="6"/>
    </row>
    <row r="24" spans="1:31" x14ac:dyDescent="0.25">
      <c r="A24" s="1" t="s">
        <v>47</v>
      </c>
      <c r="B24" s="6">
        <f>B23-B20</f>
        <v>-8115685.8820554726</v>
      </c>
      <c r="C24" s="6">
        <f>C23-C20</f>
        <v>-151818060.06783199</v>
      </c>
      <c r="D24" s="6">
        <f>D23-D20</f>
        <v>-261896197.03465009</v>
      </c>
      <c r="E24" s="6">
        <f>E23-E20</f>
        <v>-111817528.91495037</v>
      </c>
      <c r="F24" s="6">
        <f>F23-F20</f>
        <v>-46062308.261898339</v>
      </c>
      <c r="G24" s="3"/>
    </row>
    <row r="25" spans="1:31" x14ac:dyDescent="0.25">
      <c r="A25" s="1" t="s">
        <v>1</v>
      </c>
      <c r="B25" s="3">
        <f>B24/B20</f>
        <v>-0.26234871031449386</v>
      </c>
      <c r="C25" s="3">
        <f>C24/C20</f>
        <v>-9.4709020540605954E-2</v>
      </c>
      <c r="D25" s="3">
        <f>D24/D20</f>
        <v>-0.11413953785174984</v>
      </c>
      <c r="E25" s="3">
        <f>E24/E20</f>
        <v>-0.14361772211199889</v>
      </c>
      <c r="F25" s="3">
        <f>F24/F20</f>
        <v>-0.12611147557574703</v>
      </c>
      <c r="G25" s="6"/>
    </row>
    <row r="26" spans="1:31" x14ac:dyDescent="0.25">
      <c r="A26" s="1" t="s">
        <v>2</v>
      </c>
      <c r="B26" s="6">
        <f>B21-B20</f>
        <v>-2957391.2629380785</v>
      </c>
      <c r="C26" s="6">
        <f>C21-C20</f>
        <v>-57687919.741515875</v>
      </c>
      <c r="D26" s="6">
        <f>D21-D20</f>
        <v>-98590536.731913567</v>
      </c>
      <c r="E26" s="6">
        <f>E21-E20</f>
        <v>-86857179.017242193</v>
      </c>
      <c r="F26" s="6">
        <f>F21-F20</f>
        <v>-42890605.751513183</v>
      </c>
      <c r="G26" s="3"/>
    </row>
    <row r="27" spans="1:31" x14ac:dyDescent="0.25">
      <c r="A27" s="1" t="s">
        <v>1</v>
      </c>
      <c r="B27" s="3">
        <f>B26/B20</f>
        <v>-9.5601012040482256E-2</v>
      </c>
      <c r="C27" s="3">
        <f>C26/C20</f>
        <v>-3.5987591814194864E-2</v>
      </c>
      <c r="D27" s="3">
        <f>D26/D20</f>
        <v>-4.2967704100139135E-2</v>
      </c>
      <c r="E27" s="3">
        <f>E26/E20</f>
        <v>-0.11155880764471611</v>
      </c>
      <c r="F27" s="3">
        <f>F26/F20</f>
        <v>-0.11742784466872118</v>
      </c>
      <c r="G27" s="3"/>
    </row>
    <row r="28" spans="1:31" x14ac:dyDescent="0.25">
      <c r="A28" s="1" t="s">
        <v>0</v>
      </c>
      <c r="B28" s="6">
        <f>B22-B21</f>
        <v>-214835.38037509471</v>
      </c>
      <c r="C28" s="6">
        <f>C22-C21</f>
        <v>-31406471.260677814</v>
      </c>
      <c r="D28" s="6">
        <f>D22-D21</f>
        <v>2682429.1533513069</v>
      </c>
      <c r="E28" s="6">
        <f>E22-E21</f>
        <v>24877377.150504589</v>
      </c>
      <c r="F28" s="6">
        <f>F22-F21</f>
        <v>1055600.0766099691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</row>
    <row r="29" spans="1:31" x14ac:dyDescent="0.25">
      <c r="A29" s="1" t="s">
        <v>1</v>
      </c>
      <c r="B29" s="3">
        <f>B28/B21</f>
        <v>-7.678907599108829E-3</v>
      </c>
      <c r="C29" s="3">
        <f>C28/C21</f>
        <v>-2.0323777266405101E-2</v>
      </c>
      <c r="D29" s="3">
        <f>D28/D21</f>
        <v>1.2215425080417239E-3</v>
      </c>
      <c r="E29" s="3">
        <f>E28/E21</f>
        <v>3.59645017296168E-2</v>
      </c>
      <c r="F29" s="3">
        <f>F28/F21</f>
        <v>3.2745988222140109E-3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</row>
    <row r="30" spans="1:31" x14ac:dyDescent="0.25">
      <c r="A30" s="1" t="s">
        <v>48</v>
      </c>
      <c r="B30" s="6">
        <f>B23-B22</f>
        <v>-4943459.2387422994</v>
      </c>
      <c r="C30" s="6">
        <f>C23-C22</f>
        <v>-62723669.065638304</v>
      </c>
      <c r="D30" s="6">
        <f>D23-D22</f>
        <v>-165988089.45608783</v>
      </c>
      <c r="E30" s="6">
        <f>E23-E22</f>
        <v>-49837727.048212767</v>
      </c>
      <c r="F30" s="6">
        <f>F23-F22</f>
        <v>-4227302.5869951248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</row>
    <row r="31" spans="1:31" x14ac:dyDescent="0.25">
      <c r="A31" s="1" t="s">
        <v>1</v>
      </c>
      <c r="B31" s="3">
        <f>B30/B22</f>
        <v>-0.17806246100466533</v>
      </c>
      <c r="C31" s="3">
        <f>C30/C22</f>
        <v>-4.1431835223616119E-2</v>
      </c>
      <c r="D31" s="3">
        <f>D30/D22</f>
        <v>-7.5496542837312497E-2</v>
      </c>
      <c r="E31" s="3">
        <f>E30/E22</f>
        <v>-6.9547706152209163E-2</v>
      </c>
      <c r="F31" s="3">
        <f>F30/F22</f>
        <v>-1.3070801124752764E-2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</row>
    <row r="32" spans="1:31" x14ac:dyDescent="0.25">
      <c r="A32" s="1" t="s">
        <v>49</v>
      </c>
      <c r="B32" s="6">
        <v>73001</v>
      </c>
      <c r="C32" s="6">
        <v>596451</v>
      </c>
      <c r="D32" s="6">
        <v>588201</v>
      </c>
      <c r="E32" s="6">
        <v>327613</v>
      </c>
      <c r="F32" s="6">
        <v>946373</v>
      </c>
      <c r="G32" s="3"/>
    </row>
    <row r="33" spans="1:135" x14ac:dyDescent="0.25">
      <c r="A33" s="1" t="s">
        <v>52</v>
      </c>
      <c r="B33" s="6">
        <f>B23/B32</f>
        <v>312.58533017988788</v>
      </c>
      <c r="C33" s="6">
        <f>C23/C32</f>
        <v>2433.0190780052517</v>
      </c>
      <c r="D33" s="6">
        <f>D23/D32</f>
        <v>3455.6730215292205</v>
      </c>
      <c r="E33" s="6">
        <f>E23/E32</f>
        <v>2035.2061247768715</v>
      </c>
      <c r="F33" s="6">
        <f>F23/F32</f>
        <v>337.27549256774364</v>
      </c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</row>
    <row r="35" spans="1:135" x14ac:dyDescent="0.25">
      <c r="A35" s="9" t="s">
        <v>170</v>
      </c>
    </row>
    <row r="36" spans="1:135" x14ac:dyDescent="0.25">
      <c r="A36" s="1" t="s">
        <v>3</v>
      </c>
      <c r="B36" s="48" t="s">
        <v>5</v>
      </c>
      <c r="C36" s="48"/>
      <c r="D36" s="48"/>
      <c r="E36" s="48" t="s">
        <v>25</v>
      </c>
      <c r="F36" s="48"/>
      <c r="G36" s="48"/>
      <c r="H36" s="48"/>
      <c r="I36" s="48"/>
      <c r="J36" s="48"/>
      <c r="K36" s="48"/>
      <c r="L36" s="48"/>
      <c r="M36" s="48" t="s">
        <v>24</v>
      </c>
      <c r="N36" s="48"/>
      <c r="O36" s="48"/>
      <c r="P36" s="48"/>
      <c r="Q36" s="48"/>
      <c r="R36" s="48"/>
      <c r="S36" s="48"/>
      <c r="T36" s="48" t="s">
        <v>26</v>
      </c>
      <c r="U36" s="48"/>
      <c r="V36" s="48"/>
      <c r="W36" s="48"/>
      <c r="X36" s="48"/>
      <c r="Y36" s="48" t="s">
        <v>32</v>
      </c>
      <c r="Z36" s="48"/>
      <c r="AA36" s="48"/>
      <c r="AB36" s="48"/>
      <c r="AC36" s="48"/>
      <c r="AD36" s="48"/>
      <c r="AE36" s="48"/>
      <c r="AF36" s="13"/>
      <c r="AG36" s="13"/>
      <c r="AH36" s="13"/>
      <c r="AI36" s="13"/>
      <c r="AJ36" s="13"/>
      <c r="AK36" s="13"/>
      <c r="AL36" s="13"/>
      <c r="AM36" s="13"/>
      <c r="AN36" s="13"/>
      <c r="AO36" s="13"/>
    </row>
    <row r="37" spans="1:135" x14ac:dyDescent="0.25">
      <c r="A37" s="1" t="s">
        <v>4</v>
      </c>
      <c r="B37" s="2" t="s">
        <v>6</v>
      </c>
      <c r="C37" s="2" t="s">
        <v>7</v>
      </c>
      <c r="D37" s="2" t="s">
        <v>8</v>
      </c>
      <c r="E37" s="2" t="s">
        <v>9</v>
      </c>
      <c r="F37" s="2" t="s">
        <v>10</v>
      </c>
      <c r="G37" s="2" t="s">
        <v>11</v>
      </c>
      <c r="H37" s="2" t="s">
        <v>12</v>
      </c>
      <c r="I37" s="2" t="s">
        <v>13</v>
      </c>
      <c r="J37" s="2" t="s">
        <v>14</v>
      </c>
      <c r="K37" s="2" t="s">
        <v>15</v>
      </c>
      <c r="L37" s="2" t="s">
        <v>16</v>
      </c>
      <c r="M37" s="2" t="s">
        <v>17</v>
      </c>
      <c r="N37" s="2" t="s">
        <v>18</v>
      </c>
      <c r="O37" s="2" t="s">
        <v>19</v>
      </c>
      <c r="P37" s="2" t="s">
        <v>20</v>
      </c>
      <c r="Q37" s="2" t="s">
        <v>21</v>
      </c>
      <c r="R37" s="2" t="s">
        <v>22</v>
      </c>
      <c r="S37" s="2" t="s">
        <v>23</v>
      </c>
      <c r="T37" s="2" t="s">
        <v>27</v>
      </c>
      <c r="U37" s="2" t="s">
        <v>28</v>
      </c>
      <c r="V37" s="2" t="s">
        <v>29</v>
      </c>
      <c r="W37" s="2" t="s">
        <v>30</v>
      </c>
      <c r="X37" s="2" t="s">
        <v>31</v>
      </c>
      <c r="Y37" s="2" t="s">
        <v>33</v>
      </c>
      <c r="Z37" s="2" t="s">
        <v>34</v>
      </c>
      <c r="AA37" s="2" t="s">
        <v>35</v>
      </c>
      <c r="AB37" s="1" t="s">
        <v>36</v>
      </c>
      <c r="AC37" s="1" t="s">
        <v>37</v>
      </c>
      <c r="AD37" s="1" t="s">
        <v>38</v>
      </c>
      <c r="AE37" s="1" t="s">
        <v>39</v>
      </c>
    </row>
    <row r="38" spans="1:135" x14ac:dyDescent="0.25">
      <c r="A38" s="10">
        <v>1990</v>
      </c>
      <c r="B38" s="6">
        <v>19416913.45352703</v>
      </c>
      <c r="C38" s="6">
        <v>4525045.2562566428</v>
      </c>
      <c r="D38" s="6">
        <v>6992768.8607337913</v>
      </c>
      <c r="E38" s="6">
        <v>82914045.551730305</v>
      </c>
      <c r="F38" s="6">
        <v>109788348.97630234</v>
      </c>
      <c r="G38" s="6">
        <v>68881179.828708351</v>
      </c>
      <c r="H38" s="6">
        <v>142317995.74003592</v>
      </c>
      <c r="I38" s="6">
        <v>535596712.55859375</v>
      </c>
      <c r="J38" s="6">
        <v>100836534.86249585</v>
      </c>
      <c r="K38" s="6">
        <v>459838825.10833973</v>
      </c>
      <c r="L38" s="6">
        <v>102821079.53693612</v>
      </c>
      <c r="M38" s="6">
        <v>303514105.39460379</v>
      </c>
      <c r="N38" s="6">
        <v>256072860.04248491</v>
      </c>
      <c r="O38" s="6">
        <v>332632329.05969471</v>
      </c>
      <c r="P38" s="6">
        <v>473928001.40880376</v>
      </c>
      <c r="Q38" s="6">
        <v>172989814.44591293</v>
      </c>
      <c r="R38" s="6">
        <v>434450739.45971042</v>
      </c>
      <c r="S38" s="6">
        <v>320938674.15994835</v>
      </c>
      <c r="T38" s="6">
        <v>153563570.95462647</v>
      </c>
      <c r="U38" s="6">
        <v>181360579.6225951</v>
      </c>
      <c r="V38" s="6">
        <v>86867593.812144622</v>
      </c>
      <c r="W38" s="6">
        <v>269359350.00806582</v>
      </c>
      <c r="X38" s="6">
        <v>87426418.674043536</v>
      </c>
      <c r="Y38" s="6">
        <v>47258604.003418006</v>
      </c>
      <c r="Z38" s="6">
        <v>56221652.210281216</v>
      </c>
      <c r="AA38" s="6">
        <v>82376625.251137763</v>
      </c>
      <c r="AB38" s="6">
        <v>53333578.67925512</v>
      </c>
      <c r="AC38" s="6">
        <v>29352637.013225015</v>
      </c>
      <c r="AD38" s="6">
        <v>72734745.411866859</v>
      </c>
      <c r="AE38" s="6">
        <v>23972885.420527618</v>
      </c>
      <c r="AF38" s="6"/>
      <c r="AG38" s="6"/>
      <c r="AH38" s="6"/>
      <c r="AI38" s="6"/>
      <c r="AJ38" s="6"/>
      <c r="AK38" s="6"/>
      <c r="AL38" s="6"/>
      <c r="AM38" s="6"/>
      <c r="AN38" s="6"/>
      <c r="AO38" s="6"/>
      <c r="AP38" s="6"/>
      <c r="AQ38" s="6"/>
      <c r="AR38" s="6"/>
      <c r="AS38" s="6"/>
      <c r="AT38" s="6"/>
      <c r="AU38" s="6"/>
      <c r="AV38" s="6"/>
      <c r="AW38" s="6"/>
      <c r="AX38" s="6"/>
      <c r="AY38" s="6"/>
      <c r="AZ38" s="6"/>
      <c r="BA38" s="6"/>
      <c r="BB38" s="6"/>
      <c r="BC38" s="6"/>
      <c r="BD38" s="6"/>
      <c r="BE38" s="6"/>
      <c r="BF38" s="6"/>
      <c r="BG38" s="6"/>
      <c r="BH38" s="6"/>
      <c r="BI38" s="6"/>
      <c r="BJ38" s="6"/>
      <c r="BK38" s="6"/>
      <c r="BL38" s="6"/>
      <c r="BM38" s="6"/>
      <c r="BN38" s="6"/>
      <c r="BO38" s="6"/>
      <c r="BP38" s="6"/>
      <c r="BQ38" s="6"/>
      <c r="BR38" s="6"/>
      <c r="BS38" s="6"/>
      <c r="BT38" s="6"/>
      <c r="BU38" s="6"/>
      <c r="BV38" s="6"/>
      <c r="BW38" s="6"/>
      <c r="BX38" s="6"/>
      <c r="BY38" s="6"/>
      <c r="BZ38" s="6"/>
      <c r="CA38" s="6"/>
      <c r="CB38" s="6"/>
      <c r="CC38" s="6"/>
      <c r="CD38" s="6"/>
      <c r="CE38" s="6"/>
      <c r="CF38" s="6"/>
      <c r="CG38" s="6"/>
      <c r="CH38" s="6"/>
      <c r="CI38" s="6"/>
      <c r="CJ38" s="6"/>
      <c r="CK38" s="6"/>
      <c r="CL38" s="6"/>
      <c r="CM38" s="6"/>
      <c r="CN38" s="6"/>
      <c r="CO38" s="6"/>
      <c r="CP38" s="6"/>
      <c r="CQ38" s="6"/>
      <c r="CR38" s="6"/>
      <c r="CS38" s="6"/>
      <c r="CT38" s="6"/>
      <c r="CU38" s="6"/>
      <c r="CV38" s="6"/>
      <c r="CW38" s="6"/>
      <c r="CX38" s="6"/>
      <c r="CY38" s="6"/>
      <c r="CZ38" s="6"/>
      <c r="DA38" s="6"/>
      <c r="DB38" s="6"/>
      <c r="DC38" s="6"/>
      <c r="DD38" s="6"/>
      <c r="DE38" s="6"/>
      <c r="DF38" s="6"/>
      <c r="DG38" s="6"/>
      <c r="DH38" s="6"/>
      <c r="DI38" s="6"/>
      <c r="DJ38" s="6"/>
      <c r="DK38" s="6"/>
      <c r="DL38" s="6"/>
      <c r="DM38" s="6"/>
      <c r="DN38" s="6"/>
      <c r="DO38" s="6"/>
      <c r="DP38" s="6"/>
      <c r="DQ38" s="6"/>
      <c r="DR38" s="6"/>
      <c r="DS38" s="6"/>
      <c r="DT38" s="6"/>
      <c r="DU38" s="6"/>
      <c r="DV38" s="6"/>
      <c r="DW38" s="6"/>
      <c r="DX38" s="6"/>
      <c r="DY38" s="6"/>
      <c r="DZ38" s="6"/>
      <c r="EA38" s="6"/>
      <c r="EB38" s="6"/>
      <c r="EC38" s="6"/>
      <c r="ED38" s="6"/>
      <c r="EE38" s="6"/>
    </row>
    <row r="39" spans="1:135" x14ac:dyDescent="0.25">
      <c r="A39" s="10">
        <v>2000</v>
      </c>
      <c r="B39" s="6">
        <v>17432545.021447182</v>
      </c>
      <c r="C39" s="6">
        <v>4543616.8813100327</v>
      </c>
      <c r="D39" s="6">
        <v>6001174.4048221735</v>
      </c>
      <c r="E39" s="6">
        <v>83918849.552921966</v>
      </c>
      <c r="F39" s="6">
        <v>110351390.06699753</v>
      </c>
      <c r="G39" s="6">
        <v>55242791.492600799</v>
      </c>
      <c r="H39" s="6">
        <v>118677451.61866501</v>
      </c>
      <c r="I39" s="6">
        <v>525474053.95407027</v>
      </c>
      <c r="J39" s="6">
        <v>84909673.450707138</v>
      </c>
      <c r="K39" s="6">
        <v>478336967.44110489</v>
      </c>
      <c r="L39" s="6">
        <v>88395624.844559044</v>
      </c>
      <c r="M39" s="6">
        <v>289913182.27914715</v>
      </c>
      <c r="N39" s="6">
        <v>226538411.08080474</v>
      </c>
      <c r="O39" s="6">
        <v>301783987.28338164</v>
      </c>
      <c r="P39" s="6">
        <v>475932471.60287589</v>
      </c>
      <c r="Q39" s="6">
        <v>163122069.11640245</v>
      </c>
      <c r="R39" s="6">
        <v>455251954.52748287</v>
      </c>
      <c r="S39" s="6">
        <v>283393911.34915084</v>
      </c>
      <c r="T39" s="6">
        <v>132688898.7602334</v>
      </c>
      <c r="U39" s="6">
        <v>156695211.18547031</v>
      </c>
      <c r="V39" s="6">
        <v>75953913.617900372</v>
      </c>
      <c r="W39" s="6">
        <v>253859714.30527118</v>
      </c>
      <c r="X39" s="6">
        <v>72522596.185358137</v>
      </c>
      <c r="Y39" s="6">
        <v>46158104.052429691</v>
      </c>
      <c r="Z39" s="6">
        <v>52015709.893703192</v>
      </c>
      <c r="AA39" s="6">
        <v>72658533.507516339</v>
      </c>
      <c r="AB39" s="6">
        <v>46175342.415261455</v>
      </c>
      <c r="AC39" s="6">
        <v>22200400.301718339</v>
      </c>
      <c r="AD39" s="6">
        <v>64488733.050211057</v>
      </c>
      <c r="AE39" s="6">
        <v>18663299.017358299</v>
      </c>
      <c r="AF39" s="6"/>
      <c r="AG39" s="6"/>
      <c r="AH39" s="6"/>
      <c r="AI39" s="6"/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/>
      <c r="BA39" s="6"/>
      <c r="BB39" s="6"/>
      <c r="BC39" s="6"/>
      <c r="BD39" s="6"/>
      <c r="BE39" s="6"/>
      <c r="BF39" s="6"/>
      <c r="BG39" s="6"/>
      <c r="BH39" s="6"/>
      <c r="BI39" s="6"/>
    </row>
    <row r="40" spans="1:135" x14ac:dyDescent="0.25">
      <c r="A40" s="10">
        <v>2010</v>
      </c>
      <c r="B40" s="6">
        <v>18488283.050936446</v>
      </c>
      <c r="C40" s="6">
        <v>3592619.4669803521</v>
      </c>
      <c r="D40" s="6">
        <v>5681598.4092874946</v>
      </c>
      <c r="E40" s="6">
        <v>85148710.579087973</v>
      </c>
      <c r="F40" s="6">
        <v>109062362.85206795</v>
      </c>
      <c r="G40" s="6">
        <v>57264601.435291231</v>
      </c>
      <c r="H40" s="6">
        <v>127129773.91104487</v>
      </c>
      <c r="I40" s="6">
        <v>501314324.71161348</v>
      </c>
      <c r="J40" s="6">
        <v>85084786.675640494</v>
      </c>
      <c r="K40" s="6">
        <v>463058403.17601931</v>
      </c>
      <c r="L40" s="6">
        <v>85837367.820183426</v>
      </c>
      <c r="M40" s="6">
        <v>279294436.45513791</v>
      </c>
      <c r="N40" s="6">
        <v>226711598.81209418</v>
      </c>
      <c r="O40" s="6">
        <v>302197182.84646684</v>
      </c>
      <c r="P40" s="6">
        <v>486163739.12557471</v>
      </c>
      <c r="Q40" s="6">
        <v>153478181.77960283</v>
      </c>
      <c r="R40" s="6">
        <v>456515602.64460665</v>
      </c>
      <c r="S40" s="6">
        <v>294257674.72911394</v>
      </c>
      <c r="T40" s="6">
        <v>137429851.03299865</v>
      </c>
      <c r="U40" s="6">
        <v>170673308.5011678</v>
      </c>
      <c r="V40" s="6">
        <v>83772042.293004408</v>
      </c>
      <c r="W40" s="6">
        <v>249289090.16554412</v>
      </c>
      <c r="X40" s="6">
        <v>75433419.21202302</v>
      </c>
      <c r="Y40" s="6">
        <v>40219498.181756273</v>
      </c>
      <c r="Z40" s="6">
        <v>54274725.749472678</v>
      </c>
      <c r="AA40" s="6">
        <v>75719471.781750008</v>
      </c>
      <c r="AB40" s="6">
        <v>45597969.936598711</v>
      </c>
      <c r="AC40" s="6">
        <v>23203935.130494606</v>
      </c>
      <c r="AD40" s="6">
        <v>64313781.821197011</v>
      </c>
      <c r="AE40" s="6">
        <v>20086339.713539064</v>
      </c>
      <c r="AF40" s="6"/>
      <c r="AG40" s="6"/>
      <c r="AH40" s="6"/>
      <c r="AI40" s="6"/>
      <c r="AJ40" s="6"/>
      <c r="AK40" s="6"/>
      <c r="AL40" s="6"/>
      <c r="AM40" s="6"/>
      <c r="AN40" s="6"/>
      <c r="AO40" s="6"/>
      <c r="AP40" s="6"/>
      <c r="AQ40" s="6"/>
      <c r="AR40" s="6"/>
      <c r="AS40" s="6"/>
      <c r="AT40" s="6"/>
      <c r="AU40" s="6"/>
      <c r="AV40" s="6"/>
      <c r="AW40" s="6"/>
      <c r="AX40" s="6"/>
      <c r="AY40" s="6"/>
      <c r="AZ40" s="6"/>
      <c r="BA40" s="6"/>
      <c r="BB40" s="6"/>
      <c r="BC40" s="6"/>
      <c r="BD40" s="6"/>
      <c r="BE40" s="6"/>
      <c r="BF40" s="6"/>
      <c r="BG40" s="6"/>
      <c r="BH40" s="6"/>
      <c r="BI40" s="6"/>
    </row>
    <row r="41" spans="1:135" x14ac:dyDescent="0.25">
      <c r="A41" s="10">
        <v>2015</v>
      </c>
      <c r="B41" s="6">
        <v>14623355.497307533</v>
      </c>
      <c r="C41" s="6">
        <v>3075879.187032308</v>
      </c>
      <c r="D41" s="6">
        <v>5119807.0041221529</v>
      </c>
      <c r="E41" s="6">
        <v>73054222.017270595</v>
      </c>
      <c r="F41" s="6">
        <v>103534610.21467094</v>
      </c>
      <c r="G41" s="6">
        <v>53562756.937177658</v>
      </c>
      <c r="H41" s="6">
        <v>115849566.85583311</v>
      </c>
      <c r="I41" s="6">
        <v>494541070.33522797</v>
      </c>
      <c r="J41" s="6">
        <v>84399693.157403871</v>
      </c>
      <c r="K41" s="6">
        <v>439163821.40250093</v>
      </c>
      <c r="L41" s="6">
        <v>87070921.175225571</v>
      </c>
      <c r="M41" s="6">
        <v>265318062.68018129</v>
      </c>
      <c r="N41" s="6">
        <v>218847834.65023673</v>
      </c>
      <c r="O41" s="6">
        <v>289099267.19116116</v>
      </c>
      <c r="P41" s="6">
        <v>433899576.69459343</v>
      </c>
      <c r="Q41" s="6">
        <v>147936949.3671557</v>
      </c>
      <c r="R41" s="6">
        <v>410956626.3050099</v>
      </c>
      <c r="S41" s="6">
        <v>266572010.04817054</v>
      </c>
      <c r="T41" s="6">
        <v>128819394.06782277</v>
      </c>
      <c r="U41" s="6">
        <v>153380578.95957035</v>
      </c>
      <c r="V41" s="6">
        <v>78331888.872709572</v>
      </c>
      <c r="W41" s="6">
        <v>229356018.75537059</v>
      </c>
      <c r="X41" s="6">
        <v>76872103.501052022</v>
      </c>
      <c r="Y41" s="6">
        <v>43385383.237833977</v>
      </c>
      <c r="Z41" s="6">
        <v>52848329.251653187</v>
      </c>
      <c r="AA41" s="6">
        <v>78081136.551956445</v>
      </c>
      <c r="AB41" s="6">
        <v>43534217.258712143</v>
      </c>
      <c r="AC41" s="6">
        <v>20883478.846102718</v>
      </c>
      <c r="AD41" s="6">
        <v>63047799.996581629</v>
      </c>
      <c r="AE41" s="6">
        <v>17408074.584973186</v>
      </c>
      <c r="AF41" s="6"/>
      <c r="AG41" s="6"/>
      <c r="AH41" s="6"/>
      <c r="AI41" s="6"/>
      <c r="AJ41" s="6"/>
      <c r="AK41" s="6"/>
      <c r="AL41" s="6"/>
      <c r="AM41" s="6"/>
      <c r="AN41" s="6"/>
      <c r="AO41" s="6"/>
      <c r="AP41" s="6"/>
      <c r="AQ41" s="6"/>
      <c r="AR41" s="6"/>
      <c r="AS41" s="6"/>
      <c r="AT41" s="6"/>
      <c r="AU41" s="6"/>
      <c r="AV41" s="6"/>
      <c r="AW41" s="6"/>
      <c r="AX41" s="6"/>
      <c r="AY41" s="6"/>
      <c r="AZ41" s="6"/>
      <c r="BA41" s="6"/>
      <c r="BB41" s="6"/>
      <c r="BC41" s="6"/>
      <c r="BD41" s="6"/>
      <c r="BE41" s="6"/>
      <c r="BF41" s="6"/>
      <c r="BG41" s="6"/>
      <c r="BH41" s="6"/>
      <c r="BI41" s="6"/>
    </row>
    <row r="42" spans="1:135" x14ac:dyDescent="0.25">
      <c r="A42" s="1" t="s">
        <v>47</v>
      </c>
      <c r="B42" s="6">
        <f t="shared" ref="B42:AE42" si="1">B41-B38</f>
        <v>-4793557.9562194962</v>
      </c>
      <c r="C42" s="6">
        <f t="shared" si="1"/>
        <v>-1449166.0692243348</v>
      </c>
      <c r="D42" s="6">
        <f t="shared" si="1"/>
        <v>-1872961.8566116383</v>
      </c>
      <c r="E42" s="6">
        <f t="shared" si="1"/>
        <v>-9859823.5344597101</v>
      </c>
      <c r="F42" s="6">
        <f t="shared" si="1"/>
        <v>-6253738.7616313994</v>
      </c>
      <c r="G42" s="6">
        <f t="shared" si="1"/>
        <v>-15318422.891530693</v>
      </c>
      <c r="H42" s="6">
        <f t="shared" si="1"/>
        <v>-26468428.884202808</v>
      </c>
      <c r="I42" s="6">
        <f t="shared" si="1"/>
        <v>-41055642.223365784</v>
      </c>
      <c r="J42" s="6">
        <f t="shared" si="1"/>
        <v>-16436841.705091983</v>
      </c>
      <c r="K42" s="6">
        <f t="shared" si="1"/>
        <v>-20675003.705838799</v>
      </c>
      <c r="L42" s="6">
        <f t="shared" si="1"/>
        <v>-15750158.361710548</v>
      </c>
      <c r="M42" s="6">
        <f t="shared" si="1"/>
        <v>-38196042.714422494</v>
      </c>
      <c r="N42" s="6">
        <f t="shared" si="1"/>
        <v>-37225025.392248183</v>
      </c>
      <c r="O42" s="6">
        <f t="shared" si="1"/>
        <v>-43533061.868533552</v>
      </c>
      <c r="P42" s="6">
        <f t="shared" si="1"/>
        <v>-40028424.714210331</v>
      </c>
      <c r="Q42" s="6">
        <f t="shared" si="1"/>
        <v>-25052865.078757226</v>
      </c>
      <c r="R42" s="6">
        <f t="shared" si="1"/>
        <v>-23494113.154700518</v>
      </c>
      <c r="S42" s="6">
        <f t="shared" si="1"/>
        <v>-54366664.111777812</v>
      </c>
      <c r="T42" s="6">
        <f t="shared" si="1"/>
        <v>-24744176.886803702</v>
      </c>
      <c r="U42" s="6">
        <f t="shared" si="1"/>
        <v>-27980000.663024753</v>
      </c>
      <c r="V42" s="6">
        <f t="shared" si="1"/>
        <v>-8535704.9394350499</v>
      </c>
      <c r="W42" s="6">
        <f t="shared" si="1"/>
        <v>-40003331.252695233</v>
      </c>
      <c r="X42" s="6">
        <f t="shared" si="1"/>
        <v>-10554315.172991514</v>
      </c>
      <c r="Y42" s="6">
        <f t="shared" si="1"/>
        <v>-3873220.7655840293</v>
      </c>
      <c r="Z42" s="6">
        <f t="shared" si="1"/>
        <v>-3373322.9586280286</v>
      </c>
      <c r="AA42" s="6">
        <f t="shared" si="1"/>
        <v>-4295488.6991813183</v>
      </c>
      <c r="AB42" s="6">
        <f t="shared" si="1"/>
        <v>-9799361.4205429778</v>
      </c>
      <c r="AC42" s="6">
        <f t="shared" si="1"/>
        <v>-8469158.167122297</v>
      </c>
      <c r="AD42" s="6">
        <f t="shared" si="1"/>
        <v>-9686945.4152852297</v>
      </c>
      <c r="AE42" s="6">
        <f t="shared" si="1"/>
        <v>-6564810.8355544321</v>
      </c>
    </row>
    <row r="43" spans="1:135" x14ac:dyDescent="0.25">
      <c r="A43" s="1" t="s">
        <v>1</v>
      </c>
      <c r="B43" s="3">
        <f t="shared" ref="B43:AE43" si="2">B42/B38</f>
        <v>-0.24687538355117711</v>
      </c>
      <c r="C43" s="3">
        <f t="shared" si="2"/>
        <v>-0.32025449186847732</v>
      </c>
      <c r="D43" s="3">
        <f t="shared" si="2"/>
        <v>-0.26784266631903197</v>
      </c>
      <c r="E43" s="3">
        <f t="shared" si="2"/>
        <v>-0.11891620374871395</v>
      </c>
      <c r="F43" s="3">
        <f t="shared" si="2"/>
        <v>-5.6961770715590776E-2</v>
      </c>
      <c r="G43" s="3">
        <f t="shared" si="2"/>
        <v>-0.22238908987366487</v>
      </c>
      <c r="H43" s="3">
        <f t="shared" si="2"/>
        <v>-0.18598089965060471</v>
      </c>
      <c r="I43" s="3">
        <f t="shared" si="2"/>
        <v>-7.6654022066788424E-2</v>
      </c>
      <c r="J43" s="3">
        <f t="shared" si="2"/>
        <v>-0.1630048248633873</v>
      </c>
      <c r="K43" s="3">
        <f t="shared" si="2"/>
        <v>-4.4961413819217401E-2</v>
      </c>
      <c r="L43" s="3">
        <f t="shared" si="2"/>
        <v>-0.15318024701396629</v>
      </c>
      <c r="M43" s="3">
        <f t="shared" si="2"/>
        <v>-0.12584602176812565</v>
      </c>
      <c r="N43" s="3">
        <f t="shared" si="2"/>
        <v>-0.14536888206767479</v>
      </c>
      <c r="O43" s="3">
        <f t="shared" si="2"/>
        <v>-0.13087441618075868</v>
      </c>
      <c r="P43" s="3">
        <f t="shared" si="2"/>
        <v>-8.4460982670830548E-2</v>
      </c>
      <c r="Q43" s="3">
        <f t="shared" si="2"/>
        <v>-0.1448227756009893</v>
      </c>
      <c r="R43" s="3">
        <f t="shared" si="2"/>
        <v>-5.4077737752082446E-2</v>
      </c>
      <c r="S43" s="3">
        <f t="shared" si="2"/>
        <v>-0.16939891789009739</v>
      </c>
      <c r="T43" s="3">
        <f t="shared" si="2"/>
        <v>-0.16113311726851468</v>
      </c>
      <c r="U43" s="3">
        <f t="shared" si="2"/>
        <v>-0.15427829311777749</v>
      </c>
      <c r="V43" s="3">
        <f t="shared" si="2"/>
        <v>-9.8261095592148268E-2</v>
      </c>
      <c r="W43" s="3">
        <f t="shared" si="2"/>
        <v>-0.14851287416418757</v>
      </c>
      <c r="X43" s="3">
        <f t="shared" si="2"/>
        <v>-0.12072226373977088</v>
      </c>
      <c r="Y43" s="3">
        <f t="shared" si="2"/>
        <v>-8.19580020879139E-2</v>
      </c>
      <c r="Z43" s="3">
        <f t="shared" si="2"/>
        <v>-6.0000423787103706E-2</v>
      </c>
      <c r="AA43" s="3">
        <f t="shared" si="2"/>
        <v>-5.2144509271724385E-2</v>
      </c>
      <c r="AB43" s="3">
        <f t="shared" si="2"/>
        <v>-0.18373718140077827</v>
      </c>
      <c r="AC43" s="3">
        <f t="shared" si="2"/>
        <v>-0.28853142439319729</v>
      </c>
      <c r="AD43" s="3">
        <f t="shared" si="2"/>
        <v>-0.13318181510682486</v>
      </c>
      <c r="AE43" s="3">
        <f t="shared" si="2"/>
        <v>-0.27384316574312262</v>
      </c>
    </row>
    <row r="44" spans="1:135" x14ac:dyDescent="0.25">
      <c r="A44" s="1" t="s">
        <v>2</v>
      </c>
      <c r="B44" s="6">
        <f t="shared" ref="B44:AE44" si="3">B39-B38</f>
        <v>-1984368.4320798479</v>
      </c>
      <c r="C44" s="6">
        <f t="shared" si="3"/>
        <v>18571.625053389929</v>
      </c>
      <c r="D44" s="6">
        <f t="shared" si="3"/>
        <v>-991594.45591161773</v>
      </c>
      <c r="E44" s="6">
        <f t="shared" si="3"/>
        <v>1004804.0011916608</v>
      </c>
      <c r="F44" s="6">
        <f t="shared" si="3"/>
        <v>563041.09069518745</v>
      </c>
      <c r="G44" s="6">
        <f t="shared" si="3"/>
        <v>-13638388.336107552</v>
      </c>
      <c r="H44" s="6">
        <f t="shared" si="3"/>
        <v>-23640544.121370912</v>
      </c>
      <c r="I44" s="6">
        <f t="shared" si="3"/>
        <v>-10122658.60452348</v>
      </c>
      <c r="J44" s="6">
        <f t="shared" si="3"/>
        <v>-15926861.411788717</v>
      </c>
      <c r="K44" s="6">
        <f t="shared" si="3"/>
        <v>18498142.332765162</v>
      </c>
      <c r="L44" s="6">
        <f t="shared" si="3"/>
        <v>-14425454.692377076</v>
      </c>
      <c r="M44" s="6">
        <f t="shared" si="3"/>
        <v>-13600923.115456641</v>
      </c>
      <c r="N44" s="6">
        <f t="shared" si="3"/>
        <v>-29534448.961680174</v>
      </c>
      <c r="O44" s="6">
        <f t="shared" si="3"/>
        <v>-30848341.776313066</v>
      </c>
      <c r="P44" s="6">
        <f t="shared" si="3"/>
        <v>2004470.1940721273</v>
      </c>
      <c r="Q44" s="6">
        <f t="shared" si="3"/>
        <v>-9867745.3295104802</v>
      </c>
      <c r="R44" s="6">
        <f t="shared" si="3"/>
        <v>20801215.067772448</v>
      </c>
      <c r="S44" s="6">
        <f t="shared" si="3"/>
        <v>-37544762.810797513</v>
      </c>
      <c r="T44" s="6">
        <f t="shared" si="3"/>
        <v>-20874672.194393069</v>
      </c>
      <c r="U44" s="6">
        <f t="shared" si="3"/>
        <v>-24665368.437124789</v>
      </c>
      <c r="V44" s="6">
        <f t="shared" si="3"/>
        <v>-10913680.194244251</v>
      </c>
      <c r="W44" s="6">
        <f t="shared" si="3"/>
        <v>-15499635.702794641</v>
      </c>
      <c r="X44" s="6">
        <f t="shared" si="3"/>
        <v>-14903822.488685399</v>
      </c>
      <c r="Y44" s="6">
        <f t="shared" si="3"/>
        <v>-1100499.950988315</v>
      </c>
      <c r="Z44" s="6">
        <f t="shared" si="3"/>
        <v>-4205942.3165780231</v>
      </c>
      <c r="AA44" s="6">
        <f t="shared" si="3"/>
        <v>-9718091.7436214238</v>
      </c>
      <c r="AB44" s="6">
        <f t="shared" si="3"/>
        <v>-7158236.2639936656</v>
      </c>
      <c r="AC44" s="6">
        <f t="shared" si="3"/>
        <v>-7152236.7115066759</v>
      </c>
      <c r="AD44" s="6">
        <f t="shared" si="3"/>
        <v>-8246012.3616558015</v>
      </c>
      <c r="AE44" s="6">
        <f t="shared" si="3"/>
        <v>-5309586.403169319</v>
      </c>
    </row>
    <row r="45" spans="1:135" x14ac:dyDescent="0.25">
      <c r="A45" s="1" t="s">
        <v>1</v>
      </c>
      <c r="B45" s="3">
        <f t="shared" ref="B45:AE45" si="4">B44/B38</f>
        <v>-0.10219793361232667</v>
      </c>
      <c r="C45" s="3">
        <f t="shared" si="4"/>
        <v>4.1041854836062703E-3</v>
      </c>
      <c r="D45" s="3">
        <f t="shared" si="4"/>
        <v>-0.14180283599529186</v>
      </c>
      <c r="E45" s="3">
        <f t="shared" si="4"/>
        <v>1.211862229740992E-2</v>
      </c>
      <c r="F45" s="3">
        <f t="shared" si="4"/>
        <v>5.1284229696970766E-3</v>
      </c>
      <c r="G45" s="3">
        <f t="shared" si="4"/>
        <v>-0.19799876207148434</v>
      </c>
      <c r="H45" s="3">
        <f t="shared" si="4"/>
        <v>-0.16611071564381591</v>
      </c>
      <c r="I45" s="3">
        <f t="shared" si="4"/>
        <v>-1.8899777327173326E-2</v>
      </c>
      <c r="J45" s="3">
        <f t="shared" si="4"/>
        <v>-0.15794732964105845</v>
      </c>
      <c r="K45" s="3">
        <f t="shared" si="4"/>
        <v>4.0227447798490988E-2</v>
      </c>
      <c r="L45" s="3">
        <f t="shared" si="4"/>
        <v>-0.14029666637758906</v>
      </c>
      <c r="M45" s="3">
        <f t="shared" si="4"/>
        <v>-4.4811502575057761E-2</v>
      </c>
      <c r="N45" s="3">
        <f t="shared" si="4"/>
        <v>-0.11533611549767565</v>
      </c>
      <c r="O45" s="3">
        <f t="shared" si="4"/>
        <v>-9.2740058861737931E-2</v>
      </c>
      <c r="P45" s="3">
        <f t="shared" si="4"/>
        <v>4.2294825123512783E-3</v>
      </c>
      <c r="Q45" s="3">
        <f t="shared" si="4"/>
        <v>-5.7042348771324532E-2</v>
      </c>
      <c r="R45" s="3">
        <f t="shared" si="4"/>
        <v>4.7879340920540629E-2</v>
      </c>
      <c r="S45" s="3">
        <f t="shared" si="4"/>
        <v>-0.11698422731093504</v>
      </c>
      <c r="T45" s="3">
        <f t="shared" si="4"/>
        <v>-0.13593505324619548</v>
      </c>
      <c r="U45" s="3">
        <f t="shared" si="4"/>
        <v>-0.13600181742059128</v>
      </c>
      <c r="V45" s="3">
        <f t="shared" si="4"/>
        <v>-0.12563580634966837</v>
      </c>
      <c r="W45" s="3">
        <f t="shared" si="4"/>
        <v>-5.7542593944967989E-2</v>
      </c>
      <c r="X45" s="3">
        <f t="shared" si="4"/>
        <v>-0.17047275542936394</v>
      </c>
      <c r="Y45" s="3">
        <f t="shared" si="4"/>
        <v>-2.3286763843229918E-2</v>
      </c>
      <c r="Z45" s="3">
        <f t="shared" si="4"/>
        <v>-7.4810009155314106E-2</v>
      </c>
      <c r="AA45" s="3">
        <f t="shared" si="4"/>
        <v>-0.11797147205283455</v>
      </c>
      <c r="AB45" s="3">
        <f t="shared" si="4"/>
        <v>-0.13421631252316407</v>
      </c>
      <c r="AC45" s="3">
        <f t="shared" si="4"/>
        <v>-0.24366589987414727</v>
      </c>
      <c r="AD45" s="3">
        <f t="shared" si="4"/>
        <v>-0.11337102116687198</v>
      </c>
      <c r="AE45" s="3">
        <f t="shared" si="4"/>
        <v>-0.22148299255719966</v>
      </c>
    </row>
    <row r="46" spans="1:135" x14ac:dyDescent="0.25">
      <c r="A46" s="1" t="s">
        <v>0</v>
      </c>
      <c r="B46" s="6">
        <f t="shared" ref="B46:AE46" si="5">B40-B39</f>
        <v>1055738.0294892639</v>
      </c>
      <c r="C46" s="6">
        <f t="shared" si="5"/>
        <v>-950997.41432968061</v>
      </c>
      <c r="D46" s="6">
        <f t="shared" si="5"/>
        <v>-319575.99553467892</v>
      </c>
      <c r="E46" s="6">
        <f t="shared" si="5"/>
        <v>1229861.0261660069</v>
      </c>
      <c r="F46" s="6">
        <f t="shared" si="5"/>
        <v>-1289027.2149295807</v>
      </c>
      <c r="G46" s="6">
        <f t="shared" si="5"/>
        <v>2021809.9426904321</v>
      </c>
      <c r="H46" s="6">
        <f t="shared" si="5"/>
        <v>8452322.2923798561</v>
      </c>
      <c r="I46" s="6">
        <f t="shared" si="5"/>
        <v>-24159729.242456794</v>
      </c>
      <c r="J46" s="6">
        <f t="shared" si="5"/>
        <v>175113.22493335605</v>
      </c>
      <c r="K46" s="6">
        <f t="shared" si="5"/>
        <v>-15278564.265085578</v>
      </c>
      <c r="L46" s="6">
        <f t="shared" si="5"/>
        <v>-2558257.0243756175</v>
      </c>
      <c r="M46" s="6">
        <f t="shared" si="5"/>
        <v>-10618745.82400924</v>
      </c>
      <c r="N46" s="6">
        <f t="shared" si="5"/>
        <v>173187.73128944635</v>
      </c>
      <c r="O46" s="6">
        <f t="shared" si="5"/>
        <v>413195.5630851984</v>
      </c>
      <c r="P46" s="6">
        <f t="shared" si="5"/>
        <v>10231267.52269882</v>
      </c>
      <c r="Q46" s="6">
        <f t="shared" si="5"/>
        <v>-9643887.3367996216</v>
      </c>
      <c r="R46" s="6">
        <f t="shared" si="5"/>
        <v>1263648.1171237826</v>
      </c>
      <c r="S46" s="6">
        <f t="shared" si="5"/>
        <v>10863763.3799631</v>
      </c>
      <c r="T46" s="6">
        <f t="shared" si="5"/>
        <v>4740952.272765249</v>
      </c>
      <c r="U46" s="6">
        <f t="shared" si="5"/>
        <v>13978097.315697491</v>
      </c>
      <c r="V46" s="6">
        <f t="shared" si="5"/>
        <v>7818128.6751040369</v>
      </c>
      <c r="W46" s="6">
        <f t="shared" si="5"/>
        <v>-4570624.139727056</v>
      </c>
      <c r="X46" s="6">
        <f t="shared" si="5"/>
        <v>2910823.0266648829</v>
      </c>
      <c r="Y46" s="6">
        <f t="shared" si="5"/>
        <v>-5938605.870673418</v>
      </c>
      <c r="Z46" s="6">
        <f t="shared" si="5"/>
        <v>2259015.8557694852</v>
      </c>
      <c r="AA46" s="6">
        <f t="shared" si="5"/>
        <v>3060938.274233669</v>
      </c>
      <c r="AB46" s="6">
        <f t="shared" si="5"/>
        <v>-577372.47866274416</v>
      </c>
      <c r="AC46" s="6">
        <f t="shared" si="5"/>
        <v>1003534.8287762664</v>
      </c>
      <c r="AD46" s="6">
        <f t="shared" si="5"/>
        <v>-174951.22901404649</v>
      </c>
      <c r="AE46" s="6">
        <f t="shared" si="5"/>
        <v>1423040.6961807646</v>
      </c>
    </row>
    <row r="47" spans="1:135" x14ac:dyDescent="0.25">
      <c r="A47" s="1" t="s">
        <v>1</v>
      </c>
      <c r="B47" s="3">
        <f t="shared" ref="B47:AE47" si="6">B46/B39</f>
        <v>6.0561325279263251E-2</v>
      </c>
      <c r="C47" s="3">
        <f t="shared" si="6"/>
        <v>-0.20930404987303539</v>
      </c>
      <c r="D47" s="3">
        <f t="shared" si="6"/>
        <v>-5.3252242640688355E-2</v>
      </c>
      <c r="E47" s="3">
        <f t="shared" si="6"/>
        <v>1.4655360895890457E-2</v>
      </c>
      <c r="F47" s="3">
        <f t="shared" si="6"/>
        <v>-1.1681114430429693E-2</v>
      </c>
      <c r="G47" s="3">
        <f t="shared" si="6"/>
        <v>3.6598620164971798E-2</v>
      </c>
      <c r="H47" s="3">
        <f t="shared" si="6"/>
        <v>7.122096217181087E-2</v>
      </c>
      <c r="I47" s="3">
        <f t="shared" si="6"/>
        <v>-4.5977016487608553E-2</v>
      </c>
      <c r="J47" s="3">
        <f t="shared" si="6"/>
        <v>2.0623471721984074E-3</v>
      </c>
      <c r="K47" s="3">
        <f t="shared" si="6"/>
        <v>-3.1941006664860681E-2</v>
      </c>
      <c r="L47" s="3">
        <f t="shared" si="6"/>
        <v>-2.8940991467329213E-2</v>
      </c>
      <c r="M47" s="3">
        <f t="shared" si="6"/>
        <v>-3.6627330087339129E-2</v>
      </c>
      <c r="N47" s="3">
        <f t="shared" si="6"/>
        <v>7.6449609787221232E-4</v>
      </c>
      <c r="O47" s="3">
        <f t="shared" si="6"/>
        <v>1.3691765650150247E-3</v>
      </c>
      <c r="P47" s="3">
        <f t="shared" si="6"/>
        <v>2.1497309246921736E-2</v>
      </c>
      <c r="Q47" s="3">
        <f t="shared" si="6"/>
        <v>-5.9120678085059296E-2</v>
      </c>
      <c r="R47" s="3">
        <f t="shared" si="6"/>
        <v>2.7757115692899196E-3</v>
      </c>
      <c r="S47" s="3">
        <f t="shared" si="6"/>
        <v>3.8334498183973255E-2</v>
      </c>
      <c r="T47" s="3">
        <f t="shared" si="6"/>
        <v>3.5729833596193077E-2</v>
      </c>
      <c r="U47" s="3">
        <f t="shared" si="6"/>
        <v>8.9205644575522422E-2</v>
      </c>
      <c r="V47" s="3">
        <f t="shared" si="6"/>
        <v>0.10293253240951505</v>
      </c>
      <c r="W47" s="3">
        <f t="shared" si="6"/>
        <v>-1.8004527233615307E-2</v>
      </c>
      <c r="X47" s="3">
        <f t="shared" si="6"/>
        <v>4.0136773637077267E-2</v>
      </c>
      <c r="Y47" s="3">
        <f t="shared" si="6"/>
        <v>-0.12865792459603459</v>
      </c>
      <c r="Z47" s="3">
        <f t="shared" si="6"/>
        <v>4.342949198205507E-2</v>
      </c>
      <c r="AA47" s="3">
        <f t="shared" si="6"/>
        <v>4.2127718885449604E-2</v>
      </c>
      <c r="AB47" s="3">
        <f t="shared" si="6"/>
        <v>-1.2503913310925796E-2</v>
      </c>
      <c r="AC47" s="3">
        <f t="shared" si="6"/>
        <v>4.520345647544885E-2</v>
      </c>
      <c r="AD47" s="3">
        <f t="shared" si="6"/>
        <v>-2.7128960477147087E-3</v>
      </c>
      <c r="AE47" s="3">
        <f t="shared" si="6"/>
        <v>7.6248078909158967E-2</v>
      </c>
    </row>
    <row r="48" spans="1:135" x14ac:dyDescent="0.25">
      <c r="A48" s="1" t="s">
        <v>48</v>
      </c>
      <c r="B48" s="6">
        <f t="shared" ref="B48:AE48" si="7">B41-B40</f>
        <v>-3864927.5536289122</v>
      </c>
      <c r="C48" s="6">
        <f t="shared" si="7"/>
        <v>-516740.2799480441</v>
      </c>
      <c r="D48" s="6">
        <f t="shared" si="7"/>
        <v>-561791.40516534168</v>
      </c>
      <c r="E48" s="6">
        <f t="shared" si="7"/>
        <v>-12094488.561817378</v>
      </c>
      <c r="F48" s="6">
        <f t="shared" si="7"/>
        <v>-5527752.6373970062</v>
      </c>
      <c r="G48" s="6">
        <f t="shared" si="7"/>
        <v>-3701844.4981135726</v>
      </c>
      <c r="H48" s="6">
        <f t="shared" si="7"/>
        <v>-11280207.055211753</v>
      </c>
      <c r="I48" s="6">
        <f t="shared" si="7"/>
        <v>-6773254.37638551</v>
      </c>
      <c r="J48" s="6">
        <f t="shared" si="7"/>
        <v>-685093.51823662221</v>
      </c>
      <c r="K48" s="6">
        <f t="shared" si="7"/>
        <v>-23894581.773518384</v>
      </c>
      <c r="L48" s="6">
        <f t="shared" si="7"/>
        <v>1233553.3550421447</v>
      </c>
      <c r="M48" s="6">
        <f t="shared" si="7"/>
        <v>-13976373.774956614</v>
      </c>
      <c r="N48" s="6">
        <f t="shared" si="7"/>
        <v>-7863764.161857456</v>
      </c>
      <c r="O48" s="6">
        <f t="shared" si="7"/>
        <v>-13097915.655305684</v>
      </c>
      <c r="P48" s="6">
        <f t="shared" si="7"/>
        <v>-52264162.430981278</v>
      </c>
      <c r="Q48" s="6">
        <f t="shared" si="7"/>
        <v>-5541232.4124471247</v>
      </c>
      <c r="R48" s="6">
        <f t="shared" si="7"/>
        <v>-45558976.339596748</v>
      </c>
      <c r="S48" s="6">
        <f t="shared" si="7"/>
        <v>-27685664.6809434</v>
      </c>
      <c r="T48" s="6">
        <f t="shared" si="7"/>
        <v>-8610456.965175882</v>
      </c>
      <c r="U48" s="6">
        <f t="shared" si="7"/>
        <v>-17292729.541597456</v>
      </c>
      <c r="V48" s="6">
        <f t="shared" si="7"/>
        <v>-5440153.4202948362</v>
      </c>
      <c r="W48" s="6">
        <f t="shared" si="7"/>
        <v>-19933071.410173535</v>
      </c>
      <c r="X48" s="6">
        <f t="shared" si="7"/>
        <v>1438684.2890290022</v>
      </c>
      <c r="Y48" s="6">
        <f t="shared" si="7"/>
        <v>3165885.0560777038</v>
      </c>
      <c r="Z48" s="6">
        <f t="shared" si="7"/>
        <v>-1426396.4978194907</v>
      </c>
      <c r="AA48" s="6">
        <f t="shared" si="7"/>
        <v>2361664.7702064365</v>
      </c>
      <c r="AB48" s="6">
        <f t="shared" si="7"/>
        <v>-2063752.677886568</v>
      </c>
      <c r="AC48" s="6">
        <f t="shared" si="7"/>
        <v>-2320456.2843918875</v>
      </c>
      <c r="AD48" s="6">
        <f t="shared" si="7"/>
        <v>-1265981.8246153817</v>
      </c>
      <c r="AE48" s="6">
        <f t="shared" si="7"/>
        <v>-2678265.1285658777</v>
      </c>
    </row>
    <row r="49" spans="1:80" x14ac:dyDescent="0.25">
      <c r="A49" s="1" t="s">
        <v>1</v>
      </c>
      <c r="B49" s="3">
        <f t="shared" ref="B49:AE49" si="8">B48/B40</f>
        <v>-0.20904740277833159</v>
      </c>
      <c r="C49" s="3">
        <f t="shared" si="8"/>
        <v>-0.14383384733545734</v>
      </c>
      <c r="D49" s="3">
        <f t="shared" si="8"/>
        <v>-9.8879111949729231E-2</v>
      </c>
      <c r="E49" s="3">
        <f t="shared" si="8"/>
        <v>-0.1420395973064531</v>
      </c>
      <c r="F49" s="3">
        <f t="shared" si="8"/>
        <v>-5.0684328606513347E-2</v>
      </c>
      <c r="G49" s="3">
        <f t="shared" si="8"/>
        <v>-6.4644551875501E-2</v>
      </c>
      <c r="H49" s="3">
        <f t="shared" si="8"/>
        <v>-8.8729860112114492E-2</v>
      </c>
      <c r="I49" s="3">
        <f t="shared" si="8"/>
        <v>-1.3510993088581497E-2</v>
      </c>
      <c r="J49" s="3">
        <f t="shared" si="8"/>
        <v>-8.051892059720735E-3</v>
      </c>
      <c r="K49" s="3">
        <f t="shared" si="8"/>
        <v>-5.1601658904428728E-2</v>
      </c>
      <c r="L49" s="3">
        <f t="shared" si="8"/>
        <v>1.4370819916405828E-2</v>
      </c>
      <c r="M49" s="3">
        <f t="shared" si="8"/>
        <v>-5.0041719242057262E-2</v>
      </c>
      <c r="N49" s="3">
        <f t="shared" si="8"/>
        <v>-3.4686201337123447E-2</v>
      </c>
      <c r="O49" s="3">
        <f t="shared" si="8"/>
        <v>-4.3342282452580511E-2</v>
      </c>
      <c r="P49" s="3">
        <f t="shared" si="8"/>
        <v>-0.10750320977246226</v>
      </c>
      <c r="Q49" s="3">
        <f t="shared" si="8"/>
        <v>-3.610436576844795E-2</v>
      </c>
      <c r="R49" s="3">
        <f t="shared" si="8"/>
        <v>-9.9797194390887023E-2</v>
      </c>
      <c r="S49" s="3">
        <f t="shared" si="8"/>
        <v>-9.4086465905876923E-2</v>
      </c>
      <c r="T49" s="3">
        <f t="shared" si="8"/>
        <v>-6.2653469391510883E-2</v>
      </c>
      <c r="U49" s="3">
        <f t="shared" si="8"/>
        <v>-0.10132064406239089</v>
      </c>
      <c r="V49" s="3">
        <f t="shared" si="8"/>
        <v>-6.4939964114365756E-2</v>
      </c>
      <c r="W49" s="3">
        <f t="shared" si="8"/>
        <v>-7.9959662081227401E-2</v>
      </c>
      <c r="X49" s="3">
        <f t="shared" si="8"/>
        <v>1.9072240182898884E-2</v>
      </c>
      <c r="Y49" s="3">
        <f t="shared" si="8"/>
        <v>7.8715180427431641E-2</v>
      </c>
      <c r="Z49" s="3">
        <f t="shared" si="8"/>
        <v>-2.6281044779546386E-2</v>
      </c>
      <c r="AA49" s="3">
        <f t="shared" si="8"/>
        <v>3.1189662508655371E-2</v>
      </c>
      <c r="AB49" s="3">
        <f t="shared" si="8"/>
        <v>-4.5259749079972079E-2</v>
      </c>
      <c r="AC49" s="3">
        <f t="shared" si="8"/>
        <v>-0.10000270520246131</v>
      </c>
      <c r="AD49" s="3">
        <f t="shared" si="8"/>
        <v>-1.9684456251305844E-2</v>
      </c>
      <c r="AE49" s="3">
        <f t="shared" si="8"/>
        <v>-0.13333763974730603</v>
      </c>
      <c r="BT49" s="1">
        <v>-40003331.252695233</v>
      </c>
      <c r="BU49" s="1">
        <v>-10554315.172991514</v>
      </c>
      <c r="BV49" s="1">
        <v>-3873220.7655840293</v>
      </c>
      <c r="BW49" s="1">
        <v>-3373322.9586280286</v>
      </c>
      <c r="BX49" s="1">
        <v>-4295488.6991813183</v>
      </c>
      <c r="BY49" s="1">
        <v>-9799361.4205429778</v>
      </c>
      <c r="BZ49" s="1">
        <v>-8469158.167122297</v>
      </c>
      <c r="CA49" s="1">
        <v>-9686945.4152852297</v>
      </c>
      <c r="CB49" s="1">
        <v>-6564810.8355544321</v>
      </c>
    </row>
    <row r="50" spans="1:80" x14ac:dyDescent="0.25">
      <c r="A50" s="1" t="s">
        <v>49</v>
      </c>
      <c r="B50" s="6">
        <v>42929</v>
      </c>
      <c r="C50" s="6">
        <v>16674</v>
      </c>
      <c r="D50" s="6">
        <v>13398</v>
      </c>
      <c r="E50" s="6">
        <v>67933</v>
      </c>
      <c r="F50" s="6">
        <v>58163</v>
      </c>
      <c r="G50" s="6">
        <v>65566</v>
      </c>
      <c r="H50" s="6">
        <v>64783</v>
      </c>
      <c r="I50" s="6">
        <v>109049</v>
      </c>
      <c r="J50" s="6">
        <v>67227</v>
      </c>
      <c r="K50" s="6">
        <v>101040</v>
      </c>
      <c r="L50" s="6">
        <v>62689</v>
      </c>
      <c r="M50" s="6">
        <v>99312</v>
      </c>
      <c r="N50" s="6">
        <v>67909</v>
      </c>
      <c r="O50" s="6">
        <v>53157</v>
      </c>
      <c r="P50" s="6">
        <v>117398</v>
      </c>
      <c r="Q50" s="6">
        <v>38837</v>
      </c>
      <c r="R50" s="6">
        <v>95853</v>
      </c>
      <c r="S50" s="6">
        <v>115736</v>
      </c>
      <c r="T50" s="6">
        <v>64469</v>
      </c>
      <c r="U50" s="6">
        <v>70419</v>
      </c>
      <c r="V50" s="6">
        <v>82968</v>
      </c>
      <c r="W50" s="6">
        <v>53046</v>
      </c>
      <c r="X50" s="6">
        <v>56710</v>
      </c>
      <c r="Y50" s="6">
        <v>129081</v>
      </c>
      <c r="Z50" s="6">
        <v>157953</v>
      </c>
      <c r="AA50" s="6">
        <v>193661</v>
      </c>
      <c r="AB50" s="6">
        <v>118450</v>
      </c>
      <c r="AC50" s="6">
        <v>86786</v>
      </c>
      <c r="AD50" s="6">
        <v>192233</v>
      </c>
      <c r="AE50" s="6">
        <v>68208</v>
      </c>
      <c r="AF50" s="6"/>
      <c r="BT50" s="1">
        <v>-0.14851287416418757</v>
      </c>
      <c r="BU50" s="1">
        <v>-0.12072226373977088</v>
      </c>
      <c r="BV50" s="1">
        <v>-8.19580020879139E-2</v>
      </c>
      <c r="BW50" s="1">
        <v>-6.0000423787103706E-2</v>
      </c>
      <c r="BX50" s="1">
        <v>-5.2144509271724385E-2</v>
      </c>
      <c r="BY50" s="1">
        <v>-0.18373718140077827</v>
      </c>
      <c r="BZ50" s="1">
        <v>-0.28853142439319729</v>
      </c>
      <c r="CA50" s="1">
        <v>-0.13318181510682486</v>
      </c>
      <c r="CB50" s="1">
        <v>-0.27384316574312262</v>
      </c>
    </row>
    <row r="51" spans="1:80" x14ac:dyDescent="0.25">
      <c r="A51" s="1" t="s">
        <v>52</v>
      </c>
      <c r="B51" s="6">
        <f>B41/B50</f>
        <v>340.64048771943288</v>
      </c>
      <c r="C51" s="6">
        <f t="shared" ref="C51:AE51" si="9">C41/C50</f>
        <v>184.47158372509944</v>
      </c>
      <c r="D51" s="6">
        <f t="shared" si="9"/>
        <v>382.13218421571526</v>
      </c>
      <c r="E51" s="6">
        <f t="shared" si="9"/>
        <v>1075.3863662324732</v>
      </c>
      <c r="F51" s="6">
        <f t="shared" si="9"/>
        <v>1780.0768566729869</v>
      </c>
      <c r="G51" s="6">
        <f t="shared" si="9"/>
        <v>816.92884936060852</v>
      </c>
      <c r="H51" s="6">
        <f t="shared" si="9"/>
        <v>1788.2711028484805</v>
      </c>
      <c r="I51" s="6">
        <f t="shared" si="9"/>
        <v>4535.0353541548111</v>
      </c>
      <c r="J51" s="6">
        <f t="shared" si="9"/>
        <v>1255.4433956208647</v>
      </c>
      <c r="K51" s="6">
        <f t="shared" si="9"/>
        <v>4346.4352870397952</v>
      </c>
      <c r="L51" s="6">
        <f t="shared" si="9"/>
        <v>1388.934600571481</v>
      </c>
      <c r="M51" s="6">
        <f t="shared" si="9"/>
        <v>2671.5609662496104</v>
      </c>
      <c r="N51" s="6">
        <f t="shared" si="9"/>
        <v>3222.6631911858035</v>
      </c>
      <c r="O51" s="6">
        <f t="shared" si="9"/>
        <v>5438.5926066399752</v>
      </c>
      <c r="P51" s="6">
        <f t="shared" si="9"/>
        <v>3695.9707720284282</v>
      </c>
      <c r="Q51" s="6">
        <f t="shared" si="9"/>
        <v>3809.1755121959909</v>
      </c>
      <c r="R51" s="6">
        <f t="shared" si="9"/>
        <v>4287.3632156010754</v>
      </c>
      <c r="S51" s="6">
        <f t="shared" si="9"/>
        <v>2303.2765090220028</v>
      </c>
      <c r="T51" s="6">
        <f t="shared" si="9"/>
        <v>1998.1602641241957</v>
      </c>
      <c r="U51" s="6">
        <f t="shared" si="9"/>
        <v>2178.113562526738</v>
      </c>
      <c r="V51" s="6">
        <f t="shared" si="9"/>
        <v>944.12169598772505</v>
      </c>
      <c r="W51" s="6">
        <f t="shared" si="9"/>
        <v>4323.7193898761561</v>
      </c>
      <c r="X51" s="6">
        <f t="shared" si="9"/>
        <v>1355.5299506445429</v>
      </c>
      <c r="Y51" s="6">
        <f t="shared" si="9"/>
        <v>336.10975463340054</v>
      </c>
      <c r="Z51" s="6">
        <f t="shared" si="9"/>
        <v>334.58262427211378</v>
      </c>
      <c r="AA51" s="6">
        <f t="shared" si="9"/>
        <v>403.18461926746454</v>
      </c>
      <c r="AB51" s="6">
        <f t="shared" si="9"/>
        <v>367.5324378109932</v>
      </c>
      <c r="AC51" s="6">
        <f t="shared" si="9"/>
        <v>240.63188585834948</v>
      </c>
      <c r="AD51" s="6">
        <f t="shared" si="9"/>
        <v>327.97594583958858</v>
      </c>
      <c r="AE51" s="6">
        <f t="shared" si="9"/>
        <v>255.22042260399346</v>
      </c>
    </row>
    <row r="53" spans="1:80" x14ac:dyDescent="0.25">
      <c r="A53" s="9"/>
    </row>
    <row r="54" spans="1:80" x14ac:dyDescent="0.25">
      <c r="A54" s="9"/>
    </row>
    <row r="55" spans="1:80" x14ac:dyDescent="0.25">
      <c r="A55" s="9"/>
      <c r="C55" s="51" t="s">
        <v>171</v>
      </c>
      <c r="D55" s="51"/>
      <c r="E55" s="51"/>
      <c r="F55" s="51"/>
    </row>
    <row r="56" spans="1:80" x14ac:dyDescent="0.25">
      <c r="A56" s="9"/>
      <c r="B56" s="9" t="s">
        <v>4</v>
      </c>
      <c r="C56" s="20">
        <v>1990</v>
      </c>
      <c r="D56" s="20">
        <v>2000</v>
      </c>
      <c r="E56" s="20">
        <v>2010</v>
      </c>
      <c r="F56" s="20">
        <v>2015</v>
      </c>
      <c r="G56" s="9" t="s">
        <v>47</v>
      </c>
      <c r="H56" s="9" t="s">
        <v>1</v>
      </c>
    </row>
    <row r="57" spans="1:80" x14ac:dyDescent="0.25">
      <c r="A57" s="9"/>
      <c r="B57" s="1" t="s">
        <v>55</v>
      </c>
      <c r="C57" s="6">
        <v>4525045.25625664</v>
      </c>
      <c r="D57" s="6">
        <v>4543616.8813100327</v>
      </c>
      <c r="E57" s="6">
        <v>3592619.4669803502</v>
      </c>
      <c r="F57" s="6">
        <v>3075879.187032308</v>
      </c>
      <c r="G57" s="2">
        <f>F57-C57</f>
        <v>-1449166.069224332</v>
      </c>
      <c r="H57" s="11">
        <f>G57/C57</f>
        <v>-0.32025449186847688</v>
      </c>
      <c r="I57" s="6"/>
      <c r="J57" s="11"/>
    </row>
    <row r="58" spans="1:80" x14ac:dyDescent="0.25">
      <c r="A58" s="9"/>
      <c r="B58" s="1" t="s">
        <v>80</v>
      </c>
      <c r="C58" s="6">
        <v>29352637.013225015</v>
      </c>
      <c r="D58" s="6">
        <v>22200400.301718339</v>
      </c>
      <c r="E58" s="6">
        <v>23203935.130494606</v>
      </c>
      <c r="F58" s="6">
        <v>20883478.846102718</v>
      </c>
      <c r="G58" s="2">
        <f t="shared" ref="G58:G86" si="10">F58-C58</f>
        <v>-8469158.167122297</v>
      </c>
      <c r="H58" s="11">
        <f t="shared" ref="H58:H86" si="11">G58/C58</f>
        <v>-0.28853142439319729</v>
      </c>
      <c r="I58" s="6"/>
      <c r="J58" s="11"/>
    </row>
    <row r="59" spans="1:80" x14ac:dyDescent="0.25">
      <c r="A59" s="9"/>
      <c r="B59" s="1" t="s">
        <v>82</v>
      </c>
      <c r="C59" s="6">
        <v>23972885.420527618</v>
      </c>
      <c r="D59" s="6">
        <v>18663299.017358299</v>
      </c>
      <c r="E59" s="6">
        <v>20086339.713539064</v>
      </c>
      <c r="F59" s="6">
        <v>17408074.584973186</v>
      </c>
      <c r="G59" s="2">
        <f t="shared" si="10"/>
        <v>-6564810.8355544321</v>
      </c>
      <c r="H59" s="11">
        <f t="shared" si="11"/>
        <v>-0.27384316574312262</v>
      </c>
      <c r="I59" s="6"/>
      <c r="J59" s="11"/>
    </row>
    <row r="60" spans="1:80" x14ac:dyDescent="0.25">
      <c r="A60" s="9"/>
      <c r="B60" s="1" t="s">
        <v>56</v>
      </c>
      <c r="C60" s="6">
        <v>6992768.8607337913</v>
      </c>
      <c r="D60" s="6">
        <v>6001174.4048221735</v>
      </c>
      <c r="E60" s="6">
        <v>5681598.4092874946</v>
      </c>
      <c r="F60" s="6">
        <v>5119807.0041221529</v>
      </c>
      <c r="G60" s="2">
        <f t="shared" si="10"/>
        <v>-1872961.8566116383</v>
      </c>
      <c r="H60" s="11">
        <f t="shared" si="11"/>
        <v>-0.26784266631903197</v>
      </c>
      <c r="I60" s="6"/>
      <c r="J60" s="11"/>
    </row>
    <row r="61" spans="1:80" x14ac:dyDescent="0.25">
      <c r="A61" s="9"/>
      <c r="B61" s="1" t="s">
        <v>83</v>
      </c>
      <c r="C61" s="6">
        <v>19416913.45352703</v>
      </c>
      <c r="D61" s="6">
        <v>17432545.021447182</v>
      </c>
      <c r="E61" s="6">
        <v>18488283.050936446</v>
      </c>
      <c r="F61" s="6">
        <v>14623355.497307533</v>
      </c>
      <c r="G61" s="2">
        <f t="shared" si="10"/>
        <v>-4793557.9562194962</v>
      </c>
      <c r="H61" s="11">
        <f t="shared" si="11"/>
        <v>-0.24687538355117711</v>
      </c>
      <c r="I61" s="6"/>
      <c r="J61" s="11"/>
    </row>
    <row r="62" spans="1:80" x14ac:dyDescent="0.25">
      <c r="A62" s="9"/>
      <c r="B62" s="1" t="s">
        <v>59</v>
      </c>
      <c r="C62" s="6">
        <v>68881179.828708351</v>
      </c>
      <c r="D62" s="6">
        <v>55242791.492600799</v>
      </c>
      <c r="E62" s="6">
        <v>57264601.435291231</v>
      </c>
      <c r="F62" s="6">
        <v>53562756.937177658</v>
      </c>
      <c r="G62" s="2">
        <f t="shared" si="10"/>
        <v>-15318422.891530693</v>
      </c>
      <c r="H62" s="11">
        <f t="shared" si="11"/>
        <v>-0.22238908987366487</v>
      </c>
      <c r="I62" s="6"/>
      <c r="J62" s="11"/>
    </row>
    <row r="63" spans="1:80" x14ac:dyDescent="0.25">
      <c r="A63" s="9"/>
      <c r="B63" s="1" t="s">
        <v>60</v>
      </c>
      <c r="C63" s="6">
        <v>142317995.74003592</v>
      </c>
      <c r="D63" s="6">
        <v>118677451.61866501</v>
      </c>
      <c r="E63" s="6">
        <v>127129773.91104487</v>
      </c>
      <c r="F63" s="6">
        <v>115849566.85583311</v>
      </c>
      <c r="G63" s="2">
        <f t="shared" si="10"/>
        <v>-26468428.884202808</v>
      </c>
      <c r="H63" s="11">
        <f t="shared" si="11"/>
        <v>-0.18598089965060471</v>
      </c>
      <c r="I63" s="6"/>
      <c r="J63" s="11"/>
    </row>
    <row r="64" spans="1:80" x14ac:dyDescent="0.25">
      <c r="A64" s="9"/>
      <c r="B64" s="1" t="s">
        <v>79</v>
      </c>
      <c r="C64" s="6">
        <v>53333578.67925512</v>
      </c>
      <c r="D64" s="6">
        <v>46175342.415261455</v>
      </c>
      <c r="E64" s="6">
        <v>45597969.936598711</v>
      </c>
      <c r="F64" s="6">
        <v>43534217.258712143</v>
      </c>
      <c r="G64" s="2">
        <f t="shared" si="10"/>
        <v>-9799361.4205429778</v>
      </c>
      <c r="H64" s="11">
        <f t="shared" si="11"/>
        <v>-0.18373718140077827</v>
      </c>
      <c r="I64" s="6"/>
      <c r="J64" s="11"/>
    </row>
    <row r="65" spans="1:51" x14ac:dyDescent="0.25">
      <c r="A65" s="9"/>
      <c r="B65" s="1" t="s">
        <v>71</v>
      </c>
      <c r="C65" s="6">
        <v>320938674.15994835</v>
      </c>
      <c r="D65" s="6">
        <v>283393911.34915084</v>
      </c>
      <c r="E65" s="6">
        <v>294257674.72911394</v>
      </c>
      <c r="F65" s="6">
        <v>266572010.04817054</v>
      </c>
      <c r="G65" s="2">
        <f t="shared" si="10"/>
        <v>-54366664.111777812</v>
      </c>
      <c r="H65" s="11">
        <f t="shared" si="11"/>
        <v>-0.16939891789009739</v>
      </c>
      <c r="I65" s="6"/>
      <c r="J65" s="11"/>
    </row>
    <row r="66" spans="1:51" x14ac:dyDescent="0.25">
      <c r="A66" s="9"/>
      <c r="B66" s="1" t="s">
        <v>62</v>
      </c>
      <c r="C66" s="6">
        <v>100836534.86249585</v>
      </c>
      <c r="D66" s="6">
        <v>84909673.450707138</v>
      </c>
      <c r="E66" s="6">
        <v>85084786.675640494</v>
      </c>
      <c r="F66" s="6">
        <v>84399693.157403871</v>
      </c>
      <c r="G66" s="2">
        <f t="shared" si="10"/>
        <v>-16436841.705091983</v>
      </c>
      <c r="H66" s="11">
        <f t="shared" si="11"/>
        <v>-0.1630048248633873</v>
      </c>
      <c r="I66" s="6"/>
      <c r="J66" s="11"/>
    </row>
    <row r="67" spans="1:51" x14ac:dyDescent="0.25">
      <c r="B67" s="1" t="s">
        <v>72</v>
      </c>
      <c r="C67" s="6">
        <v>153563570.95462647</v>
      </c>
      <c r="D67" s="6">
        <v>132688898.7602334</v>
      </c>
      <c r="E67" s="6">
        <v>137429851.03299865</v>
      </c>
      <c r="F67" s="6">
        <v>128819394.06782277</v>
      </c>
      <c r="G67" s="2">
        <f t="shared" si="10"/>
        <v>-24744176.886803702</v>
      </c>
      <c r="H67" s="11">
        <f t="shared" si="11"/>
        <v>-0.16113311726851468</v>
      </c>
      <c r="I67" s="6"/>
      <c r="J67" s="11"/>
      <c r="AV67" s="53"/>
      <c r="AW67" s="53"/>
      <c r="AX67" s="53"/>
      <c r="AY67" s="53"/>
    </row>
    <row r="68" spans="1:51" x14ac:dyDescent="0.25">
      <c r="A68" s="10"/>
      <c r="B68" s="1" t="s">
        <v>155</v>
      </c>
      <c r="C68" s="6">
        <v>181360579.6225951</v>
      </c>
      <c r="D68" s="6">
        <v>156695211.18547031</v>
      </c>
      <c r="E68" s="6">
        <v>170673308.5011678</v>
      </c>
      <c r="F68" s="6">
        <v>153380578.95957035</v>
      </c>
      <c r="G68" s="2">
        <f t="shared" si="10"/>
        <v>-27980000.663024753</v>
      </c>
      <c r="H68" s="11">
        <f t="shared" si="11"/>
        <v>-0.15427829311777749</v>
      </c>
      <c r="I68" s="6"/>
      <c r="J68" s="11"/>
      <c r="AV68" s="9"/>
      <c r="AW68" s="9"/>
      <c r="AX68" s="9"/>
      <c r="AY68" s="9"/>
    </row>
    <row r="69" spans="1:51" x14ac:dyDescent="0.25">
      <c r="A69" s="21"/>
      <c r="B69" s="1" t="s">
        <v>64</v>
      </c>
      <c r="C69" s="6">
        <v>102821079.53693612</v>
      </c>
      <c r="D69" s="6">
        <v>88395624.844559044</v>
      </c>
      <c r="E69" s="6">
        <v>85837367.820183426</v>
      </c>
      <c r="F69" s="6">
        <v>87070921.175225571</v>
      </c>
      <c r="G69" s="2">
        <f t="shared" si="10"/>
        <v>-15750158.361710548</v>
      </c>
      <c r="H69" s="11">
        <f t="shared" si="11"/>
        <v>-0.15318024701396629</v>
      </c>
      <c r="I69" s="6"/>
      <c r="J69" s="11"/>
      <c r="AV69" s="48"/>
      <c r="AW69" s="2"/>
      <c r="AX69" s="29"/>
      <c r="AY69" s="11"/>
    </row>
    <row r="70" spans="1:51" x14ac:dyDescent="0.25">
      <c r="A70" s="21"/>
      <c r="B70" s="1" t="s">
        <v>74</v>
      </c>
      <c r="C70" s="6">
        <v>269359350.00806582</v>
      </c>
      <c r="D70" s="6">
        <v>253859714.30527118</v>
      </c>
      <c r="E70" s="6">
        <v>249289090.16554412</v>
      </c>
      <c r="F70" s="6">
        <v>229356018.75537059</v>
      </c>
      <c r="G70" s="2">
        <f t="shared" si="10"/>
        <v>-40003331.252695233</v>
      </c>
      <c r="H70" s="11">
        <f t="shared" si="11"/>
        <v>-0.14851287416418757</v>
      </c>
      <c r="I70" s="6"/>
      <c r="J70" s="11"/>
      <c r="AC70" s="6"/>
      <c r="AV70" s="48"/>
      <c r="AW70" s="2"/>
      <c r="AX70" s="29"/>
      <c r="AY70" s="11"/>
    </row>
    <row r="71" spans="1:51" x14ac:dyDescent="0.25">
      <c r="A71" s="10"/>
      <c r="B71" s="1" t="s">
        <v>66</v>
      </c>
      <c r="C71" s="6">
        <v>256072860.04248491</v>
      </c>
      <c r="D71" s="6">
        <v>226538411.08080474</v>
      </c>
      <c r="E71" s="6">
        <v>226711598.81209418</v>
      </c>
      <c r="F71" s="6">
        <v>218847834.65023673</v>
      </c>
      <c r="G71" s="2">
        <f t="shared" si="10"/>
        <v>-37225025.392248183</v>
      </c>
      <c r="H71" s="11">
        <f t="shared" si="11"/>
        <v>-0.14536888206767479</v>
      </c>
      <c r="I71" s="6"/>
      <c r="J71" s="11"/>
      <c r="AC71" s="6"/>
      <c r="AV71" s="48"/>
      <c r="AW71" s="2"/>
      <c r="AX71" s="29"/>
      <c r="AY71" s="11"/>
    </row>
    <row r="72" spans="1:51" x14ac:dyDescent="0.25">
      <c r="A72" s="21"/>
      <c r="B72" s="1" t="s">
        <v>69</v>
      </c>
      <c r="C72" s="6">
        <v>172989814.44591293</v>
      </c>
      <c r="D72" s="6">
        <v>163122069.11640245</v>
      </c>
      <c r="E72" s="6">
        <v>153478181.77960283</v>
      </c>
      <c r="F72" s="6">
        <v>147936949.3671557</v>
      </c>
      <c r="G72" s="2">
        <f t="shared" si="10"/>
        <v>-25052865.078757226</v>
      </c>
      <c r="H72" s="11">
        <f t="shared" si="11"/>
        <v>-0.1448227756009893</v>
      </c>
      <c r="I72" s="6"/>
      <c r="J72" s="11"/>
      <c r="AC72" s="6"/>
      <c r="AV72" s="48"/>
      <c r="AW72" s="2"/>
      <c r="AX72" s="29"/>
      <c r="AY72" s="11"/>
    </row>
    <row r="73" spans="1:51" x14ac:dyDescent="0.25">
      <c r="A73" s="21"/>
      <c r="B73" s="1" t="s">
        <v>81</v>
      </c>
      <c r="C73" s="6">
        <v>72734745.411866859</v>
      </c>
      <c r="D73" s="6">
        <v>64488733.050211057</v>
      </c>
      <c r="E73" s="6">
        <v>64313781.821197011</v>
      </c>
      <c r="F73" s="6">
        <v>63047799.996581629</v>
      </c>
      <c r="G73" s="2">
        <f t="shared" si="10"/>
        <v>-9686945.4152852297</v>
      </c>
      <c r="H73" s="11">
        <f t="shared" si="11"/>
        <v>-0.13318181510682486</v>
      </c>
      <c r="I73" s="6"/>
      <c r="J73" s="11"/>
      <c r="AC73" s="6"/>
      <c r="AV73" s="48"/>
      <c r="AW73" s="2"/>
      <c r="AX73" s="29"/>
      <c r="AY73" s="11"/>
    </row>
    <row r="74" spans="1:51" x14ac:dyDescent="0.25">
      <c r="A74" s="10"/>
      <c r="B74" s="1" t="s">
        <v>67</v>
      </c>
      <c r="C74" s="6">
        <v>332632329.05969471</v>
      </c>
      <c r="D74" s="6">
        <v>301783987.28338164</v>
      </c>
      <c r="E74" s="6">
        <v>302197182.84646684</v>
      </c>
      <c r="F74" s="6">
        <v>289099267.19116116</v>
      </c>
      <c r="G74" s="2">
        <f t="shared" si="10"/>
        <v>-43533061.868533552</v>
      </c>
      <c r="H74" s="11">
        <f t="shared" si="11"/>
        <v>-0.13087441618075868</v>
      </c>
      <c r="I74" s="6"/>
      <c r="J74" s="11"/>
      <c r="AC74" s="6"/>
      <c r="AV74" s="48"/>
      <c r="AW74" s="2"/>
      <c r="AX74" s="29"/>
      <c r="AY74" s="11"/>
    </row>
    <row r="75" spans="1:51" x14ac:dyDescent="0.25">
      <c r="A75" s="21"/>
      <c r="B75" s="1" t="s">
        <v>65</v>
      </c>
      <c r="C75" s="6">
        <v>303514105.39460379</v>
      </c>
      <c r="D75" s="6">
        <v>289913182.27914715</v>
      </c>
      <c r="E75" s="6">
        <v>279294436.45513791</v>
      </c>
      <c r="F75" s="6">
        <v>265318062.68018129</v>
      </c>
      <c r="G75" s="2">
        <f t="shared" si="10"/>
        <v>-38196042.714422494</v>
      </c>
      <c r="H75" s="11">
        <f t="shared" si="11"/>
        <v>-0.12584602176812565</v>
      </c>
      <c r="I75" s="6"/>
      <c r="J75" s="11"/>
      <c r="AC75" s="6"/>
      <c r="AV75" s="48"/>
      <c r="AW75" s="2"/>
      <c r="AX75" s="29"/>
      <c r="AY75" s="11"/>
    </row>
    <row r="76" spans="1:51" x14ac:dyDescent="0.25">
      <c r="A76" s="21"/>
      <c r="B76" s="1" t="s">
        <v>75</v>
      </c>
      <c r="C76" s="6">
        <v>87426418.674043536</v>
      </c>
      <c r="D76" s="6">
        <v>72522596.185358137</v>
      </c>
      <c r="E76" s="6">
        <v>75433419.21202302</v>
      </c>
      <c r="F76" s="6">
        <v>76872103.501052022</v>
      </c>
      <c r="G76" s="2">
        <f t="shared" si="10"/>
        <v>-10554315.172991514</v>
      </c>
      <c r="H76" s="11">
        <f t="shared" si="11"/>
        <v>-0.12072226373977088</v>
      </c>
      <c r="I76" s="6"/>
      <c r="J76" s="11"/>
      <c r="AC76" s="6"/>
      <c r="AV76" s="48"/>
      <c r="AW76" s="2"/>
      <c r="AX76" s="29"/>
      <c r="AY76" s="11"/>
    </row>
    <row r="77" spans="1:51" x14ac:dyDescent="0.25">
      <c r="A77" s="10"/>
      <c r="B77" s="1" t="s">
        <v>57</v>
      </c>
      <c r="C77" s="6">
        <v>82914045.551730305</v>
      </c>
      <c r="D77" s="6">
        <v>83918849.552921966</v>
      </c>
      <c r="E77" s="6">
        <v>85148710.579087973</v>
      </c>
      <c r="F77" s="6">
        <v>73054222.017270595</v>
      </c>
      <c r="G77" s="2">
        <f t="shared" si="10"/>
        <v>-9859823.5344597101</v>
      </c>
      <c r="H77" s="11">
        <f t="shared" si="11"/>
        <v>-0.11891620374871395</v>
      </c>
      <c r="I77" s="6"/>
      <c r="J77" s="11"/>
      <c r="AC77" s="6"/>
      <c r="AV77" s="48"/>
      <c r="AW77" s="2"/>
      <c r="AX77" s="29"/>
      <c r="AY77" s="11"/>
    </row>
    <row r="78" spans="1:51" x14ac:dyDescent="0.25">
      <c r="B78" s="1" t="s">
        <v>73</v>
      </c>
      <c r="C78" s="6">
        <v>86867593.812144622</v>
      </c>
      <c r="D78" s="6">
        <v>75953913.617900372</v>
      </c>
      <c r="E78" s="6">
        <v>83772042.293004408</v>
      </c>
      <c r="F78" s="6">
        <v>78331888.872709572</v>
      </c>
      <c r="G78" s="2">
        <f t="shared" si="10"/>
        <v>-8535704.9394350499</v>
      </c>
      <c r="H78" s="11">
        <f t="shared" si="11"/>
        <v>-9.8261095592148268E-2</v>
      </c>
      <c r="I78" s="6"/>
      <c r="J78" s="11"/>
      <c r="AC78" s="6"/>
      <c r="AV78" s="48"/>
      <c r="AW78" s="2"/>
      <c r="AX78" s="29"/>
      <c r="AY78" s="11"/>
    </row>
    <row r="79" spans="1:51" x14ac:dyDescent="0.25">
      <c r="B79" s="1" t="s">
        <v>68</v>
      </c>
      <c r="C79" s="6">
        <v>473928001.40880376</v>
      </c>
      <c r="D79" s="6">
        <v>475932471.60287589</v>
      </c>
      <c r="E79" s="6">
        <v>486163739.12557471</v>
      </c>
      <c r="F79" s="6">
        <v>433899576.69459343</v>
      </c>
      <c r="G79" s="2">
        <f t="shared" si="10"/>
        <v>-40028424.714210331</v>
      </c>
      <c r="H79" s="11">
        <f t="shared" si="11"/>
        <v>-8.4460982670830548E-2</v>
      </c>
      <c r="I79" s="6"/>
      <c r="J79" s="11"/>
      <c r="AC79" s="6"/>
      <c r="AV79" s="48"/>
      <c r="AW79" s="2"/>
      <c r="AX79" s="29"/>
      <c r="AY79" s="11"/>
    </row>
    <row r="80" spans="1:51" x14ac:dyDescent="0.25">
      <c r="B80" s="1" t="s">
        <v>76</v>
      </c>
      <c r="C80" s="6">
        <v>47258604.003418006</v>
      </c>
      <c r="D80" s="6">
        <v>46158104.052429691</v>
      </c>
      <c r="E80" s="6">
        <v>40219498.181756273</v>
      </c>
      <c r="F80" s="6">
        <v>43385383.237833977</v>
      </c>
      <c r="G80" s="2">
        <f t="shared" si="10"/>
        <v>-3873220.7655840293</v>
      </c>
      <c r="H80" s="11">
        <f t="shared" si="11"/>
        <v>-8.19580020879139E-2</v>
      </c>
      <c r="I80" s="6"/>
      <c r="J80" s="11"/>
      <c r="AV80" s="48"/>
      <c r="AW80" s="2"/>
      <c r="AX80" s="29"/>
      <c r="AY80" s="11"/>
    </row>
    <row r="81" spans="1:62" x14ac:dyDescent="0.25">
      <c r="B81" s="1" t="s">
        <v>61</v>
      </c>
      <c r="C81" s="6">
        <v>535596712.55859375</v>
      </c>
      <c r="D81" s="6">
        <v>525474053.95407027</v>
      </c>
      <c r="E81" s="6">
        <v>501314324.71161348</v>
      </c>
      <c r="F81" s="6">
        <v>494541070.33522797</v>
      </c>
      <c r="G81" s="2">
        <f t="shared" si="10"/>
        <v>-41055642.223365784</v>
      </c>
      <c r="H81" s="11">
        <f t="shared" si="11"/>
        <v>-7.6654022066788424E-2</v>
      </c>
      <c r="I81" s="6"/>
      <c r="J81" s="11"/>
      <c r="AV81" s="48"/>
      <c r="AW81" s="2"/>
      <c r="AX81" s="29"/>
      <c r="AY81" s="11"/>
    </row>
    <row r="82" spans="1:62" x14ac:dyDescent="0.25">
      <c r="B82" s="1" t="s">
        <v>77</v>
      </c>
      <c r="C82" s="6">
        <v>56221652.210281216</v>
      </c>
      <c r="D82" s="6">
        <v>52015709.893703192</v>
      </c>
      <c r="E82" s="6">
        <v>54274725.749472678</v>
      </c>
      <c r="F82" s="6">
        <v>52848329.251653187</v>
      </c>
      <c r="G82" s="2">
        <f t="shared" si="10"/>
        <v>-3373322.9586280286</v>
      </c>
      <c r="H82" s="11">
        <f t="shared" si="11"/>
        <v>-6.0000423787103706E-2</v>
      </c>
      <c r="I82" s="6"/>
      <c r="J82" s="11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V82" s="48"/>
      <c r="AW82" s="2"/>
      <c r="AX82" s="29"/>
      <c r="AY82" s="11"/>
    </row>
    <row r="83" spans="1:62" x14ac:dyDescent="0.25">
      <c r="B83" s="1" t="s">
        <v>58</v>
      </c>
      <c r="C83" s="6">
        <v>109788348.97630234</v>
      </c>
      <c r="D83" s="6">
        <v>110351390.06699753</v>
      </c>
      <c r="E83" s="6">
        <v>109062362.85206795</v>
      </c>
      <c r="F83" s="6">
        <v>103534610.21467094</v>
      </c>
      <c r="G83" s="2">
        <f t="shared" si="10"/>
        <v>-6253738.7616313994</v>
      </c>
      <c r="H83" s="11">
        <f t="shared" si="11"/>
        <v>-5.6961770715590776E-2</v>
      </c>
      <c r="I83" s="6"/>
      <c r="J83" s="11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V83" s="48"/>
      <c r="AW83" s="2"/>
      <c r="AX83" s="29"/>
      <c r="AY83" s="11"/>
    </row>
    <row r="84" spans="1:62" x14ac:dyDescent="0.25">
      <c r="B84" s="1" t="s">
        <v>70</v>
      </c>
      <c r="C84" s="6">
        <v>434450739.45971042</v>
      </c>
      <c r="D84" s="6">
        <v>455251954.52748287</v>
      </c>
      <c r="E84" s="6">
        <v>456515602.64460665</v>
      </c>
      <c r="F84" s="6">
        <v>410956626.3050099</v>
      </c>
      <c r="G84" s="2">
        <f t="shared" si="10"/>
        <v>-23494113.154700518</v>
      </c>
      <c r="H84" s="11">
        <f t="shared" si="11"/>
        <v>-5.4077737752082446E-2</v>
      </c>
      <c r="I84" s="6"/>
      <c r="J84" s="11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V84" s="48"/>
      <c r="AW84" s="2"/>
      <c r="AX84" s="29"/>
      <c r="AY84" s="11"/>
    </row>
    <row r="85" spans="1:62" x14ac:dyDescent="0.25">
      <c r="B85" s="1" t="s">
        <v>78</v>
      </c>
      <c r="C85" s="6">
        <v>82376625.251137763</v>
      </c>
      <c r="D85" s="6">
        <v>72658533.507516339</v>
      </c>
      <c r="E85" s="6">
        <v>75719471.781750008</v>
      </c>
      <c r="F85" s="6">
        <v>78081136.551956445</v>
      </c>
      <c r="G85" s="2">
        <f t="shared" si="10"/>
        <v>-4295488.6991813183</v>
      </c>
      <c r="H85" s="11">
        <f t="shared" si="11"/>
        <v>-5.2144509271724385E-2</v>
      </c>
      <c r="I85" s="6"/>
      <c r="J85" s="11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V85" s="48"/>
      <c r="AW85" s="2"/>
      <c r="AX85" s="29"/>
      <c r="AY85" s="11"/>
    </row>
    <row r="86" spans="1:62" x14ac:dyDescent="0.25">
      <c r="B86" s="1" t="s">
        <v>63</v>
      </c>
      <c r="C86" s="6">
        <v>459838825.10833973</v>
      </c>
      <c r="D86" s="6">
        <v>478336967.44110489</v>
      </c>
      <c r="E86" s="6">
        <v>463058403.17601931</v>
      </c>
      <c r="F86" s="6">
        <v>439163821.40250093</v>
      </c>
      <c r="G86" s="2">
        <f t="shared" si="10"/>
        <v>-20675003.705838799</v>
      </c>
      <c r="H86" s="11">
        <f t="shared" si="11"/>
        <v>-4.4961413819217401E-2</v>
      </c>
      <c r="I86" s="6"/>
      <c r="J86" s="11"/>
      <c r="AV86" s="48"/>
      <c r="AW86" s="2"/>
      <c r="AX86" s="29"/>
      <c r="AY86" s="11"/>
      <c r="BJ86" s="6"/>
    </row>
    <row r="87" spans="1:62" x14ac:dyDescent="0.25">
      <c r="A87" s="10"/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2"/>
      <c r="Y87" s="11"/>
      <c r="Z87" s="6"/>
      <c r="AA87" s="6"/>
      <c r="AB87" s="6"/>
      <c r="AC87" s="6"/>
      <c r="AD87" s="6"/>
      <c r="AE87" s="6"/>
      <c r="AF87" s="6"/>
      <c r="AG87" s="6"/>
      <c r="AH87" s="6"/>
      <c r="AI87" s="6"/>
      <c r="AJ87" s="6"/>
      <c r="AK87" s="6"/>
    </row>
    <row r="88" spans="1:62" x14ac:dyDescent="0.25">
      <c r="A88" s="9" t="s">
        <v>172</v>
      </c>
      <c r="C88" s="49" t="s">
        <v>179</v>
      </c>
      <c r="D88" s="49"/>
      <c r="E88" s="49"/>
      <c r="F88" s="49"/>
      <c r="G88" s="52" t="s">
        <v>174</v>
      </c>
      <c r="H88" s="52"/>
      <c r="I88" s="52"/>
      <c r="J88" s="52"/>
      <c r="X88" s="2"/>
      <c r="Y88" s="11"/>
    </row>
    <row r="89" spans="1:62" x14ac:dyDescent="0.25">
      <c r="B89" s="9" t="s">
        <v>116</v>
      </c>
      <c r="C89" s="41">
        <v>1990</v>
      </c>
      <c r="D89" s="41">
        <v>2000</v>
      </c>
      <c r="E89" s="41">
        <v>2010</v>
      </c>
      <c r="F89" s="41">
        <v>2015</v>
      </c>
      <c r="G89" s="42" t="s">
        <v>141</v>
      </c>
      <c r="H89" s="42" t="s">
        <v>140</v>
      </c>
      <c r="I89" s="42" t="s">
        <v>138</v>
      </c>
      <c r="J89" s="42" t="s">
        <v>139</v>
      </c>
      <c r="K89" s="9" t="s">
        <v>143</v>
      </c>
      <c r="X89" s="2"/>
      <c r="Y89" s="11"/>
    </row>
    <row r="90" spans="1:62" x14ac:dyDescent="0.25">
      <c r="B90" s="1" t="s">
        <v>70</v>
      </c>
      <c r="C90" s="30">
        <v>571038682.34399998</v>
      </c>
      <c r="D90" s="30">
        <v>602379320.324</v>
      </c>
      <c r="E90" s="30">
        <v>598069840.58299994</v>
      </c>
      <c r="F90" s="30">
        <v>544852486.46700001</v>
      </c>
      <c r="G90" s="5">
        <v>5702.5127637635496</v>
      </c>
      <c r="H90" s="5">
        <v>6015.4869871065866</v>
      </c>
      <c r="I90" s="5">
        <v>5972.4516131677174</v>
      </c>
      <c r="J90" s="5">
        <v>5440.9823928218002</v>
      </c>
      <c r="K90" s="11">
        <f>(F90-C90)/C90</f>
        <v>-4.5857131375953132E-2</v>
      </c>
      <c r="X90" s="2"/>
      <c r="Y90" s="11"/>
    </row>
    <row r="91" spans="1:62" x14ac:dyDescent="0.25">
      <c r="B91" s="1" t="s">
        <v>117</v>
      </c>
      <c r="C91" s="30">
        <v>1366749341.02</v>
      </c>
      <c r="D91" s="30">
        <v>1308063505.1700001</v>
      </c>
      <c r="E91" s="30">
        <v>1322735180.0699999</v>
      </c>
      <c r="F91" s="30">
        <v>1210479750.3599999</v>
      </c>
      <c r="G91" s="5">
        <v>5485.1853941724103</v>
      </c>
      <c r="H91" s="5">
        <v>5249.6610884434685</v>
      </c>
      <c r="I91" s="5">
        <v>5308.5430314992927</v>
      </c>
      <c r="J91" s="5">
        <v>4858.0274724412484</v>
      </c>
      <c r="K91" s="11">
        <f t="shared" ref="K91:K98" si="12">(F91-C91)/C91</f>
        <v>-0.1143366863037056</v>
      </c>
      <c r="X91" s="2"/>
      <c r="Y91" s="11"/>
    </row>
    <row r="92" spans="1:62" x14ac:dyDescent="0.25">
      <c r="B92" s="1" t="s">
        <v>130</v>
      </c>
      <c r="C92" s="30">
        <v>805229829.23099995</v>
      </c>
      <c r="D92" s="30">
        <v>720408799.49000001</v>
      </c>
      <c r="E92" s="30">
        <v>726248464.26900005</v>
      </c>
      <c r="F92" s="30">
        <v>678066314.98599994</v>
      </c>
      <c r="G92" s="5">
        <v>4582.0534042621421</v>
      </c>
      <c r="H92" s="5">
        <v>4099.3905992230675</v>
      </c>
      <c r="I92" s="5">
        <v>4132.6204361081727</v>
      </c>
      <c r="J92" s="5">
        <v>3858.4304236992621</v>
      </c>
      <c r="K92" s="11">
        <f t="shared" si="12"/>
        <v>-0.1579220113671671</v>
      </c>
      <c r="X92" s="2"/>
      <c r="Y92" s="11"/>
    </row>
    <row r="93" spans="1:62" x14ac:dyDescent="0.25">
      <c r="B93" s="1" t="s">
        <v>124</v>
      </c>
      <c r="C93" s="30">
        <v>1295951836.6700001</v>
      </c>
      <c r="D93" s="30">
        <v>1201864746.26</v>
      </c>
      <c r="E93" s="30">
        <v>1162107693.53</v>
      </c>
      <c r="F93" s="30">
        <v>1141362870.3299999</v>
      </c>
      <c r="G93" s="5">
        <v>3870.71175579591</v>
      </c>
      <c r="H93" s="5">
        <v>3589.695134179477</v>
      </c>
      <c r="I93" s="5">
        <v>3470.9499099948875</v>
      </c>
      <c r="J93" s="5">
        <v>3408.9898673759621</v>
      </c>
      <c r="K93" s="11">
        <f t="shared" si="12"/>
        <v>-0.11928604286500544</v>
      </c>
      <c r="X93" s="2"/>
      <c r="Y93" s="11"/>
    </row>
    <row r="94" spans="1:62" x14ac:dyDescent="0.25">
      <c r="B94" s="1" t="s">
        <v>119</v>
      </c>
      <c r="C94" s="30">
        <v>727376288.73500001</v>
      </c>
      <c r="D94" s="30">
        <v>734032513.00699997</v>
      </c>
      <c r="E94" s="30">
        <v>718152327.08599997</v>
      </c>
      <c r="F94" s="30">
        <v>672880462.95299995</v>
      </c>
      <c r="G94" s="5">
        <v>2145.6917692930165</v>
      </c>
      <c r="H94" s="5">
        <v>2165.3270060421237</v>
      </c>
      <c r="I94" s="5">
        <v>2118.4819483281972</v>
      </c>
      <c r="J94" s="5">
        <v>1984.4813794931667</v>
      </c>
      <c r="K94" s="11">
        <f t="shared" si="12"/>
        <v>-7.4921091910729237E-2</v>
      </c>
    </row>
    <row r="95" spans="1:62" x14ac:dyDescent="0.25">
      <c r="B95" s="1" t="s">
        <v>126</v>
      </c>
      <c r="C95" s="30">
        <v>441450369.61699998</v>
      </c>
      <c r="D95" s="30">
        <v>369572779.47399998</v>
      </c>
      <c r="E95" s="30">
        <v>397815941.66900003</v>
      </c>
      <c r="F95" s="30">
        <v>367382888.59200001</v>
      </c>
      <c r="G95" s="5">
        <v>1344.9388037641345</v>
      </c>
      <c r="H95" s="5">
        <v>1125.9539149571631</v>
      </c>
      <c r="I95" s="5">
        <v>1212.0005634400165</v>
      </c>
      <c r="J95" s="5">
        <v>1119.2821134910857</v>
      </c>
      <c r="K95" s="11">
        <f t="shared" si="12"/>
        <v>-0.16778212483831542</v>
      </c>
    </row>
    <row r="96" spans="1:62" x14ac:dyDescent="0.25">
      <c r="B96" s="1" t="s">
        <v>122</v>
      </c>
      <c r="C96" s="30">
        <v>110615995.336</v>
      </c>
      <c r="D96" s="30">
        <v>98898489.359699994</v>
      </c>
      <c r="E96" s="30">
        <v>103492126.471</v>
      </c>
      <c r="F96" s="30">
        <v>98752054.350600004</v>
      </c>
      <c r="G96" s="5">
        <v>705.46700153809763</v>
      </c>
      <c r="H96" s="5">
        <v>630.73717804832222</v>
      </c>
      <c r="I96" s="5">
        <v>660.03365898870811</v>
      </c>
      <c r="J96" s="5">
        <v>629.77965174927317</v>
      </c>
      <c r="K96" s="11">
        <f t="shared" si="12"/>
        <v>-0.10725339449654502</v>
      </c>
    </row>
    <row r="97" spans="2:13" x14ac:dyDescent="0.25">
      <c r="B97" s="1" t="s">
        <v>129</v>
      </c>
      <c r="C97" s="30">
        <v>190606500.03799999</v>
      </c>
      <c r="D97" s="30">
        <v>173499264.75600001</v>
      </c>
      <c r="E97" s="30">
        <v>176569671.47999999</v>
      </c>
      <c r="F97" s="30">
        <v>180443725.33700001</v>
      </c>
      <c r="G97" s="5">
        <v>464.76489275043861</v>
      </c>
      <c r="H97" s="5">
        <v>423.05150748020844</v>
      </c>
      <c r="I97" s="5">
        <v>430.53822619911665</v>
      </c>
      <c r="J97" s="5">
        <v>439.70748932073121</v>
      </c>
      <c r="K97" s="11">
        <f t="shared" si="12"/>
        <v>-5.3318090930654982E-2</v>
      </c>
    </row>
    <row r="98" spans="2:13" x14ac:dyDescent="0.25">
      <c r="B98" s="1" t="s">
        <v>120</v>
      </c>
      <c r="C98" s="30">
        <v>117586699.756</v>
      </c>
      <c r="D98" s="30">
        <v>97711379.1646</v>
      </c>
      <c r="E98" s="30">
        <v>97564430.821199998</v>
      </c>
      <c r="F98" s="30">
        <v>88874177.252399996</v>
      </c>
      <c r="G98" s="5">
        <v>397.67261742813236</v>
      </c>
      <c r="H98" s="5">
        <v>330.45522993272397</v>
      </c>
      <c r="I98" s="5">
        <v>329.95825763510982</v>
      </c>
      <c r="J98" s="5">
        <v>300.48613325393188</v>
      </c>
      <c r="K98" s="11">
        <f t="shared" si="12"/>
        <v>-0.24418171921807774</v>
      </c>
    </row>
    <row r="103" spans="2:13" x14ac:dyDescent="0.25">
      <c r="H103" s="31"/>
      <c r="I103" s="31"/>
      <c r="J103" s="31"/>
      <c r="K103" s="31"/>
    </row>
    <row r="104" spans="2:13" x14ac:dyDescent="0.25">
      <c r="H104" s="5"/>
      <c r="I104" s="5"/>
      <c r="J104" s="5"/>
      <c r="K104" s="5"/>
      <c r="L104" s="11"/>
      <c r="M104" s="11"/>
    </row>
    <row r="105" spans="2:13" x14ac:dyDescent="0.25">
      <c r="H105" s="5"/>
      <c r="I105" s="5"/>
      <c r="J105" s="5"/>
      <c r="K105" s="5"/>
      <c r="L105" s="11"/>
      <c r="M105" s="11"/>
    </row>
    <row r="106" spans="2:13" x14ac:dyDescent="0.25">
      <c r="H106" s="5"/>
      <c r="I106" s="5"/>
      <c r="J106" s="5"/>
      <c r="K106" s="5"/>
      <c r="L106" s="11"/>
      <c r="M106" s="11"/>
    </row>
    <row r="107" spans="2:13" x14ac:dyDescent="0.25">
      <c r="H107" s="5"/>
      <c r="I107" s="5"/>
      <c r="J107" s="5"/>
      <c r="K107" s="5"/>
      <c r="L107" s="11"/>
      <c r="M107" s="11"/>
    </row>
    <row r="108" spans="2:13" x14ac:dyDescent="0.25">
      <c r="H108" s="5"/>
      <c r="I108" s="5"/>
      <c r="J108" s="5"/>
      <c r="K108" s="5"/>
      <c r="L108" s="11"/>
      <c r="M108" s="11"/>
    </row>
    <row r="109" spans="2:13" x14ac:dyDescent="0.25">
      <c r="H109" s="5"/>
      <c r="I109" s="5"/>
      <c r="J109" s="5"/>
      <c r="K109" s="5"/>
      <c r="L109" s="11"/>
      <c r="M109" s="11"/>
    </row>
    <row r="110" spans="2:13" x14ac:dyDescent="0.25">
      <c r="H110" s="5"/>
      <c r="I110" s="5"/>
      <c r="J110" s="5"/>
      <c r="K110" s="5"/>
      <c r="L110" s="11"/>
      <c r="M110" s="11"/>
    </row>
    <row r="111" spans="2:13" x14ac:dyDescent="0.25">
      <c r="H111" s="5"/>
      <c r="I111" s="5"/>
      <c r="J111" s="5"/>
      <c r="K111" s="5"/>
      <c r="L111" s="11"/>
      <c r="M111" s="11"/>
    </row>
    <row r="112" spans="2:13" x14ac:dyDescent="0.25">
      <c r="H112" s="5"/>
      <c r="I112" s="5"/>
      <c r="J112" s="5"/>
      <c r="K112" s="5"/>
      <c r="L112" s="11"/>
      <c r="M112" s="11"/>
    </row>
  </sheetData>
  <mergeCells count="12">
    <mergeCell ref="Y36:AE36"/>
    <mergeCell ref="C55:F55"/>
    <mergeCell ref="B36:D36"/>
    <mergeCell ref="E36:L36"/>
    <mergeCell ref="M36:S36"/>
    <mergeCell ref="T36:X36"/>
    <mergeCell ref="G88:J88"/>
    <mergeCell ref="C88:F88"/>
    <mergeCell ref="AV67:AY67"/>
    <mergeCell ref="AV69:AV71"/>
    <mergeCell ref="AV72:AV79"/>
    <mergeCell ref="AV80:AV86"/>
  </mergeCells>
  <pageMargins left="0.7" right="0.7" top="0.75" bottom="0.75" header="0.3" footer="0.3"/>
  <pageSetup orientation="portrait" r:id="rId1"/>
  <headerFooter>
    <oddFooter>&amp;R_x000D_&amp;1#&amp;"Aptos"&amp;10&amp;K000000 Official Use Only</oddFooter>
  </headerFooter>
  <ignoredErrors>
    <ignoredError sqref="B20:F24" formulaRange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I101"/>
  <sheetViews>
    <sheetView topLeftCell="A76" zoomScale="90" zoomScaleNormal="90" workbookViewId="0">
      <selection activeCell="E96" sqref="E96"/>
    </sheetView>
  </sheetViews>
  <sheetFormatPr defaultColWidth="9.140625" defaultRowHeight="15" x14ac:dyDescent="0.25"/>
  <cols>
    <col min="1" max="1" width="28.85546875" style="1" customWidth="1"/>
    <col min="2" max="2" width="22.140625" style="1" customWidth="1"/>
    <col min="3" max="3" width="15.28515625" style="1" customWidth="1"/>
    <col min="4" max="4" width="14.42578125" style="1" customWidth="1"/>
    <col min="5" max="5" width="13" style="1" customWidth="1"/>
    <col min="6" max="6" width="14.140625" style="1" customWidth="1"/>
    <col min="7" max="7" width="13.85546875" style="1" customWidth="1"/>
    <col min="8" max="8" width="12.42578125" style="1" customWidth="1"/>
    <col min="9" max="9" width="14.5703125" style="1" bestFit="1" customWidth="1"/>
    <col min="10" max="10" width="12.140625" style="1" bestFit="1" customWidth="1"/>
    <col min="11" max="11" width="13.42578125" style="1" bestFit="1" customWidth="1"/>
    <col min="12" max="12" width="11.42578125" style="1" customWidth="1"/>
    <col min="13" max="13" width="12" style="1" bestFit="1" customWidth="1"/>
    <col min="14" max="14" width="17.7109375" style="1" bestFit="1" customWidth="1"/>
    <col min="15" max="15" width="11.5703125" style="1" bestFit="1" customWidth="1"/>
    <col min="16" max="16" width="15.42578125" style="1" bestFit="1" customWidth="1"/>
    <col min="17" max="17" width="11" style="1" bestFit="1" customWidth="1"/>
    <col min="18" max="19" width="12" style="1" bestFit="1" customWidth="1"/>
    <col min="20" max="20" width="12.140625" style="1" bestFit="1" customWidth="1"/>
    <col min="21" max="21" width="11.7109375" style="1" bestFit="1" customWidth="1"/>
    <col min="22" max="22" width="11.5703125" style="1" bestFit="1" customWidth="1"/>
    <col min="23" max="23" width="12.140625" style="1" bestFit="1" customWidth="1"/>
    <col min="24" max="24" width="11.5703125" style="1" bestFit="1" customWidth="1"/>
    <col min="25" max="29" width="12.140625" style="1" bestFit="1" customWidth="1"/>
    <col min="30" max="30" width="13.140625" style="1" bestFit="1" customWidth="1"/>
    <col min="31" max="31" width="14.7109375" style="1" bestFit="1" customWidth="1"/>
    <col min="32" max="32" width="16.5703125" style="1" customWidth="1"/>
    <col min="33" max="33" width="15.28515625" style="1" customWidth="1"/>
    <col min="34" max="34" width="13" style="1" customWidth="1"/>
    <col min="35" max="35" width="15.140625" style="1" customWidth="1"/>
    <col min="36" max="36" width="13.28515625" style="1" customWidth="1"/>
    <col min="37" max="37" width="19.140625" style="1" customWidth="1"/>
    <col min="38" max="38" width="16.85546875" style="1" customWidth="1"/>
    <col min="39" max="39" width="14.5703125" style="1" customWidth="1"/>
    <col min="40" max="40" width="19.7109375" style="1" customWidth="1"/>
    <col min="41" max="41" width="20.28515625" style="1" bestFit="1" customWidth="1"/>
    <col min="42" max="42" width="16.7109375" style="1" customWidth="1"/>
    <col min="43" max="16384" width="9.140625" style="1"/>
  </cols>
  <sheetData>
    <row r="1" spans="1:11" x14ac:dyDescent="0.25">
      <c r="A1" s="9" t="s">
        <v>46</v>
      </c>
    </row>
    <row r="2" spans="1:11" x14ac:dyDescent="0.25">
      <c r="B2" s="1" t="s">
        <v>40</v>
      </c>
      <c r="C2" s="9"/>
      <c r="D2" s="9"/>
    </row>
    <row r="3" spans="1:11" x14ac:dyDescent="0.25">
      <c r="A3" s="10">
        <v>1990</v>
      </c>
      <c r="B3" s="6">
        <f>SUM(B20:F20)</f>
        <v>2391447164.2392626</v>
      </c>
      <c r="C3" s="6"/>
      <c r="D3" s="3"/>
      <c r="E3" s="6"/>
      <c r="F3" s="6"/>
    </row>
    <row r="4" spans="1:11" x14ac:dyDescent="0.25">
      <c r="A4" s="10">
        <v>2000</v>
      </c>
      <c r="B4" s="6">
        <f>SUM(B21:F21)</f>
        <v>2781146534.2141643</v>
      </c>
      <c r="C4" s="6"/>
      <c r="D4" s="3"/>
      <c r="E4" s="6"/>
      <c r="F4" s="6"/>
    </row>
    <row r="5" spans="1:11" x14ac:dyDescent="0.25">
      <c r="A5" s="10">
        <v>2010</v>
      </c>
      <c r="B5" s="6">
        <f>SUM(B22:F22)</f>
        <v>2928383753.7601762</v>
      </c>
      <c r="C5" s="6"/>
      <c r="D5" s="3"/>
      <c r="E5" s="6"/>
      <c r="F5" s="6"/>
      <c r="H5" s="6"/>
      <c r="I5" s="6"/>
      <c r="J5" s="6"/>
      <c r="K5" s="6"/>
    </row>
    <row r="6" spans="1:11" x14ac:dyDescent="0.25">
      <c r="A6" s="10">
        <v>2015</v>
      </c>
      <c r="B6" s="6">
        <f>SUM(B23:F23)</f>
        <v>3227117061.8285813</v>
      </c>
      <c r="C6" s="6"/>
      <c r="D6" s="3"/>
      <c r="E6" s="6"/>
      <c r="F6" s="6"/>
    </row>
    <row r="7" spans="1:11" x14ac:dyDescent="0.25">
      <c r="A7" s="1" t="s">
        <v>47</v>
      </c>
      <c r="B7" s="6">
        <f>B6-B3</f>
        <v>835669897.58931875</v>
      </c>
      <c r="C7" s="6"/>
      <c r="D7" s="6"/>
      <c r="E7" s="6"/>
      <c r="F7" s="6"/>
    </row>
    <row r="8" spans="1:11" x14ac:dyDescent="0.25">
      <c r="A8" s="1" t="s">
        <v>1</v>
      </c>
      <c r="B8" s="3">
        <f>B7/B3</f>
        <v>0.34944108742421315</v>
      </c>
      <c r="C8" s="6"/>
      <c r="D8" s="6"/>
      <c r="E8" s="6"/>
      <c r="F8" s="6"/>
    </row>
    <row r="9" spans="1:11" ht="13.5" customHeight="1" x14ac:dyDescent="0.25">
      <c r="A9" s="1" t="s">
        <v>2</v>
      </c>
      <c r="B9" s="6">
        <f>B4-B3</f>
        <v>389699369.97490168</v>
      </c>
      <c r="C9" s="6"/>
      <c r="D9" s="6"/>
      <c r="E9" s="6"/>
      <c r="F9" s="6"/>
    </row>
    <row r="10" spans="1:11" ht="14.25" customHeight="1" x14ac:dyDescent="0.25">
      <c r="A10" s="1" t="s">
        <v>1</v>
      </c>
      <c r="B10" s="3">
        <f>B9/B3</f>
        <v>0.16295545885449991</v>
      </c>
      <c r="C10" s="6"/>
      <c r="D10" s="6"/>
      <c r="E10" s="6"/>
      <c r="F10" s="6"/>
    </row>
    <row r="11" spans="1:11" x14ac:dyDescent="0.25">
      <c r="A11" s="1" t="s">
        <v>0</v>
      </c>
      <c r="B11" s="6">
        <f>B5-B4</f>
        <v>147237219.54601192</v>
      </c>
      <c r="C11" s="6"/>
      <c r="D11" s="6"/>
      <c r="E11" s="6"/>
      <c r="F11" s="6"/>
    </row>
    <row r="12" spans="1:11" x14ac:dyDescent="0.25">
      <c r="A12" s="1" t="s">
        <v>1</v>
      </c>
      <c r="B12" s="3">
        <f>B11/B4</f>
        <v>5.2941194480288327E-2</v>
      </c>
      <c r="C12" s="6"/>
      <c r="D12" s="6"/>
      <c r="E12" s="6"/>
      <c r="F12" s="6"/>
    </row>
    <row r="13" spans="1:11" x14ac:dyDescent="0.25">
      <c r="A13" s="1" t="s">
        <v>48</v>
      </c>
      <c r="B13" s="6">
        <f>B6-B5</f>
        <v>298733308.06840515</v>
      </c>
      <c r="C13" s="6"/>
      <c r="D13" s="6"/>
      <c r="E13" s="6"/>
      <c r="F13" s="6"/>
    </row>
    <row r="14" spans="1:11" x14ac:dyDescent="0.25">
      <c r="A14" s="1" t="s">
        <v>1</v>
      </c>
      <c r="B14" s="3">
        <f>B13/B5</f>
        <v>0.10201303284954309</v>
      </c>
      <c r="C14" s="6"/>
      <c r="D14" s="6"/>
      <c r="E14" s="6"/>
      <c r="F14" s="6"/>
    </row>
    <row r="15" spans="1:11" x14ac:dyDescent="0.25">
      <c r="A15" s="1" t="s">
        <v>49</v>
      </c>
      <c r="B15" s="12">
        <v>2534568.9300000002</v>
      </c>
      <c r="C15" s="6"/>
      <c r="D15" s="6"/>
      <c r="E15" s="6"/>
      <c r="F15" s="6"/>
    </row>
    <row r="16" spans="1:11" x14ac:dyDescent="0.25">
      <c r="A16" s="1" t="s">
        <v>53</v>
      </c>
      <c r="B16" s="6">
        <f>B6/B15</f>
        <v>1273.2409932242724</v>
      </c>
      <c r="C16" s="6"/>
      <c r="D16" s="2"/>
      <c r="E16" s="6"/>
      <c r="F16" s="6"/>
    </row>
    <row r="17" spans="1:31" x14ac:dyDescent="0.25">
      <c r="AE17" s="16"/>
    </row>
    <row r="18" spans="1:31" x14ac:dyDescent="0.25">
      <c r="A18" s="9" t="s">
        <v>45</v>
      </c>
    </row>
    <row r="19" spans="1:31" x14ac:dyDescent="0.25">
      <c r="B19" s="2" t="s">
        <v>5</v>
      </c>
      <c r="C19" s="2" t="s">
        <v>25</v>
      </c>
      <c r="D19" s="2" t="s">
        <v>24</v>
      </c>
      <c r="E19" s="2" t="s">
        <v>26</v>
      </c>
      <c r="F19" s="2" t="s">
        <v>32</v>
      </c>
      <c r="G19" s="2"/>
    </row>
    <row r="20" spans="1:31" x14ac:dyDescent="0.25">
      <c r="A20" s="10">
        <v>1990</v>
      </c>
      <c r="B20" s="6">
        <f>SUM(B38:D38)</f>
        <v>75760674.25998494</v>
      </c>
      <c r="C20" s="6">
        <f>SUM(E38:L38)</f>
        <v>703308800.47636235</v>
      </c>
      <c r="D20" s="6">
        <f>SUM(M38:S38)</f>
        <v>394231527.08264935</v>
      </c>
      <c r="E20" s="6">
        <f>SUM(T38:X38)</f>
        <v>266094063.92828223</v>
      </c>
      <c r="F20" s="6">
        <f>SUM(Y38:AE38)</f>
        <v>952052098.49198365</v>
      </c>
      <c r="G20" s="6"/>
      <c r="H20" s="7"/>
      <c r="K20" s="7"/>
    </row>
    <row r="21" spans="1:31" x14ac:dyDescent="0.25">
      <c r="A21" s="10">
        <v>2000</v>
      </c>
      <c r="B21" s="6">
        <f>SUM(B39:D39)</f>
        <v>73223180.681244671</v>
      </c>
      <c r="C21" s="6">
        <f>SUM(E39:L39)</f>
        <v>794289265.01289666</v>
      </c>
      <c r="D21" s="6">
        <f>SUM(M39:S39)</f>
        <v>545231638.80211246</v>
      </c>
      <c r="E21" s="6">
        <f>SUM(T39:X39)</f>
        <v>405505059.6093514</v>
      </c>
      <c r="F21" s="6">
        <f>SUM(Y39:AE39)</f>
        <v>962897390.10855889</v>
      </c>
      <c r="G21" s="6"/>
      <c r="H21" s="7"/>
      <c r="K21" s="7"/>
    </row>
    <row r="22" spans="1:31" x14ac:dyDescent="0.25">
      <c r="A22" s="10">
        <v>2010</v>
      </c>
      <c r="B22" s="6">
        <f>SUM(B40:D40)</f>
        <v>82259388.436403245</v>
      </c>
      <c r="C22" s="6">
        <f>SUM(E40:L40)</f>
        <v>844526802.47019482</v>
      </c>
      <c r="D22" s="6">
        <f>SUM(M40:S40)</f>
        <v>585040775.24684262</v>
      </c>
      <c r="E22" s="6">
        <f>SUM(T40:X40)</f>
        <v>360239305.27589345</v>
      </c>
      <c r="F22" s="6">
        <f>SUM(Y40:AE40)</f>
        <v>1056317482.330842</v>
      </c>
      <c r="G22" s="6"/>
      <c r="H22" s="7"/>
      <c r="K22" s="7"/>
    </row>
    <row r="23" spans="1:31" x14ac:dyDescent="0.25">
      <c r="A23" s="10">
        <v>2015</v>
      </c>
      <c r="B23" s="6">
        <f>SUM(B41:D41)</f>
        <v>98993945.782746911</v>
      </c>
      <c r="C23" s="6">
        <f>SUM(E41:L41)</f>
        <v>899527044.55901372</v>
      </c>
      <c r="D23" s="6">
        <f>SUM(M41:S41)</f>
        <v>725501428.0676384</v>
      </c>
      <c r="E23" s="6">
        <f>SUM(T41:X41)</f>
        <v>424575822.19929862</v>
      </c>
      <c r="F23" s="6">
        <f>SUM(Y41:AE41)</f>
        <v>1078518821.2198834</v>
      </c>
      <c r="G23" s="6"/>
      <c r="H23" s="7"/>
      <c r="K23" s="7"/>
    </row>
    <row r="24" spans="1:31" x14ac:dyDescent="0.25">
      <c r="A24" s="1" t="s">
        <v>47</v>
      </c>
      <c r="B24" s="6">
        <f>B23-B20</f>
        <v>23233271.522761971</v>
      </c>
      <c r="C24" s="6">
        <f>C23-C20</f>
        <v>196218244.08265138</v>
      </c>
      <c r="D24" s="6">
        <f>D23-D20</f>
        <v>331269900.98498905</v>
      </c>
      <c r="E24" s="6">
        <f>E23-E20</f>
        <v>158481758.27101639</v>
      </c>
      <c r="F24" s="6">
        <f>F23-F20</f>
        <v>126466722.72789979</v>
      </c>
      <c r="G24" s="3"/>
    </row>
    <row r="25" spans="1:31" x14ac:dyDescent="0.25">
      <c r="A25" s="1" t="s">
        <v>1</v>
      </c>
      <c r="B25" s="3">
        <f>B24/B20</f>
        <v>0.30666664136374056</v>
      </c>
      <c r="C25" s="3">
        <f>C24/C20</f>
        <v>0.27899301693615891</v>
      </c>
      <c r="D25" s="3">
        <f>D24/D20</f>
        <v>0.84029276764447958</v>
      </c>
      <c r="E25" s="3">
        <f>E24/E20</f>
        <v>0.59558547053394795</v>
      </c>
      <c r="F25" s="3">
        <f>F24/F20</f>
        <v>0.13283592665592411</v>
      </c>
      <c r="G25" s="6"/>
    </row>
    <row r="26" spans="1:31" x14ac:dyDescent="0.25">
      <c r="A26" s="1" t="s">
        <v>2</v>
      </c>
      <c r="B26" s="6">
        <f>B21-B20</f>
        <v>-2537493.5787402689</v>
      </c>
      <c r="C26" s="6">
        <f>C21-C20</f>
        <v>90980464.536534309</v>
      </c>
      <c r="D26" s="6">
        <f>D21-D20</f>
        <v>151000111.71946311</v>
      </c>
      <c r="E26" s="6">
        <f>E21-E20</f>
        <v>139410995.68106917</v>
      </c>
      <c r="F26" s="6">
        <f>F21-F20</f>
        <v>10845291.616575241</v>
      </c>
      <c r="G26" s="3"/>
    </row>
    <row r="27" spans="1:31" x14ac:dyDescent="0.25">
      <c r="A27" s="1" t="s">
        <v>1</v>
      </c>
      <c r="B27" s="3">
        <f>B26/B20</f>
        <v>-3.3493545345603074E-2</v>
      </c>
      <c r="C27" s="3">
        <f>C26/C20</f>
        <v>0.12936062292255091</v>
      </c>
      <c r="D27" s="3">
        <f>D26/D20</f>
        <v>0.38302393732149798</v>
      </c>
      <c r="E27" s="3">
        <f>E26/E20</f>
        <v>0.52391621828378432</v>
      </c>
      <c r="F27" s="3">
        <f>F26/F20</f>
        <v>1.1391489639856677E-2</v>
      </c>
    </row>
    <row r="28" spans="1:31" x14ac:dyDescent="0.25">
      <c r="A28" s="1" t="s">
        <v>0</v>
      </c>
      <c r="B28" s="6">
        <f>B22-B21</f>
        <v>9036207.7551585734</v>
      </c>
      <c r="C28" s="6">
        <f>C22-C21</f>
        <v>50237537.45729816</v>
      </c>
      <c r="D28" s="6">
        <f>D22-D21</f>
        <v>39809136.444730163</v>
      </c>
      <c r="E28" s="6">
        <f>E22-E21</f>
        <v>-45265754.333457947</v>
      </c>
      <c r="F28" s="6">
        <f>F22-F21</f>
        <v>93420092.222283125</v>
      </c>
    </row>
    <row r="29" spans="1:31" x14ac:dyDescent="0.25">
      <c r="A29" s="1" t="s">
        <v>1</v>
      </c>
      <c r="B29" s="3">
        <f>B28/B21</f>
        <v>0.12340638130013792</v>
      </c>
      <c r="C29" s="3">
        <f>C28/C21</f>
        <v>6.3248415495685273E-2</v>
      </c>
      <c r="D29" s="3">
        <f>D28/D21</f>
        <v>7.3013254572298542E-2</v>
      </c>
      <c r="E29" s="3">
        <f>E28/E21</f>
        <v>-0.11162808764227332</v>
      </c>
      <c r="F29" s="3">
        <f>F28/F21</f>
        <v>9.701977924330106E-2</v>
      </c>
    </row>
    <row r="30" spans="1:31" x14ac:dyDescent="0.25">
      <c r="A30" s="1" t="s">
        <v>48</v>
      </c>
      <c r="B30" s="6">
        <f>B23-B22</f>
        <v>16734557.346343666</v>
      </c>
      <c r="C30" s="6">
        <f>C23-C22</f>
        <v>55000242.088818908</v>
      </c>
      <c r="D30" s="6">
        <f>D23-D22</f>
        <v>140460652.82079577</v>
      </c>
      <c r="E30" s="6">
        <f>E23-E22</f>
        <v>64336516.92340517</v>
      </c>
      <c r="F30" s="6">
        <f>F23-F22</f>
        <v>22201338.889041424</v>
      </c>
    </row>
    <row r="31" spans="1:31" x14ac:dyDescent="0.25">
      <c r="A31" s="1" t="s">
        <v>1</v>
      </c>
      <c r="B31" s="3">
        <f>B30/B22</f>
        <v>0.20343644250749035</v>
      </c>
      <c r="C31" s="3">
        <f>C30/C22</f>
        <v>6.5125513989545622E-2</v>
      </c>
      <c r="D31" s="3">
        <f>D30/D22</f>
        <v>0.24008694566892724</v>
      </c>
      <c r="E31" s="3">
        <f>E30/E22</f>
        <v>0.17859382910516192</v>
      </c>
      <c r="F31" s="3">
        <f>F30/F22</f>
        <v>2.1017676276693386E-2</v>
      </c>
    </row>
    <row r="32" spans="1:31" x14ac:dyDescent="0.25">
      <c r="A32" s="1" t="s">
        <v>49</v>
      </c>
      <c r="B32" s="6">
        <v>73001</v>
      </c>
      <c r="C32" s="6">
        <v>596451</v>
      </c>
      <c r="D32" s="6">
        <v>588201</v>
      </c>
      <c r="E32" s="6">
        <v>327613</v>
      </c>
      <c r="F32" s="6">
        <v>946373</v>
      </c>
      <c r="G32" s="3"/>
    </row>
    <row r="33" spans="1:61" x14ac:dyDescent="0.25">
      <c r="A33" s="1" t="s">
        <v>53</v>
      </c>
      <c r="B33" s="6">
        <f>B23/B32</f>
        <v>1356.0628728749869</v>
      </c>
      <c r="C33" s="6">
        <f>C23/C32</f>
        <v>1508.132343744941</v>
      </c>
      <c r="D33" s="6">
        <f>D23/D32</f>
        <v>1233.4243363537946</v>
      </c>
      <c r="E33" s="6">
        <f>E23/E32</f>
        <v>1295.9675659979873</v>
      </c>
      <c r="F33" s="6">
        <f>F23/F32</f>
        <v>1139.6339722497191</v>
      </c>
    </row>
    <row r="35" spans="1:61" x14ac:dyDescent="0.25">
      <c r="A35" s="53" t="s">
        <v>44</v>
      </c>
      <c r="B35" s="53"/>
      <c r="C35" s="53"/>
      <c r="D35" s="53"/>
      <c r="E35" s="53"/>
      <c r="F35" s="53"/>
      <c r="G35" s="53"/>
      <c r="H35" s="53"/>
    </row>
    <row r="36" spans="1:61" x14ac:dyDescent="0.25">
      <c r="A36" s="1" t="s">
        <v>3</v>
      </c>
      <c r="B36" s="48" t="s">
        <v>5</v>
      </c>
      <c r="C36" s="48"/>
      <c r="D36" s="48"/>
      <c r="E36" s="48" t="s">
        <v>25</v>
      </c>
      <c r="F36" s="48"/>
      <c r="G36" s="48"/>
      <c r="H36" s="48"/>
      <c r="I36" s="48"/>
      <c r="J36" s="48"/>
      <c r="K36" s="48"/>
      <c r="L36" s="48"/>
      <c r="M36" s="48" t="s">
        <v>24</v>
      </c>
      <c r="N36" s="48"/>
      <c r="O36" s="48"/>
      <c r="P36" s="48"/>
      <c r="Q36" s="48"/>
      <c r="R36" s="48"/>
      <c r="S36" s="48"/>
      <c r="T36" s="48" t="s">
        <v>26</v>
      </c>
      <c r="U36" s="48"/>
      <c r="V36" s="48"/>
      <c r="W36" s="48"/>
      <c r="X36" s="48"/>
      <c r="Y36" s="48" t="s">
        <v>32</v>
      </c>
      <c r="Z36" s="48"/>
      <c r="AA36" s="48"/>
      <c r="AB36" s="48"/>
      <c r="AC36" s="48"/>
      <c r="AD36" s="48"/>
      <c r="AE36" s="48"/>
      <c r="AF36" s="13"/>
      <c r="AG36" s="13"/>
      <c r="AH36" s="13"/>
      <c r="AI36" s="13"/>
      <c r="AJ36" s="13"/>
      <c r="AK36" s="13"/>
      <c r="AL36" s="13"/>
      <c r="AM36" s="13"/>
      <c r="AN36" s="13"/>
      <c r="AO36" s="13"/>
    </row>
    <row r="37" spans="1:61" x14ac:dyDescent="0.25">
      <c r="A37" s="1" t="s">
        <v>4</v>
      </c>
      <c r="B37" s="2" t="s">
        <v>6</v>
      </c>
      <c r="C37" s="2" t="s">
        <v>7</v>
      </c>
      <c r="D37" s="2" t="s">
        <v>8</v>
      </c>
      <c r="E37" s="2" t="s">
        <v>9</v>
      </c>
      <c r="F37" s="2" t="s">
        <v>10</v>
      </c>
      <c r="G37" s="2" t="s">
        <v>11</v>
      </c>
      <c r="H37" s="2" t="s">
        <v>12</v>
      </c>
      <c r="I37" s="2" t="s">
        <v>13</v>
      </c>
      <c r="J37" s="2" t="s">
        <v>14</v>
      </c>
      <c r="K37" s="2" t="s">
        <v>15</v>
      </c>
      <c r="L37" s="2" t="s">
        <v>16</v>
      </c>
      <c r="M37" s="2" t="s">
        <v>17</v>
      </c>
      <c r="N37" s="2" t="s">
        <v>18</v>
      </c>
      <c r="O37" s="2" t="s">
        <v>19</v>
      </c>
      <c r="P37" s="2" t="s">
        <v>20</v>
      </c>
      <c r="Q37" s="2" t="s">
        <v>21</v>
      </c>
      <c r="R37" s="2" t="s">
        <v>22</v>
      </c>
      <c r="S37" s="2" t="s">
        <v>23</v>
      </c>
      <c r="T37" s="2" t="s">
        <v>27</v>
      </c>
      <c r="U37" s="2" t="s">
        <v>28</v>
      </c>
      <c r="V37" s="2" t="s">
        <v>29</v>
      </c>
      <c r="W37" s="2" t="s">
        <v>30</v>
      </c>
      <c r="X37" s="2" t="s">
        <v>31</v>
      </c>
      <c r="Y37" s="2" t="s">
        <v>33</v>
      </c>
      <c r="Z37" s="2" t="s">
        <v>34</v>
      </c>
      <c r="AA37" s="2" t="s">
        <v>35</v>
      </c>
      <c r="AB37" s="1" t="s">
        <v>36</v>
      </c>
      <c r="AC37" s="1" t="s">
        <v>37</v>
      </c>
      <c r="AD37" s="1" t="s">
        <v>38</v>
      </c>
      <c r="AE37" s="1" t="s">
        <v>39</v>
      </c>
      <c r="AI37" s="1" t="s">
        <v>4</v>
      </c>
      <c r="AJ37" s="10">
        <v>1990</v>
      </c>
      <c r="AK37" s="10">
        <v>2000</v>
      </c>
      <c r="AL37" s="10">
        <v>2010</v>
      </c>
      <c r="AM37" s="10">
        <v>2015</v>
      </c>
      <c r="AN37" s="1" t="s">
        <v>47</v>
      </c>
      <c r="AO37" s="1" t="s">
        <v>1</v>
      </c>
    </row>
    <row r="38" spans="1:61" x14ac:dyDescent="0.25">
      <c r="A38" s="10">
        <v>1990</v>
      </c>
      <c r="B38" s="6">
        <v>33154931.890464857</v>
      </c>
      <c r="C38" s="6">
        <v>23377803.649538998</v>
      </c>
      <c r="D38" s="6">
        <v>19227938.719981097</v>
      </c>
      <c r="E38" s="6">
        <v>127419288.23728512</v>
      </c>
      <c r="F38" s="6">
        <v>82263466.496971428</v>
      </c>
      <c r="G38" s="6">
        <v>75464945.263421208</v>
      </c>
      <c r="H38" s="6">
        <v>54361160.796449788</v>
      </c>
      <c r="I38" s="6">
        <v>85637396.520650491</v>
      </c>
      <c r="J38" s="6">
        <v>92568813.215183303</v>
      </c>
      <c r="K38" s="6">
        <v>116370354.79376654</v>
      </c>
      <c r="L38" s="6">
        <v>69223375.152634427</v>
      </c>
      <c r="M38" s="6">
        <v>63358719.963625528</v>
      </c>
      <c r="N38" s="6">
        <v>60541496.890441902</v>
      </c>
      <c r="O38" s="6">
        <v>46632858.022596091</v>
      </c>
      <c r="P38" s="6">
        <v>79317907.070299298</v>
      </c>
      <c r="Q38" s="6">
        <v>26722441.630827118</v>
      </c>
      <c r="R38" s="6">
        <v>75777729.416323319</v>
      </c>
      <c r="S38" s="6">
        <v>41880374.088536143</v>
      </c>
      <c r="T38" s="6">
        <v>70925510.107146829</v>
      </c>
      <c r="U38" s="6">
        <v>48310065.167501859</v>
      </c>
      <c r="V38" s="6">
        <v>55504864.741520874</v>
      </c>
      <c r="W38" s="6">
        <v>52094627.346643254</v>
      </c>
      <c r="X38" s="6">
        <v>39258996.565469407</v>
      </c>
      <c r="Y38" s="6">
        <v>189904630.26600635</v>
      </c>
      <c r="Z38" s="6">
        <v>153078306.59078836</v>
      </c>
      <c r="AA38" s="6">
        <v>221019811.41041762</v>
      </c>
      <c r="AB38" s="6">
        <v>131238567.62280373</v>
      </c>
      <c r="AC38" s="6">
        <v>78138168.656622544</v>
      </c>
      <c r="AD38" s="6">
        <v>139378025.66314319</v>
      </c>
      <c r="AE38" s="6">
        <v>39294588.282201871</v>
      </c>
      <c r="AF38" s="6"/>
      <c r="AG38" s="6"/>
      <c r="AH38" s="6"/>
      <c r="AI38" s="2" t="s">
        <v>23</v>
      </c>
      <c r="AJ38" s="6">
        <v>41880374.088536143</v>
      </c>
      <c r="AK38" s="6">
        <v>86394318.413294315</v>
      </c>
      <c r="AL38" s="6">
        <v>78995067.402805865</v>
      </c>
      <c r="AM38" s="6">
        <v>112680114.60480873</v>
      </c>
      <c r="AN38" s="6">
        <f t="shared" ref="AN38:AN67" si="0">AM38-AJ38</f>
        <v>70799740.51627259</v>
      </c>
      <c r="AO38" s="3">
        <f t="shared" ref="AO38:AO67" si="1">AN38/AJ38</f>
        <v>1.6905231163074186</v>
      </c>
      <c r="AP38" s="6"/>
      <c r="AQ38" s="6"/>
      <c r="AR38" s="6"/>
      <c r="AS38" s="6"/>
      <c r="AT38" s="6"/>
      <c r="AU38" s="6"/>
      <c r="AV38" s="6"/>
      <c r="AW38" s="6"/>
      <c r="AX38" s="6"/>
      <c r="AY38" s="6"/>
      <c r="AZ38" s="6"/>
      <c r="BA38" s="6"/>
      <c r="BB38" s="6"/>
      <c r="BC38" s="6"/>
      <c r="BD38" s="6"/>
      <c r="BE38" s="6"/>
      <c r="BF38" s="6"/>
      <c r="BG38" s="6"/>
      <c r="BH38" s="6"/>
      <c r="BI38" s="6"/>
    </row>
    <row r="39" spans="1:61" x14ac:dyDescent="0.25">
      <c r="A39" s="10">
        <v>2000</v>
      </c>
      <c r="B39" s="6">
        <v>34577615.602634184</v>
      </c>
      <c r="C39" s="6">
        <v>19090586.443133503</v>
      </c>
      <c r="D39" s="6">
        <v>19554978.635476977</v>
      </c>
      <c r="E39" s="6">
        <v>115334978.85533805</v>
      </c>
      <c r="F39" s="6">
        <v>82520087.50745061</v>
      </c>
      <c r="G39" s="6">
        <v>98868564.948901922</v>
      </c>
      <c r="H39" s="6">
        <v>85764538.075972527</v>
      </c>
      <c r="I39" s="6">
        <v>107619509.95435472</v>
      </c>
      <c r="J39" s="6">
        <v>117663712.48484188</v>
      </c>
      <c r="K39" s="6">
        <v>93697049.075780228</v>
      </c>
      <c r="L39" s="6">
        <v>92820824.110256717</v>
      </c>
      <c r="M39" s="6">
        <v>78514720.1748503</v>
      </c>
      <c r="N39" s="6">
        <v>99995619.969075099</v>
      </c>
      <c r="O39" s="6">
        <v>85077722.87716867</v>
      </c>
      <c r="P39" s="6">
        <v>88332905.386771724</v>
      </c>
      <c r="Q39" s="6">
        <v>38737880.646016523</v>
      </c>
      <c r="R39" s="6">
        <v>68178471.334935755</v>
      </c>
      <c r="S39" s="6">
        <v>86394318.413294315</v>
      </c>
      <c r="T39" s="6">
        <v>103641125.43712866</v>
      </c>
      <c r="U39" s="6">
        <v>81643015.198259801</v>
      </c>
      <c r="V39" s="6">
        <v>78451466.863471776</v>
      </c>
      <c r="W39" s="6">
        <v>74977744.286016345</v>
      </c>
      <c r="X39" s="6">
        <v>66791707.824474826</v>
      </c>
      <c r="Y39" s="6">
        <v>182269490.43914819</v>
      </c>
      <c r="Z39" s="6">
        <v>145709874.60442746</v>
      </c>
      <c r="AA39" s="6">
        <v>208720904.68712559</v>
      </c>
      <c r="AB39" s="6">
        <v>137042996.05431968</v>
      </c>
      <c r="AC39" s="6">
        <v>100218643.86155422</v>
      </c>
      <c r="AD39" s="6">
        <v>129899522.9730352</v>
      </c>
      <c r="AE39" s="6">
        <v>59035957.488948539</v>
      </c>
      <c r="AF39" s="6"/>
      <c r="AG39" s="6"/>
      <c r="AH39" s="6"/>
      <c r="AI39" s="2" t="s">
        <v>21</v>
      </c>
      <c r="AJ39" s="6">
        <v>26722441.630827118</v>
      </c>
      <c r="AK39" s="6">
        <v>38737880.646016523</v>
      </c>
      <c r="AL39" s="6">
        <v>56291780.766889498</v>
      </c>
      <c r="AM39" s="6">
        <v>60205673.991186127</v>
      </c>
      <c r="AN39" s="6">
        <f t="shared" si="0"/>
        <v>33483232.360359009</v>
      </c>
      <c r="AO39" s="3">
        <f t="shared" si="1"/>
        <v>1.2530004863677058</v>
      </c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/>
      <c r="BA39" s="6"/>
      <c r="BB39" s="6"/>
      <c r="BC39" s="6"/>
      <c r="BD39" s="6"/>
      <c r="BE39" s="6"/>
      <c r="BF39" s="6"/>
      <c r="BG39" s="6"/>
      <c r="BH39" s="6"/>
      <c r="BI39" s="6"/>
    </row>
    <row r="40" spans="1:61" x14ac:dyDescent="0.25">
      <c r="A40" s="10">
        <v>2010</v>
      </c>
      <c r="B40" s="6">
        <v>35009048.838451311</v>
      </c>
      <c r="C40" s="6">
        <v>25324837.554596521</v>
      </c>
      <c r="D40" s="6">
        <v>21925502.043355413</v>
      </c>
      <c r="E40" s="6">
        <v>116148440.03099066</v>
      </c>
      <c r="F40" s="6">
        <v>85183121.439919606</v>
      </c>
      <c r="G40" s="6">
        <v>97342503.484595984</v>
      </c>
      <c r="H40" s="6">
        <v>77395591.712898046</v>
      </c>
      <c r="I40" s="6">
        <v>142579547.07706425</v>
      </c>
      <c r="J40" s="6">
        <v>118529313.33393188</v>
      </c>
      <c r="K40" s="6">
        <v>108825092.52742368</v>
      </c>
      <c r="L40" s="6">
        <v>98523192.863370627</v>
      </c>
      <c r="M40" s="6">
        <v>96226319.584931761</v>
      </c>
      <c r="N40" s="6">
        <v>99949999.192872673</v>
      </c>
      <c r="O40" s="6">
        <v>86951922.170466334</v>
      </c>
      <c r="P40" s="6">
        <v>97525606.945387349</v>
      </c>
      <c r="Q40" s="6">
        <v>56291780.766889498</v>
      </c>
      <c r="R40" s="6">
        <v>69100079.18348904</v>
      </c>
      <c r="S40" s="6">
        <v>78995067.402805865</v>
      </c>
      <c r="T40" s="6">
        <v>96835990.713707656</v>
      </c>
      <c r="U40" s="6">
        <v>63658134.234047897</v>
      </c>
      <c r="V40" s="6">
        <v>59209477.643158287</v>
      </c>
      <c r="W40" s="6">
        <v>80637646.514801532</v>
      </c>
      <c r="X40" s="6">
        <v>59898056.170178033</v>
      </c>
      <c r="Y40" s="6">
        <v>205410911.80941206</v>
      </c>
      <c r="Z40" s="6">
        <v>170877553.6189875</v>
      </c>
      <c r="AA40" s="6">
        <v>225211716.82154587</v>
      </c>
      <c r="AB40" s="6">
        <v>145760504.57636201</v>
      </c>
      <c r="AC40" s="6">
        <v>102010415.61352479</v>
      </c>
      <c r="AD40" s="6">
        <v>148320840.52548543</v>
      </c>
      <c r="AE40" s="6">
        <v>58725539.365524359</v>
      </c>
      <c r="AF40" s="6"/>
      <c r="AG40" s="6"/>
      <c r="AH40" s="6"/>
      <c r="AI40" s="2" t="s">
        <v>19</v>
      </c>
      <c r="AJ40" s="6">
        <v>46632858.022596091</v>
      </c>
      <c r="AK40" s="6">
        <v>85077722.87716867</v>
      </c>
      <c r="AL40" s="6">
        <v>86951922.170466334</v>
      </c>
      <c r="AM40" s="6">
        <v>96131331.956570506</v>
      </c>
      <c r="AN40" s="6">
        <f t="shared" si="0"/>
        <v>49498473.933974415</v>
      </c>
      <c r="AO40" s="3">
        <f t="shared" si="1"/>
        <v>1.0614505743994884</v>
      </c>
      <c r="AP40" s="6"/>
      <c r="AQ40" s="6"/>
      <c r="AR40" s="6"/>
      <c r="AS40" s="6"/>
      <c r="AT40" s="6"/>
      <c r="AU40" s="6"/>
      <c r="AV40" s="6"/>
      <c r="AW40" s="6"/>
      <c r="AX40" s="6"/>
      <c r="AY40" s="6"/>
      <c r="AZ40" s="6"/>
      <c r="BA40" s="6"/>
      <c r="BB40" s="6"/>
      <c r="BC40" s="6"/>
      <c r="BD40" s="6"/>
      <c r="BE40" s="6"/>
      <c r="BF40" s="6"/>
      <c r="BG40" s="6"/>
      <c r="BH40" s="6"/>
      <c r="BI40" s="6"/>
    </row>
    <row r="41" spans="1:61" x14ac:dyDescent="0.25">
      <c r="A41" s="10">
        <v>2015</v>
      </c>
      <c r="B41" s="6">
        <v>48135812.455958679</v>
      </c>
      <c r="C41" s="6">
        <v>29233675.79648044</v>
      </c>
      <c r="D41" s="6">
        <v>21624457.530307807</v>
      </c>
      <c r="E41" s="6">
        <v>120913098.18838978</v>
      </c>
      <c r="F41" s="6">
        <v>92432125.972919598</v>
      </c>
      <c r="G41" s="6">
        <v>102688094.20592469</v>
      </c>
      <c r="H41" s="6">
        <v>94938994.881399468</v>
      </c>
      <c r="I41" s="6">
        <v>140145889.43778393</v>
      </c>
      <c r="J41" s="6">
        <v>115957387.93145794</v>
      </c>
      <c r="K41" s="6">
        <v>139159551.36381036</v>
      </c>
      <c r="L41" s="6">
        <v>93291902.577328071</v>
      </c>
      <c r="M41" s="6">
        <v>116721506.58600602</v>
      </c>
      <c r="N41" s="6">
        <v>111104333.06762978</v>
      </c>
      <c r="O41" s="6">
        <v>96131331.956570506</v>
      </c>
      <c r="P41" s="6">
        <v>125514430.50557096</v>
      </c>
      <c r="Q41" s="6">
        <v>60205673.991186127</v>
      </c>
      <c r="R41" s="6">
        <v>103144037.35586634</v>
      </c>
      <c r="S41" s="6">
        <v>112680114.60480873</v>
      </c>
      <c r="T41" s="6">
        <v>108514986.58269703</v>
      </c>
      <c r="U41" s="6">
        <v>92302734.780760646</v>
      </c>
      <c r="V41" s="6">
        <v>75178307.782705709</v>
      </c>
      <c r="W41" s="6">
        <v>88733887.298743248</v>
      </c>
      <c r="X41" s="6">
        <v>59845905.754391953</v>
      </c>
      <c r="Y41" s="6">
        <v>195282750.21169713</v>
      </c>
      <c r="Z41" s="6">
        <v>178860681.36444169</v>
      </c>
      <c r="AA41" s="6">
        <v>220606824.63573223</v>
      </c>
      <c r="AB41" s="6">
        <v>156532510.39001378</v>
      </c>
      <c r="AC41" s="6">
        <v>110341743.63565032</v>
      </c>
      <c r="AD41" s="6">
        <v>148553554.01042882</v>
      </c>
      <c r="AE41" s="6">
        <v>68340756.971919417</v>
      </c>
      <c r="AF41" s="6"/>
      <c r="AG41" s="6"/>
      <c r="AH41" s="6"/>
      <c r="AI41" s="2" t="s">
        <v>28</v>
      </c>
      <c r="AJ41" s="6">
        <v>48310065.167501859</v>
      </c>
      <c r="AK41" s="6">
        <v>81643015.198259801</v>
      </c>
      <c r="AL41" s="6">
        <v>63658134.234047897</v>
      </c>
      <c r="AM41" s="6">
        <v>92302734.780760646</v>
      </c>
      <c r="AN41" s="6">
        <f t="shared" si="0"/>
        <v>43992669.613258786</v>
      </c>
      <c r="AO41" s="3">
        <f t="shared" si="1"/>
        <v>0.91063155184590017</v>
      </c>
      <c r="AP41" s="6"/>
      <c r="AQ41" s="6"/>
      <c r="AR41" s="6"/>
      <c r="AS41" s="6"/>
      <c r="AT41" s="6"/>
      <c r="AU41" s="6"/>
      <c r="AV41" s="6"/>
      <c r="AW41" s="6"/>
      <c r="AX41" s="6"/>
      <c r="AY41" s="6"/>
      <c r="AZ41" s="6"/>
      <c r="BA41" s="6"/>
      <c r="BB41" s="6"/>
      <c r="BC41" s="6"/>
      <c r="BD41" s="6"/>
      <c r="BE41" s="6"/>
      <c r="BF41" s="6"/>
      <c r="BG41" s="6"/>
      <c r="BH41" s="6"/>
      <c r="BI41" s="6"/>
    </row>
    <row r="42" spans="1:61" x14ac:dyDescent="0.25">
      <c r="A42" s="1" t="s">
        <v>47</v>
      </c>
      <c r="B42" s="6">
        <f t="shared" ref="B42:AE42" si="2">B41-B38</f>
        <v>14980880.565493822</v>
      </c>
      <c r="C42" s="6">
        <f t="shared" si="2"/>
        <v>5855872.146941442</v>
      </c>
      <c r="D42" s="6">
        <f t="shared" si="2"/>
        <v>2396518.8103267103</v>
      </c>
      <c r="E42" s="6">
        <f t="shared" si="2"/>
        <v>-6506190.0488953441</v>
      </c>
      <c r="F42" s="6">
        <f t="shared" si="2"/>
        <v>10168659.47594817</v>
      </c>
      <c r="G42" s="6">
        <f t="shared" si="2"/>
        <v>27223148.942503482</v>
      </c>
      <c r="H42" s="6">
        <f t="shared" si="2"/>
        <v>40577834.08494968</v>
      </c>
      <c r="I42" s="6">
        <f t="shared" si="2"/>
        <v>54508492.917133436</v>
      </c>
      <c r="J42" s="6">
        <f t="shared" si="2"/>
        <v>23388574.716274634</v>
      </c>
      <c r="K42" s="6">
        <f t="shared" si="2"/>
        <v>22789196.570043817</v>
      </c>
      <c r="L42" s="6">
        <f t="shared" si="2"/>
        <v>24068527.424693644</v>
      </c>
      <c r="M42" s="6">
        <f t="shared" si="2"/>
        <v>53362786.622380488</v>
      </c>
      <c r="N42" s="6">
        <f t="shared" si="2"/>
        <v>50562836.177187882</v>
      </c>
      <c r="O42" s="6">
        <f t="shared" si="2"/>
        <v>49498473.933974415</v>
      </c>
      <c r="P42" s="6">
        <f t="shared" si="2"/>
        <v>46196523.435271665</v>
      </c>
      <c r="Q42" s="6">
        <f t="shared" si="2"/>
        <v>33483232.360359009</v>
      </c>
      <c r="R42" s="6">
        <f t="shared" si="2"/>
        <v>27366307.939543024</v>
      </c>
      <c r="S42" s="6">
        <f t="shared" si="2"/>
        <v>70799740.51627259</v>
      </c>
      <c r="T42" s="6">
        <f t="shared" si="2"/>
        <v>37589476.475550205</v>
      </c>
      <c r="U42" s="6">
        <f t="shared" si="2"/>
        <v>43992669.613258786</v>
      </c>
      <c r="V42" s="6">
        <f t="shared" si="2"/>
        <v>19673443.041184835</v>
      </c>
      <c r="W42" s="6">
        <f t="shared" si="2"/>
        <v>36639259.952099994</v>
      </c>
      <c r="X42" s="6">
        <f t="shared" si="2"/>
        <v>20586909.188922547</v>
      </c>
      <c r="Y42" s="6">
        <f t="shared" si="2"/>
        <v>5378119.9456907809</v>
      </c>
      <c r="Z42" s="6">
        <f t="shared" si="2"/>
        <v>25782374.773653328</v>
      </c>
      <c r="AA42" s="6">
        <f t="shared" si="2"/>
        <v>-412986.77468538284</v>
      </c>
      <c r="AB42" s="6">
        <f t="shared" si="2"/>
        <v>25293942.767210051</v>
      </c>
      <c r="AC42" s="6">
        <f t="shared" si="2"/>
        <v>32203574.979027778</v>
      </c>
      <c r="AD42" s="6">
        <f t="shared" si="2"/>
        <v>9175528.3472856283</v>
      </c>
      <c r="AE42" s="6">
        <f t="shared" si="2"/>
        <v>29046168.689717546</v>
      </c>
      <c r="AI42" s="2" t="s">
        <v>17</v>
      </c>
      <c r="AJ42" s="6">
        <v>63358719.963625528</v>
      </c>
      <c r="AK42" s="6">
        <v>78514720.1748503</v>
      </c>
      <c r="AL42" s="6">
        <v>96226319.584931761</v>
      </c>
      <c r="AM42" s="6">
        <v>116721506.58600602</v>
      </c>
      <c r="AN42" s="6">
        <f t="shared" si="0"/>
        <v>53362786.622380488</v>
      </c>
      <c r="AO42" s="3">
        <f t="shared" si="1"/>
        <v>0.84223271324004423</v>
      </c>
    </row>
    <row r="43" spans="1:61" x14ac:dyDescent="0.25">
      <c r="A43" s="1" t="s">
        <v>1</v>
      </c>
      <c r="B43" s="3">
        <f t="shared" ref="B43:AE43" si="3">B42/B38</f>
        <v>0.45184470940814164</v>
      </c>
      <c r="C43" s="3">
        <f t="shared" si="3"/>
        <v>0.25048855036717349</v>
      </c>
      <c r="D43" s="3">
        <f t="shared" si="3"/>
        <v>0.12463732307594261</v>
      </c>
      <c r="E43" s="3">
        <f t="shared" si="3"/>
        <v>-5.1061265047873013E-2</v>
      </c>
      <c r="F43" s="3">
        <f t="shared" si="3"/>
        <v>0.12361087988338705</v>
      </c>
      <c r="G43" s="3">
        <f t="shared" si="3"/>
        <v>0.36073900070393183</v>
      </c>
      <c r="H43" s="3">
        <f t="shared" si="3"/>
        <v>0.74644899944078702</v>
      </c>
      <c r="I43" s="3">
        <f t="shared" si="3"/>
        <v>0.63650338674167106</v>
      </c>
      <c r="J43" s="3">
        <f t="shared" si="3"/>
        <v>0.2526614947726088</v>
      </c>
      <c r="K43" s="3">
        <f t="shared" si="3"/>
        <v>0.19583335128977827</v>
      </c>
      <c r="L43" s="3">
        <f t="shared" si="3"/>
        <v>0.34769364209161463</v>
      </c>
      <c r="M43" s="3">
        <f t="shared" si="3"/>
        <v>0.84223271324004423</v>
      </c>
      <c r="N43" s="3">
        <f t="shared" si="3"/>
        <v>0.83517651155352557</v>
      </c>
      <c r="O43" s="3">
        <f t="shared" si="3"/>
        <v>1.0614505743994884</v>
      </c>
      <c r="P43" s="3">
        <f t="shared" si="3"/>
        <v>0.58242237020106669</v>
      </c>
      <c r="Q43" s="3">
        <f t="shared" si="3"/>
        <v>1.2530004863677058</v>
      </c>
      <c r="R43" s="3">
        <f t="shared" si="3"/>
        <v>0.36113919155841101</v>
      </c>
      <c r="S43" s="3">
        <f t="shared" si="3"/>
        <v>1.6905231163074186</v>
      </c>
      <c r="T43" s="3">
        <f t="shared" si="3"/>
        <v>0.52998528200592365</v>
      </c>
      <c r="U43" s="3">
        <f t="shared" si="3"/>
        <v>0.91063155184590017</v>
      </c>
      <c r="V43" s="3">
        <f t="shared" si="3"/>
        <v>0.35444538299123091</v>
      </c>
      <c r="W43" s="3">
        <f t="shared" si="3"/>
        <v>0.70332127933843192</v>
      </c>
      <c r="X43" s="3">
        <f t="shared" si="3"/>
        <v>0.52438704475269093</v>
      </c>
      <c r="Y43" s="3">
        <f t="shared" si="3"/>
        <v>2.8320109615850082E-2</v>
      </c>
      <c r="Z43" s="3">
        <f t="shared" si="3"/>
        <v>0.16842605165848371</v>
      </c>
      <c r="AA43" s="3">
        <f t="shared" si="3"/>
        <v>-1.8685509323799784E-3</v>
      </c>
      <c r="AB43" s="3">
        <f t="shared" si="3"/>
        <v>0.19273254215870481</v>
      </c>
      <c r="AC43" s="3">
        <f t="shared" si="3"/>
        <v>0.41213629053102191</v>
      </c>
      <c r="AD43" s="3">
        <f t="shared" si="3"/>
        <v>6.5831958112691102E-2</v>
      </c>
      <c r="AE43" s="3">
        <f t="shared" si="3"/>
        <v>0.73919005032236829</v>
      </c>
      <c r="AI43" s="2" t="s">
        <v>18</v>
      </c>
      <c r="AJ43" s="6">
        <v>60541496.890441902</v>
      </c>
      <c r="AK43" s="6">
        <v>99995619.969075099</v>
      </c>
      <c r="AL43" s="6">
        <v>99949999.192872673</v>
      </c>
      <c r="AM43" s="6">
        <v>111104333.06762978</v>
      </c>
      <c r="AN43" s="6">
        <f t="shared" si="0"/>
        <v>50562836.177187882</v>
      </c>
      <c r="AO43" s="3">
        <f t="shared" si="1"/>
        <v>0.83517651155352557</v>
      </c>
    </row>
    <row r="44" spans="1:61" x14ac:dyDescent="0.25">
      <c r="A44" s="1" t="s">
        <v>2</v>
      </c>
      <c r="B44" s="6">
        <f t="shared" ref="B44:AE44" si="4">B39-B38</f>
        <v>1422683.7121693268</v>
      </c>
      <c r="C44" s="6">
        <f t="shared" si="4"/>
        <v>-4287217.2064054944</v>
      </c>
      <c r="D44" s="6">
        <f t="shared" si="4"/>
        <v>327039.91549587995</v>
      </c>
      <c r="E44" s="6">
        <f t="shared" si="4"/>
        <v>-12084309.38194707</v>
      </c>
      <c r="F44" s="6">
        <f t="shared" si="4"/>
        <v>256621.010479182</v>
      </c>
      <c r="G44" s="6">
        <f t="shared" si="4"/>
        <v>23403619.685480714</v>
      </c>
      <c r="H44" s="6">
        <f t="shared" si="4"/>
        <v>31403377.279522739</v>
      </c>
      <c r="I44" s="6">
        <f t="shared" si="4"/>
        <v>21982113.433704227</v>
      </c>
      <c r="J44" s="6">
        <f t="shared" si="4"/>
        <v>25094899.26965858</v>
      </c>
      <c r="K44" s="6">
        <f t="shared" si="4"/>
        <v>-22673305.717986315</v>
      </c>
      <c r="L44" s="6">
        <f t="shared" si="4"/>
        <v>23597448.95762229</v>
      </c>
      <c r="M44" s="6">
        <f t="shared" si="4"/>
        <v>15156000.211224772</v>
      </c>
      <c r="N44" s="6">
        <f t="shared" si="4"/>
        <v>39454123.078633197</v>
      </c>
      <c r="O44" s="6">
        <f t="shared" si="4"/>
        <v>38444864.854572579</v>
      </c>
      <c r="P44" s="6">
        <f t="shared" si="4"/>
        <v>9014998.3164724261</v>
      </c>
      <c r="Q44" s="6">
        <f t="shared" si="4"/>
        <v>12015439.015189406</v>
      </c>
      <c r="R44" s="6">
        <f t="shared" si="4"/>
        <v>-7599258.0813875645</v>
      </c>
      <c r="S44" s="6">
        <f t="shared" si="4"/>
        <v>44513944.324758172</v>
      </c>
      <c r="T44" s="6">
        <f t="shared" si="4"/>
        <v>32715615.329981834</v>
      </c>
      <c r="U44" s="6">
        <f t="shared" si="4"/>
        <v>33332950.030757941</v>
      </c>
      <c r="V44" s="6">
        <f t="shared" si="4"/>
        <v>22946602.121950902</v>
      </c>
      <c r="W44" s="6">
        <f t="shared" si="4"/>
        <v>22883116.939373091</v>
      </c>
      <c r="X44" s="6">
        <f t="shared" si="4"/>
        <v>27532711.25900542</v>
      </c>
      <c r="Y44" s="6">
        <f t="shared" si="4"/>
        <v>-7635139.8268581629</v>
      </c>
      <c r="Z44" s="6">
        <f t="shared" si="4"/>
        <v>-7368431.9863609076</v>
      </c>
      <c r="AA44" s="6">
        <f t="shared" si="4"/>
        <v>-12298906.723292023</v>
      </c>
      <c r="AB44" s="6">
        <f t="shared" si="4"/>
        <v>5804428.431515947</v>
      </c>
      <c r="AC44" s="6">
        <f t="shared" si="4"/>
        <v>22080475.204931676</v>
      </c>
      <c r="AD44" s="6">
        <f t="shared" si="4"/>
        <v>-9478502.6901079863</v>
      </c>
      <c r="AE44" s="6">
        <f t="shared" si="4"/>
        <v>19741369.206746668</v>
      </c>
      <c r="AI44" s="2" t="s">
        <v>12</v>
      </c>
      <c r="AJ44" s="6">
        <v>54361160.796449788</v>
      </c>
      <c r="AK44" s="6">
        <v>85764538.075972527</v>
      </c>
      <c r="AL44" s="6">
        <v>77395591.712898046</v>
      </c>
      <c r="AM44" s="6">
        <v>94938994.881399468</v>
      </c>
      <c r="AN44" s="6">
        <f t="shared" si="0"/>
        <v>40577834.08494968</v>
      </c>
      <c r="AO44" s="3">
        <f t="shared" si="1"/>
        <v>0.74644899944078702</v>
      </c>
    </row>
    <row r="45" spans="1:61" x14ac:dyDescent="0.25">
      <c r="A45" s="1" t="s">
        <v>1</v>
      </c>
      <c r="B45" s="3">
        <f t="shared" ref="B45:AE45" si="5">B44/B38</f>
        <v>4.2910168444003992E-2</v>
      </c>
      <c r="C45" s="3">
        <f t="shared" si="5"/>
        <v>-0.18338836576249698</v>
      </c>
      <c r="D45" s="3">
        <f t="shared" si="5"/>
        <v>1.7008579040041868E-2</v>
      </c>
      <c r="E45" s="3">
        <f t="shared" si="5"/>
        <v>-9.4838933328863076E-2</v>
      </c>
      <c r="F45" s="3">
        <f t="shared" si="5"/>
        <v>3.1195015406824565E-3</v>
      </c>
      <c r="G45" s="3">
        <f t="shared" si="5"/>
        <v>0.31012570941099904</v>
      </c>
      <c r="H45" s="3">
        <f t="shared" si="5"/>
        <v>0.57768040305669166</v>
      </c>
      <c r="I45" s="3">
        <f t="shared" si="5"/>
        <v>0.25668824983958366</v>
      </c>
      <c r="J45" s="3">
        <f t="shared" si="5"/>
        <v>0.27109453387204568</v>
      </c>
      <c r="K45" s="3">
        <f t="shared" si="5"/>
        <v>-0.19483747177851543</v>
      </c>
      <c r="L45" s="3">
        <f t="shared" si="5"/>
        <v>0.34088844852755268</v>
      </c>
      <c r="M45" s="3">
        <f t="shared" si="5"/>
        <v>0.2392093814383543</v>
      </c>
      <c r="N45" s="3">
        <f t="shared" si="5"/>
        <v>0.6516872741027665</v>
      </c>
      <c r="O45" s="3">
        <f t="shared" si="5"/>
        <v>0.82441579788963404</v>
      </c>
      <c r="P45" s="3">
        <f t="shared" si="5"/>
        <v>0.11365653292493524</v>
      </c>
      <c r="Q45" s="3">
        <f t="shared" si="5"/>
        <v>0.44963851661400378</v>
      </c>
      <c r="R45" s="3">
        <f t="shared" si="5"/>
        <v>-0.10028352841818726</v>
      </c>
      <c r="S45" s="3">
        <f t="shared" si="5"/>
        <v>1.0628831593207499</v>
      </c>
      <c r="T45" s="3">
        <f t="shared" si="5"/>
        <v>0.46126725462472545</v>
      </c>
      <c r="U45" s="3">
        <f t="shared" si="5"/>
        <v>0.68997940522715318</v>
      </c>
      <c r="V45" s="3">
        <f t="shared" si="5"/>
        <v>0.41341605332812398</v>
      </c>
      <c r="W45" s="3">
        <f t="shared" si="5"/>
        <v>0.43926059374811088</v>
      </c>
      <c r="X45" s="3">
        <f t="shared" si="5"/>
        <v>0.70130960207021842</v>
      </c>
      <c r="Y45" s="3">
        <f t="shared" si="5"/>
        <v>-4.0205127258684234E-2</v>
      </c>
      <c r="Z45" s="3">
        <f t="shared" si="5"/>
        <v>-4.8135050291994219E-2</v>
      </c>
      <c r="AA45" s="3">
        <f t="shared" si="5"/>
        <v>-5.5646173276538785E-2</v>
      </c>
      <c r="AB45" s="3">
        <f t="shared" si="5"/>
        <v>4.4228069055116552E-2</v>
      </c>
      <c r="AC45" s="3">
        <f t="shared" si="5"/>
        <v>0.28258245086295941</v>
      </c>
      <c r="AD45" s="3">
        <f t="shared" si="5"/>
        <v>-6.8005717867005627E-2</v>
      </c>
      <c r="AE45" s="3">
        <f t="shared" si="5"/>
        <v>0.50239409724744066</v>
      </c>
      <c r="AI45" s="1" t="s">
        <v>39</v>
      </c>
      <c r="AJ45" s="6">
        <v>39294588.282201871</v>
      </c>
      <c r="AK45" s="6">
        <v>59035957.488948539</v>
      </c>
      <c r="AL45" s="6">
        <v>58725539.365524359</v>
      </c>
      <c r="AM45" s="6">
        <v>68340756.971919417</v>
      </c>
      <c r="AN45" s="6">
        <f t="shared" si="0"/>
        <v>29046168.689717546</v>
      </c>
      <c r="AO45" s="3">
        <f t="shared" si="1"/>
        <v>0.73919005032236829</v>
      </c>
    </row>
    <row r="46" spans="1:61" ht="14.25" customHeight="1" x14ac:dyDescent="0.25">
      <c r="A46" s="1" t="s">
        <v>0</v>
      </c>
      <c r="B46" s="6">
        <f t="shared" ref="B46:AE46" si="6">B40-B39</f>
        <v>431433.23581712693</v>
      </c>
      <c r="C46" s="6">
        <f t="shared" si="6"/>
        <v>6234251.1114630178</v>
      </c>
      <c r="D46" s="6">
        <f t="shared" si="6"/>
        <v>2370523.4078784361</v>
      </c>
      <c r="E46" s="6">
        <f t="shared" si="6"/>
        <v>813461.17565260828</v>
      </c>
      <c r="F46" s="6">
        <f t="shared" si="6"/>
        <v>2663033.9324689955</v>
      </c>
      <c r="G46" s="6">
        <f t="shared" si="6"/>
        <v>-1526061.4643059373</v>
      </c>
      <c r="H46" s="6">
        <f t="shared" si="6"/>
        <v>-8368946.3630744815</v>
      </c>
      <c r="I46" s="6">
        <f t="shared" si="6"/>
        <v>34960037.122709528</v>
      </c>
      <c r="J46" s="6">
        <f t="shared" si="6"/>
        <v>865600.84908999503</v>
      </c>
      <c r="K46" s="6">
        <f t="shared" si="6"/>
        <v>15128043.451643452</v>
      </c>
      <c r="L46" s="6">
        <f t="shared" si="6"/>
        <v>5702368.7531139106</v>
      </c>
      <c r="M46" s="6">
        <f t="shared" si="6"/>
        <v>17711599.410081461</v>
      </c>
      <c r="N46" s="6">
        <f t="shared" si="6"/>
        <v>-45620.776202425361</v>
      </c>
      <c r="O46" s="6">
        <f t="shared" si="6"/>
        <v>1874199.2932976633</v>
      </c>
      <c r="P46" s="6">
        <f t="shared" si="6"/>
        <v>9192701.5586156249</v>
      </c>
      <c r="Q46" s="6">
        <f t="shared" si="6"/>
        <v>17553900.120872974</v>
      </c>
      <c r="R46" s="6">
        <f t="shared" si="6"/>
        <v>921607.848553285</v>
      </c>
      <c r="S46" s="6">
        <f t="shared" si="6"/>
        <v>-7399251.0104884505</v>
      </c>
      <c r="T46" s="6">
        <f t="shared" si="6"/>
        <v>-6805134.7234210074</v>
      </c>
      <c r="U46" s="6">
        <f t="shared" si="6"/>
        <v>-17984880.964211904</v>
      </c>
      <c r="V46" s="6">
        <f t="shared" si="6"/>
        <v>-19241989.220313489</v>
      </c>
      <c r="W46" s="6">
        <f t="shared" si="6"/>
        <v>5659902.228785187</v>
      </c>
      <c r="X46" s="6">
        <f t="shared" si="6"/>
        <v>-6893651.654296793</v>
      </c>
      <c r="Y46" s="6">
        <f t="shared" si="6"/>
        <v>23141421.370263875</v>
      </c>
      <c r="Z46" s="6">
        <f t="shared" si="6"/>
        <v>25167679.014560044</v>
      </c>
      <c r="AA46" s="6">
        <f t="shared" si="6"/>
        <v>16490812.134420276</v>
      </c>
      <c r="AB46" s="6">
        <f t="shared" si="6"/>
        <v>8717508.5220423341</v>
      </c>
      <c r="AC46" s="6">
        <f t="shared" si="6"/>
        <v>1791771.7519705743</v>
      </c>
      <c r="AD46" s="6">
        <f t="shared" si="6"/>
        <v>18421317.552450225</v>
      </c>
      <c r="AE46" s="6">
        <f t="shared" si="6"/>
        <v>-310418.12342417985</v>
      </c>
      <c r="AI46" s="2" t="s">
        <v>30</v>
      </c>
      <c r="AJ46" s="6">
        <v>52094627.346643254</v>
      </c>
      <c r="AK46" s="6">
        <v>74977744.286016345</v>
      </c>
      <c r="AL46" s="6">
        <v>80637646.514801532</v>
      </c>
      <c r="AM46" s="6">
        <v>88733887.298743248</v>
      </c>
      <c r="AN46" s="6">
        <f t="shared" si="0"/>
        <v>36639259.952099994</v>
      </c>
      <c r="AO46" s="3">
        <f t="shared" si="1"/>
        <v>0.70332127933843192</v>
      </c>
    </row>
    <row r="47" spans="1:61" x14ac:dyDescent="0.25">
      <c r="A47" s="1" t="s">
        <v>1</v>
      </c>
      <c r="B47" s="3">
        <f t="shared" ref="B47:AE47" si="7">B46/B39</f>
        <v>1.2477240789971058E-2</v>
      </c>
      <c r="C47" s="3">
        <f t="shared" si="7"/>
        <v>0.32656152968550378</v>
      </c>
      <c r="D47" s="3">
        <f t="shared" si="7"/>
        <v>0.12122352328106317</v>
      </c>
      <c r="E47" s="3">
        <f t="shared" si="7"/>
        <v>7.0530309514593445E-3</v>
      </c>
      <c r="F47" s="3">
        <f t="shared" si="7"/>
        <v>3.2271341595809071E-2</v>
      </c>
      <c r="G47" s="3">
        <f t="shared" si="7"/>
        <v>-1.5435254522958325E-2</v>
      </c>
      <c r="H47" s="3">
        <f t="shared" si="7"/>
        <v>-9.7580498313429312E-2</v>
      </c>
      <c r="I47" s="3">
        <f t="shared" si="7"/>
        <v>0.32484850690676187</v>
      </c>
      <c r="J47" s="3">
        <f t="shared" si="7"/>
        <v>7.3565658503381547E-3</v>
      </c>
      <c r="K47" s="3">
        <f t="shared" si="7"/>
        <v>0.16145698931679486</v>
      </c>
      <c r="L47" s="3">
        <f t="shared" si="7"/>
        <v>6.1434153464748197E-2</v>
      </c>
      <c r="M47" s="3">
        <f t="shared" si="7"/>
        <v>0.2255831692533346</v>
      </c>
      <c r="N47" s="3">
        <f t="shared" si="7"/>
        <v>-4.5622774494056997E-4</v>
      </c>
      <c r="O47" s="3">
        <f t="shared" si="7"/>
        <v>2.2029260186048311E-2</v>
      </c>
      <c r="P47" s="3">
        <f t="shared" si="7"/>
        <v>0.10406882371144419</v>
      </c>
      <c r="Q47" s="3">
        <f t="shared" si="7"/>
        <v>0.45314559878169458</v>
      </c>
      <c r="R47" s="3">
        <f t="shared" si="7"/>
        <v>1.3517578650682333E-2</v>
      </c>
      <c r="S47" s="3">
        <f t="shared" si="7"/>
        <v>-8.5645111233956531E-2</v>
      </c>
      <c r="T47" s="3">
        <f t="shared" si="7"/>
        <v>-6.5660563745510214E-2</v>
      </c>
      <c r="U47" s="3">
        <f t="shared" si="7"/>
        <v>-0.2202868294432522</v>
      </c>
      <c r="V47" s="3">
        <f t="shared" si="7"/>
        <v>-0.24527252312311906</v>
      </c>
      <c r="W47" s="3">
        <f t="shared" si="7"/>
        <v>7.5487763504786864E-2</v>
      </c>
      <c r="X47" s="3">
        <f t="shared" si="7"/>
        <v>-0.10321119011379309</v>
      </c>
      <c r="Y47" s="3">
        <f t="shared" si="7"/>
        <v>0.12696267112234991</v>
      </c>
      <c r="Z47" s="3">
        <f t="shared" si="7"/>
        <v>0.17272459456083639</v>
      </c>
      <c r="AA47" s="3">
        <f t="shared" si="7"/>
        <v>7.9008914603643288E-2</v>
      </c>
      <c r="AB47" s="3">
        <f t="shared" si="7"/>
        <v>6.3611485249395583E-2</v>
      </c>
      <c r="AC47" s="3">
        <f t="shared" si="7"/>
        <v>1.7878626999241726E-2</v>
      </c>
      <c r="AD47" s="3">
        <f t="shared" si="7"/>
        <v>0.14181204927345389</v>
      </c>
      <c r="AE47" s="3">
        <f t="shared" si="7"/>
        <v>-5.2581195703023829E-3</v>
      </c>
      <c r="AI47" s="2" t="s">
        <v>13</v>
      </c>
      <c r="AJ47" s="6">
        <v>85637396.520650491</v>
      </c>
      <c r="AK47" s="6">
        <v>107619509.95435472</v>
      </c>
      <c r="AL47" s="6">
        <v>142579547.07706425</v>
      </c>
      <c r="AM47" s="6">
        <v>140145889.43778393</v>
      </c>
      <c r="AN47" s="6">
        <f t="shared" si="0"/>
        <v>54508492.917133436</v>
      </c>
      <c r="AO47" s="3">
        <f t="shared" si="1"/>
        <v>0.63650338674167106</v>
      </c>
    </row>
    <row r="48" spans="1:61" x14ac:dyDescent="0.25">
      <c r="A48" s="1" t="s">
        <v>48</v>
      </c>
      <c r="B48" s="6">
        <f t="shared" ref="B48:AE48" si="8">B41-B40</f>
        <v>13126763.617507368</v>
      </c>
      <c r="C48" s="6">
        <f t="shared" si="8"/>
        <v>3908838.2418839186</v>
      </c>
      <c r="D48" s="6">
        <f t="shared" si="8"/>
        <v>-301044.51304760575</v>
      </c>
      <c r="E48" s="6">
        <f t="shared" si="8"/>
        <v>4764658.1573991179</v>
      </c>
      <c r="F48" s="6">
        <f t="shared" si="8"/>
        <v>7249004.5329999924</v>
      </c>
      <c r="G48" s="6">
        <f t="shared" si="8"/>
        <v>5345590.7213287055</v>
      </c>
      <c r="H48" s="6">
        <f t="shared" si="8"/>
        <v>17543403.168501422</v>
      </c>
      <c r="I48" s="6">
        <f t="shared" si="8"/>
        <v>-2433657.6392803192</v>
      </c>
      <c r="J48" s="6">
        <f t="shared" si="8"/>
        <v>-2571925.4024739414</v>
      </c>
      <c r="K48" s="6">
        <f t="shared" si="8"/>
        <v>30334458.836386681</v>
      </c>
      <c r="L48" s="6">
        <f t="shared" si="8"/>
        <v>-5231290.2860425562</v>
      </c>
      <c r="M48" s="6">
        <f t="shared" si="8"/>
        <v>20495187.001074255</v>
      </c>
      <c r="N48" s="6">
        <f t="shared" si="8"/>
        <v>11154333.874757111</v>
      </c>
      <c r="O48" s="6">
        <f t="shared" si="8"/>
        <v>9179409.7861041725</v>
      </c>
      <c r="P48" s="6">
        <f t="shared" si="8"/>
        <v>27988823.560183614</v>
      </c>
      <c r="Q48" s="6">
        <f t="shared" si="8"/>
        <v>3913893.2242966294</v>
      </c>
      <c r="R48" s="6">
        <f t="shared" si="8"/>
        <v>34043958.172377303</v>
      </c>
      <c r="S48" s="6">
        <f t="shared" si="8"/>
        <v>33685047.202002868</v>
      </c>
      <c r="T48" s="6">
        <f t="shared" si="8"/>
        <v>11678995.868989378</v>
      </c>
      <c r="U48" s="6">
        <f t="shared" si="8"/>
        <v>28644600.546712749</v>
      </c>
      <c r="V48" s="6">
        <f t="shared" si="8"/>
        <v>15968830.139547423</v>
      </c>
      <c r="W48" s="6">
        <f t="shared" si="8"/>
        <v>8096240.783941716</v>
      </c>
      <c r="X48" s="6">
        <f t="shared" si="8"/>
        <v>-52150.415786080062</v>
      </c>
      <c r="Y48" s="6">
        <f t="shared" si="8"/>
        <v>-10128161.597714931</v>
      </c>
      <c r="Z48" s="6">
        <f t="shared" si="8"/>
        <v>7983127.7454541922</v>
      </c>
      <c r="AA48" s="6">
        <f t="shared" si="8"/>
        <v>-4604892.1858136356</v>
      </c>
      <c r="AB48" s="6">
        <f t="shared" si="8"/>
        <v>10772005.81365177</v>
      </c>
      <c r="AC48" s="6">
        <f t="shared" si="8"/>
        <v>8331328.0221255273</v>
      </c>
      <c r="AD48" s="6">
        <f t="shared" si="8"/>
        <v>232713.48494338989</v>
      </c>
      <c r="AE48" s="6">
        <f t="shared" si="8"/>
        <v>9615217.6063950583</v>
      </c>
      <c r="AI48" s="2" t="s">
        <v>20</v>
      </c>
      <c r="AJ48" s="6">
        <v>79317907.070299298</v>
      </c>
      <c r="AK48" s="6">
        <v>88332905.386771724</v>
      </c>
      <c r="AL48" s="6">
        <v>97525606.945387349</v>
      </c>
      <c r="AM48" s="6">
        <v>125514430.50557096</v>
      </c>
      <c r="AN48" s="6">
        <f t="shared" si="0"/>
        <v>46196523.435271665</v>
      </c>
      <c r="AO48" s="3">
        <f t="shared" si="1"/>
        <v>0.58242237020106669</v>
      </c>
    </row>
    <row r="49" spans="1:41" x14ac:dyDescent="0.25">
      <c r="A49" s="1" t="s">
        <v>1</v>
      </c>
      <c r="B49" s="3">
        <f t="shared" ref="B49:AE49" si="9">B48/B40</f>
        <v>0.3749534492662342</v>
      </c>
      <c r="C49" s="3">
        <f t="shared" si="9"/>
        <v>0.15434800848996777</v>
      </c>
      <c r="D49" s="3">
        <f t="shared" si="9"/>
        <v>-1.3730336137905594E-2</v>
      </c>
      <c r="E49" s="3">
        <f t="shared" si="9"/>
        <v>4.1022145076832842E-2</v>
      </c>
      <c r="F49" s="3">
        <f t="shared" si="9"/>
        <v>8.509907139424068E-2</v>
      </c>
      <c r="G49" s="3">
        <f t="shared" si="9"/>
        <v>5.4915278834744799E-2</v>
      </c>
      <c r="H49" s="3">
        <f t="shared" si="9"/>
        <v>0.22667186567394376</v>
      </c>
      <c r="I49" s="3">
        <f t="shared" si="9"/>
        <v>-1.7068771006580118E-2</v>
      </c>
      <c r="J49" s="3">
        <f t="shared" si="9"/>
        <v>-2.1698644243623284E-2</v>
      </c>
      <c r="K49" s="3">
        <f t="shared" si="9"/>
        <v>0.27874507737029919</v>
      </c>
      <c r="L49" s="3">
        <f t="shared" si="9"/>
        <v>-5.3097043792492311E-2</v>
      </c>
      <c r="M49" s="3">
        <f t="shared" si="9"/>
        <v>0.2129894096488299</v>
      </c>
      <c r="N49" s="3">
        <f t="shared" si="9"/>
        <v>0.11159913921792722</v>
      </c>
      <c r="O49" s="3">
        <f t="shared" si="9"/>
        <v>0.1055687966058789</v>
      </c>
      <c r="P49" s="3">
        <f t="shared" si="9"/>
        <v>0.28698948344773562</v>
      </c>
      <c r="Q49" s="3">
        <f t="shared" si="9"/>
        <v>6.9528680226061693E-2</v>
      </c>
      <c r="R49" s="3">
        <f t="shared" si="9"/>
        <v>0.49267610941481899</v>
      </c>
      <c r="S49" s="3">
        <f t="shared" si="9"/>
        <v>0.4264196273197482</v>
      </c>
      <c r="T49" s="3">
        <f t="shared" si="9"/>
        <v>0.12060594189115012</v>
      </c>
      <c r="U49" s="3">
        <f t="shared" si="9"/>
        <v>0.44997549631908673</v>
      </c>
      <c r="V49" s="3">
        <f t="shared" si="9"/>
        <v>0.26970057455645596</v>
      </c>
      <c r="W49" s="3">
        <f t="shared" si="9"/>
        <v>0.10040274157127839</v>
      </c>
      <c r="X49" s="3">
        <f t="shared" si="9"/>
        <v>-8.7065289127103004E-4</v>
      </c>
      <c r="Y49" s="3">
        <f t="shared" si="9"/>
        <v>-4.930683335417068E-2</v>
      </c>
      <c r="Z49" s="3">
        <f t="shared" si="9"/>
        <v>4.6718410794050168E-2</v>
      </c>
      <c r="AA49" s="3">
        <f t="shared" si="9"/>
        <v>-2.044694765797855E-2</v>
      </c>
      <c r="AB49" s="3">
        <f t="shared" si="9"/>
        <v>7.3902089217922934E-2</v>
      </c>
      <c r="AC49" s="3">
        <f t="shared" si="9"/>
        <v>8.1671346715118553E-2</v>
      </c>
      <c r="AD49" s="3">
        <f t="shared" si="9"/>
        <v>1.5689870966137331E-3</v>
      </c>
      <c r="AE49" s="3">
        <f t="shared" si="9"/>
        <v>0.16373144819577093</v>
      </c>
      <c r="AI49" s="2" t="s">
        <v>27</v>
      </c>
      <c r="AJ49" s="6">
        <v>70925510.107146829</v>
      </c>
      <c r="AK49" s="6">
        <v>103641125.43712866</v>
      </c>
      <c r="AL49" s="6">
        <v>96835990.713707656</v>
      </c>
      <c r="AM49" s="6">
        <v>108514986.58269703</v>
      </c>
      <c r="AN49" s="6">
        <f t="shared" si="0"/>
        <v>37589476.475550205</v>
      </c>
      <c r="AO49" s="3">
        <f t="shared" si="1"/>
        <v>0.52998528200592365</v>
      </c>
    </row>
    <row r="50" spans="1:41" x14ac:dyDescent="0.25">
      <c r="A50" s="1" t="s">
        <v>49</v>
      </c>
      <c r="B50" s="6">
        <v>42929</v>
      </c>
      <c r="C50" s="6">
        <v>16674</v>
      </c>
      <c r="D50" s="6">
        <v>13398</v>
      </c>
      <c r="E50" s="6">
        <v>67933</v>
      </c>
      <c r="F50" s="6">
        <v>58163</v>
      </c>
      <c r="G50" s="6">
        <v>65566</v>
      </c>
      <c r="H50" s="6">
        <v>64783</v>
      </c>
      <c r="I50" s="6">
        <v>109049</v>
      </c>
      <c r="J50" s="6">
        <v>67227</v>
      </c>
      <c r="K50" s="6">
        <v>101040</v>
      </c>
      <c r="L50" s="6">
        <v>62689</v>
      </c>
      <c r="M50" s="6">
        <v>99312</v>
      </c>
      <c r="N50" s="6">
        <v>67909</v>
      </c>
      <c r="O50" s="6">
        <v>53157</v>
      </c>
      <c r="P50" s="6">
        <v>117398</v>
      </c>
      <c r="Q50" s="6">
        <v>38837</v>
      </c>
      <c r="R50" s="6">
        <v>95853</v>
      </c>
      <c r="S50" s="6">
        <v>115736</v>
      </c>
      <c r="T50" s="6">
        <v>64469</v>
      </c>
      <c r="U50" s="6">
        <v>70419</v>
      </c>
      <c r="V50" s="6">
        <v>82968</v>
      </c>
      <c r="W50" s="6">
        <v>53046</v>
      </c>
      <c r="X50" s="6">
        <v>56710</v>
      </c>
      <c r="Y50" s="6">
        <v>129081</v>
      </c>
      <c r="Z50" s="6">
        <v>157953</v>
      </c>
      <c r="AA50" s="6">
        <v>193661</v>
      </c>
      <c r="AB50" s="6">
        <v>118450</v>
      </c>
      <c r="AC50" s="6">
        <v>86786</v>
      </c>
      <c r="AD50" s="6">
        <v>192233</v>
      </c>
      <c r="AE50" s="6">
        <v>68208</v>
      </c>
      <c r="AF50" s="6"/>
      <c r="AI50" s="2" t="s">
        <v>31</v>
      </c>
      <c r="AJ50" s="6">
        <v>39258996.565469407</v>
      </c>
      <c r="AK50" s="6">
        <v>66791707.824474826</v>
      </c>
      <c r="AL50" s="6">
        <v>59898056.170178033</v>
      </c>
      <c r="AM50" s="6">
        <v>59845905.754391953</v>
      </c>
      <c r="AN50" s="6">
        <f t="shared" si="0"/>
        <v>20586909.188922547</v>
      </c>
      <c r="AO50" s="3">
        <f t="shared" si="1"/>
        <v>0.52438704475269093</v>
      </c>
    </row>
    <row r="51" spans="1:41" x14ac:dyDescent="0.25">
      <c r="A51" s="1" t="s">
        <v>53</v>
      </c>
      <c r="B51" s="6">
        <f>B41/B50</f>
        <v>1121.2889295338507</v>
      </c>
      <c r="C51" s="6">
        <f t="shared" ref="C51:AE51" si="10">C41/C50</f>
        <v>1753.2491181768285</v>
      </c>
      <c r="D51" s="6">
        <f t="shared" si="10"/>
        <v>1614.0063838115993</v>
      </c>
      <c r="E51" s="6">
        <f t="shared" si="10"/>
        <v>1779.8875095813489</v>
      </c>
      <c r="F51" s="6">
        <f t="shared" si="10"/>
        <v>1589.1911691783366</v>
      </c>
      <c r="G51" s="6">
        <f t="shared" si="10"/>
        <v>1566.1790288552709</v>
      </c>
      <c r="H51" s="6">
        <f t="shared" si="10"/>
        <v>1465.4924113023396</v>
      </c>
      <c r="I51" s="6">
        <f t="shared" si="10"/>
        <v>1285.1643704920166</v>
      </c>
      <c r="J51" s="6">
        <f t="shared" si="10"/>
        <v>1724.8633425775051</v>
      </c>
      <c r="K51" s="6">
        <f t="shared" si="10"/>
        <v>1377.2718860234597</v>
      </c>
      <c r="L51" s="6">
        <f t="shared" si="10"/>
        <v>1488.1702145085751</v>
      </c>
      <c r="M51" s="6">
        <f t="shared" si="10"/>
        <v>1175.3011376873492</v>
      </c>
      <c r="N51" s="6">
        <f t="shared" si="10"/>
        <v>1636.0767065871944</v>
      </c>
      <c r="O51" s="6">
        <f t="shared" si="10"/>
        <v>1808.4416343392311</v>
      </c>
      <c r="P51" s="6">
        <f t="shared" si="10"/>
        <v>1069.1360202522271</v>
      </c>
      <c r="Q51" s="6">
        <f t="shared" si="10"/>
        <v>1550.2143314670579</v>
      </c>
      <c r="R51" s="6">
        <f t="shared" si="10"/>
        <v>1076.0647799846258</v>
      </c>
      <c r="S51" s="6">
        <f t="shared" si="10"/>
        <v>973.5960686805206</v>
      </c>
      <c r="T51" s="6">
        <f t="shared" si="10"/>
        <v>1683.2118783089086</v>
      </c>
      <c r="U51" s="6">
        <f t="shared" si="10"/>
        <v>1310.7646342714415</v>
      </c>
      <c r="V51" s="6">
        <f t="shared" si="10"/>
        <v>906.11208878972263</v>
      </c>
      <c r="W51" s="6">
        <f t="shared" si="10"/>
        <v>1672.7724484172841</v>
      </c>
      <c r="X51" s="6">
        <f t="shared" si="10"/>
        <v>1055.2972271978831</v>
      </c>
      <c r="Y51" s="6">
        <f t="shared" si="10"/>
        <v>1512.8698275632908</v>
      </c>
      <c r="Z51" s="6">
        <f t="shared" si="10"/>
        <v>1132.3664720799331</v>
      </c>
      <c r="AA51" s="6">
        <f t="shared" si="10"/>
        <v>1139.1391381627288</v>
      </c>
      <c r="AB51" s="6">
        <f t="shared" si="10"/>
        <v>1321.5070526805723</v>
      </c>
      <c r="AC51" s="6">
        <f t="shared" si="10"/>
        <v>1271.4233129266279</v>
      </c>
      <c r="AD51" s="6">
        <f t="shared" si="10"/>
        <v>772.77862807337351</v>
      </c>
      <c r="AE51" s="6">
        <f t="shared" si="10"/>
        <v>1001.946354854554</v>
      </c>
      <c r="AI51" s="2" t="s">
        <v>6</v>
      </c>
      <c r="AJ51" s="6">
        <v>33154931.890464857</v>
      </c>
      <c r="AK51" s="6">
        <v>34577615.602634184</v>
      </c>
      <c r="AL51" s="6">
        <v>35009048.838451311</v>
      </c>
      <c r="AM51" s="6">
        <v>48135812.455958679</v>
      </c>
      <c r="AN51" s="6">
        <f t="shared" si="0"/>
        <v>14980880.565493822</v>
      </c>
      <c r="AO51" s="3">
        <f t="shared" si="1"/>
        <v>0.45184470940814164</v>
      </c>
    </row>
    <row r="52" spans="1:41" x14ac:dyDescent="0.25">
      <c r="AI52" s="1" t="s">
        <v>37</v>
      </c>
      <c r="AJ52" s="6">
        <v>78138168.656622544</v>
      </c>
      <c r="AK52" s="6">
        <v>100218643.86155422</v>
      </c>
      <c r="AL52" s="6">
        <v>102010415.61352479</v>
      </c>
      <c r="AM52" s="6">
        <v>110341743.63565032</v>
      </c>
      <c r="AN52" s="6">
        <f t="shared" si="0"/>
        <v>32203574.979027778</v>
      </c>
      <c r="AO52" s="3">
        <f t="shared" si="1"/>
        <v>0.41213629053102191</v>
      </c>
    </row>
    <row r="53" spans="1:41" x14ac:dyDescent="0.25">
      <c r="A53" s="9"/>
      <c r="AI53" s="2" t="s">
        <v>22</v>
      </c>
      <c r="AJ53" s="6">
        <v>75777729.416323319</v>
      </c>
      <c r="AK53" s="6">
        <v>68178471.334935755</v>
      </c>
      <c r="AL53" s="6">
        <v>69100079.18348904</v>
      </c>
      <c r="AM53" s="6">
        <v>103144037.35586634</v>
      </c>
      <c r="AN53" s="6">
        <f t="shared" si="0"/>
        <v>27366307.939543024</v>
      </c>
      <c r="AO53" s="3">
        <f t="shared" si="1"/>
        <v>0.36113919155841101</v>
      </c>
    </row>
    <row r="54" spans="1:41" x14ac:dyDescent="0.25">
      <c r="AI54" s="2" t="s">
        <v>11</v>
      </c>
      <c r="AJ54" s="6">
        <v>75464945.263421208</v>
      </c>
      <c r="AK54" s="6">
        <v>98868564.948901922</v>
      </c>
      <c r="AL54" s="6">
        <v>97342503.484595984</v>
      </c>
      <c r="AM54" s="6">
        <v>102688094.20592469</v>
      </c>
      <c r="AN54" s="6">
        <f t="shared" si="0"/>
        <v>27223148.942503482</v>
      </c>
      <c r="AO54" s="3">
        <f t="shared" si="1"/>
        <v>0.36073900070393183</v>
      </c>
    </row>
    <row r="55" spans="1:41" x14ac:dyDescent="0.25">
      <c r="A55" s="10"/>
      <c r="B55" s="6"/>
      <c r="C55" s="54" t="s">
        <v>173</v>
      </c>
      <c r="D55" s="54"/>
      <c r="E55" s="54"/>
      <c r="F55" s="54"/>
      <c r="H55" s="16"/>
      <c r="I55" s="16"/>
      <c r="J55" s="16"/>
      <c r="K55" s="16"/>
      <c r="L55" s="16"/>
      <c r="AI55" s="2" t="s">
        <v>29</v>
      </c>
      <c r="AJ55" s="6">
        <v>55504864.741520874</v>
      </c>
      <c r="AK55" s="6">
        <v>78451466.863471776</v>
      </c>
      <c r="AL55" s="6">
        <v>59209477.643158287</v>
      </c>
      <c r="AM55" s="6">
        <v>75178307.782705709</v>
      </c>
      <c r="AN55" s="6">
        <f t="shared" si="0"/>
        <v>19673443.041184835</v>
      </c>
      <c r="AO55" s="3">
        <f t="shared" si="1"/>
        <v>0.35444538299123091</v>
      </c>
    </row>
    <row r="56" spans="1:41" x14ac:dyDescent="0.25">
      <c r="A56" s="21"/>
      <c r="B56" s="1" t="s">
        <v>4</v>
      </c>
      <c r="C56" s="40">
        <v>1990</v>
      </c>
      <c r="D56" s="40">
        <v>2000</v>
      </c>
      <c r="E56" s="40">
        <v>2010</v>
      </c>
      <c r="F56" s="40">
        <v>2015</v>
      </c>
      <c r="G56" s="10" t="s">
        <v>47</v>
      </c>
      <c r="H56" s="10" t="s">
        <v>1</v>
      </c>
      <c r="AI56" s="2" t="s">
        <v>16</v>
      </c>
      <c r="AJ56" s="6">
        <v>69223375.152634427</v>
      </c>
      <c r="AK56" s="6">
        <v>92820824.110256717</v>
      </c>
      <c r="AL56" s="6">
        <v>98523192.863370627</v>
      </c>
      <c r="AM56" s="6">
        <v>93291902.577328071</v>
      </c>
      <c r="AN56" s="6">
        <f t="shared" si="0"/>
        <v>24068527.424693644</v>
      </c>
      <c r="AO56" s="3">
        <f t="shared" si="1"/>
        <v>0.34769364209161463</v>
      </c>
    </row>
    <row r="57" spans="1:41" x14ac:dyDescent="0.25">
      <c r="A57" s="21"/>
      <c r="B57" s="2" t="s">
        <v>23</v>
      </c>
      <c r="C57" s="22">
        <v>41880374.088536143</v>
      </c>
      <c r="D57" s="22">
        <v>86394318.413294315</v>
      </c>
      <c r="E57" s="22">
        <v>78995067.402805865</v>
      </c>
      <c r="F57" s="22">
        <v>112680114.60480873</v>
      </c>
      <c r="G57" s="22">
        <f>F57-C57</f>
        <v>70799740.51627259</v>
      </c>
      <c r="H57" s="39">
        <f>G57/C57</f>
        <v>1.6905231163074186</v>
      </c>
      <c r="AI57" s="2" t="s">
        <v>14</v>
      </c>
      <c r="AJ57" s="6">
        <v>92568813.215183303</v>
      </c>
      <c r="AK57" s="6">
        <v>117663712.48484188</v>
      </c>
      <c r="AL57" s="6">
        <v>118529313.33393188</v>
      </c>
      <c r="AM57" s="6">
        <v>115957387.93145794</v>
      </c>
      <c r="AN57" s="6">
        <f t="shared" si="0"/>
        <v>23388574.716274634</v>
      </c>
      <c r="AO57" s="3">
        <f t="shared" si="1"/>
        <v>0.2526614947726088</v>
      </c>
    </row>
    <row r="58" spans="1:41" x14ac:dyDescent="0.25">
      <c r="A58" s="10"/>
      <c r="B58" s="2" t="s">
        <v>21</v>
      </c>
      <c r="C58" s="22">
        <v>26722441.630827118</v>
      </c>
      <c r="D58" s="22">
        <v>38737880.646016523</v>
      </c>
      <c r="E58" s="22">
        <v>56291780.766889498</v>
      </c>
      <c r="F58" s="22">
        <v>60205673.991186127</v>
      </c>
      <c r="G58" s="22">
        <f t="shared" ref="G58:G86" si="11">F58-C58</f>
        <v>33483232.360359009</v>
      </c>
      <c r="H58" s="39">
        <f t="shared" ref="H58:H86" si="12">G58/C58</f>
        <v>1.2530004863677058</v>
      </c>
      <c r="AI58" s="2" t="s">
        <v>7</v>
      </c>
      <c r="AJ58" s="6">
        <v>23377803.649538998</v>
      </c>
      <c r="AK58" s="6">
        <v>19090586.443133503</v>
      </c>
      <c r="AL58" s="6">
        <v>25324837.554596521</v>
      </c>
      <c r="AM58" s="6">
        <v>29233675.79648044</v>
      </c>
      <c r="AN58" s="6">
        <f t="shared" si="0"/>
        <v>5855872.146941442</v>
      </c>
      <c r="AO58" s="3">
        <f t="shared" si="1"/>
        <v>0.25048855036717349</v>
      </c>
    </row>
    <row r="59" spans="1:41" x14ac:dyDescent="0.25">
      <c r="A59" s="21"/>
      <c r="B59" s="2" t="s">
        <v>19</v>
      </c>
      <c r="C59" s="22">
        <v>46632858.022596091</v>
      </c>
      <c r="D59" s="22">
        <v>85077722.87716867</v>
      </c>
      <c r="E59" s="22">
        <v>86951922.170466334</v>
      </c>
      <c r="F59" s="22">
        <v>96131331.956570506</v>
      </c>
      <c r="G59" s="22">
        <f t="shared" si="11"/>
        <v>49498473.933974415</v>
      </c>
      <c r="H59" s="39">
        <f t="shared" si="12"/>
        <v>1.0614505743994884</v>
      </c>
      <c r="AI59" s="2" t="s">
        <v>15</v>
      </c>
      <c r="AJ59" s="6">
        <v>116370354.79376654</v>
      </c>
      <c r="AK59" s="6">
        <v>93697049.075780228</v>
      </c>
      <c r="AL59" s="6">
        <v>108825092.52742368</v>
      </c>
      <c r="AM59" s="6">
        <v>139159551.36381036</v>
      </c>
      <c r="AN59" s="6">
        <f t="shared" si="0"/>
        <v>22789196.570043817</v>
      </c>
      <c r="AO59" s="3">
        <f t="shared" si="1"/>
        <v>0.19583335128977827</v>
      </c>
    </row>
    <row r="60" spans="1:41" x14ac:dyDescent="0.25">
      <c r="A60" s="21"/>
      <c r="B60" s="2" t="s">
        <v>28</v>
      </c>
      <c r="C60" s="22">
        <v>48310065.167501859</v>
      </c>
      <c r="D60" s="22">
        <v>81643015.198259801</v>
      </c>
      <c r="E60" s="22">
        <v>63658134.234047897</v>
      </c>
      <c r="F60" s="22">
        <v>92302734.780760646</v>
      </c>
      <c r="G60" s="22">
        <f t="shared" si="11"/>
        <v>43992669.613258786</v>
      </c>
      <c r="H60" s="39">
        <f t="shared" si="12"/>
        <v>0.91063155184590017</v>
      </c>
      <c r="AI60" s="1" t="s">
        <v>36</v>
      </c>
      <c r="AJ60" s="6">
        <v>131238567.62280373</v>
      </c>
      <c r="AK60" s="6">
        <v>137042996.05431968</v>
      </c>
      <c r="AL60" s="6">
        <v>145760504.57636201</v>
      </c>
      <c r="AM60" s="6">
        <v>156532510.39001378</v>
      </c>
      <c r="AN60" s="6">
        <f t="shared" si="0"/>
        <v>25293942.767210051</v>
      </c>
      <c r="AO60" s="3">
        <f t="shared" si="1"/>
        <v>0.19273254215870481</v>
      </c>
    </row>
    <row r="61" spans="1:41" x14ac:dyDescent="0.25">
      <c r="A61" s="10"/>
      <c r="B61" s="2" t="s">
        <v>17</v>
      </c>
      <c r="C61" s="22">
        <v>63358719.963625528</v>
      </c>
      <c r="D61" s="22">
        <v>78514720.1748503</v>
      </c>
      <c r="E61" s="22">
        <v>96226319.584931761</v>
      </c>
      <c r="F61" s="22">
        <v>116721506.58600602</v>
      </c>
      <c r="G61" s="22">
        <f t="shared" si="11"/>
        <v>53362786.622380488</v>
      </c>
      <c r="H61" s="39">
        <f t="shared" si="12"/>
        <v>0.84223271324004423</v>
      </c>
      <c r="AI61" s="2" t="s">
        <v>34</v>
      </c>
      <c r="AJ61" s="6">
        <v>153078306.59078836</v>
      </c>
      <c r="AK61" s="6">
        <v>145709874.60442746</v>
      </c>
      <c r="AL61" s="6">
        <v>170877553.6189875</v>
      </c>
      <c r="AM61" s="6">
        <v>178860681.36444169</v>
      </c>
      <c r="AN61" s="6">
        <f t="shared" si="0"/>
        <v>25782374.773653328</v>
      </c>
      <c r="AO61" s="3">
        <f t="shared" si="1"/>
        <v>0.16842605165848371</v>
      </c>
    </row>
    <row r="62" spans="1:41" x14ac:dyDescent="0.25">
      <c r="A62" s="21"/>
      <c r="B62" s="2" t="s">
        <v>18</v>
      </c>
      <c r="C62" s="22">
        <v>60541496.890441902</v>
      </c>
      <c r="D62" s="22">
        <v>99995619.969075099</v>
      </c>
      <c r="E62" s="22">
        <v>99949999.192872673</v>
      </c>
      <c r="F62" s="22">
        <v>111104333.06762978</v>
      </c>
      <c r="G62" s="22">
        <f t="shared" si="11"/>
        <v>50562836.177187882</v>
      </c>
      <c r="H62" s="39">
        <f t="shared" si="12"/>
        <v>0.83517651155352557</v>
      </c>
      <c r="AI62" s="2" t="s">
        <v>8</v>
      </c>
      <c r="AJ62" s="6">
        <v>19227938.719981097</v>
      </c>
      <c r="AK62" s="6">
        <v>19554978.635476977</v>
      </c>
      <c r="AL62" s="6">
        <v>21925502.043355413</v>
      </c>
      <c r="AM62" s="6">
        <v>21624457.530307807</v>
      </c>
      <c r="AN62" s="6">
        <f t="shared" si="0"/>
        <v>2396518.8103267103</v>
      </c>
      <c r="AO62" s="3">
        <f t="shared" si="1"/>
        <v>0.12463732307594261</v>
      </c>
    </row>
    <row r="63" spans="1:41" x14ac:dyDescent="0.25">
      <c r="A63" s="21"/>
      <c r="B63" s="2" t="s">
        <v>12</v>
      </c>
      <c r="C63" s="22">
        <v>54361160.796449788</v>
      </c>
      <c r="D63" s="22">
        <v>85764538.075972527</v>
      </c>
      <c r="E63" s="22">
        <v>77395591.712898046</v>
      </c>
      <c r="F63" s="22">
        <v>94938994.881399468</v>
      </c>
      <c r="G63" s="22">
        <f t="shared" si="11"/>
        <v>40577834.08494968</v>
      </c>
      <c r="H63" s="39">
        <f t="shared" si="12"/>
        <v>0.74644899944078702</v>
      </c>
      <c r="AI63" s="2" t="s">
        <v>10</v>
      </c>
      <c r="AJ63" s="6">
        <v>82263466.496971428</v>
      </c>
      <c r="AK63" s="6">
        <v>82520087.50745061</v>
      </c>
      <c r="AL63" s="6">
        <v>85183121.439919606</v>
      </c>
      <c r="AM63" s="6">
        <v>92432125.972919598</v>
      </c>
      <c r="AN63" s="6">
        <f t="shared" si="0"/>
        <v>10168659.47594817</v>
      </c>
      <c r="AO63" s="3">
        <f t="shared" si="1"/>
        <v>0.12361087988338705</v>
      </c>
    </row>
    <row r="64" spans="1:41" x14ac:dyDescent="0.25">
      <c r="A64" s="10"/>
      <c r="B64" s="1" t="s">
        <v>39</v>
      </c>
      <c r="C64" s="22">
        <v>39294588.282201871</v>
      </c>
      <c r="D64" s="22">
        <v>59035957.488948539</v>
      </c>
      <c r="E64" s="22">
        <v>58725539.365524359</v>
      </c>
      <c r="F64" s="22">
        <v>68340756.971919417</v>
      </c>
      <c r="G64" s="22">
        <f t="shared" si="11"/>
        <v>29046168.689717546</v>
      </c>
      <c r="H64" s="39">
        <f t="shared" si="12"/>
        <v>0.73919005032236829</v>
      </c>
      <c r="AI64" s="1" t="s">
        <v>38</v>
      </c>
      <c r="AJ64" s="6">
        <v>139378025.66314319</v>
      </c>
      <c r="AK64" s="6">
        <v>129899522.9730352</v>
      </c>
      <c r="AL64" s="6">
        <v>148320840.52548543</v>
      </c>
      <c r="AM64" s="6">
        <v>148553554.01042882</v>
      </c>
      <c r="AN64" s="6">
        <f t="shared" si="0"/>
        <v>9175528.3472856283</v>
      </c>
      <c r="AO64" s="3">
        <f t="shared" si="1"/>
        <v>6.5831958112691102E-2</v>
      </c>
    </row>
    <row r="65" spans="1:41" x14ac:dyDescent="0.25">
      <c r="B65" s="2" t="s">
        <v>30</v>
      </c>
      <c r="C65" s="22">
        <v>52094627.346643254</v>
      </c>
      <c r="D65" s="22">
        <v>74977744.286016345</v>
      </c>
      <c r="E65" s="22">
        <v>80637646.514801532</v>
      </c>
      <c r="F65" s="22">
        <v>88733887.298743248</v>
      </c>
      <c r="G65" s="22">
        <f t="shared" si="11"/>
        <v>36639259.952099994</v>
      </c>
      <c r="H65" s="39">
        <f t="shared" si="12"/>
        <v>0.70332127933843192</v>
      </c>
      <c r="AI65" s="2" t="s">
        <v>33</v>
      </c>
      <c r="AJ65" s="6">
        <v>189904630.26600635</v>
      </c>
      <c r="AK65" s="6">
        <v>182269490.43914819</v>
      </c>
      <c r="AL65" s="6">
        <v>205410911.80941206</v>
      </c>
      <c r="AM65" s="6">
        <v>195282750.21169713</v>
      </c>
      <c r="AN65" s="6">
        <f t="shared" si="0"/>
        <v>5378119.9456907809</v>
      </c>
      <c r="AO65" s="3">
        <f t="shared" si="1"/>
        <v>2.8320109615850082E-2</v>
      </c>
    </row>
    <row r="66" spans="1:41" x14ac:dyDescent="0.25">
      <c r="B66" s="2" t="s">
        <v>13</v>
      </c>
      <c r="C66" s="22">
        <v>85637396.520650491</v>
      </c>
      <c r="D66" s="22">
        <v>107619509.95435472</v>
      </c>
      <c r="E66" s="22">
        <v>142579547.07706425</v>
      </c>
      <c r="F66" s="22">
        <v>140145889.43778393</v>
      </c>
      <c r="G66" s="22">
        <f t="shared" si="11"/>
        <v>54508492.917133436</v>
      </c>
      <c r="H66" s="39">
        <f t="shared" si="12"/>
        <v>0.63650338674167106</v>
      </c>
      <c r="AI66" s="2" t="s">
        <v>35</v>
      </c>
      <c r="AJ66" s="6">
        <v>221019811.41041762</v>
      </c>
      <c r="AK66" s="6">
        <v>208720904.68712559</v>
      </c>
      <c r="AL66" s="6">
        <v>225211716.82154587</v>
      </c>
      <c r="AM66" s="6">
        <v>220606824.63573223</v>
      </c>
      <c r="AN66" s="6">
        <f t="shared" si="0"/>
        <v>-412986.77468538284</v>
      </c>
      <c r="AO66" s="3">
        <f t="shared" si="1"/>
        <v>-1.8685509323799784E-3</v>
      </c>
    </row>
    <row r="67" spans="1:41" x14ac:dyDescent="0.25">
      <c r="B67" s="2" t="s">
        <v>20</v>
      </c>
      <c r="C67" s="22">
        <v>79317907.070299298</v>
      </c>
      <c r="D67" s="22">
        <v>88332905.386771724</v>
      </c>
      <c r="E67" s="22">
        <v>97525606.945387349</v>
      </c>
      <c r="F67" s="22">
        <v>125514430.50557096</v>
      </c>
      <c r="G67" s="22">
        <f t="shared" si="11"/>
        <v>46196523.435271665</v>
      </c>
      <c r="H67" s="39">
        <f t="shared" si="12"/>
        <v>0.58242237020106669</v>
      </c>
      <c r="AI67" s="2" t="s">
        <v>9</v>
      </c>
      <c r="AJ67" s="6">
        <v>127419288.23728512</v>
      </c>
      <c r="AK67" s="6">
        <v>115334978.85533805</v>
      </c>
      <c r="AL67" s="6">
        <v>116148440.03099066</v>
      </c>
      <c r="AM67" s="6">
        <v>120913098.18838978</v>
      </c>
      <c r="AN67" s="6">
        <f t="shared" si="0"/>
        <v>-6506190.0488953441</v>
      </c>
      <c r="AO67" s="3">
        <f t="shared" si="1"/>
        <v>-5.1061265047873013E-2</v>
      </c>
    </row>
    <row r="68" spans="1:41" x14ac:dyDescent="0.25">
      <c r="B68" s="2" t="s">
        <v>27</v>
      </c>
      <c r="C68" s="22">
        <v>70925510.107146829</v>
      </c>
      <c r="D68" s="22">
        <v>103641125.43712866</v>
      </c>
      <c r="E68" s="22">
        <v>96835990.713707656</v>
      </c>
      <c r="F68" s="22">
        <v>108514986.58269703</v>
      </c>
      <c r="G68" s="22">
        <f t="shared" si="11"/>
        <v>37589476.475550205</v>
      </c>
      <c r="H68" s="39">
        <f t="shared" si="12"/>
        <v>0.52998528200592365</v>
      </c>
    </row>
    <row r="69" spans="1:41" ht="14.25" customHeight="1" x14ac:dyDescent="0.25">
      <c r="B69" s="2" t="s">
        <v>31</v>
      </c>
      <c r="C69" s="22">
        <v>39258996.565469407</v>
      </c>
      <c r="D69" s="22">
        <v>66791707.824474826</v>
      </c>
      <c r="E69" s="22">
        <v>59898056.170178033</v>
      </c>
      <c r="F69" s="22">
        <v>59845905.754391953</v>
      </c>
      <c r="G69" s="22">
        <f t="shared" si="11"/>
        <v>20586909.188922547</v>
      </c>
      <c r="H69" s="39">
        <f t="shared" si="12"/>
        <v>0.52438704475269093</v>
      </c>
    </row>
    <row r="70" spans="1:41" x14ac:dyDescent="0.25">
      <c r="B70" s="2" t="s">
        <v>6</v>
      </c>
      <c r="C70" s="22">
        <v>33154931.890464857</v>
      </c>
      <c r="D70" s="22">
        <v>34577615.602634184</v>
      </c>
      <c r="E70" s="22">
        <v>35009048.838451311</v>
      </c>
      <c r="F70" s="22">
        <v>48135812.455958679</v>
      </c>
      <c r="G70" s="22">
        <f t="shared" si="11"/>
        <v>14980880.565493822</v>
      </c>
      <c r="H70" s="39">
        <f t="shared" si="12"/>
        <v>0.45184470940814164</v>
      </c>
    </row>
    <row r="71" spans="1:41" x14ac:dyDescent="0.25">
      <c r="B71" s="1" t="s">
        <v>37</v>
      </c>
      <c r="C71" s="22">
        <v>78138168.656622544</v>
      </c>
      <c r="D71" s="22">
        <v>100218643.86155422</v>
      </c>
      <c r="E71" s="22">
        <v>102010415.61352479</v>
      </c>
      <c r="F71" s="22">
        <v>110341743.63565032</v>
      </c>
      <c r="G71" s="22">
        <f t="shared" si="11"/>
        <v>32203574.979027778</v>
      </c>
      <c r="H71" s="39">
        <f t="shared" si="12"/>
        <v>0.41213629053102191</v>
      </c>
    </row>
    <row r="72" spans="1:41" x14ac:dyDescent="0.25">
      <c r="B72" s="2" t="s">
        <v>22</v>
      </c>
      <c r="C72" s="22">
        <v>75777729.416323319</v>
      </c>
      <c r="D72" s="22">
        <v>68178471.334935755</v>
      </c>
      <c r="E72" s="22">
        <v>69100079.18348904</v>
      </c>
      <c r="F72" s="22">
        <v>103144037.35586634</v>
      </c>
      <c r="G72" s="22">
        <f t="shared" si="11"/>
        <v>27366307.939543024</v>
      </c>
      <c r="H72" s="39">
        <f t="shared" si="12"/>
        <v>0.36113919155841101</v>
      </c>
    </row>
    <row r="73" spans="1:41" x14ac:dyDescent="0.25">
      <c r="B73" s="2" t="s">
        <v>11</v>
      </c>
      <c r="C73" s="22">
        <v>75464945.263421208</v>
      </c>
      <c r="D73" s="22">
        <v>98868564.948901922</v>
      </c>
      <c r="E73" s="22">
        <v>97342503.484595984</v>
      </c>
      <c r="F73" s="22">
        <v>102688094.20592469</v>
      </c>
      <c r="G73" s="22">
        <f t="shared" si="11"/>
        <v>27223148.942503482</v>
      </c>
      <c r="H73" s="39">
        <f t="shared" si="12"/>
        <v>0.36073900070393183</v>
      </c>
    </row>
    <row r="74" spans="1:41" x14ac:dyDescent="0.25">
      <c r="B74" s="2" t="s">
        <v>29</v>
      </c>
      <c r="C74" s="22">
        <v>55504864.741520874</v>
      </c>
      <c r="D74" s="22">
        <v>78451466.863471776</v>
      </c>
      <c r="E74" s="22">
        <v>59209477.643158287</v>
      </c>
      <c r="F74" s="22">
        <v>75178307.782705709</v>
      </c>
      <c r="G74" s="22">
        <f t="shared" si="11"/>
        <v>19673443.041184835</v>
      </c>
      <c r="H74" s="39">
        <f t="shared" si="12"/>
        <v>0.35444538299123091</v>
      </c>
    </row>
    <row r="75" spans="1:41" x14ac:dyDescent="0.25">
      <c r="B75" s="2" t="s">
        <v>16</v>
      </c>
      <c r="C75" s="22">
        <v>69223375.152634427</v>
      </c>
      <c r="D75" s="22">
        <v>92820824.110256717</v>
      </c>
      <c r="E75" s="22">
        <v>98523192.863370627</v>
      </c>
      <c r="F75" s="22">
        <v>93291902.577328071</v>
      </c>
      <c r="G75" s="22">
        <f t="shared" si="11"/>
        <v>24068527.424693644</v>
      </c>
      <c r="H75" s="39">
        <f t="shared" si="12"/>
        <v>0.34769364209161463</v>
      </c>
    </row>
    <row r="76" spans="1:41" x14ac:dyDescent="0.25">
      <c r="A76" s="9"/>
      <c r="B76" s="2" t="s">
        <v>14</v>
      </c>
      <c r="C76" s="22">
        <v>92568813.215183303</v>
      </c>
      <c r="D76" s="22">
        <v>117663712.48484188</v>
      </c>
      <c r="E76" s="22">
        <v>118529313.33393188</v>
      </c>
      <c r="F76" s="22">
        <v>115957387.93145794</v>
      </c>
      <c r="G76" s="22">
        <f t="shared" si="11"/>
        <v>23388574.716274634</v>
      </c>
      <c r="H76" s="39">
        <f t="shared" si="12"/>
        <v>0.2526614947726088</v>
      </c>
    </row>
    <row r="77" spans="1:41" x14ac:dyDescent="0.25">
      <c r="B77" s="2" t="s">
        <v>7</v>
      </c>
      <c r="C77" s="22">
        <v>23377803.649538998</v>
      </c>
      <c r="D77" s="22">
        <v>19090586.443133503</v>
      </c>
      <c r="E77" s="22">
        <v>25324837.554596521</v>
      </c>
      <c r="F77" s="22">
        <v>29233675.79648044</v>
      </c>
      <c r="G77" s="22">
        <f t="shared" si="11"/>
        <v>5855872.146941442</v>
      </c>
      <c r="H77" s="39">
        <f t="shared" si="12"/>
        <v>0.25048855036717349</v>
      </c>
    </row>
    <row r="78" spans="1:41" x14ac:dyDescent="0.25">
      <c r="A78" s="10"/>
      <c r="B78" s="2" t="s">
        <v>15</v>
      </c>
      <c r="C78" s="22">
        <v>116370354.79376654</v>
      </c>
      <c r="D78" s="22">
        <v>93697049.075780228</v>
      </c>
      <c r="E78" s="22">
        <v>108825092.52742368</v>
      </c>
      <c r="F78" s="22">
        <v>139159551.36381036</v>
      </c>
      <c r="G78" s="22">
        <f t="shared" si="11"/>
        <v>22789196.570043817</v>
      </c>
      <c r="H78" s="39">
        <f t="shared" si="12"/>
        <v>0.19583335128977827</v>
      </c>
    </row>
    <row r="79" spans="1:41" x14ac:dyDescent="0.25">
      <c r="A79" s="21"/>
      <c r="B79" s="1" t="s">
        <v>36</v>
      </c>
      <c r="C79" s="22">
        <v>131238567.62280373</v>
      </c>
      <c r="D79" s="22">
        <v>137042996.05431968</v>
      </c>
      <c r="E79" s="22">
        <v>145760504.57636201</v>
      </c>
      <c r="F79" s="22">
        <v>156532510.39001378</v>
      </c>
      <c r="G79" s="22">
        <f t="shared" si="11"/>
        <v>25293942.767210051</v>
      </c>
      <c r="H79" s="39">
        <f t="shared" si="12"/>
        <v>0.19273254215870481</v>
      </c>
    </row>
    <row r="80" spans="1:41" x14ac:dyDescent="0.25">
      <c r="A80" s="21"/>
      <c r="B80" s="2" t="s">
        <v>34</v>
      </c>
      <c r="C80" s="22">
        <v>153078306.59078836</v>
      </c>
      <c r="D80" s="22">
        <v>145709874.60442746</v>
      </c>
      <c r="E80" s="22">
        <v>170877553.6189875</v>
      </c>
      <c r="F80" s="22">
        <v>178860681.36444169</v>
      </c>
      <c r="G80" s="22">
        <f t="shared" si="11"/>
        <v>25782374.773653328</v>
      </c>
      <c r="H80" s="39">
        <f t="shared" si="12"/>
        <v>0.16842605165848371</v>
      </c>
    </row>
    <row r="81" spans="1:15" x14ac:dyDescent="0.25">
      <c r="A81" s="10"/>
      <c r="B81" s="2" t="s">
        <v>8</v>
      </c>
      <c r="C81" s="22">
        <v>19227938.719981097</v>
      </c>
      <c r="D81" s="22">
        <v>19554978.635476977</v>
      </c>
      <c r="E81" s="22">
        <v>21925502.043355413</v>
      </c>
      <c r="F81" s="22">
        <v>21624457.530307807</v>
      </c>
      <c r="G81" s="22">
        <f t="shared" si="11"/>
        <v>2396518.8103267103</v>
      </c>
      <c r="H81" s="39">
        <f t="shared" si="12"/>
        <v>0.12463732307594261</v>
      </c>
    </row>
    <row r="82" spans="1:15" x14ac:dyDescent="0.25">
      <c r="A82" s="21"/>
      <c r="B82" s="2" t="s">
        <v>10</v>
      </c>
      <c r="C82" s="22">
        <v>82263466.496971428</v>
      </c>
      <c r="D82" s="22">
        <v>82520087.50745061</v>
      </c>
      <c r="E82" s="22">
        <v>85183121.439919606</v>
      </c>
      <c r="F82" s="22">
        <v>92432125.972919598</v>
      </c>
      <c r="G82" s="22">
        <f t="shared" si="11"/>
        <v>10168659.47594817</v>
      </c>
      <c r="H82" s="39">
        <f t="shared" si="12"/>
        <v>0.12361087988338705</v>
      </c>
    </row>
    <row r="83" spans="1:15" x14ac:dyDescent="0.25">
      <c r="A83" s="21"/>
      <c r="B83" s="1" t="s">
        <v>38</v>
      </c>
      <c r="C83" s="22">
        <v>139378025.66314319</v>
      </c>
      <c r="D83" s="22">
        <v>129899522.9730352</v>
      </c>
      <c r="E83" s="22">
        <v>148320840.52548543</v>
      </c>
      <c r="F83" s="22">
        <v>148553554.01042882</v>
      </c>
      <c r="G83" s="22">
        <f t="shared" si="11"/>
        <v>9175528.3472856283</v>
      </c>
      <c r="H83" s="39">
        <f t="shared" si="12"/>
        <v>6.5831958112691102E-2</v>
      </c>
    </row>
    <row r="84" spans="1:15" x14ac:dyDescent="0.25">
      <c r="A84" s="10"/>
      <c r="B84" s="2" t="s">
        <v>33</v>
      </c>
      <c r="C84" s="22">
        <v>189904630.26600635</v>
      </c>
      <c r="D84" s="22">
        <v>182269490.43914819</v>
      </c>
      <c r="E84" s="22">
        <v>205410911.80941206</v>
      </c>
      <c r="F84" s="22">
        <v>195282750.21169713</v>
      </c>
      <c r="G84" s="22">
        <f t="shared" si="11"/>
        <v>5378119.9456907809</v>
      </c>
      <c r="H84" s="39">
        <f t="shared" si="12"/>
        <v>2.8320109615850082E-2</v>
      </c>
    </row>
    <row r="85" spans="1:15" x14ac:dyDescent="0.25">
      <c r="A85" s="21"/>
      <c r="B85" s="2" t="s">
        <v>35</v>
      </c>
      <c r="C85" s="22">
        <v>221019811.41041762</v>
      </c>
      <c r="D85" s="22">
        <v>208720904.68712559</v>
      </c>
      <c r="E85" s="22">
        <v>225211716.82154587</v>
      </c>
      <c r="F85" s="22">
        <v>220606824.63573223</v>
      </c>
      <c r="G85" s="22">
        <f t="shared" si="11"/>
        <v>-412986.77468538284</v>
      </c>
      <c r="H85" s="39">
        <f t="shared" si="12"/>
        <v>-1.8685509323799784E-3</v>
      </c>
    </row>
    <row r="86" spans="1:15" x14ac:dyDescent="0.25">
      <c r="A86" s="21"/>
      <c r="B86" s="2" t="s">
        <v>9</v>
      </c>
      <c r="C86" s="22">
        <v>127419288.23728512</v>
      </c>
      <c r="D86" s="22">
        <v>115334978.85533805</v>
      </c>
      <c r="E86" s="22">
        <v>116148440.03099066</v>
      </c>
      <c r="F86" s="22">
        <v>120913098.18838978</v>
      </c>
      <c r="G86" s="22">
        <f t="shared" si="11"/>
        <v>-6506190.0488953441</v>
      </c>
      <c r="H86" s="39">
        <f t="shared" si="12"/>
        <v>-5.1061265047873013E-2</v>
      </c>
    </row>
    <row r="87" spans="1:15" x14ac:dyDescent="0.25">
      <c r="A87" s="10"/>
      <c r="B87" s="6"/>
      <c r="C87" s="6"/>
      <c r="D87" s="6"/>
      <c r="E87" s="6"/>
    </row>
    <row r="88" spans="1:15" x14ac:dyDescent="0.25">
      <c r="B88" s="6"/>
      <c r="C88" s="6"/>
      <c r="D88" s="6"/>
      <c r="E88" s="6"/>
    </row>
    <row r="89" spans="1:15" x14ac:dyDescent="0.25">
      <c r="B89" s="3"/>
      <c r="C89" s="3"/>
      <c r="D89" s="3"/>
    </row>
    <row r="91" spans="1:15" x14ac:dyDescent="0.25">
      <c r="A91" s="1" t="s">
        <v>176</v>
      </c>
      <c r="C91" s="9"/>
      <c r="D91" s="50" t="s">
        <v>178</v>
      </c>
      <c r="E91" s="50"/>
      <c r="F91" s="50"/>
      <c r="G91" s="50"/>
      <c r="H91" s="51" t="s">
        <v>177</v>
      </c>
      <c r="I91" s="51"/>
      <c r="J91" s="51"/>
      <c r="K91" s="51"/>
    </row>
    <row r="92" spans="1:15" x14ac:dyDescent="0.25">
      <c r="C92" s="9" t="s">
        <v>116</v>
      </c>
      <c r="D92" s="38">
        <v>1990</v>
      </c>
      <c r="E92" s="38">
        <v>2000</v>
      </c>
      <c r="F92" s="38">
        <v>2010</v>
      </c>
      <c r="G92" s="38">
        <v>2015</v>
      </c>
      <c r="H92" s="36">
        <v>1990</v>
      </c>
      <c r="I92" s="36">
        <v>2000</v>
      </c>
      <c r="J92" s="36">
        <v>2010</v>
      </c>
      <c r="K92" s="36">
        <v>2015</v>
      </c>
      <c r="L92" s="1" t="s">
        <v>142</v>
      </c>
    </row>
    <row r="93" spans="1:15" x14ac:dyDescent="0.25">
      <c r="C93" s="9" t="s">
        <v>118</v>
      </c>
      <c r="D93" s="4">
        <v>516836126.64099997</v>
      </c>
      <c r="E93" s="4">
        <v>464318495.46100003</v>
      </c>
      <c r="F93" s="4">
        <v>530788448.61699998</v>
      </c>
      <c r="G93" s="4">
        <v>527481794.62699997</v>
      </c>
      <c r="H93" s="32">
        <v>1281.7401100050899</v>
      </c>
      <c r="I93" s="32">
        <v>1151.4977548443901</v>
      </c>
      <c r="J93" s="32">
        <v>1316.34150449462</v>
      </c>
      <c r="K93" s="32">
        <v>1307.7719722474901</v>
      </c>
      <c r="L93" s="7">
        <f t="shared" ref="L93:L101" si="13">(K93-H93)/H93</f>
        <v>2.0309782021487015E-2</v>
      </c>
      <c r="N93" s="4"/>
      <c r="O93" s="4"/>
    </row>
    <row r="94" spans="1:15" x14ac:dyDescent="0.25">
      <c r="C94" s="9" t="s">
        <v>120</v>
      </c>
      <c r="D94" s="4">
        <v>339374405.361</v>
      </c>
      <c r="E94" s="4">
        <v>383802244.26999998</v>
      </c>
      <c r="F94" s="4">
        <v>408822784.45899999</v>
      </c>
      <c r="G94" s="4">
        <v>443822514.23400003</v>
      </c>
      <c r="H94" s="32">
        <v>1153.499421902045</v>
      </c>
      <c r="I94" s="32">
        <v>1304.5051715647974</v>
      </c>
      <c r="J94" s="32">
        <v>1389.5474675888247</v>
      </c>
      <c r="K94" s="32">
        <v>1508.4537538895918</v>
      </c>
      <c r="L94" s="7">
        <f t="shared" si="13"/>
        <v>0.30771955776297688</v>
      </c>
      <c r="N94" s="4"/>
      <c r="O94" s="4"/>
    </row>
    <row r="95" spans="1:15" x14ac:dyDescent="0.25">
      <c r="C95" s="9" t="s">
        <v>119</v>
      </c>
      <c r="D95" s="4">
        <v>516375954.31999999</v>
      </c>
      <c r="E95" s="4">
        <v>503626447.06599998</v>
      </c>
      <c r="F95" s="4">
        <v>533222307.36900002</v>
      </c>
      <c r="G95" s="4">
        <v>569770653.17200005</v>
      </c>
      <c r="H95" s="32">
        <v>1531.5711313355359</v>
      </c>
      <c r="I95" s="32">
        <v>1493.7560915653482</v>
      </c>
      <c r="J95" s="32">
        <v>1581.5374161369107</v>
      </c>
      <c r="K95" s="32">
        <v>1689.9135126753781</v>
      </c>
      <c r="L95" s="7">
        <f t="shared" si="13"/>
        <v>0.10338558758401709</v>
      </c>
      <c r="N95" s="4"/>
      <c r="O95" s="4"/>
    </row>
    <row r="96" spans="1:15" x14ac:dyDescent="0.25">
      <c r="C96" s="9" t="s">
        <v>117</v>
      </c>
      <c r="D96" s="4">
        <v>227547271.708</v>
      </c>
      <c r="E96" s="4">
        <v>303736488.37400001</v>
      </c>
      <c r="F96" s="4">
        <v>327366435.14999998</v>
      </c>
      <c r="G96" s="4">
        <v>419198477.68199998</v>
      </c>
      <c r="H96" s="32">
        <v>914.35256694207999</v>
      </c>
      <c r="I96" s="32">
        <v>1220.5034836678992</v>
      </c>
      <c r="J96" s="32">
        <v>1315.4556328594147</v>
      </c>
      <c r="K96" s="32">
        <v>1684.4640731118598</v>
      </c>
      <c r="L96" s="7">
        <f t="shared" si="13"/>
        <v>0.84224787463035888</v>
      </c>
      <c r="N96" s="4"/>
      <c r="O96" s="4"/>
    </row>
    <row r="97" spans="3:15" x14ac:dyDescent="0.25">
      <c r="C97" s="9" t="s">
        <v>121</v>
      </c>
      <c r="D97" s="4">
        <v>199530046.58000001</v>
      </c>
      <c r="E97" s="4">
        <v>315510482.90899998</v>
      </c>
      <c r="F97" s="4">
        <v>312642793.58200002</v>
      </c>
      <c r="G97" s="4">
        <v>355813608.69099998</v>
      </c>
      <c r="H97" s="32">
        <v>1141.4222515000588</v>
      </c>
      <c r="I97" s="32">
        <v>1804.8945106093083</v>
      </c>
      <c r="J97" s="32">
        <v>1788.4897411806869</v>
      </c>
      <c r="K97" s="32">
        <v>2035.4475265226258</v>
      </c>
      <c r="L97" s="7">
        <f t="shared" si="13"/>
        <v>0.78325551639425084</v>
      </c>
      <c r="N97" s="4"/>
      <c r="O97" s="4"/>
    </row>
    <row r="98" spans="3:15" x14ac:dyDescent="0.25">
      <c r="C98" s="9" t="s">
        <v>122</v>
      </c>
      <c r="D98" s="4">
        <v>105496078.18799999</v>
      </c>
      <c r="E98" s="4">
        <v>115476089.59999999</v>
      </c>
      <c r="F98" s="4">
        <v>111577952.211</v>
      </c>
      <c r="G98" s="4">
        <v>122739423.671</v>
      </c>
      <c r="H98" s="32">
        <v>672.98806490265895</v>
      </c>
      <c r="I98" s="32">
        <v>736.65326159271331</v>
      </c>
      <c r="J98" s="32">
        <v>711.78598706263301</v>
      </c>
      <c r="K98" s="32">
        <v>782.95911778192703</v>
      </c>
      <c r="L98" s="7">
        <f t="shared" si="13"/>
        <v>0.16340713693811837</v>
      </c>
      <c r="N98" s="4"/>
      <c r="O98" s="4"/>
    </row>
    <row r="99" spans="3:15" x14ac:dyDescent="0.25">
      <c r="C99" s="9" t="s">
        <v>123</v>
      </c>
      <c r="D99" s="4">
        <v>285736227.10799998</v>
      </c>
      <c r="E99" s="4">
        <v>414955964.87199998</v>
      </c>
      <c r="F99" s="4">
        <v>369680451.97799999</v>
      </c>
      <c r="G99" s="4">
        <v>432845881.22000003</v>
      </c>
      <c r="H99" s="32">
        <v>870.5329758184788</v>
      </c>
      <c r="I99" s="32">
        <v>1264.2178928089324</v>
      </c>
      <c r="J99" s="32">
        <v>1126.2800913259427</v>
      </c>
      <c r="K99" s="32">
        <v>1318.7218745867897</v>
      </c>
      <c r="L99" s="7">
        <f t="shared" si="13"/>
        <v>0.51484425199047945</v>
      </c>
      <c r="N99" s="4"/>
      <c r="O99" s="4"/>
    </row>
    <row r="100" spans="3:15" x14ac:dyDescent="0.25">
      <c r="C100" s="9" t="s">
        <v>124</v>
      </c>
      <c r="D100" s="4">
        <v>346413513.89600003</v>
      </c>
      <c r="E100" s="4">
        <v>482525592.91799998</v>
      </c>
      <c r="F100" s="4">
        <v>543405656.82299995</v>
      </c>
      <c r="G100" s="4">
        <v>561888080.05900002</v>
      </c>
      <c r="H100" s="32">
        <v>1034.6621359495389</v>
      </c>
      <c r="I100" s="32">
        <v>1441.1994353336352</v>
      </c>
      <c r="J100" s="32">
        <v>1623.0350001424681</v>
      </c>
      <c r="K100" s="32">
        <v>1678.2379952214196</v>
      </c>
      <c r="L100" s="7">
        <f t="shared" si="13"/>
        <v>0.62201547433767146</v>
      </c>
      <c r="N100" s="4"/>
      <c r="O100" s="4"/>
    </row>
    <row r="101" spans="3:15" x14ac:dyDescent="0.25">
      <c r="C101" s="9" t="s">
        <v>70</v>
      </c>
      <c r="D101" s="4">
        <v>72034530.832100004</v>
      </c>
      <c r="E101" s="4">
        <v>59257340.123099998</v>
      </c>
      <c r="F101" s="4">
        <v>66011321.905299999</v>
      </c>
      <c r="G101" s="4">
        <v>100969826.697</v>
      </c>
      <c r="H101" s="32">
        <v>724.32211129091002</v>
      </c>
      <c r="I101" s="32">
        <v>595.84481514136201</v>
      </c>
      <c r="J101" s="32">
        <v>663.75749934424778</v>
      </c>
      <c r="K101" s="32">
        <v>1015.271574271799</v>
      </c>
      <c r="L101" s="7">
        <f t="shared" si="13"/>
        <v>0.40168518735725117</v>
      </c>
      <c r="N101" s="4"/>
      <c r="O101" s="4"/>
    </row>
  </sheetData>
  <mergeCells count="9">
    <mergeCell ref="C55:F55"/>
    <mergeCell ref="H91:K91"/>
    <mergeCell ref="D91:G91"/>
    <mergeCell ref="Y36:AE36"/>
    <mergeCell ref="A35:H35"/>
    <mergeCell ref="B36:D36"/>
    <mergeCell ref="E36:L36"/>
    <mergeCell ref="M36:S36"/>
    <mergeCell ref="T36:X36"/>
  </mergeCells>
  <pageMargins left="0.7" right="0.7" top="0.75" bottom="0.75" header="0.3" footer="0.3"/>
  <pageSetup orientation="portrait" r:id="rId1"/>
  <headerFooter>
    <oddFooter>&amp;R_x000D_&amp;1#&amp;"Aptos"&amp;10&amp;K000000 Official Use Only</oddFooter>
  </headerFooter>
  <ignoredErrors>
    <ignoredError sqref="B20:F24" formulaRange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Potential_Soil_erosion</vt:lpstr>
      <vt:lpstr>Soil Loss_Sediment Export</vt:lpstr>
      <vt:lpstr>Annual Water</vt:lpstr>
      <vt:lpstr>BASEEFLOW_Proxy_Local Recharge</vt:lpstr>
      <vt:lpstr>Quick Flow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 Bagstad</dc:creator>
  <cp:lastModifiedBy>Yurani Arias Granada</cp:lastModifiedBy>
  <dcterms:created xsi:type="dcterms:W3CDTF">2015-11-02T17:07:34Z</dcterms:created>
  <dcterms:modified xsi:type="dcterms:W3CDTF">2026-02-18T16:31:43Z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f1bf45b6-5649-4236-82a3-f45024cd282e_Enabled">
    <vt:lpwstr>true</vt:lpwstr>
  </property>
  <property fmtid="{D5CDD505-2E9C-101B-9397-08002B2CF9AE}" pid="3" name="MSIP_Label_f1bf45b6-5649-4236-82a3-f45024cd282e_SetDate">
    <vt:lpwstr>2026-02-18T16:31:43Z</vt:lpwstr>
  </property>
  <property fmtid="{D5CDD505-2E9C-101B-9397-08002B2CF9AE}" pid="4" name="MSIP_Label_f1bf45b6-5649-4236-82a3-f45024cd282e_Method">
    <vt:lpwstr>Standard</vt:lpwstr>
  </property>
  <property fmtid="{D5CDD505-2E9C-101B-9397-08002B2CF9AE}" pid="5" name="MSIP_Label_f1bf45b6-5649-4236-82a3-f45024cd282e_Name">
    <vt:lpwstr>Official Use Only</vt:lpwstr>
  </property>
  <property fmtid="{D5CDD505-2E9C-101B-9397-08002B2CF9AE}" pid="6" name="MSIP_Label_f1bf45b6-5649-4236-82a3-f45024cd282e_SiteId">
    <vt:lpwstr>31a2fec0-266b-4c67-b56e-2796d8f59c36</vt:lpwstr>
  </property>
  <property fmtid="{D5CDD505-2E9C-101B-9397-08002B2CF9AE}" pid="7" name="MSIP_Label_f1bf45b6-5649-4236-82a3-f45024cd282e_ActionId">
    <vt:lpwstr>b35ba199-64fd-4a0b-bda4-74032f7f449c</vt:lpwstr>
  </property>
  <property fmtid="{D5CDD505-2E9C-101B-9397-08002B2CF9AE}" pid="8" name="MSIP_Label_f1bf45b6-5649-4236-82a3-f45024cd282e_ContentBits">
    <vt:lpwstr>2</vt:lpwstr>
  </property>
  <property fmtid="{D5CDD505-2E9C-101B-9397-08002B2CF9AE}" pid="9" name="MSIP_Label_f1bf45b6-5649-4236-82a3-f45024cd282e_Tag">
    <vt:lpwstr>10, 3, 0, 1</vt:lpwstr>
  </property>
</Properties>
</file>