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World bank\NCA\Accounts\Mineral\2019\"/>
    </mc:Choice>
  </mc:AlternateContent>
  <bookViews>
    <workbookView xWindow="0" yWindow="0" windowWidth="20490" windowHeight="8640" tabRatio="885"/>
  </bookViews>
  <sheets>
    <sheet name="MRA - Cassiterite - Tin" sheetId="2" r:id="rId1"/>
    <sheet name="MRA - Coltan - Tantalum" sheetId="4" r:id="rId2"/>
    <sheet name="MRA - Wolfram - Tungsten" sheetId="3" r:id="rId3"/>
    <sheet name="Graphs" sheetId="25" r:id="rId4"/>
    <sheet name="GDP" sheetId="26" r:id="rId5"/>
    <sheet name="Basic data - source records" sheetId="8" r:id="rId6"/>
    <sheet name="IBES data" sheetId="21" r:id="rId7"/>
    <sheet name="Mining price data" sheetId="24" r:id="rId8"/>
    <sheet name="Metal prices" sheetId="27" r:id="rId9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117" i="25" l="1"/>
  <c r="P117" i="25"/>
  <c r="Q117" i="25"/>
  <c r="O118" i="25"/>
  <c r="P118" i="25"/>
  <c r="Q118" i="25"/>
  <c r="O119" i="25"/>
  <c r="P119" i="25"/>
  <c r="Q119" i="25"/>
  <c r="O120" i="25"/>
  <c r="P120" i="25"/>
  <c r="Q120" i="25"/>
  <c r="O121" i="25"/>
  <c r="P121" i="25"/>
  <c r="Q121" i="25"/>
  <c r="O122" i="25"/>
  <c r="P122" i="25"/>
  <c r="Q122" i="25"/>
  <c r="N118" i="25"/>
  <c r="N119" i="25"/>
  <c r="N120" i="25"/>
  <c r="N121" i="25"/>
  <c r="N122" i="25"/>
  <c r="N117" i="25"/>
  <c r="O123" i="25"/>
  <c r="M118" i="25"/>
  <c r="M119" i="25"/>
  <c r="M120" i="25"/>
  <c r="M121" i="25"/>
  <c r="M122" i="25"/>
  <c r="M117" i="25"/>
  <c r="L122" i="25"/>
  <c r="L121" i="25"/>
  <c r="L120" i="25"/>
  <c r="L119" i="25"/>
  <c r="L118" i="25"/>
  <c r="L117" i="25"/>
  <c r="K123" i="25"/>
  <c r="K122" i="25"/>
  <c r="K121" i="25"/>
  <c r="K120" i="25"/>
  <c r="K119" i="25"/>
  <c r="K118" i="25"/>
  <c r="K117" i="25"/>
  <c r="P123" i="25" l="1"/>
  <c r="Q123" i="25"/>
  <c r="N123" i="25"/>
  <c r="L123" i="25"/>
  <c r="M123" i="25"/>
  <c r="S6" i="2"/>
  <c r="AO102" i="25"/>
  <c r="AO103" i="25"/>
  <c r="AO104" i="25"/>
  <c r="AL102" i="25"/>
  <c r="AM102" i="25"/>
  <c r="AN102" i="25"/>
  <c r="AL103" i="25"/>
  <c r="AM103" i="25"/>
  <c r="AN103" i="25"/>
  <c r="AL104" i="25"/>
  <c r="AM104" i="25"/>
  <c r="AN104" i="25"/>
  <c r="AK104" i="25"/>
  <c r="AK103" i="25"/>
  <c r="AK102" i="25"/>
  <c r="AL97" i="25"/>
  <c r="AM97" i="25"/>
  <c r="AN97" i="25"/>
  <c r="AO97" i="25"/>
  <c r="AK97" i="25"/>
  <c r="AL95" i="25"/>
  <c r="AM95" i="25"/>
  <c r="AN95" i="25"/>
  <c r="AO95" i="25"/>
  <c r="AK95" i="25"/>
  <c r="AL93" i="25"/>
  <c r="AM93" i="25"/>
  <c r="AN93" i="25"/>
  <c r="AO93" i="25"/>
  <c r="AK93" i="25"/>
  <c r="W32" i="2" l="1"/>
  <c r="C85" i="25" l="1"/>
  <c r="C86" i="25"/>
  <c r="C87" i="25"/>
  <c r="C88" i="25"/>
  <c r="C84" i="25"/>
  <c r="AX4" i="25" l="1"/>
  <c r="AX5" i="25"/>
  <c r="AX6" i="25"/>
  <c r="AX7" i="25"/>
  <c r="AX8" i="25"/>
  <c r="AX9" i="25"/>
  <c r="AX10" i="25"/>
  <c r="AX11" i="25"/>
  <c r="AX12" i="25"/>
  <c r="AX13" i="25"/>
  <c r="AX14" i="25"/>
  <c r="AX15" i="25"/>
  <c r="AX16" i="25"/>
  <c r="AX17" i="25"/>
  <c r="AX18" i="25"/>
  <c r="AX19" i="25"/>
  <c r="AX20" i="25"/>
  <c r="AX21" i="25"/>
  <c r="AX22" i="25"/>
  <c r="AX3" i="25"/>
  <c r="AY22" i="25"/>
  <c r="AY5" i="25"/>
  <c r="AZ5" i="25" s="1"/>
  <c r="AY6" i="25"/>
  <c r="AZ6" i="25" s="1"/>
  <c r="AY7" i="25"/>
  <c r="AZ7" i="25" s="1"/>
  <c r="AY8" i="25"/>
  <c r="AY9" i="25"/>
  <c r="AY10" i="25"/>
  <c r="AY11" i="25"/>
  <c r="AY12" i="25"/>
  <c r="AZ12" i="25" s="1"/>
  <c r="AY13" i="25"/>
  <c r="AZ13" i="25" s="1"/>
  <c r="AY14" i="25"/>
  <c r="AZ14" i="25" s="1"/>
  <c r="AY15" i="25"/>
  <c r="AY16" i="25"/>
  <c r="AY17" i="25"/>
  <c r="AY18" i="25"/>
  <c r="AY19" i="25"/>
  <c r="AY20" i="25"/>
  <c r="AZ20" i="25" s="1"/>
  <c r="AA28" i="25" s="1"/>
  <c r="AY21" i="25"/>
  <c r="AZ21" i="25" s="1"/>
  <c r="AB28" i="25" s="1"/>
  <c r="AY4" i="25"/>
  <c r="AZ4" i="25" s="1"/>
  <c r="AY3" i="25"/>
  <c r="BA4" i="25"/>
  <c r="BA5" i="25"/>
  <c r="BA6" i="25"/>
  <c r="BA7" i="25"/>
  <c r="BA8" i="25"/>
  <c r="BA9" i="25"/>
  <c r="BA10" i="25"/>
  <c r="BA11" i="25"/>
  <c r="BA12" i="25"/>
  <c r="BA13" i="25"/>
  <c r="BA14" i="25"/>
  <c r="BA15" i="25"/>
  <c r="BA16" i="25"/>
  <c r="BA17" i="25"/>
  <c r="BA18" i="25"/>
  <c r="BA19" i="25"/>
  <c r="BA20" i="25"/>
  <c r="BA21" i="25"/>
  <c r="BA22" i="25"/>
  <c r="BA3" i="25"/>
  <c r="AE50" i="25"/>
  <c r="AE49" i="25"/>
  <c r="AE48" i="25"/>
  <c r="AE46" i="25"/>
  <c r="AE47" i="25"/>
  <c r="AE45" i="25"/>
  <c r="AE44" i="25"/>
  <c r="AE43" i="25"/>
  <c r="AE42" i="25"/>
  <c r="AE41" i="25"/>
  <c r="AC49" i="26"/>
  <c r="Z55" i="26"/>
  <c r="Z68" i="26" s="1"/>
  <c r="Z56" i="26"/>
  <c r="Z57" i="26"/>
  <c r="Z58" i="26"/>
  <c r="Z71" i="26" s="1"/>
  <c r="Z59" i="26"/>
  <c r="Z60" i="26"/>
  <c r="Z73" i="26" s="1"/>
  <c r="Z61" i="26"/>
  <c r="Z74" i="26" s="1"/>
  <c r="Z62" i="26"/>
  <c r="Z75" i="26" s="1"/>
  <c r="Z63" i="26"/>
  <c r="Z76" i="26" s="1"/>
  <c r="Z67" i="26"/>
  <c r="Z69" i="26"/>
  <c r="Z70" i="26"/>
  <c r="Z72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G67" i="26"/>
  <c r="H55" i="26"/>
  <c r="H68" i="26" s="1"/>
  <c r="I55" i="26"/>
  <c r="I68" i="26" s="1"/>
  <c r="J55" i="26"/>
  <c r="K55" i="26"/>
  <c r="K68" i="26" s="1"/>
  <c r="L55" i="26"/>
  <c r="L68" i="26" s="1"/>
  <c r="M55" i="26"/>
  <c r="M68" i="26" s="1"/>
  <c r="N55" i="26"/>
  <c r="N68" i="26" s="1"/>
  <c r="O55" i="26"/>
  <c r="O68" i="26" s="1"/>
  <c r="P55" i="26"/>
  <c r="P68" i="26" s="1"/>
  <c r="Q55" i="26"/>
  <c r="Q68" i="26" s="1"/>
  <c r="R55" i="26"/>
  <c r="S55" i="26"/>
  <c r="T55" i="26"/>
  <c r="T68" i="26" s="1"/>
  <c r="U55" i="26"/>
  <c r="U68" i="26" s="1"/>
  <c r="V55" i="26"/>
  <c r="V68" i="26" s="1"/>
  <c r="W55" i="26"/>
  <c r="W68" i="26" s="1"/>
  <c r="X55" i="26"/>
  <c r="X68" i="26" s="1"/>
  <c r="Y55" i="26"/>
  <c r="Y68" i="26" s="1"/>
  <c r="H56" i="26"/>
  <c r="H69" i="26" s="1"/>
  <c r="I56" i="26"/>
  <c r="I69" i="26" s="1"/>
  <c r="J56" i="26"/>
  <c r="J69" i="26" s="1"/>
  <c r="K56" i="26"/>
  <c r="K69" i="26" s="1"/>
  <c r="L56" i="26"/>
  <c r="M56" i="26"/>
  <c r="M69" i="26" s="1"/>
  <c r="N56" i="26"/>
  <c r="N69" i="26" s="1"/>
  <c r="O56" i="26"/>
  <c r="O69" i="26" s="1"/>
  <c r="P56" i="26"/>
  <c r="P69" i="26" s="1"/>
  <c r="Q56" i="26"/>
  <c r="Q69" i="26" s="1"/>
  <c r="R56" i="26"/>
  <c r="R69" i="26" s="1"/>
  <c r="S56" i="26"/>
  <c r="S69" i="26" s="1"/>
  <c r="T56" i="26"/>
  <c r="U56" i="26"/>
  <c r="U69" i="26" s="1"/>
  <c r="V56" i="26"/>
  <c r="V69" i="26" s="1"/>
  <c r="W56" i="26"/>
  <c r="W69" i="26" s="1"/>
  <c r="X56" i="26"/>
  <c r="X69" i="26" s="1"/>
  <c r="Y56" i="26"/>
  <c r="Y69" i="26" s="1"/>
  <c r="H57" i="26"/>
  <c r="H70" i="26" s="1"/>
  <c r="I57" i="26"/>
  <c r="I70" i="26" s="1"/>
  <c r="J57" i="26"/>
  <c r="J70" i="26" s="1"/>
  <c r="K57" i="26"/>
  <c r="K70" i="26" s="1"/>
  <c r="L57" i="26"/>
  <c r="L70" i="26" s="1"/>
  <c r="M57" i="26"/>
  <c r="M70" i="26" s="1"/>
  <c r="N57" i="26"/>
  <c r="N70" i="26" s="1"/>
  <c r="O57" i="26"/>
  <c r="O70" i="26" s="1"/>
  <c r="P57" i="26"/>
  <c r="P70" i="26" s="1"/>
  <c r="Q57" i="26"/>
  <c r="Q70" i="26" s="1"/>
  <c r="R57" i="26"/>
  <c r="R70" i="26" s="1"/>
  <c r="S57" i="26"/>
  <c r="S70" i="26" s="1"/>
  <c r="T57" i="26"/>
  <c r="T70" i="26" s="1"/>
  <c r="U57" i="26"/>
  <c r="U70" i="26" s="1"/>
  <c r="V57" i="26"/>
  <c r="V70" i="26" s="1"/>
  <c r="W57" i="26"/>
  <c r="W70" i="26" s="1"/>
  <c r="X57" i="26"/>
  <c r="X70" i="26" s="1"/>
  <c r="Y57" i="26"/>
  <c r="Y70" i="26" s="1"/>
  <c r="H58" i="26"/>
  <c r="H71" i="26" s="1"/>
  <c r="I58" i="26"/>
  <c r="I71" i="26" s="1"/>
  <c r="J58" i="26"/>
  <c r="J71" i="26" s="1"/>
  <c r="K58" i="26"/>
  <c r="K71" i="26" s="1"/>
  <c r="L58" i="26"/>
  <c r="L71" i="26" s="1"/>
  <c r="M58" i="26"/>
  <c r="M71" i="26" s="1"/>
  <c r="N58" i="26"/>
  <c r="N71" i="26" s="1"/>
  <c r="O58" i="26"/>
  <c r="O71" i="26" s="1"/>
  <c r="P58" i="26"/>
  <c r="P71" i="26" s="1"/>
  <c r="Q58" i="26"/>
  <c r="Q71" i="26" s="1"/>
  <c r="R58" i="26"/>
  <c r="R71" i="26" s="1"/>
  <c r="S58" i="26"/>
  <c r="S71" i="26" s="1"/>
  <c r="T58" i="26"/>
  <c r="T71" i="26" s="1"/>
  <c r="U58" i="26"/>
  <c r="U71" i="26" s="1"/>
  <c r="V58" i="26"/>
  <c r="V71" i="26" s="1"/>
  <c r="W58" i="26"/>
  <c r="W71" i="26" s="1"/>
  <c r="X58" i="26"/>
  <c r="X71" i="26" s="1"/>
  <c r="Y58" i="26"/>
  <c r="Y71" i="26" s="1"/>
  <c r="H59" i="26"/>
  <c r="H72" i="26" s="1"/>
  <c r="I59" i="26"/>
  <c r="I72" i="26" s="1"/>
  <c r="J59" i="26"/>
  <c r="J72" i="26" s="1"/>
  <c r="K59" i="26"/>
  <c r="K72" i="26" s="1"/>
  <c r="L59" i="26"/>
  <c r="L72" i="26" s="1"/>
  <c r="M59" i="26"/>
  <c r="M72" i="26" s="1"/>
  <c r="N59" i="26"/>
  <c r="N72" i="26" s="1"/>
  <c r="O59" i="26"/>
  <c r="O72" i="26" s="1"/>
  <c r="P59" i="26"/>
  <c r="P72" i="26" s="1"/>
  <c r="Q59" i="26"/>
  <c r="Q72" i="26" s="1"/>
  <c r="R59" i="26"/>
  <c r="R72" i="26" s="1"/>
  <c r="S59" i="26"/>
  <c r="S72" i="26" s="1"/>
  <c r="T59" i="26"/>
  <c r="T72" i="26" s="1"/>
  <c r="U59" i="26"/>
  <c r="U72" i="26" s="1"/>
  <c r="V59" i="26"/>
  <c r="V72" i="26" s="1"/>
  <c r="W59" i="26"/>
  <c r="W72" i="26" s="1"/>
  <c r="X59" i="26"/>
  <c r="X72" i="26" s="1"/>
  <c r="Y59" i="26"/>
  <c r="Y72" i="26" s="1"/>
  <c r="H60" i="26"/>
  <c r="H73" i="26" s="1"/>
  <c r="I60" i="26"/>
  <c r="I73" i="26" s="1"/>
  <c r="J60" i="26"/>
  <c r="J73" i="26" s="1"/>
  <c r="K60" i="26"/>
  <c r="K73" i="26" s="1"/>
  <c r="L60" i="26"/>
  <c r="L73" i="26" s="1"/>
  <c r="M60" i="26"/>
  <c r="M73" i="26" s="1"/>
  <c r="N60" i="26"/>
  <c r="N73" i="26" s="1"/>
  <c r="O60" i="26"/>
  <c r="O73" i="26" s="1"/>
  <c r="P60" i="26"/>
  <c r="P73" i="26" s="1"/>
  <c r="Q60" i="26"/>
  <c r="Q73" i="26" s="1"/>
  <c r="R60" i="26"/>
  <c r="R73" i="26" s="1"/>
  <c r="S60" i="26"/>
  <c r="S73" i="26" s="1"/>
  <c r="T60" i="26"/>
  <c r="T73" i="26" s="1"/>
  <c r="U60" i="26"/>
  <c r="U73" i="26" s="1"/>
  <c r="V60" i="26"/>
  <c r="V73" i="26" s="1"/>
  <c r="W60" i="26"/>
  <c r="W73" i="26" s="1"/>
  <c r="X60" i="26"/>
  <c r="X73" i="26" s="1"/>
  <c r="Y60" i="26"/>
  <c r="Y73" i="26" s="1"/>
  <c r="H61" i="26"/>
  <c r="H74" i="26" s="1"/>
  <c r="I61" i="26"/>
  <c r="I74" i="26" s="1"/>
  <c r="J61" i="26"/>
  <c r="J74" i="26" s="1"/>
  <c r="K61" i="26"/>
  <c r="K74" i="26" s="1"/>
  <c r="L61" i="26"/>
  <c r="L74" i="26" s="1"/>
  <c r="M61" i="26"/>
  <c r="M74" i="26" s="1"/>
  <c r="N61" i="26"/>
  <c r="N74" i="26" s="1"/>
  <c r="O61" i="26"/>
  <c r="O74" i="26" s="1"/>
  <c r="P61" i="26"/>
  <c r="P74" i="26" s="1"/>
  <c r="Q61" i="26"/>
  <c r="Q74" i="26" s="1"/>
  <c r="R61" i="26"/>
  <c r="R74" i="26" s="1"/>
  <c r="S61" i="26"/>
  <c r="S74" i="26" s="1"/>
  <c r="T61" i="26"/>
  <c r="T74" i="26" s="1"/>
  <c r="U61" i="26"/>
  <c r="U74" i="26" s="1"/>
  <c r="V61" i="26"/>
  <c r="V74" i="26" s="1"/>
  <c r="W61" i="26"/>
  <c r="W74" i="26" s="1"/>
  <c r="X61" i="26"/>
  <c r="X74" i="26" s="1"/>
  <c r="Y61" i="26"/>
  <c r="Y74" i="26" s="1"/>
  <c r="H62" i="26"/>
  <c r="H75" i="26" s="1"/>
  <c r="I62" i="26"/>
  <c r="I75" i="26" s="1"/>
  <c r="J62" i="26"/>
  <c r="J75" i="26" s="1"/>
  <c r="K62" i="26"/>
  <c r="K75" i="26" s="1"/>
  <c r="L62" i="26"/>
  <c r="L75" i="26" s="1"/>
  <c r="M62" i="26"/>
  <c r="M75" i="26" s="1"/>
  <c r="N62" i="26"/>
  <c r="N75" i="26" s="1"/>
  <c r="O62" i="26"/>
  <c r="O75" i="26" s="1"/>
  <c r="P62" i="26"/>
  <c r="P75" i="26" s="1"/>
  <c r="Q62" i="26"/>
  <c r="Q75" i="26" s="1"/>
  <c r="R62" i="26"/>
  <c r="R75" i="26" s="1"/>
  <c r="S62" i="26"/>
  <c r="S75" i="26" s="1"/>
  <c r="T62" i="26"/>
  <c r="T75" i="26" s="1"/>
  <c r="U62" i="26"/>
  <c r="U75" i="26" s="1"/>
  <c r="V62" i="26"/>
  <c r="V75" i="26" s="1"/>
  <c r="W62" i="26"/>
  <c r="W75" i="26" s="1"/>
  <c r="X62" i="26"/>
  <c r="X75" i="26" s="1"/>
  <c r="Y62" i="26"/>
  <c r="Y75" i="26" s="1"/>
  <c r="H63" i="26"/>
  <c r="H76" i="26" s="1"/>
  <c r="I63" i="26"/>
  <c r="I76" i="26" s="1"/>
  <c r="J63" i="26"/>
  <c r="J76" i="26" s="1"/>
  <c r="K63" i="26"/>
  <c r="K76" i="26" s="1"/>
  <c r="L63" i="26"/>
  <c r="L76" i="26" s="1"/>
  <c r="M63" i="26"/>
  <c r="M76" i="26" s="1"/>
  <c r="N63" i="26"/>
  <c r="N76" i="26" s="1"/>
  <c r="O63" i="26"/>
  <c r="O76" i="26" s="1"/>
  <c r="P63" i="26"/>
  <c r="P76" i="26" s="1"/>
  <c r="Q63" i="26"/>
  <c r="Q76" i="26" s="1"/>
  <c r="R63" i="26"/>
  <c r="R76" i="26" s="1"/>
  <c r="S63" i="26"/>
  <c r="S76" i="26" s="1"/>
  <c r="T63" i="26"/>
  <c r="T76" i="26" s="1"/>
  <c r="U63" i="26"/>
  <c r="U76" i="26" s="1"/>
  <c r="V63" i="26"/>
  <c r="V76" i="26" s="1"/>
  <c r="W63" i="26"/>
  <c r="W76" i="26" s="1"/>
  <c r="X63" i="26"/>
  <c r="X76" i="26" s="1"/>
  <c r="Y63" i="26"/>
  <c r="Y76" i="26" s="1"/>
  <c r="G63" i="26"/>
  <c r="G76" i="26" s="1"/>
  <c r="G55" i="26"/>
  <c r="G68" i="26" s="1"/>
  <c r="G56" i="26"/>
  <c r="G69" i="26" s="1"/>
  <c r="G57" i="26"/>
  <c r="G58" i="26"/>
  <c r="G71" i="26" s="1"/>
  <c r="G59" i="26"/>
  <c r="G72" i="26" s="1"/>
  <c r="G60" i="26"/>
  <c r="G73" i="26" s="1"/>
  <c r="G61" i="26"/>
  <c r="G74" i="26" s="1"/>
  <c r="G62" i="26"/>
  <c r="G75" i="26" s="1"/>
  <c r="G64" i="26" l="1"/>
  <c r="Z64" i="26"/>
  <c r="AZ16" i="25"/>
  <c r="W28" i="25" s="1"/>
  <c r="AZ15" i="25"/>
  <c r="AZ22" i="25"/>
  <c r="AZ11" i="25"/>
  <c r="AZ18" i="25"/>
  <c r="Y28" i="25" s="1"/>
  <c r="AZ10" i="25"/>
  <c r="AZ19" i="25"/>
  <c r="Z28" i="25" s="1"/>
  <c r="AZ17" i="25"/>
  <c r="X28" i="25" s="1"/>
  <c r="AZ9" i="25"/>
  <c r="AZ8" i="25"/>
  <c r="AZ3" i="25"/>
  <c r="K64" i="26"/>
  <c r="S64" i="26"/>
  <c r="T64" i="26"/>
  <c r="L64" i="26"/>
  <c r="J64" i="26"/>
  <c r="V64" i="26"/>
  <c r="N64" i="26"/>
  <c r="X64" i="26"/>
  <c r="P64" i="26"/>
  <c r="H64" i="26"/>
  <c r="T69" i="26"/>
  <c r="L69" i="26"/>
  <c r="Y64" i="26"/>
  <c r="Q64" i="26"/>
  <c r="I64" i="26"/>
  <c r="U64" i="26"/>
  <c r="M64" i="26"/>
  <c r="W64" i="26"/>
  <c r="O64" i="26"/>
  <c r="R64" i="26"/>
  <c r="G70" i="26"/>
  <c r="S68" i="26"/>
  <c r="R68" i="26"/>
  <c r="J68" i="26"/>
  <c r="AS4" i="8" l="1"/>
  <c r="AR8" i="8"/>
  <c r="AR2" i="8" s="1"/>
  <c r="T44" i="2" l="1"/>
  <c r="T32" i="2"/>
  <c r="P49" i="2" l="1"/>
  <c r="Q49" i="2"/>
  <c r="R49" i="2"/>
  <c r="S49" i="2"/>
  <c r="O49" i="2"/>
  <c r="P37" i="2"/>
  <c r="Q37" i="2"/>
  <c r="R37" i="2"/>
  <c r="S37" i="2"/>
  <c r="O37" i="2"/>
  <c r="AB21" i="25" l="1"/>
  <c r="AB18" i="25"/>
  <c r="AB19" i="25"/>
  <c r="AB17" i="25"/>
  <c r="AB20" i="25" l="1"/>
  <c r="AB29" i="25" s="1"/>
  <c r="AB25" i="25"/>
  <c r="AB27" i="25"/>
  <c r="AB26" i="25"/>
  <c r="AA21" i="25"/>
  <c r="Z21" i="25"/>
  <c r="Y21" i="25"/>
  <c r="X21" i="25"/>
  <c r="W21" i="25"/>
  <c r="AG43" i="25"/>
  <c r="AG54" i="25" s="1"/>
  <c r="AG44" i="25"/>
  <c r="AG55" i="25" s="1"/>
  <c r="AG45" i="25"/>
  <c r="AG59" i="25" s="1"/>
  <c r="AG46" i="25"/>
  <c r="AG60" i="25" s="1"/>
  <c r="AG47" i="25"/>
  <c r="AG61" i="25" s="1"/>
  <c r="AG48" i="25"/>
  <c r="AG58" i="25" s="1"/>
  <c r="AG49" i="25"/>
  <c r="AG56" i="25" s="1"/>
  <c r="AG50" i="25"/>
  <c r="AG57" i="25" s="1"/>
  <c r="AG42" i="25"/>
  <c r="AG53" i="25" s="1"/>
  <c r="Q45" i="21" l="1"/>
  <c r="P45" i="21"/>
  <c r="J45" i="21"/>
  <c r="I45" i="21"/>
  <c r="D45" i="21"/>
  <c r="C45" i="21"/>
  <c r="Q21" i="21"/>
  <c r="P21" i="21"/>
  <c r="J21" i="21"/>
  <c r="I21" i="21"/>
  <c r="D21" i="21"/>
  <c r="C21" i="21"/>
  <c r="S17" i="21" l="1"/>
  <c r="S13" i="21"/>
  <c r="S14" i="21"/>
  <c r="S7" i="21"/>
  <c r="S18" i="21"/>
  <c r="S19" i="21"/>
  <c r="S8" i="21"/>
  <c r="S21" i="21"/>
  <c r="S11" i="21"/>
  <c r="S16" i="21"/>
  <c r="S9" i="21"/>
  <c r="S10" i="21"/>
  <c r="S12" i="21"/>
  <c r="L91" i="21"/>
  <c r="M91" i="21"/>
  <c r="L92" i="21"/>
  <c r="M92" i="21"/>
  <c r="L93" i="21"/>
  <c r="M93" i="21"/>
  <c r="L94" i="21"/>
  <c r="M94" i="21"/>
  <c r="L95" i="21"/>
  <c r="M95" i="21"/>
  <c r="L96" i="21"/>
  <c r="M96" i="21"/>
  <c r="L97" i="21"/>
  <c r="M97" i="21"/>
  <c r="L98" i="21"/>
  <c r="M98" i="21"/>
  <c r="L99" i="21"/>
  <c r="M99" i="21"/>
  <c r="L100" i="21"/>
  <c r="M100" i="21"/>
  <c r="L101" i="21"/>
  <c r="M101" i="21"/>
  <c r="L102" i="21"/>
  <c r="M102" i="21"/>
  <c r="L104" i="21"/>
  <c r="M104" i="21"/>
  <c r="M90" i="21"/>
  <c r="L90" i="21"/>
  <c r="F91" i="21"/>
  <c r="F92" i="21"/>
  <c r="F93" i="21"/>
  <c r="F94" i="21"/>
  <c r="F95" i="21"/>
  <c r="F96" i="21"/>
  <c r="F97" i="21"/>
  <c r="F98" i="21"/>
  <c r="F99" i="21"/>
  <c r="F100" i="21"/>
  <c r="F101" i="21"/>
  <c r="F102" i="21"/>
  <c r="F103" i="21"/>
  <c r="F104" i="21"/>
  <c r="F90" i="21"/>
  <c r="M67" i="21"/>
  <c r="M68" i="21"/>
  <c r="M69" i="21"/>
  <c r="M70" i="21"/>
  <c r="M71" i="21"/>
  <c r="M72" i="21"/>
  <c r="M73" i="21"/>
  <c r="M74" i="21"/>
  <c r="M75" i="21"/>
  <c r="M76" i="21"/>
  <c r="M77" i="21"/>
  <c r="M78" i="21"/>
  <c r="M80" i="21"/>
  <c r="M66" i="21"/>
  <c r="L80" i="21"/>
  <c r="L67" i="21"/>
  <c r="L68" i="21"/>
  <c r="L69" i="21"/>
  <c r="L70" i="21"/>
  <c r="L71" i="21"/>
  <c r="L72" i="21"/>
  <c r="L73" i="21"/>
  <c r="L74" i="21"/>
  <c r="L75" i="21"/>
  <c r="L76" i="21"/>
  <c r="L77" i="21"/>
  <c r="L78" i="21"/>
  <c r="L66" i="21"/>
  <c r="F67" i="21"/>
  <c r="F68" i="21"/>
  <c r="F69" i="21"/>
  <c r="F70" i="21"/>
  <c r="F71" i="21"/>
  <c r="F72" i="21"/>
  <c r="F73" i="21"/>
  <c r="F74" i="21"/>
  <c r="F75" i="21"/>
  <c r="F76" i="21"/>
  <c r="F77" i="21"/>
  <c r="F78" i="21"/>
  <c r="F79" i="21"/>
  <c r="F80" i="21"/>
  <c r="F66" i="21"/>
  <c r="R91" i="21"/>
  <c r="R92" i="21"/>
  <c r="R93" i="21"/>
  <c r="R94" i="21"/>
  <c r="R95" i="21"/>
  <c r="R96" i="21"/>
  <c r="R97" i="21"/>
  <c r="R99" i="21"/>
  <c r="R100" i="21"/>
  <c r="R101" i="21"/>
  <c r="R102" i="21"/>
  <c r="R104" i="21"/>
  <c r="R90" i="21"/>
  <c r="K98" i="21"/>
  <c r="K99" i="21"/>
  <c r="K100" i="21"/>
  <c r="K101" i="21"/>
  <c r="K102" i="21"/>
  <c r="K104" i="21"/>
  <c r="K91" i="21"/>
  <c r="K92" i="21"/>
  <c r="K93" i="21"/>
  <c r="K94" i="21"/>
  <c r="K95" i="21"/>
  <c r="K96" i="21"/>
  <c r="K97" i="21"/>
  <c r="K90" i="21"/>
  <c r="E91" i="21"/>
  <c r="E92" i="21"/>
  <c r="E93" i="21"/>
  <c r="E94" i="21"/>
  <c r="E95" i="21"/>
  <c r="E96" i="21"/>
  <c r="E97" i="21"/>
  <c r="E98" i="21"/>
  <c r="E99" i="21"/>
  <c r="E100" i="21"/>
  <c r="E101" i="21"/>
  <c r="E102" i="21"/>
  <c r="E103" i="21"/>
  <c r="E104" i="21"/>
  <c r="E90" i="21"/>
  <c r="R75" i="21"/>
  <c r="R76" i="21"/>
  <c r="R77" i="21"/>
  <c r="R78" i="21"/>
  <c r="R80" i="21"/>
  <c r="R67" i="21"/>
  <c r="R68" i="21"/>
  <c r="R69" i="21"/>
  <c r="R70" i="21"/>
  <c r="R71" i="21"/>
  <c r="R72" i="21"/>
  <c r="R73" i="21"/>
  <c r="R66" i="21"/>
  <c r="K67" i="21"/>
  <c r="K68" i="21"/>
  <c r="K69" i="21"/>
  <c r="K70" i="21"/>
  <c r="K71" i="21"/>
  <c r="K72" i="21"/>
  <c r="K73" i="21"/>
  <c r="K74" i="21"/>
  <c r="K75" i="21"/>
  <c r="K76" i="21"/>
  <c r="K77" i="21"/>
  <c r="K78" i="21"/>
  <c r="K80" i="21"/>
  <c r="K66" i="21"/>
  <c r="E67" i="21"/>
  <c r="E68" i="21"/>
  <c r="E69" i="21"/>
  <c r="E70" i="21"/>
  <c r="E71" i="21"/>
  <c r="E72" i="21"/>
  <c r="E73" i="21"/>
  <c r="E74" i="21"/>
  <c r="E75" i="21"/>
  <c r="E76" i="21"/>
  <c r="E77" i="21"/>
  <c r="E78" i="21"/>
  <c r="E79" i="21"/>
  <c r="E80" i="21"/>
  <c r="E66" i="21"/>
  <c r="X3" i="25" l="1"/>
  <c r="Y3" i="25"/>
  <c r="Z3" i="25"/>
  <c r="AA3" i="25"/>
  <c r="W3" i="25"/>
  <c r="V9" i="25"/>
  <c r="V8" i="25"/>
  <c r="V7" i="25"/>
  <c r="V6" i="25"/>
  <c r="V5" i="25"/>
  <c r="V4" i="25"/>
  <c r="S162" i="21" l="1"/>
  <c r="R162" i="21"/>
  <c r="M162" i="21"/>
  <c r="L162" i="21"/>
  <c r="K162" i="21"/>
  <c r="F162" i="21"/>
  <c r="E162" i="21"/>
  <c r="F161" i="21"/>
  <c r="E161" i="21"/>
  <c r="S160" i="21"/>
  <c r="R160" i="21"/>
  <c r="M160" i="21"/>
  <c r="L160" i="21"/>
  <c r="K160" i="21"/>
  <c r="F160" i="21"/>
  <c r="E160" i="21"/>
  <c r="S159" i="21"/>
  <c r="R159" i="21"/>
  <c r="M159" i="21"/>
  <c r="L159" i="21"/>
  <c r="U151" i="21" s="1"/>
  <c r="K159" i="21"/>
  <c r="F159" i="21"/>
  <c r="E159" i="21"/>
  <c r="S158" i="21"/>
  <c r="R158" i="21"/>
  <c r="M158" i="21"/>
  <c r="L158" i="21"/>
  <c r="K158" i="21"/>
  <c r="F158" i="21"/>
  <c r="E158" i="21"/>
  <c r="S157" i="21"/>
  <c r="R157" i="21"/>
  <c r="M157" i="21"/>
  <c r="L157" i="21"/>
  <c r="K157" i="21"/>
  <c r="F157" i="21"/>
  <c r="E157" i="21"/>
  <c r="M156" i="21"/>
  <c r="L156" i="21"/>
  <c r="F156" i="21"/>
  <c r="E156" i="21"/>
  <c r="S155" i="21"/>
  <c r="R155" i="21"/>
  <c r="M155" i="21"/>
  <c r="L155" i="21"/>
  <c r="K155" i="21"/>
  <c r="F155" i="21"/>
  <c r="E155" i="21"/>
  <c r="S154" i="21"/>
  <c r="R154" i="21"/>
  <c r="M154" i="21"/>
  <c r="L154" i="21"/>
  <c r="K154" i="21"/>
  <c r="F154" i="21"/>
  <c r="E154" i="21"/>
  <c r="S153" i="21"/>
  <c r="R153" i="21"/>
  <c r="M153" i="21"/>
  <c r="L153" i="21"/>
  <c r="K153" i="21"/>
  <c r="F153" i="21"/>
  <c r="E153" i="21"/>
  <c r="S152" i="21"/>
  <c r="R152" i="21"/>
  <c r="M152" i="21"/>
  <c r="L152" i="21"/>
  <c r="K152" i="21"/>
  <c r="F152" i="21"/>
  <c r="E152" i="21"/>
  <c r="S151" i="21"/>
  <c r="R151" i="21"/>
  <c r="M151" i="21"/>
  <c r="L151" i="21"/>
  <c r="K151" i="21"/>
  <c r="F151" i="21"/>
  <c r="E151" i="21"/>
  <c r="X150" i="21"/>
  <c r="S150" i="21"/>
  <c r="R150" i="21"/>
  <c r="M150" i="21"/>
  <c r="L150" i="21"/>
  <c r="K150" i="21"/>
  <c r="F150" i="21"/>
  <c r="E150" i="21"/>
  <c r="X149" i="21"/>
  <c r="S149" i="21"/>
  <c r="R149" i="21"/>
  <c r="M149" i="21"/>
  <c r="L149" i="21"/>
  <c r="K149" i="21"/>
  <c r="F149" i="21"/>
  <c r="E149" i="21"/>
  <c r="X148" i="21"/>
  <c r="X151" i="21" s="1"/>
  <c r="S148" i="21"/>
  <c r="R148" i="21"/>
  <c r="M148" i="21"/>
  <c r="U148" i="21" s="1"/>
  <c r="L148" i="21"/>
  <c r="K148" i="21"/>
  <c r="F148" i="21"/>
  <c r="E148" i="21"/>
  <c r="S138" i="21"/>
  <c r="R138" i="21"/>
  <c r="M138" i="21"/>
  <c r="L138" i="21"/>
  <c r="K138" i="21"/>
  <c r="F138" i="21"/>
  <c r="E138" i="21"/>
  <c r="K137" i="21"/>
  <c r="F137" i="21"/>
  <c r="E137" i="21"/>
  <c r="S136" i="21"/>
  <c r="R136" i="21"/>
  <c r="M136" i="21"/>
  <c r="L136" i="21"/>
  <c r="K136" i="21"/>
  <c r="F136" i="21"/>
  <c r="E136" i="21"/>
  <c r="S135" i="21"/>
  <c r="R135" i="21"/>
  <c r="M135" i="21"/>
  <c r="L135" i="21"/>
  <c r="K135" i="21"/>
  <c r="F135" i="21"/>
  <c r="E135" i="21"/>
  <c r="S134" i="21"/>
  <c r="R134" i="21"/>
  <c r="M134" i="21"/>
  <c r="L134" i="21"/>
  <c r="K134" i="21"/>
  <c r="F134" i="21"/>
  <c r="E134" i="21"/>
  <c r="S133" i="21"/>
  <c r="R133" i="21"/>
  <c r="M133" i="21"/>
  <c r="L133" i="21"/>
  <c r="K133" i="21"/>
  <c r="F133" i="21"/>
  <c r="E133" i="21"/>
  <c r="M132" i="21"/>
  <c r="L132" i="21"/>
  <c r="K132" i="21"/>
  <c r="F132" i="21"/>
  <c r="E132" i="21"/>
  <c r="S131" i="21"/>
  <c r="R131" i="21"/>
  <c r="M131" i="21"/>
  <c r="L131" i="21"/>
  <c r="K131" i="21"/>
  <c r="F131" i="21"/>
  <c r="E131" i="21"/>
  <c r="S130" i="21"/>
  <c r="R130" i="21"/>
  <c r="M130" i="21"/>
  <c r="L130" i="21"/>
  <c r="K130" i="21"/>
  <c r="F130" i="21"/>
  <c r="E130" i="21"/>
  <c r="S129" i="21"/>
  <c r="R129" i="21"/>
  <c r="M129" i="21"/>
  <c r="L129" i="21"/>
  <c r="K129" i="21"/>
  <c r="F129" i="21"/>
  <c r="E129" i="21"/>
  <c r="S128" i="21"/>
  <c r="R128" i="21"/>
  <c r="M128" i="21"/>
  <c r="L128" i="21"/>
  <c r="K128" i="21"/>
  <c r="F128" i="21"/>
  <c r="E128" i="21"/>
  <c r="S127" i="21"/>
  <c r="R127" i="21"/>
  <c r="M127" i="21"/>
  <c r="L127" i="21"/>
  <c r="K127" i="21"/>
  <c r="F127" i="21"/>
  <c r="E127" i="21"/>
  <c r="X126" i="21"/>
  <c r="U126" i="21"/>
  <c r="S126" i="21"/>
  <c r="R126" i="21"/>
  <c r="M126" i="21"/>
  <c r="L126" i="21"/>
  <c r="K126" i="21"/>
  <c r="F126" i="21"/>
  <c r="E126" i="21"/>
  <c r="X125" i="21"/>
  <c r="S125" i="21"/>
  <c r="R125" i="21"/>
  <c r="M125" i="21"/>
  <c r="L125" i="21"/>
  <c r="K125" i="21"/>
  <c r="F125" i="21"/>
  <c r="E125" i="21"/>
  <c r="X124" i="21"/>
  <c r="X127" i="21" s="1"/>
  <c r="S124" i="21"/>
  <c r="R124" i="21"/>
  <c r="M124" i="21"/>
  <c r="L124" i="21"/>
  <c r="K124" i="21"/>
  <c r="F124" i="21"/>
  <c r="E124" i="21"/>
  <c r="S104" i="21"/>
  <c r="S102" i="21"/>
  <c r="S101" i="21"/>
  <c r="U93" i="21"/>
  <c r="S100" i="21"/>
  <c r="S99" i="21"/>
  <c r="S97" i="21"/>
  <c r="S96" i="21"/>
  <c r="S95" i="21"/>
  <c r="S94" i="21"/>
  <c r="S93" i="21"/>
  <c r="X92" i="21"/>
  <c r="S92" i="21"/>
  <c r="X91" i="21"/>
  <c r="S91" i="21"/>
  <c r="U91" i="21"/>
  <c r="X90" i="21"/>
  <c r="S90" i="21"/>
  <c r="U90" i="21"/>
  <c r="S80" i="21"/>
  <c r="S78" i="21"/>
  <c r="S77" i="21"/>
  <c r="U68" i="21"/>
  <c r="S76" i="21"/>
  <c r="S75" i="21"/>
  <c r="S73" i="21"/>
  <c r="S72" i="21"/>
  <c r="S71" i="21"/>
  <c r="S70" i="21"/>
  <c r="S69" i="21"/>
  <c r="X68" i="21"/>
  <c r="S68" i="21"/>
  <c r="X67" i="21"/>
  <c r="S67" i="21"/>
  <c r="X66" i="21"/>
  <c r="X69" i="21" s="1"/>
  <c r="S66" i="21"/>
  <c r="W8" i="8"/>
  <c r="U150" i="21" l="1"/>
  <c r="U149" i="21"/>
  <c r="U125" i="21"/>
  <c r="U124" i="21"/>
  <c r="U92" i="21"/>
  <c r="U66" i="21"/>
  <c r="U67" i="21"/>
  <c r="X93" i="21"/>
  <c r="Y2" i="3"/>
  <c r="X2" i="3"/>
  <c r="W2" i="3"/>
  <c r="V2" i="3"/>
  <c r="U2" i="3"/>
  <c r="Y2" i="4"/>
  <c r="X2" i="4"/>
  <c r="W2" i="4"/>
  <c r="V2" i="4"/>
  <c r="U2" i="4"/>
  <c r="K43" i="21" l="1"/>
  <c r="K42" i="21"/>
  <c r="K41" i="21"/>
  <c r="K40" i="21"/>
  <c r="K38" i="21"/>
  <c r="K37" i="21"/>
  <c r="K36" i="21"/>
  <c r="K35" i="21"/>
  <c r="K34" i="21"/>
  <c r="K33" i="21"/>
  <c r="K32" i="21"/>
  <c r="K31" i="21"/>
  <c r="R43" i="21"/>
  <c r="R42" i="21"/>
  <c r="R41" i="21"/>
  <c r="R40" i="21"/>
  <c r="R45" i="21" s="1"/>
  <c r="R38" i="21"/>
  <c r="R37" i="21"/>
  <c r="R36" i="21"/>
  <c r="R35" i="21"/>
  <c r="R34" i="21"/>
  <c r="R33" i="21"/>
  <c r="R32" i="21"/>
  <c r="R31" i="21"/>
  <c r="K45" i="21" l="1"/>
  <c r="E44" i="21"/>
  <c r="E43" i="21"/>
  <c r="E42" i="21"/>
  <c r="E41" i="21"/>
  <c r="E40" i="21"/>
  <c r="E39" i="21"/>
  <c r="E38" i="21"/>
  <c r="E37" i="21"/>
  <c r="E36" i="21"/>
  <c r="E35" i="21"/>
  <c r="E34" i="21"/>
  <c r="E33" i="21"/>
  <c r="E32" i="21"/>
  <c r="E31" i="21"/>
  <c r="R19" i="21"/>
  <c r="R18" i="21"/>
  <c r="R17" i="21"/>
  <c r="R16" i="21"/>
  <c r="R14" i="21"/>
  <c r="R13" i="21"/>
  <c r="R12" i="21"/>
  <c r="R11" i="21"/>
  <c r="R10" i="21"/>
  <c r="R9" i="21"/>
  <c r="R8" i="21"/>
  <c r="R7" i="21"/>
  <c r="K20" i="21"/>
  <c r="K19" i="21"/>
  <c r="K18" i="21"/>
  <c r="K17" i="21"/>
  <c r="K16" i="21"/>
  <c r="K15" i="21"/>
  <c r="K14" i="21"/>
  <c r="K13" i="21"/>
  <c r="K12" i="21"/>
  <c r="K11" i="21"/>
  <c r="K10" i="21"/>
  <c r="K9" i="21"/>
  <c r="K8" i="21"/>
  <c r="K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7" i="21"/>
  <c r="E45" i="21" l="1"/>
  <c r="R21" i="21"/>
  <c r="K21" i="21"/>
  <c r="E21" i="21"/>
  <c r="M7" i="21"/>
  <c r="I16" i="2" l="1"/>
  <c r="I12" i="2"/>
  <c r="E12" i="2"/>
  <c r="S40" i="21" l="1"/>
  <c r="V2" i="2"/>
  <c r="W2" i="2"/>
  <c r="X2" i="2"/>
  <c r="Y2" i="2"/>
  <c r="U2" i="2"/>
  <c r="Z5" i="8"/>
  <c r="M45" i="21"/>
  <c r="M32" i="21"/>
  <c r="M33" i="21"/>
  <c r="M34" i="21"/>
  <c r="M35" i="21"/>
  <c r="M36" i="21"/>
  <c r="M37" i="21"/>
  <c r="M38" i="21"/>
  <c r="M39" i="21"/>
  <c r="M40" i="21"/>
  <c r="M41" i="21"/>
  <c r="M42" i="21"/>
  <c r="M43" i="21"/>
  <c r="M31" i="21"/>
  <c r="U31" i="21" s="1"/>
  <c r="M8" i="21"/>
  <c r="U7" i="21" s="1"/>
  <c r="U10" i="21" s="1"/>
  <c r="M9" i="21"/>
  <c r="M10" i="21"/>
  <c r="M11" i="21"/>
  <c r="M12" i="21"/>
  <c r="M13" i="21"/>
  <c r="M14" i="21"/>
  <c r="M15" i="21"/>
  <c r="M16" i="21"/>
  <c r="M17" i="21"/>
  <c r="M18" i="21"/>
  <c r="M19" i="21"/>
  <c r="M21" i="21"/>
  <c r="P19" i="3"/>
  <c r="Q19" i="3"/>
  <c r="R19" i="3"/>
  <c r="S19" i="3"/>
  <c r="O19" i="3"/>
  <c r="P19" i="4"/>
  <c r="Q19" i="4"/>
  <c r="R19" i="4"/>
  <c r="S19" i="4"/>
  <c r="O19" i="4"/>
  <c r="P19" i="2"/>
  <c r="Q19" i="2"/>
  <c r="R19" i="2"/>
  <c r="S19" i="2"/>
  <c r="O19" i="2"/>
  <c r="V8" i="8"/>
  <c r="U8" i="8"/>
  <c r="T8" i="8"/>
  <c r="S8" i="8"/>
  <c r="R8" i="8"/>
  <c r="O28" i="4" l="1"/>
  <c r="U28" i="4" s="1"/>
  <c r="D99" i="25"/>
  <c r="W18" i="25"/>
  <c r="W26" i="25" s="1"/>
  <c r="H99" i="25"/>
  <c r="AA18" i="25"/>
  <c r="AA26" i="25" s="1"/>
  <c r="F99" i="25"/>
  <c r="Y18" i="25"/>
  <c r="Y26" i="25" s="1"/>
  <c r="H97" i="25"/>
  <c r="AA17" i="25"/>
  <c r="P28" i="4"/>
  <c r="E99" i="25"/>
  <c r="X18" i="25"/>
  <c r="X26" i="25" s="1"/>
  <c r="G99" i="25"/>
  <c r="Z18" i="25"/>
  <c r="Z26" i="25" s="1"/>
  <c r="O28" i="2"/>
  <c r="D57" i="25" s="1"/>
  <c r="D97" i="25"/>
  <c r="W17" i="25"/>
  <c r="G97" i="25"/>
  <c r="Z17" i="25"/>
  <c r="O28" i="3"/>
  <c r="D101" i="25"/>
  <c r="W19" i="25"/>
  <c r="W27" i="25" s="1"/>
  <c r="F101" i="25"/>
  <c r="Y19" i="25"/>
  <c r="Y27" i="25" s="1"/>
  <c r="P28" i="3"/>
  <c r="E101" i="25"/>
  <c r="X19" i="25"/>
  <c r="X27" i="25" s="1"/>
  <c r="F97" i="25"/>
  <c r="Y17" i="25"/>
  <c r="H101" i="25"/>
  <c r="AA19" i="25"/>
  <c r="AA27" i="25" s="1"/>
  <c r="P28" i="2"/>
  <c r="E97" i="25"/>
  <c r="X17" i="25"/>
  <c r="G101" i="25"/>
  <c r="Z19" i="25"/>
  <c r="Z27" i="25" s="1"/>
  <c r="X19" i="4"/>
  <c r="R20" i="4"/>
  <c r="X32" i="21"/>
  <c r="V28" i="4"/>
  <c r="E59" i="25"/>
  <c r="U19" i="2"/>
  <c r="V19" i="2"/>
  <c r="P20" i="2"/>
  <c r="W19" i="4"/>
  <c r="Q20" i="4"/>
  <c r="X19" i="3"/>
  <c r="R20" i="3"/>
  <c r="X33" i="21"/>
  <c r="R28" i="3"/>
  <c r="Q20" i="2"/>
  <c r="S28" i="2"/>
  <c r="H57" i="25" s="1"/>
  <c r="S20" i="2"/>
  <c r="S28" i="3"/>
  <c r="H61" i="25" s="1"/>
  <c r="S20" i="3"/>
  <c r="V19" i="4"/>
  <c r="P20" i="4"/>
  <c r="R20" i="2"/>
  <c r="X31" i="21"/>
  <c r="S20" i="4"/>
  <c r="U19" i="3"/>
  <c r="O20" i="3"/>
  <c r="V19" i="3"/>
  <c r="P20" i="3"/>
  <c r="Q28" i="4"/>
  <c r="W19" i="3"/>
  <c r="Q20" i="3"/>
  <c r="Q28" i="3"/>
  <c r="U32" i="21"/>
  <c r="Q21" i="4" s="1"/>
  <c r="W21" i="4" s="1"/>
  <c r="W19" i="2"/>
  <c r="X19" i="2"/>
  <c r="O20" i="4"/>
  <c r="O20" i="2"/>
  <c r="Y28" i="3"/>
  <c r="Y19" i="4"/>
  <c r="U19" i="4"/>
  <c r="Y19" i="2"/>
  <c r="Y19" i="3"/>
  <c r="R28" i="2"/>
  <c r="S28" i="4"/>
  <c r="Q28" i="2"/>
  <c r="R28" i="4"/>
  <c r="X20" i="25" l="1"/>
  <c r="X29" i="25" s="1"/>
  <c r="X25" i="25"/>
  <c r="W20" i="25"/>
  <c r="W29" i="25" s="1"/>
  <c r="W25" i="25"/>
  <c r="Y20" i="25"/>
  <c r="Y29" i="25" s="1"/>
  <c r="Y25" i="25"/>
  <c r="Z20" i="25"/>
  <c r="Z29" i="25" s="1"/>
  <c r="Z25" i="25"/>
  <c r="D59" i="25"/>
  <c r="Y28" i="2"/>
  <c r="AA20" i="25"/>
  <c r="AA29" i="25" s="1"/>
  <c r="AA25" i="25"/>
  <c r="U28" i="2"/>
  <c r="P21" i="3"/>
  <c r="V21" i="3" s="1"/>
  <c r="R21" i="4"/>
  <c r="Q21" i="2"/>
  <c r="W21" i="2" s="1"/>
  <c r="O21" i="2"/>
  <c r="U21" i="2" s="1"/>
  <c r="Q21" i="3"/>
  <c r="S21" i="4"/>
  <c r="Y21" i="4" s="1"/>
  <c r="O21" i="4"/>
  <c r="S21" i="3"/>
  <c r="R21" i="2"/>
  <c r="X21" i="2" s="1"/>
  <c r="P21" i="4"/>
  <c r="V21" i="4" s="1"/>
  <c r="R21" i="3"/>
  <c r="P21" i="2"/>
  <c r="V21" i="2" s="1"/>
  <c r="O21" i="3"/>
  <c r="S21" i="2"/>
  <c r="Y21" i="2" s="1"/>
  <c r="D76" i="25"/>
  <c r="Y28" i="4"/>
  <c r="H59" i="25"/>
  <c r="X28" i="2"/>
  <c r="G57" i="25"/>
  <c r="F59" i="25"/>
  <c r="W28" i="4"/>
  <c r="X34" i="21"/>
  <c r="W28" i="2"/>
  <c r="F57" i="25"/>
  <c r="V28" i="3"/>
  <c r="E61" i="25"/>
  <c r="X28" i="4"/>
  <c r="G59" i="25"/>
  <c r="U28" i="3"/>
  <c r="D61" i="25"/>
  <c r="V28" i="2"/>
  <c r="E57" i="25"/>
  <c r="X28" i="3"/>
  <c r="G61" i="25"/>
  <c r="W28" i="3"/>
  <c r="D67" i="25"/>
  <c r="F61" i="25"/>
  <c r="W21" i="3"/>
  <c r="X21" i="4" l="1"/>
  <c r="Z22" i="25"/>
  <c r="W22" i="25"/>
  <c r="X22" i="25"/>
  <c r="U21" i="4"/>
  <c r="AA22" i="25"/>
  <c r="Y22" i="25"/>
  <c r="Y32" i="21"/>
  <c r="Y33" i="21"/>
  <c r="Y31" i="21"/>
  <c r="X21" i="3"/>
  <c r="Y21" i="3"/>
  <c r="D77" i="25"/>
  <c r="U21" i="3"/>
  <c r="Y34" i="21" l="1"/>
  <c r="Y6" i="4"/>
  <c r="BM72" i="24"/>
  <c r="BS60" i="24" s="1"/>
  <c r="S6" i="3" s="1"/>
  <c r="BM71" i="24"/>
  <c r="BM70" i="24"/>
  <c r="BM69" i="24"/>
  <c r="BM68" i="24"/>
  <c r="BM64" i="24"/>
  <c r="BM63" i="24"/>
  <c r="BM62" i="24"/>
  <c r="BQ60" i="24" s="1"/>
  <c r="Q6" i="3" s="1"/>
  <c r="F23" i="25" s="1"/>
  <c r="BM61" i="24"/>
  <c r="BP60" i="24" s="1"/>
  <c r="P6" i="3" s="1"/>
  <c r="BR60" i="24"/>
  <c r="R6" i="3" s="1"/>
  <c r="G23" i="25" s="1"/>
  <c r="BM60" i="24"/>
  <c r="BO60" i="24" s="1"/>
  <c r="O6" i="3" s="1"/>
  <c r="D23" i="25" s="1"/>
  <c r="BM51" i="24"/>
  <c r="BS47" i="24" s="1"/>
  <c r="S6" i="4" s="1"/>
  <c r="H21" i="25" s="1"/>
  <c r="BM50" i="24"/>
  <c r="BM49" i="24"/>
  <c r="BM48" i="24"/>
  <c r="BP47" i="24" s="1"/>
  <c r="P6" i="4" s="1"/>
  <c r="BR47" i="24"/>
  <c r="R6" i="4" s="1"/>
  <c r="G21" i="25" s="1"/>
  <c r="BQ47" i="24"/>
  <c r="Q6" i="4" s="1"/>
  <c r="F21" i="25" s="1"/>
  <c r="BO47" i="24"/>
  <c r="O6" i="4" s="1"/>
  <c r="D21" i="25" s="1"/>
  <c r="BM47" i="24"/>
  <c r="BM33" i="24"/>
  <c r="BM32" i="24"/>
  <c r="BM31" i="24"/>
  <c r="BM30" i="24"/>
  <c r="BM29" i="24"/>
  <c r="BM25" i="24"/>
  <c r="BM24" i="24"/>
  <c r="BM23" i="24"/>
  <c r="BM22" i="24"/>
  <c r="BM21" i="24"/>
  <c r="BM17" i="24"/>
  <c r="BM16" i="24"/>
  <c r="BM15" i="24"/>
  <c r="BM14" i="24"/>
  <c r="BM13" i="24"/>
  <c r="BM9" i="24"/>
  <c r="BM8" i="24"/>
  <c r="BM7" i="24"/>
  <c r="BM6" i="24"/>
  <c r="BP35" i="24" s="1"/>
  <c r="BP40" i="24" s="1"/>
  <c r="P6" i="2" s="1"/>
  <c r="BM5" i="24"/>
  <c r="H23" i="25" l="1"/>
  <c r="Y6" i="3"/>
  <c r="E21" i="25"/>
  <c r="V6" i="4"/>
  <c r="E23" i="25"/>
  <c r="V6" i="3"/>
  <c r="W6" i="4"/>
  <c r="P38" i="2"/>
  <c r="P39" i="2" s="1"/>
  <c r="E19" i="25"/>
  <c r="BP36" i="24"/>
  <c r="BQ40" i="24" s="1"/>
  <c r="Q6" i="2" s="1"/>
  <c r="BP37" i="24"/>
  <c r="BR40" i="24" s="1"/>
  <c r="R6" i="2" s="1"/>
  <c r="U6" i="3"/>
  <c r="BP38" i="24"/>
  <c r="BS40" i="24" s="1"/>
  <c r="V6" i="2"/>
  <c r="X6" i="3"/>
  <c r="U6" i="4"/>
  <c r="W6" i="3"/>
  <c r="BP34" i="24"/>
  <c r="BO40" i="24" s="1"/>
  <c r="O6" i="2" s="1"/>
  <c r="X6" i="4"/>
  <c r="S32" i="21"/>
  <c r="S33" i="21"/>
  <c r="S34" i="21"/>
  <c r="S35" i="21"/>
  <c r="S36" i="21"/>
  <c r="S37" i="21"/>
  <c r="S38" i="21"/>
  <c r="S41" i="21"/>
  <c r="S42" i="21"/>
  <c r="S43" i="21"/>
  <c r="S45" i="21"/>
  <c r="S31" i="21"/>
  <c r="L32" i="21"/>
  <c r="L33" i="21"/>
  <c r="L34" i="21"/>
  <c r="L35" i="21"/>
  <c r="L36" i="21"/>
  <c r="L37" i="21"/>
  <c r="L38" i="21"/>
  <c r="L39" i="21"/>
  <c r="L40" i="21"/>
  <c r="L41" i="21"/>
  <c r="L42" i="21"/>
  <c r="U34" i="21" s="1"/>
  <c r="L43" i="21"/>
  <c r="L45" i="21"/>
  <c r="L31" i="21"/>
  <c r="F32" i="21"/>
  <c r="F33" i="21"/>
  <c r="F34" i="21"/>
  <c r="F35" i="21"/>
  <c r="F36" i="21"/>
  <c r="F37" i="21"/>
  <c r="F38" i="21"/>
  <c r="F39" i="21"/>
  <c r="F40" i="21"/>
  <c r="F41" i="21"/>
  <c r="F42" i="21"/>
  <c r="F43" i="21"/>
  <c r="F44" i="21"/>
  <c r="F45" i="21"/>
  <c r="F31" i="21"/>
  <c r="L8" i="21"/>
  <c r="L9" i="21"/>
  <c r="L10" i="21"/>
  <c r="L11" i="21"/>
  <c r="L12" i="21"/>
  <c r="L13" i="21"/>
  <c r="L14" i="21"/>
  <c r="L15" i="21"/>
  <c r="L16" i="21"/>
  <c r="L17" i="21"/>
  <c r="L18" i="21"/>
  <c r="U9" i="21" s="1"/>
  <c r="L19" i="21"/>
  <c r="L21" i="21"/>
  <c r="L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7" i="21"/>
  <c r="S38" i="2" l="1"/>
  <c r="S39" i="2" s="1"/>
  <c r="H19" i="25"/>
  <c r="Y6" i="2"/>
  <c r="R38" i="2"/>
  <c r="R39" i="2" s="1"/>
  <c r="G19" i="25"/>
  <c r="X6" i="2"/>
  <c r="O38" i="2"/>
  <c r="O39" i="2" s="1"/>
  <c r="D19" i="25"/>
  <c r="Q38" i="2"/>
  <c r="Q39" i="2" s="1"/>
  <c r="F19" i="25"/>
  <c r="W6" i="2"/>
  <c r="O23" i="2"/>
  <c r="O24" i="2" s="1"/>
  <c r="P23" i="2"/>
  <c r="P24" i="2" s="1"/>
  <c r="S23" i="3"/>
  <c r="S24" i="3" s="1"/>
  <c r="O23" i="4"/>
  <c r="O24" i="4" s="1"/>
  <c r="S23" i="4"/>
  <c r="S24" i="4" s="1"/>
  <c r="Q23" i="3"/>
  <c r="Q24" i="3" s="1"/>
  <c r="R23" i="4"/>
  <c r="R24" i="4" s="1"/>
  <c r="Q23" i="2"/>
  <c r="Q24" i="2" s="1"/>
  <c r="Q23" i="4"/>
  <c r="Q24" i="4" s="1"/>
  <c r="P23" i="4"/>
  <c r="P24" i="4" s="1"/>
  <c r="R23" i="3"/>
  <c r="R24" i="3" s="1"/>
  <c r="S23" i="2"/>
  <c r="S24" i="2" s="1"/>
  <c r="P23" i="3"/>
  <c r="P24" i="3" s="1"/>
  <c r="R23" i="2"/>
  <c r="R24" i="2" s="1"/>
  <c r="O23" i="3"/>
  <c r="O24" i="3" s="1"/>
  <c r="U8" i="21"/>
  <c r="U33" i="21"/>
  <c r="F20" i="3"/>
  <c r="G20" i="3"/>
  <c r="H20" i="3"/>
  <c r="I20" i="3"/>
  <c r="E20" i="3"/>
  <c r="F20" i="4"/>
  <c r="G20" i="4"/>
  <c r="H20" i="4"/>
  <c r="I20" i="4"/>
  <c r="E20" i="4"/>
  <c r="F20" i="2"/>
  <c r="G20" i="2"/>
  <c r="H20" i="2"/>
  <c r="I20" i="2"/>
  <c r="E20" i="2"/>
  <c r="T39" i="2" l="1"/>
  <c r="D79" i="25"/>
  <c r="R22" i="4"/>
  <c r="R22" i="3"/>
  <c r="X22" i="3" s="1"/>
  <c r="Q22" i="2"/>
  <c r="P22" i="3"/>
  <c r="V22" i="3" s="1"/>
  <c r="S22" i="4"/>
  <c r="S22" i="2"/>
  <c r="S22" i="3"/>
  <c r="O22" i="4"/>
  <c r="O22" i="3"/>
  <c r="U22" i="3" s="1"/>
  <c r="O22" i="2"/>
  <c r="P22" i="2"/>
  <c r="Q22" i="4"/>
  <c r="P22" i="4"/>
  <c r="R22" i="2"/>
  <c r="Q22" i="3"/>
  <c r="W22" i="3" s="1"/>
  <c r="S17" i="2"/>
  <c r="H5" i="25"/>
  <c r="AA4" i="25" s="1"/>
  <c r="R17" i="2"/>
  <c r="G5" i="25"/>
  <c r="Z4" i="25" s="1"/>
  <c r="S17" i="4"/>
  <c r="Y17" i="4" s="1"/>
  <c r="H7" i="25"/>
  <c r="AA5" i="25" s="1"/>
  <c r="O17" i="3"/>
  <c r="U17" i="3" s="1"/>
  <c r="D9" i="25"/>
  <c r="W6" i="25" s="1"/>
  <c r="P17" i="3"/>
  <c r="V17" i="3" s="1"/>
  <c r="E9" i="25"/>
  <c r="X6" i="25" s="1"/>
  <c r="P17" i="2"/>
  <c r="E5" i="25"/>
  <c r="X4" i="25" s="1"/>
  <c r="O17" i="4"/>
  <c r="U17" i="4" s="1"/>
  <c r="D7" i="25"/>
  <c r="W5" i="25" s="1"/>
  <c r="P17" i="4"/>
  <c r="V17" i="4" s="1"/>
  <c r="E7" i="25"/>
  <c r="X5" i="25" s="1"/>
  <c r="Q17" i="2"/>
  <c r="F5" i="25"/>
  <c r="Y4" i="25" s="1"/>
  <c r="R17" i="4"/>
  <c r="X17" i="4" s="1"/>
  <c r="G7" i="25"/>
  <c r="Z5" i="25" s="1"/>
  <c r="S17" i="3"/>
  <c r="Y17" i="3" s="1"/>
  <c r="H9" i="25"/>
  <c r="AA6" i="25" s="1"/>
  <c r="O17" i="2"/>
  <c r="D5" i="25"/>
  <c r="W4" i="25" s="1"/>
  <c r="Q17" i="4"/>
  <c r="W17" i="4" s="1"/>
  <c r="F7" i="25"/>
  <c r="Y5" i="25" s="1"/>
  <c r="R17" i="3"/>
  <c r="X17" i="3" s="1"/>
  <c r="G9" i="25"/>
  <c r="Z6" i="25" s="1"/>
  <c r="Q17" i="3"/>
  <c r="W17" i="3" s="1"/>
  <c r="F9" i="25"/>
  <c r="Y6" i="25" s="1"/>
  <c r="Y23" i="2"/>
  <c r="U23" i="4"/>
  <c r="V23" i="4"/>
  <c r="V23" i="2"/>
  <c r="W23" i="4"/>
  <c r="Y23" i="4"/>
  <c r="X23" i="2"/>
  <c r="U23" i="2"/>
  <c r="W23" i="2"/>
  <c r="X23" i="4"/>
  <c r="X23" i="3"/>
  <c r="W23" i="3"/>
  <c r="V23" i="3"/>
  <c r="Y23" i="3"/>
  <c r="U23" i="3"/>
  <c r="S18" i="2"/>
  <c r="S50" i="2" s="1"/>
  <c r="S51" i="2" s="1"/>
  <c r="Q18" i="2"/>
  <c r="Q50" i="2" s="1"/>
  <c r="Q51" i="2" s="1"/>
  <c r="P18" i="3"/>
  <c r="O18" i="4"/>
  <c r="Q18" i="4"/>
  <c r="S18" i="4"/>
  <c r="I5" i="3"/>
  <c r="I12" i="3"/>
  <c r="I16" i="3"/>
  <c r="I18" i="3" s="1"/>
  <c r="I5" i="4"/>
  <c r="I12" i="4"/>
  <c r="I16" i="4"/>
  <c r="I18" i="4" s="1"/>
  <c r="I18" i="2"/>
  <c r="I5" i="2"/>
  <c r="Y22" i="2" l="1"/>
  <c r="S46" i="2"/>
  <c r="R18" i="3"/>
  <c r="V22" i="4"/>
  <c r="P26" i="4"/>
  <c r="P27" i="4" s="1"/>
  <c r="Y22" i="4"/>
  <c r="S26" i="4"/>
  <c r="S27" i="4" s="1"/>
  <c r="W22" i="4"/>
  <c r="Q26" i="4"/>
  <c r="Q27" i="4" s="1"/>
  <c r="U17" i="2"/>
  <c r="O43" i="2"/>
  <c r="O45" i="2" s="1"/>
  <c r="P18" i="4"/>
  <c r="V22" i="2"/>
  <c r="P46" i="2"/>
  <c r="W22" i="2"/>
  <c r="Q46" i="2"/>
  <c r="V17" i="2"/>
  <c r="P43" i="2"/>
  <c r="P45" i="2" s="1"/>
  <c r="P47" i="2" s="1"/>
  <c r="X17" i="2"/>
  <c r="R43" i="2"/>
  <c r="R45" i="2" s="1"/>
  <c r="U22" i="2"/>
  <c r="O46" i="2"/>
  <c r="X22" i="2"/>
  <c r="R46" i="2"/>
  <c r="X22" i="4"/>
  <c r="R26" i="4"/>
  <c r="R27" i="4" s="1"/>
  <c r="O18" i="3"/>
  <c r="W17" i="2"/>
  <c r="Q43" i="2"/>
  <c r="Q45" i="2" s="1"/>
  <c r="Y17" i="2"/>
  <c r="S43" i="2"/>
  <c r="S45" i="2" s="1"/>
  <c r="S47" i="2" s="1"/>
  <c r="U22" i="4"/>
  <c r="O26" i="4"/>
  <c r="O27" i="4" s="1"/>
  <c r="D78" i="25"/>
  <c r="Y22" i="3"/>
  <c r="R18" i="2"/>
  <c r="R50" i="2" s="1"/>
  <c r="R51" i="2" s="1"/>
  <c r="P18" i="2"/>
  <c r="E20" i="25" s="1"/>
  <c r="X7" i="25" s="1"/>
  <c r="R18" i="4"/>
  <c r="O18" i="2"/>
  <c r="S5" i="3"/>
  <c r="S7" i="3" s="1"/>
  <c r="H100" i="25" s="1"/>
  <c r="H8" i="25"/>
  <c r="S5" i="4"/>
  <c r="S7" i="4" s="1"/>
  <c r="H6" i="25"/>
  <c r="S5" i="2"/>
  <c r="H4" i="25"/>
  <c r="X18" i="4"/>
  <c r="G22" i="25"/>
  <c r="Z8" i="25" s="1"/>
  <c r="V18" i="3"/>
  <c r="E24" i="25"/>
  <c r="X9" i="25" s="1"/>
  <c r="W18" i="2"/>
  <c r="F20" i="25"/>
  <c r="Y7" i="25" s="1"/>
  <c r="Y18" i="4"/>
  <c r="H22" i="25"/>
  <c r="AA8" i="25" s="1"/>
  <c r="X18" i="3"/>
  <c r="G24" i="25"/>
  <c r="Z9" i="25" s="1"/>
  <c r="W18" i="4"/>
  <c r="F22" i="25"/>
  <c r="Y8" i="25" s="1"/>
  <c r="V18" i="4"/>
  <c r="E22" i="25"/>
  <c r="X8" i="25" s="1"/>
  <c r="U18" i="3"/>
  <c r="D24" i="25"/>
  <c r="W9" i="25" s="1"/>
  <c r="Q18" i="3"/>
  <c r="W18" i="3" s="1"/>
  <c r="S18" i="3"/>
  <c r="Y18" i="3" s="1"/>
  <c r="U18" i="4"/>
  <c r="D22" i="25"/>
  <c r="W8" i="25" s="1"/>
  <c r="X18" i="2"/>
  <c r="G20" i="25"/>
  <c r="Z7" i="25" s="1"/>
  <c r="Y18" i="2"/>
  <c r="H20" i="25"/>
  <c r="AA7" i="25" s="1"/>
  <c r="Y5" i="2"/>
  <c r="Y5" i="3"/>
  <c r="I14" i="4"/>
  <c r="I9" i="3"/>
  <c r="I14" i="2"/>
  <c r="I14" i="3"/>
  <c r="I9" i="4"/>
  <c r="I9" i="2"/>
  <c r="U18" i="2" l="1"/>
  <c r="O50" i="2"/>
  <c r="O51" i="2" s="1"/>
  <c r="T51" i="2" s="1"/>
  <c r="Y7" i="3"/>
  <c r="Q47" i="2"/>
  <c r="S7" i="2"/>
  <c r="S15" i="2" s="1"/>
  <c r="Y15" i="2" s="1"/>
  <c r="S31" i="2"/>
  <c r="S33" i="2" s="1"/>
  <c r="R47" i="2"/>
  <c r="V18" i="2"/>
  <c r="P50" i="2"/>
  <c r="P51" i="2" s="1"/>
  <c r="S8" i="3"/>
  <c r="Y8" i="3" s="1"/>
  <c r="S10" i="3"/>
  <c r="O47" i="2"/>
  <c r="S9" i="3"/>
  <c r="Y9" i="3" s="1"/>
  <c r="Y7" i="4"/>
  <c r="H98" i="25"/>
  <c r="D20" i="25"/>
  <c r="W7" i="25" s="1"/>
  <c r="S10" i="4"/>
  <c r="S9" i="4"/>
  <c r="Y9" i="4" s="1"/>
  <c r="Y5" i="4"/>
  <c r="S8" i="4"/>
  <c r="Y8" i="4" s="1"/>
  <c r="H24" i="25"/>
  <c r="AA9" i="25" s="1"/>
  <c r="S15" i="4"/>
  <c r="Y15" i="4" s="1"/>
  <c r="S15" i="3"/>
  <c r="Y15" i="3" s="1"/>
  <c r="F24" i="25"/>
  <c r="Y9" i="25" s="1"/>
  <c r="Y20" i="2"/>
  <c r="Y20" i="3"/>
  <c r="Y20" i="4"/>
  <c r="H16" i="3"/>
  <c r="H18" i="3" s="1"/>
  <c r="G16" i="3"/>
  <c r="G18" i="3" s="1"/>
  <c r="F16" i="3"/>
  <c r="F18" i="3" s="1"/>
  <c r="E16" i="3"/>
  <c r="E18" i="3" s="1"/>
  <c r="H12" i="3"/>
  <c r="G12" i="3"/>
  <c r="F12" i="3"/>
  <c r="F14" i="3" s="1"/>
  <c r="E12" i="3"/>
  <c r="H5" i="3"/>
  <c r="G5" i="3"/>
  <c r="F5" i="3"/>
  <c r="E5" i="3"/>
  <c r="H16" i="4"/>
  <c r="H18" i="4" s="1"/>
  <c r="G16" i="4"/>
  <c r="G18" i="4" s="1"/>
  <c r="F16" i="4"/>
  <c r="F18" i="4" s="1"/>
  <c r="E16" i="4"/>
  <c r="E18" i="4" s="1"/>
  <c r="H12" i="4"/>
  <c r="H14" i="4" s="1"/>
  <c r="G12" i="4"/>
  <c r="F12" i="4"/>
  <c r="E12" i="4"/>
  <c r="H5" i="4"/>
  <c r="G5" i="4"/>
  <c r="F5" i="4"/>
  <c r="E5" i="4"/>
  <c r="H16" i="2"/>
  <c r="H18" i="2" s="1"/>
  <c r="G16" i="2"/>
  <c r="G18" i="2" s="1"/>
  <c r="F16" i="2"/>
  <c r="F18" i="2" s="1"/>
  <c r="E16" i="2"/>
  <c r="E18" i="2" s="1"/>
  <c r="H12" i="2"/>
  <c r="G12" i="2"/>
  <c r="F12" i="2"/>
  <c r="F14" i="2" s="1"/>
  <c r="H5" i="2"/>
  <c r="G5" i="2"/>
  <c r="F5" i="2"/>
  <c r="E5" i="2"/>
  <c r="H14" i="2" l="1"/>
  <c r="D115" i="25"/>
  <c r="D117" i="25" s="1"/>
  <c r="D119" i="25" s="1"/>
  <c r="H96" i="25"/>
  <c r="S10" i="2"/>
  <c r="S9" i="2"/>
  <c r="Y7" i="2"/>
  <c r="S8" i="2"/>
  <c r="G76" i="25" s="1"/>
  <c r="G14" i="4"/>
  <c r="Y10" i="3"/>
  <c r="S11" i="3"/>
  <c r="E14" i="3"/>
  <c r="Y10" i="4"/>
  <c r="S11" i="4"/>
  <c r="E14" i="2"/>
  <c r="P5" i="2"/>
  <c r="E4" i="25"/>
  <c r="P5" i="4"/>
  <c r="P7" i="4" s="1"/>
  <c r="E6" i="25"/>
  <c r="P5" i="3"/>
  <c r="P7" i="3" s="1"/>
  <c r="E100" i="25" s="1"/>
  <c r="E8" i="25"/>
  <c r="O5" i="2"/>
  <c r="D4" i="25"/>
  <c r="O5" i="4"/>
  <c r="O7" i="4" s="1"/>
  <c r="D98" i="25" s="1"/>
  <c r="D6" i="25"/>
  <c r="O5" i="3"/>
  <c r="O7" i="3" s="1"/>
  <c r="D8" i="25"/>
  <c r="Q5" i="3"/>
  <c r="Q7" i="3" s="1"/>
  <c r="F100" i="25" s="1"/>
  <c r="F8" i="25"/>
  <c r="Q5" i="2"/>
  <c r="F4" i="25"/>
  <c r="Q5" i="4"/>
  <c r="Q7" i="4" s="1"/>
  <c r="F98" i="25" s="1"/>
  <c r="F6" i="25"/>
  <c r="R5" i="2"/>
  <c r="G4" i="25"/>
  <c r="R5" i="4"/>
  <c r="R7" i="4" s="1"/>
  <c r="G98" i="25" s="1"/>
  <c r="G6" i="25"/>
  <c r="R5" i="3"/>
  <c r="R7" i="3" s="1"/>
  <c r="G8" i="25"/>
  <c r="P10" i="4"/>
  <c r="Q8" i="3"/>
  <c r="W8" i="3" s="1"/>
  <c r="Q10" i="3"/>
  <c r="P8" i="3"/>
  <c r="V8" i="3" s="1"/>
  <c r="R10" i="4"/>
  <c r="R8" i="4"/>
  <c r="X8" i="4" s="1"/>
  <c r="W7" i="3"/>
  <c r="W5" i="3"/>
  <c r="U5" i="2"/>
  <c r="U5" i="3"/>
  <c r="V5" i="2"/>
  <c r="V5" i="4"/>
  <c r="H14" i="3"/>
  <c r="G14" i="2"/>
  <c r="E14" i="4"/>
  <c r="G9" i="3"/>
  <c r="G14" i="3"/>
  <c r="E9" i="4"/>
  <c r="F14" i="4"/>
  <c r="F9" i="2"/>
  <c r="H9" i="4"/>
  <c r="E9" i="2"/>
  <c r="G9" i="2"/>
  <c r="H9" i="2"/>
  <c r="F9" i="4"/>
  <c r="G9" i="4"/>
  <c r="H9" i="3"/>
  <c r="E9" i="3"/>
  <c r="F9" i="3"/>
  <c r="F76" i="25" l="1"/>
  <c r="P7" i="2"/>
  <c r="P31" i="2"/>
  <c r="P33" i="2" s="1"/>
  <c r="X10" i="4"/>
  <c r="R11" i="4"/>
  <c r="W5" i="4"/>
  <c r="R9" i="4"/>
  <c r="X9" i="4" s="1"/>
  <c r="Q9" i="4"/>
  <c r="W9" i="4" s="1"/>
  <c r="R9" i="3"/>
  <c r="X9" i="3" s="1"/>
  <c r="G100" i="25"/>
  <c r="Q7" i="2"/>
  <c r="Q31" i="2"/>
  <c r="Q33" i="2" s="1"/>
  <c r="O7" i="2"/>
  <c r="O31" i="2"/>
  <c r="O33" i="2" s="1"/>
  <c r="Y8" i="2"/>
  <c r="U5" i="4"/>
  <c r="W7" i="4"/>
  <c r="Q10" i="4"/>
  <c r="Y9" i="2"/>
  <c r="F78" i="25"/>
  <c r="W10" i="3"/>
  <c r="Q11" i="3"/>
  <c r="Q8" i="4"/>
  <c r="W8" i="4" s="1"/>
  <c r="V5" i="3"/>
  <c r="O8" i="4"/>
  <c r="U8" i="4" s="1"/>
  <c r="P9" i="3"/>
  <c r="V9" i="3" s="1"/>
  <c r="V10" i="4"/>
  <c r="P11" i="4"/>
  <c r="S11" i="2"/>
  <c r="S13" i="2" s="1"/>
  <c r="Y10" i="2"/>
  <c r="F79" i="25"/>
  <c r="V7" i="3"/>
  <c r="O10" i="4"/>
  <c r="R7" i="2"/>
  <c r="R31" i="2"/>
  <c r="R33" i="2" s="1"/>
  <c r="O8" i="3"/>
  <c r="U8" i="3" s="1"/>
  <c r="D100" i="25"/>
  <c r="P8" i="4"/>
  <c r="V8" i="4" s="1"/>
  <c r="E98" i="25"/>
  <c r="U7" i="4"/>
  <c r="X5" i="4"/>
  <c r="P10" i="3"/>
  <c r="X7" i="4"/>
  <c r="O9" i="4"/>
  <c r="U9" i="4" s="1"/>
  <c r="Q9" i="3"/>
  <c r="W9" i="3" s="1"/>
  <c r="U7" i="3"/>
  <c r="X5" i="3"/>
  <c r="R10" i="3"/>
  <c r="Q8" i="2"/>
  <c r="X7" i="3"/>
  <c r="X7" i="2"/>
  <c r="O9" i="3"/>
  <c r="U9" i="3" s="1"/>
  <c r="R10" i="2"/>
  <c r="R8" i="3"/>
  <c r="X8" i="3" s="1"/>
  <c r="Q10" i="2"/>
  <c r="P9" i="4"/>
  <c r="V9" i="4" s="1"/>
  <c r="V7" i="4"/>
  <c r="X5" i="2"/>
  <c r="O10" i="3"/>
  <c r="W5" i="2"/>
  <c r="X9" i="21"/>
  <c r="R15" i="3"/>
  <c r="X15" i="3" s="1"/>
  <c r="X7" i="21"/>
  <c r="Q15" i="2"/>
  <c r="W15" i="2" s="1"/>
  <c r="O15" i="3"/>
  <c r="U15" i="3" s="1"/>
  <c r="P15" i="4"/>
  <c r="V15" i="4" s="1"/>
  <c r="X8" i="21"/>
  <c r="R15" i="4"/>
  <c r="X15" i="4" s="1"/>
  <c r="Q15" i="4"/>
  <c r="W15" i="4" s="1"/>
  <c r="Q15" i="3"/>
  <c r="W15" i="3" s="1"/>
  <c r="O15" i="4"/>
  <c r="U15" i="4" s="1"/>
  <c r="P15" i="3"/>
  <c r="V15" i="3" s="1"/>
  <c r="P15" i="2"/>
  <c r="V15" i="2" s="1"/>
  <c r="V20" i="4"/>
  <c r="U20" i="4"/>
  <c r="W20" i="3"/>
  <c r="U20" i="3"/>
  <c r="X20" i="2"/>
  <c r="X20" i="4"/>
  <c r="W20" i="2"/>
  <c r="U20" i="2"/>
  <c r="S34" i="2" l="1"/>
  <c r="S35" i="2" s="1"/>
  <c r="F77" i="25"/>
  <c r="X10" i="2"/>
  <c r="R11" i="2"/>
  <c r="O15" i="2"/>
  <c r="U15" i="2" s="1"/>
  <c r="D96" i="25"/>
  <c r="V10" i="3"/>
  <c r="P11" i="3"/>
  <c r="R9" i="2"/>
  <c r="X9" i="2" s="1"/>
  <c r="G96" i="25"/>
  <c r="R8" i="2"/>
  <c r="W10" i="4"/>
  <c r="Q11" i="4"/>
  <c r="Q9" i="2"/>
  <c r="W9" i="2" s="1"/>
  <c r="F96" i="25"/>
  <c r="W7" i="2"/>
  <c r="W8" i="2"/>
  <c r="U10" i="4"/>
  <c r="O11" i="4"/>
  <c r="E96" i="25"/>
  <c r="P8" i="2"/>
  <c r="P10" i="2"/>
  <c r="V7" i="2"/>
  <c r="P9" i="2"/>
  <c r="V9" i="2" s="1"/>
  <c r="R15" i="2"/>
  <c r="X15" i="2" s="1"/>
  <c r="X10" i="3"/>
  <c r="R11" i="3"/>
  <c r="U10" i="3"/>
  <c r="O11" i="3"/>
  <c r="W10" i="2"/>
  <c r="Q11" i="2"/>
  <c r="X10" i="21"/>
  <c r="W20" i="4"/>
  <c r="V20" i="2"/>
  <c r="V20" i="3"/>
  <c r="X20" i="3"/>
  <c r="Q13" i="2" l="1"/>
  <c r="Q34" i="2"/>
  <c r="Q35" i="2" s="1"/>
  <c r="X8" i="2"/>
  <c r="R34" i="2"/>
  <c r="R35" i="2" s="1"/>
  <c r="R13" i="2"/>
  <c r="V10" i="2"/>
  <c r="P11" i="2"/>
  <c r="P13" i="2" s="1"/>
  <c r="V8" i="2"/>
  <c r="Y8" i="21"/>
  <c r="AA8" i="21" s="1"/>
  <c r="AE8" i="21" s="1"/>
  <c r="Y124" i="21"/>
  <c r="AA124" i="21" s="1"/>
  <c r="AB124" i="21" s="1"/>
  <c r="Y67" i="21"/>
  <c r="AA67" i="21" s="1"/>
  <c r="AB67" i="21" s="1"/>
  <c r="Y126" i="21"/>
  <c r="AA126" i="21" s="1"/>
  <c r="AB126" i="21" s="1"/>
  <c r="Y68" i="21"/>
  <c r="AA68" i="21" s="1"/>
  <c r="AB68" i="21" s="1"/>
  <c r="Y66" i="21"/>
  <c r="AA66" i="21" s="1"/>
  <c r="AB66" i="21" s="1"/>
  <c r="Y125" i="21"/>
  <c r="AA125" i="21" s="1"/>
  <c r="AB125" i="21" s="1"/>
  <c r="Y91" i="21"/>
  <c r="AA91" i="21" s="1"/>
  <c r="Y90" i="21"/>
  <c r="AA90" i="21" s="1"/>
  <c r="Y149" i="21"/>
  <c r="AA149" i="21" s="1"/>
  <c r="AB149" i="21" s="1"/>
  <c r="Y92" i="21"/>
  <c r="AA92" i="21" s="1"/>
  <c r="Y150" i="21"/>
  <c r="AA150" i="21" s="1"/>
  <c r="AB150" i="21" s="1"/>
  <c r="Y148" i="21"/>
  <c r="AA148" i="21" s="1"/>
  <c r="AB148" i="21" s="1"/>
  <c r="Y7" i="21"/>
  <c r="Y9" i="21"/>
  <c r="AA9" i="21" s="1"/>
  <c r="AA32" i="21"/>
  <c r="AA33" i="21"/>
  <c r="AA31" i="21"/>
  <c r="AB8" i="21"/>
  <c r="AF8" i="21"/>
  <c r="U7" i="2"/>
  <c r="O9" i="2"/>
  <c r="U9" i="2" s="1"/>
  <c r="O10" i="2"/>
  <c r="U6" i="2"/>
  <c r="O8" i="2"/>
  <c r="P34" i="2" l="1"/>
  <c r="P35" i="2" s="1"/>
  <c r="U10" i="2"/>
  <c r="O11" i="2"/>
  <c r="O34" i="2" s="1"/>
  <c r="O35" i="2" s="1"/>
  <c r="AC8" i="21"/>
  <c r="V11" i="4" s="1"/>
  <c r="AD8" i="21"/>
  <c r="W11" i="4" s="1"/>
  <c r="AA7" i="21"/>
  <c r="AE7" i="21" s="1"/>
  <c r="Y10" i="21"/>
  <c r="AB91" i="21"/>
  <c r="AB92" i="21"/>
  <c r="AA69" i="21"/>
  <c r="AB69" i="21"/>
  <c r="AA127" i="21"/>
  <c r="AB151" i="21"/>
  <c r="AA151" i="21"/>
  <c r="AB90" i="21"/>
  <c r="AA93" i="21"/>
  <c r="P13" i="4"/>
  <c r="AB32" i="21"/>
  <c r="AE32" i="21"/>
  <c r="AF32" i="21"/>
  <c r="AC32" i="21"/>
  <c r="AD32" i="21"/>
  <c r="Q13" i="4"/>
  <c r="X11" i="4"/>
  <c r="R13" i="4"/>
  <c r="AD9" i="21"/>
  <c r="AC9" i="21"/>
  <c r="AF9" i="21"/>
  <c r="AB9" i="21"/>
  <c r="AE9" i="21"/>
  <c r="AC31" i="21"/>
  <c r="AE31" i="21"/>
  <c r="AD31" i="21"/>
  <c r="AA34" i="21"/>
  <c r="AA36" i="21" s="1"/>
  <c r="AB31" i="21"/>
  <c r="AF31" i="21"/>
  <c r="Y11" i="4"/>
  <c r="S13" i="4"/>
  <c r="U11" i="4"/>
  <c r="O13" i="4"/>
  <c r="AB33" i="21"/>
  <c r="AE33" i="21"/>
  <c r="AC33" i="21"/>
  <c r="AF33" i="21"/>
  <c r="AD33" i="21"/>
  <c r="U8" i="2"/>
  <c r="AC7" i="21" l="1"/>
  <c r="AA10" i="21"/>
  <c r="AA12" i="21" s="1"/>
  <c r="AF7" i="21"/>
  <c r="AB7" i="21"/>
  <c r="U11" i="2" s="1"/>
  <c r="AD7" i="21"/>
  <c r="AD10" i="21" s="1"/>
  <c r="AC10" i="21"/>
  <c r="AB93" i="21"/>
  <c r="O13" i="2"/>
  <c r="U13" i="2" s="1"/>
  <c r="AB127" i="21"/>
  <c r="AE10" i="21"/>
  <c r="AB10" i="21"/>
  <c r="V24" i="3"/>
  <c r="P26" i="3"/>
  <c r="Y11" i="3"/>
  <c r="S13" i="3"/>
  <c r="F80" i="25"/>
  <c r="Y11" i="2"/>
  <c r="X24" i="4"/>
  <c r="G58" i="25"/>
  <c r="X24" i="3"/>
  <c r="R26" i="3"/>
  <c r="W13" i="4"/>
  <c r="F39" i="25"/>
  <c r="Q14" i="4"/>
  <c r="W14" i="4" s="1"/>
  <c r="U24" i="4"/>
  <c r="D58" i="25"/>
  <c r="W24" i="3"/>
  <c r="Q26" i="3"/>
  <c r="U24" i="3"/>
  <c r="O26" i="3"/>
  <c r="AD34" i="21"/>
  <c r="X11" i="3"/>
  <c r="R13" i="3"/>
  <c r="W11" i="3"/>
  <c r="Q13" i="3"/>
  <c r="V24" i="4"/>
  <c r="E58" i="25"/>
  <c r="AB34" i="21"/>
  <c r="AC34" i="21"/>
  <c r="W11" i="2"/>
  <c r="H39" i="25"/>
  <c r="Y13" i="4"/>
  <c r="S14" i="4"/>
  <c r="Y14" i="4" s="1"/>
  <c r="V11" i="3"/>
  <c r="P13" i="3"/>
  <c r="W24" i="4"/>
  <c r="X11" i="2"/>
  <c r="Y24" i="3"/>
  <c r="S26" i="3"/>
  <c r="D39" i="25"/>
  <c r="O14" i="4"/>
  <c r="U14" i="4" s="1"/>
  <c r="U13" i="4"/>
  <c r="AF34" i="21"/>
  <c r="AE34" i="21"/>
  <c r="U11" i="3"/>
  <c r="O13" i="3"/>
  <c r="G39" i="25"/>
  <c r="X13" i="4"/>
  <c r="R14" i="4"/>
  <c r="X14" i="4" s="1"/>
  <c r="AF10" i="21"/>
  <c r="Y24" i="4"/>
  <c r="V13" i="4"/>
  <c r="P14" i="4"/>
  <c r="V14" i="4" s="1"/>
  <c r="E39" i="25"/>
  <c r="D88" i="25" l="1"/>
  <c r="D85" i="25"/>
  <c r="D84" i="25"/>
  <c r="D86" i="25"/>
  <c r="D87" i="25"/>
  <c r="V11" i="2"/>
  <c r="O14" i="2"/>
  <c r="U14" i="2" s="1"/>
  <c r="D37" i="25"/>
  <c r="D41" i="25"/>
  <c r="U13" i="3"/>
  <c r="D60" i="25"/>
  <c r="O14" i="3"/>
  <c r="U14" i="3" s="1"/>
  <c r="F40" i="25"/>
  <c r="W27" i="4"/>
  <c r="W26" i="4"/>
  <c r="Q14" i="2"/>
  <c r="W14" i="2" s="1"/>
  <c r="W13" i="2"/>
  <c r="F37" i="25"/>
  <c r="V24" i="2"/>
  <c r="P26" i="2"/>
  <c r="E56" i="25" s="1"/>
  <c r="H41" i="25"/>
  <c r="S14" i="3"/>
  <c r="Y14" i="3" s="1"/>
  <c r="H60" i="25"/>
  <c r="Y13" i="3"/>
  <c r="Y26" i="4"/>
  <c r="Y27" i="4"/>
  <c r="H40" i="25"/>
  <c r="D80" i="25"/>
  <c r="Y24" i="2"/>
  <c r="S26" i="2"/>
  <c r="H56" i="25" s="1"/>
  <c r="H58" i="25"/>
  <c r="F60" i="25"/>
  <c r="F41" i="25"/>
  <c r="W13" i="3"/>
  <c r="Q14" i="3"/>
  <c r="W14" i="3" s="1"/>
  <c r="W24" i="2"/>
  <c r="Q26" i="2"/>
  <c r="F56" i="25" s="1"/>
  <c r="F42" i="25"/>
  <c r="Q27" i="3"/>
  <c r="W27" i="3" s="1"/>
  <c r="W26" i="3"/>
  <c r="F58" i="25"/>
  <c r="G42" i="25"/>
  <c r="R27" i="3"/>
  <c r="X27" i="3" s="1"/>
  <c r="X26" i="3"/>
  <c r="P14" i="3"/>
  <c r="V14" i="3" s="1"/>
  <c r="E41" i="25"/>
  <c r="V13" i="3"/>
  <c r="E60" i="25"/>
  <c r="U24" i="2"/>
  <c r="O26" i="2"/>
  <c r="H37" i="25"/>
  <c r="S14" i="2"/>
  <c r="Y14" i="2" s="1"/>
  <c r="Y13" i="2"/>
  <c r="E42" i="25"/>
  <c r="P27" i="3"/>
  <c r="V27" i="3" s="1"/>
  <c r="V26" i="3"/>
  <c r="S27" i="3"/>
  <c r="Y27" i="3" s="1"/>
  <c r="Y26" i="3"/>
  <c r="H42" i="25"/>
  <c r="X24" i="2"/>
  <c r="R26" i="2"/>
  <c r="G56" i="25" s="1"/>
  <c r="E37" i="25"/>
  <c r="P14" i="2"/>
  <c r="V14" i="2" s="1"/>
  <c r="V13" i="2"/>
  <c r="R14" i="2"/>
  <c r="X14" i="2" s="1"/>
  <c r="G37" i="25"/>
  <c r="X13" i="2"/>
  <c r="E40" i="25"/>
  <c r="V26" i="4"/>
  <c r="V27" i="4"/>
  <c r="R14" i="3"/>
  <c r="X14" i="3" s="1"/>
  <c r="G41" i="25"/>
  <c r="X13" i="3"/>
  <c r="G60" i="25"/>
  <c r="D42" i="25"/>
  <c r="U26" i="3"/>
  <c r="O27" i="3"/>
  <c r="U27" i="3" s="1"/>
  <c r="D40" i="25"/>
  <c r="U26" i="4"/>
  <c r="U27" i="4"/>
  <c r="X27" i="4"/>
  <c r="X26" i="4"/>
  <c r="G40" i="25"/>
  <c r="E88" i="25" l="1"/>
  <c r="E86" i="25"/>
  <c r="E85" i="25"/>
  <c r="E84" i="25"/>
  <c r="E87" i="25"/>
  <c r="D66" i="25"/>
  <c r="D38" i="25"/>
  <c r="O27" i="2"/>
  <c r="U27" i="2" s="1"/>
  <c r="U26" i="2"/>
  <c r="D56" i="25"/>
  <c r="S27" i="2"/>
  <c r="Y27" i="2" s="1"/>
  <c r="Y26" i="2"/>
  <c r="H38" i="25"/>
  <c r="W26" i="2"/>
  <c r="Q27" i="2"/>
  <c r="W27" i="2" s="1"/>
  <c r="F38" i="25"/>
  <c r="G38" i="25"/>
  <c r="R27" i="2"/>
  <c r="X27" i="2" s="1"/>
  <c r="X26" i="2"/>
  <c r="E38" i="25"/>
  <c r="V26" i="2"/>
  <c r="P27" i="2"/>
  <c r="V27" i="2" s="1"/>
</calcChain>
</file>

<file path=xl/comments1.xml><?xml version="1.0" encoding="utf-8"?>
<comments xmlns="http://schemas.openxmlformats.org/spreadsheetml/2006/main">
  <authors>
    <author>tc={DC8843C4-164A-4C62-AAB5-596A654B594C}</author>
    <author>tc={4424F3DE-743A-4F59-91F4-2A25A1D8A566}</author>
    <author>tc={FA16BCF8-0E47-4D2E-A3A9-EE246C497987}</author>
  </authors>
  <commentList>
    <comment ref="C2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https://www.metalary.com/tin-price/</t>
        </r>
      </text>
    </comment>
    <comment ref="D2" authorId="1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https://www.metalary.com/tantalum-price/</t>
        </r>
      </text>
    </comment>
    <comment ref="E2" authorId="2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https://www.metalary.com/tungsten-price/</t>
        </r>
      </text>
    </comment>
  </commentList>
</comments>
</file>

<file path=xl/sharedStrings.xml><?xml version="1.0" encoding="utf-8"?>
<sst xmlns="http://schemas.openxmlformats.org/spreadsheetml/2006/main" count="1487" uniqueCount="416">
  <si>
    <t>Mining operations</t>
  </si>
  <si>
    <t>Change in inventory</t>
  </si>
  <si>
    <t>tons</t>
  </si>
  <si>
    <t>Source</t>
  </si>
  <si>
    <t xml:space="preserve">Production </t>
  </si>
  <si>
    <t>Cassiterite</t>
  </si>
  <si>
    <t>Production</t>
  </si>
  <si>
    <t>Processed</t>
  </si>
  <si>
    <t>Coltan</t>
  </si>
  <si>
    <t>Wolfram</t>
  </si>
  <si>
    <t xml:space="preserve"> </t>
  </si>
  <si>
    <t>USD</t>
  </si>
  <si>
    <t>ITRI</t>
  </si>
  <si>
    <t>Tagged production</t>
  </si>
  <si>
    <t>Tagged purchases</t>
  </si>
  <si>
    <t>Jan</t>
  </si>
  <si>
    <t>Feb</t>
  </si>
  <si>
    <t>May</t>
  </si>
  <si>
    <t>Jun</t>
  </si>
  <si>
    <t>Aug</t>
  </si>
  <si>
    <t>Oct</t>
  </si>
  <si>
    <t>Nov</t>
  </si>
  <si>
    <t>Dec</t>
  </si>
  <si>
    <t>Units</t>
  </si>
  <si>
    <t>people</t>
  </si>
  <si>
    <t>SOURCE: ITRI/iTSCi/PACT RWANDA</t>
  </si>
  <si>
    <t>Trading operations</t>
  </si>
  <si>
    <t>Notes</t>
  </si>
  <si>
    <t>Less: Waste or losses during processing by traders</t>
  </si>
  <si>
    <t xml:space="preserve">Equal: Processed and tagged production </t>
  </si>
  <si>
    <t>Equal: Marketed production (exports)</t>
  </si>
  <si>
    <t>Cassiteritte</t>
  </si>
  <si>
    <t>RMB</t>
  </si>
  <si>
    <t xml:space="preserve">Employment </t>
  </si>
  <si>
    <t>Calc</t>
  </si>
  <si>
    <t>NISR: LFS</t>
  </si>
  <si>
    <t>NISR: IBES</t>
  </si>
  <si>
    <t>Employment (part time)</t>
  </si>
  <si>
    <t>Employment (full time)</t>
  </si>
  <si>
    <t xml:space="preserve">Coltan </t>
  </si>
  <si>
    <t xml:space="preserve">Wolfram </t>
  </si>
  <si>
    <t>Mineral export volumes (Tonnes)</t>
  </si>
  <si>
    <t>Mineral produced and processed volumes (Tonnes)</t>
  </si>
  <si>
    <t>Income components</t>
  </si>
  <si>
    <t>Mining and Quarrying</t>
  </si>
  <si>
    <t>Mining Operators</t>
  </si>
  <si>
    <t>Structure</t>
  </si>
  <si>
    <t>Expenditure components</t>
  </si>
  <si>
    <t>Sales of goods in the same condition as purchased</t>
  </si>
  <si>
    <t>Purchases of goods for resale</t>
  </si>
  <si>
    <t>Sales of manufactured, mined or quarried products</t>
  </si>
  <si>
    <t>Purchases of raw materials, etc., used in manufacturing</t>
  </si>
  <si>
    <t>Sales of electricity</t>
  </si>
  <si>
    <t>Fuel purchased for mining and quarrying</t>
  </si>
  <si>
    <t>Sales of water by pipe or bouser</t>
  </si>
  <si>
    <t>Construction sub-contracts, equipment hire, fuel, materials</t>
  </si>
  <si>
    <t>Construction work done</t>
  </si>
  <si>
    <t>Purchases of food and drinks for catering &amp; bar services</t>
  </si>
  <si>
    <t xml:space="preserve">Charges for delivery of goods sold, if invoiced separately </t>
  </si>
  <si>
    <t>Rent of  land paid / payable</t>
  </si>
  <si>
    <t>Transport, storage and travel services rendered</t>
  </si>
  <si>
    <t>Rent of  buildings paid / payable</t>
  </si>
  <si>
    <t>Hotel &amp; catering services</t>
  </si>
  <si>
    <t>Other goods and services purchased (not interest,etc see below)</t>
  </si>
  <si>
    <t>Telecommmunication &amp; internet connections</t>
  </si>
  <si>
    <t>Wages &amp; salaries paid (Social security &amp; other benefits included)</t>
  </si>
  <si>
    <t>Sales of professional &amp; scientific services</t>
  </si>
  <si>
    <t>Interests paid / payable (excluding other bank charges)</t>
  </si>
  <si>
    <t>Rent of land receivable</t>
  </si>
  <si>
    <t>Business licenses, rates and fees payable to government</t>
  </si>
  <si>
    <t>Rent of  buildings  received / receivable</t>
  </si>
  <si>
    <t>Depreciation charges for the year on fixed assets</t>
  </si>
  <si>
    <t>Dividends or other profits realised</t>
  </si>
  <si>
    <t>All other costs, losses, provisions, etc</t>
  </si>
  <si>
    <t>All other income</t>
  </si>
  <si>
    <t>TOTAL EXPENSES FOR THE YEAR 2015</t>
  </si>
  <si>
    <t>TOTAL INCOME FOR THE YEAR 2015</t>
  </si>
  <si>
    <t>Source: NISR, IBES 2015 Survey</t>
  </si>
  <si>
    <t>Table III.2.2.1</t>
  </si>
  <si>
    <t>Income statement for service sector, Frw billion</t>
  </si>
  <si>
    <t>Table III.2.2.2</t>
  </si>
  <si>
    <t>Expenditure statement for services sector, Frw billion</t>
  </si>
  <si>
    <t>Mining operators</t>
  </si>
  <si>
    <t>Data prodiced by: Ivan Patrick KAYITARE</t>
  </si>
  <si>
    <t>Wholesale and retail trade; repair of motor vehicles</t>
  </si>
  <si>
    <t>Wholesale of metals and metal ores</t>
  </si>
  <si>
    <t>Assets</t>
  </si>
  <si>
    <t>Non-current assets</t>
  </si>
  <si>
    <t xml:space="preserve">   Fixed assets</t>
  </si>
  <si>
    <t>Land</t>
  </si>
  <si>
    <t xml:space="preserve">            Buildings and structures</t>
  </si>
  <si>
    <t xml:space="preserve">            Vehicles&amp;Machines</t>
  </si>
  <si>
    <t xml:space="preserve">            Others</t>
  </si>
  <si>
    <t xml:space="preserve">   Capital work in progress</t>
  </si>
  <si>
    <t xml:space="preserve">   Other investments</t>
  </si>
  <si>
    <t>Current assets</t>
  </si>
  <si>
    <t xml:space="preserve">Inventories </t>
  </si>
  <si>
    <t>Debtors &amp; other receivables</t>
  </si>
  <si>
    <t>Cash and cash equivalents</t>
  </si>
  <si>
    <t>Total  assets</t>
  </si>
  <si>
    <t>TOTAL EXPENSES FOR THE YEAR 2017</t>
  </si>
  <si>
    <t>TOTAL INCOME FOR THE YEAR 2017</t>
  </si>
  <si>
    <t>Table III.2.2.1:</t>
  </si>
  <si>
    <t xml:space="preserve">Table III.2.2.2: </t>
  </si>
  <si>
    <t xml:space="preserve">Table III.2.2.4: </t>
  </si>
  <si>
    <t>Summary assets of the services sector, Frw billion</t>
  </si>
  <si>
    <t>Mining traders</t>
  </si>
  <si>
    <t>From physical accounts</t>
  </si>
  <si>
    <t>Average price</t>
  </si>
  <si>
    <t>USD/ton</t>
  </si>
  <si>
    <t>Sales</t>
  </si>
  <si>
    <t>Calculated</t>
  </si>
  <si>
    <t>Less: Other operating and overhead costs</t>
  </si>
  <si>
    <t>Less: Consumption of capital (Deprc)</t>
  </si>
  <si>
    <t>Less: Opportunity cost of capital ("normal profit")</t>
  </si>
  <si>
    <t>Equal: Resource rent</t>
  </si>
  <si>
    <t>Unit rent</t>
  </si>
  <si>
    <t>Less: Purchase of raw material</t>
  </si>
  <si>
    <t>Less: Intermediate consumption</t>
  </si>
  <si>
    <t xml:space="preserve">Equal: Resource rent </t>
  </si>
  <si>
    <t>Royalty payments</t>
  </si>
  <si>
    <t>Prices a selection of traders are paying miners - a sample of monthly trades</t>
  </si>
  <si>
    <t>Source: ITRI logbooks</t>
  </si>
  <si>
    <t>Trader</t>
  </si>
  <si>
    <t>March</t>
  </si>
  <si>
    <t>April</t>
  </si>
  <si>
    <t>July</t>
  </si>
  <si>
    <t>Sept</t>
  </si>
  <si>
    <t>Average</t>
  </si>
  <si>
    <t>MSA</t>
  </si>
  <si>
    <t>FECOMIRWA</t>
  </si>
  <si>
    <t>MUNSAD</t>
  </si>
  <si>
    <t>PHOENIX METAL</t>
  </si>
  <si>
    <t>Phoenix</t>
  </si>
  <si>
    <t>Source: ITRI/iTSCi Logbook</t>
  </si>
  <si>
    <t>Mineral</t>
  </si>
  <si>
    <t>TOTAL</t>
  </si>
  <si>
    <t>Mineral export values (USD)</t>
  </si>
  <si>
    <t>Frw: billion</t>
  </si>
  <si>
    <t>Frw/ton</t>
  </si>
  <si>
    <t>Exchange rate</t>
  </si>
  <si>
    <t>Published data</t>
  </si>
  <si>
    <t>Sales (exports)</t>
  </si>
  <si>
    <t>Production (exports)</t>
  </si>
  <si>
    <t>Structure to use</t>
  </si>
  <si>
    <t xml:space="preserve">Intermediate consumption </t>
  </si>
  <si>
    <t>Other operating and overhead costs</t>
  </si>
  <si>
    <t xml:space="preserve">Consumption of capital </t>
  </si>
  <si>
    <t>% of sales</t>
  </si>
  <si>
    <t>www.statistics.gov.rw/file/5257/download?token=Dk0FmVmU</t>
  </si>
  <si>
    <t>Social discount rate (%)</t>
  </si>
  <si>
    <t>Derived from IBES structure</t>
  </si>
  <si>
    <t>Less: Intermediate consumption (payments to sub-contractors &amp; direct costs to production)</t>
  </si>
  <si>
    <t>Purchace of raw material</t>
  </si>
  <si>
    <t>IBES</t>
  </si>
  <si>
    <t>Based on avg. of 5 transactions/month per major trader</t>
  </si>
  <si>
    <t>Inventory or sundry changes (residual change)</t>
  </si>
  <si>
    <t>Calculated as 4% of sales</t>
  </si>
  <si>
    <t>Exchange rate Frw:USD</t>
  </si>
  <si>
    <t>Key to colour coding:</t>
  </si>
  <si>
    <t xml:space="preserve">High quality data - published </t>
  </si>
  <si>
    <t>Good quality data - derived from hard data</t>
  </si>
  <si>
    <t>Results/outcomes - based on formulas</t>
  </si>
  <si>
    <t>High quality input - derived from IBES structure</t>
  </si>
  <si>
    <t>Source: BNR</t>
  </si>
  <si>
    <r>
      <rPr>
        <b/>
        <u/>
        <sz val="14"/>
        <color theme="1"/>
        <rFont val="Calibri"/>
        <family val="2"/>
        <scheme val="minor"/>
      </rPr>
      <t>NOTE:</t>
    </r>
    <r>
      <rPr>
        <sz val="14"/>
        <color theme="1"/>
        <rFont val="Calibri"/>
        <family val="2"/>
        <scheme val="minor"/>
      </rPr>
      <t xml:space="preserve"> in this scenario we took off Quarrying activities in our calculations and remained with only Mining Activities</t>
    </r>
  </si>
  <si>
    <t>Data verified by RMB</t>
  </si>
  <si>
    <t>Cassiterite production</t>
  </si>
  <si>
    <t>Cassiterite exports</t>
  </si>
  <si>
    <t>Coltan production</t>
  </si>
  <si>
    <t>Coltan exports</t>
  </si>
  <si>
    <t>Wolfram production</t>
  </si>
  <si>
    <t>Wolfram exports</t>
  </si>
  <si>
    <t>Cassiterite producer prices</t>
  </si>
  <si>
    <t>Cassiterite export prices</t>
  </si>
  <si>
    <t>Coltan producer prices</t>
  </si>
  <si>
    <t>Coltan export prices</t>
  </si>
  <si>
    <t>Wolfram production prices</t>
  </si>
  <si>
    <t>Wolfram export prices</t>
  </si>
  <si>
    <t>Mining Operators (US$:Mill)</t>
  </si>
  <si>
    <t>Non-current assets: Cassiterite</t>
  </si>
  <si>
    <t>Non-current assets: Coltan</t>
  </si>
  <si>
    <t>Non-current assets: Wolfram</t>
  </si>
  <si>
    <t>Opportunity cost of capital</t>
  </si>
  <si>
    <t>Value Cassiterite</t>
  </si>
  <si>
    <t>Value Coltan</t>
  </si>
  <si>
    <t>Value Wolfram</t>
  </si>
  <si>
    <t>Asset structure</t>
  </si>
  <si>
    <t>Cassiterite resource rent: producers</t>
  </si>
  <si>
    <t>Cassiterite resource rent: traders</t>
  </si>
  <si>
    <t>Coltan resource rent: producers</t>
  </si>
  <si>
    <t>Coltan resource rent: traders</t>
  </si>
  <si>
    <t>Wolfram resource rent: producers</t>
  </si>
  <si>
    <t>Wolfram resource rent: traders</t>
  </si>
  <si>
    <t>Wholesale of metals and metal ores (US$:Mill)</t>
  </si>
  <si>
    <t>Production and exports of minerals</t>
  </si>
  <si>
    <t>Producer and export prices of minerals</t>
  </si>
  <si>
    <t>Resource rents</t>
  </si>
  <si>
    <t>Resource rent and royalties</t>
  </si>
  <si>
    <t>Cassiterite: total resource rent</t>
  </si>
  <si>
    <t>Cassiterite: royalties</t>
  </si>
  <si>
    <t>Coltan: total resource rent</t>
  </si>
  <si>
    <t>Coltan: royalties</t>
  </si>
  <si>
    <t>Wolfram: total resource rent</t>
  </si>
  <si>
    <t>Wolfram: royalties</t>
  </si>
  <si>
    <t>Intermediate consumption</t>
  </si>
  <si>
    <t xml:space="preserve">Distribution of costs: </t>
  </si>
  <si>
    <t>Traders of 3Ts: 2016</t>
  </si>
  <si>
    <t>Miners of 3Ts: 2016</t>
  </si>
  <si>
    <t>Consumption of capital</t>
  </si>
  <si>
    <t>Total resource rent</t>
  </si>
  <si>
    <t>Total royalties</t>
  </si>
  <si>
    <t>2012-2016</t>
  </si>
  <si>
    <t>Mineral accounts: Flow accounts: Cassiterite</t>
  </si>
  <si>
    <t>Physical accounts</t>
  </si>
  <si>
    <t>Monetary accounts</t>
  </si>
  <si>
    <t>Mineral accounts: Flow accounts: Coltan</t>
  </si>
  <si>
    <t>Mineral accounts: Flow accounts: Wolfram</t>
  </si>
  <si>
    <t>Sources: RMB: Data provided by J.Butera &amp; RNB</t>
  </si>
  <si>
    <t>RMB &amp; RNB</t>
  </si>
  <si>
    <t>Integrated Business Enterprise Survey: 2016 (to be used for 2016)</t>
  </si>
  <si>
    <t>Source: NISR, IBES 2016 Survey</t>
  </si>
  <si>
    <t>Integrated Business Enterprise Survey: 2017 (to be used for 2017)</t>
  </si>
  <si>
    <t>TOTAL INCOME FOR THE YEAR 2016</t>
  </si>
  <si>
    <t>TOTAL EXPENSES FOR THE YEAR 2016</t>
  </si>
  <si>
    <t>Source: NISR, IBES 2017 Survey</t>
  </si>
  <si>
    <t>Integrated Business Enterprise Survey: 2015 (to be used for 2012 - 2015 eventually when IBES for other years are avialable, but for now for entire period)</t>
  </si>
  <si>
    <t>Rwanda: Export prices and volumes of minerals</t>
  </si>
  <si>
    <t>2015Operators</t>
  </si>
  <si>
    <t>2015Traders</t>
  </si>
  <si>
    <t>2016Traders</t>
  </si>
  <si>
    <t>2016Operators</t>
  </si>
  <si>
    <t>Total exports</t>
  </si>
  <si>
    <t>US$</t>
  </si>
  <si>
    <t>3T to total exports</t>
  </si>
  <si>
    <t xml:space="preserve">Cassiterite </t>
  </si>
  <si>
    <t>Year</t>
  </si>
  <si>
    <t>Mining GDP as % of GDP</t>
  </si>
  <si>
    <t>Population (millions)</t>
  </si>
  <si>
    <t>Exchange rate (RwF:US$)</t>
  </si>
  <si>
    <t>Goods export (fob) US$</t>
  </si>
  <si>
    <t>FOB exports in current prices (US$ million)</t>
  </si>
  <si>
    <t>3T export</t>
  </si>
  <si>
    <t>(million US$)</t>
  </si>
  <si>
    <t>GROSS DOMESTIC PRODUCT (GDP)</t>
  </si>
  <si>
    <t>AGRICULTURE, FORESTRY &amp; FISHING</t>
  </si>
  <si>
    <t>Agriculture</t>
  </si>
  <si>
    <t>Mining &amp; quarrying</t>
  </si>
  <si>
    <t>TOTAL MANUFACTURING</t>
  </si>
  <si>
    <t>Manufacturng</t>
  </si>
  <si>
    <t>Electricity</t>
  </si>
  <si>
    <t>Water &amp; waste management</t>
  </si>
  <si>
    <t>Construction</t>
  </si>
  <si>
    <t>TRADE &amp;TRANSPORT</t>
  </si>
  <si>
    <t>Trade and transport</t>
  </si>
  <si>
    <t>OTHER SERVICES</t>
  </si>
  <si>
    <t>Other services</t>
  </si>
  <si>
    <t>TAXES LESS SUBSIDIES ON PRODUCTS</t>
  </si>
  <si>
    <t>Taxes less subsidies</t>
  </si>
  <si>
    <t>Value of sales: Cassiterite mining operators</t>
  </si>
  <si>
    <t>Value of exports: Cassiterite exports</t>
  </si>
  <si>
    <t>Value of sales: Coltan mining operators</t>
  </si>
  <si>
    <t>Value of exports: Coltan exports</t>
  </si>
  <si>
    <t>Value of sales: Wolfram mining operators</t>
  </si>
  <si>
    <t>Value of exports: Wolfram exports</t>
  </si>
  <si>
    <t>sales</t>
  </si>
  <si>
    <t>rent</t>
  </si>
  <si>
    <t>cost</t>
  </si>
  <si>
    <t>vol</t>
  </si>
  <si>
    <t>price</t>
  </si>
  <si>
    <t>operators</t>
  </si>
  <si>
    <t>new price</t>
  </si>
  <si>
    <t>old price</t>
  </si>
  <si>
    <t>traders</t>
  </si>
  <si>
    <t>Avg years:</t>
  </si>
  <si>
    <t>#</t>
  </si>
  <si>
    <t>Asset Category</t>
  </si>
  <si>
    <t>Depreciation Rate</t>
  </si>
  <si>
    <t>Land, fine arts, antiquities, jewellery and any other assets that are not subject to wear and tear or obsolescence</t>
  </si>
  <si>
    <t>cost of acquisition or construction and the cost of refining, rehabilitation, reconstruction of buildings, equipment and heavy machinery fixed in walls</t>
  </si>
  <si>
    <t>5 % (of cost price)</t>
  </si>
  <si>
    <t xml:space="preserve">The cost of acquisition or development and the cost of improvement, rehabilitation, and reconstruction of intangible assets including goodwill </t>
  </si>
  <si>
    <t>10% of the cost price</t>
  </si>
  <si>
    <t xml:space="preserve">computers and accessories, information and communication systems, software </t>
  </si>
  <si>
    <t>all other business assets</t>
  </si>
  <si>
    <t xml:space="preserve">INVESTMENT ALLOWANCES </t>
  </si>
  <si>
    <t>A registered investor shall be entitled to a flat accelerated depreciation rate of fifty per cent (50%) for the first year for new or used assets if he/she meets the following criteria :</t>
  </si>
  <si>
    <t>Criteria</t>
  </si>
  <si>
    <t>Rate</t>
  </si>
  <si>
    <t xml:space="preserve"> Investor operate in export projects - invest in business assets worth at least fifty thousand US dollars (USD 50,000) each;</t>
  </si>
  <si>
    <t>construction projects worth at least one million eight hundred thousand United States dollars (USD 1,800,000);</t>
  </si>
  <si>
    <t>Any other sectors provided the investment is worth at least one hundred thousand United States dollars (USD 100,000)</t>
  </si>
  <si>
    <t>Rwanda Investment Code, 2015</t>
  </si>
  <si>
    <t>Contractors' income</t>
  </si>
  <si>
    <t>Purchases of raw material</t>
  </si>
  <si>
    <t>Interm. consump. excl. purchases or material</t>
  </si>
  <si>
    <t>Total sales by operators</t>
  </si>
  <si>
    <t>Number of people</t>
  </si>
  <si>
    <t>Income</t>
  </si>
  <si>
    <t>days</t>
  </si>
  <si>
    <t>https://www.bnr.rw/index.php?id=88</t>
  </si>
  <si>
    <t>Manufacturing</t>
  </si>
  <si>
    <t>Water &amp; waste manmnt</t>
  </si>
  <si>
    <t>GDP in RwF billions (constant prices)</t>
  </si>
  <si>
    <t>Table 2</t>
  </si>
  <si>
    <t>Gross Domestic product by Kind of Activity</t>
  </si>
  <si>
    <t>at constant 2014 prices</t>
  </si>
  <si>
    <t xml:space="preserve">  ( in billion Rwf)      </t>
  </si>
  <si>
    <t>Activity description</t>
  </si>
  <si>
    <t>ISIC4</t>
  </si>
  <si>
    <t>A</t>
  </si>
  <si>
    <t>Food crops</t>
  </si>
  <si>
    <t>AA</t>
  </si>
  <si>
    <t>Export crops</t>
  </si>
  <si>
    <t>AB</t>
  </si>
  <si>
    <t>Livestock &amp; livestock products</t>
  </si>
  <si>
    <t>AC</t>
  </si>
  <si>
    <t>Forestry</t>
  </si>
  <si>
    <t>AD</t>
  </si>
  <si>
    <t>Fishing</t>
  </si>
  <si>
    <t>AE</t>
  </si>
  <si>
    <t>INDUSTRY</t>
  </si>
  <si>
    <t>B-F</t>
  </si>
  <si>
    <t>B</t>
  </si>
  <si>
    <t>C</t>
  </si>
  <si>
    <t>Of which: Food</t>
  </si>
  <si>
    <t>CA</t>
  </si>
  <si>
    <t xml:space="preserve">              Beverages &amp; tobacco</t>
  </si>
  <si>
    <t>CB</t>
  </si>
  <si>
    <t xml:space="preserve">             Textiles, clothing &amp; leather goods</t>
  </si>
  <si>
    <t>CC</t>
  </si>
  <si>
    <t xml:space="preserve">             Wood &amp; paper; printing</t>
  </si>
  <si>
    <t>CD</t>
  </si>
  <si>
    <t xml:space="preserve">             Chemicals, rubber &amp; plastic products</t>
  </si>
  <si>
    <t>CE</t>
  </si>
  <si>
    <t xml:space="preserve">             Non-metallic mineral products</t>
  </si>
  <si>
    <t>CF</t>
  </si>
  <si>
    <t xml:space="preserve">             Metal products, machinery &amp; equipment</t>
  </si>
  <si>
    <t>CG</t>
  </si>
  <si>
    <t xml:space="preserve">             Furniture &amp; other manufacturing </t>
  </si>
  <si>
    <t>CH</t>
  </si>
  <si>
    <t>D</t>
  </si>
  <si>
    <t>E</t>
  </si>
  <si>
    <t>F</t>
  </si>
  <si>
    <t>SERVICES</t>
  </si>
  <si>
    <t>G-T</t>
  </si>
  <si>
    <t>G-H</t>
  </si>
  <si>
    <t>Maintenance and repair of motor vehicles</t>
  </si>
  <si>
    <t>GA</t>
  </si>
  <si>
    <t>Wholesale &amp; retail trade</t>
  </si>
  <si>
    <t>GB</t>
  </si>
  <si>
    <t>Transport services</t>
  </si>
  <si>
    <t>H</t>
  </si>
  <si>
    <t>I-T</t>
  </si>
  <si>
    <t>Hotels &amp; restaurants</t>
  </si>
  <si>
    <t>I</t>
  </si>
  <si>
    <t>Information &amp; communication</t>
  </si>
  <si>
    <t>J</t>
  </si>
  <si>
    <t>Financial services</t>
  </si>
  <si>
    <t>K</t>
  </si>
  <si>
    <t>Real estate activities</t>
  </si>
  <si>
    <t>L</t>
  </si>
  <si>
    <t>Professional, scientific and technical activities</t>
  </si>
  <si>
    <t>M</t>
  </si>
  <si>
    <t>Administrative and support service activities</t>
  </si>
  <si>
    <t>N</t>
  </si>
  <si>
    <t>Public administration and defence; compulsory social security</t>
  </si>
  <si>
    <t>O</t>
  </si>
  <si>
    <t>Education</t>
  </si>
  <si>
    <t>P</t>
  </si>
  <si>
    <t>Human health and social work activities</t>
  </si>
  <si>
    <t>Q</t>
  </si>
  <si>
    <t>Cultural, domestic &amp; other services</t>
  </si>
  <si>
    <t>R-T</t>
  </si>
  <si>
    <r>
      <rPr>
        <b/>
        <i/>
        <sz val="9"/>
        <rFont val="Calibri Light"/>
        <family val="1"/>
      </rPr>
      <t>Source:</t>
    </r>
    <r>
      <rPr>
        <i/>
        <sz val="9"/>
        <rFont val="Calibri Light"/>
        <family val="1"/>
      </rPr>
      <t xml:space="preserve"> National Institute of Statistics of Rwanda</t>
    </r>
  </si>
  <si>
    <t>Agriculture, forestry and fishing</t>
  </si>
  <si>
    <t>Table 1</t>
  </si>
  <si>
    <t>at current prices</t>
  </si>
  <si>
    <t>GDP/capita (US$)</t>
  </si>
  <si>
    <t>GDP/cap ('000RwF)</t>
  </si>
  <si>
    <t>GDP in RwF billions (current prices)</t>
  </si>
  <si>
    <t>R_GDP National Accounts 2018_r</t>
  </si>
  <si>
    <t>mining GDP in RwF billions (current p)</t>
  </si>
  <si>
    <t>Mining GDP as % to total GDP</t>
  </si>
  <si>
    <t>https://www.metalary.com/tantalum-price/</t>
  </si>
  <si>
    <t>Tantalum</t>
  </si>
  <si>
    <t>Tungsten</t>
  </si>
  <si>
    <t>https://www.metalary.com/tungsten-price/</t>
  </si>
  <si>
    <t>Tin</t>
  </si>
  <si>
    <t>https://www.metalary.com/tin-price/</t>
  </si>
  <si>
    <t>US$/t</t>
  </si>
  <si>
    <t>Cassiteriate</t>
  </si>
  <si>
    <t>Table</t>
  </si>
  <si>
    <t>Coltan as % of Tantalum</t>
  </si>
  <si>
    <t>Wolfram as % of Tungsten</t>
  </si>
  <si>
    <t>Cassiterite as % of Tin</t>
  </si>
  <si>
    <t>Cassiterite: Operators</t>
  </si>
  <si>
    <t>Cassiterite: Traders</t>
  </si>
  <si>
    <t>Coltan: Operators</t>
  </si>
  <si>
    <t>Coltan: Traders</t>
  </si>
  <si>
    <t>Wolfram: Operators</t>
  </si>
  <si>
    <t>Wolfram: Traders</t>
  </si>
  <si>
    <t>Total</t>
  </si>
  <si>
    <t>Production cost</t>
  </si>
  <si>
    <t>Resource rent</t>
  </si>
  <si>
    <t>Average unit price: +6%</t>
  </si>
  <si>
    <t>Average unit price: +9%</t>
  </si>
  <si>
    <t>Average unit price: +12%</t>
  </si>
  <si>
    <t>Average unit price: +3,5%</t>
  </si>
  <si>
    <t>US$/ton</t>
  </si>
  <si>
    <t>Tantulam</t>
  </si>
  <si>
    <t>GDP in current prices</t>
  </si>
  <si>
    <t>Mining GDP in current prices</t>
  </si>
  <si>
    <t>Tungsten (LH axis)</t>
  </si>
  <si>
    <t>Tin (LH axis)</t>
  </si>
  <si>
    <t>Tantalum (RH axis)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</si>
</sst>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0.0%"/>
    <numFmt numFmtId="167" formatCode="_-* #,##0.00\ _€_-;\-* #,##0.00\ _€_-;_-* &quot;-&quot;??\ _€_-;_-@_-"/>
    <numFmt numFmtId="168" formatCode="#.00;\-#.00;0.00;@"/>
    <numFmt numFmtId="169" formatCode="_(* #,##0.0_);_(* \(#,##0.0\);_(* &quot;-&quot;??_);_(@_)"/>
    <numFmt numFmtId="170" formatCode="0.000"/>
    <numFmt numFmtId="171" formatCode="_(* #,##0_);_(* \(#,##0\);_(* &quot;-&quot;??_);_(@_)"/>
    <numFmt numFmtId="172" formatCode="_-* #,##0.0_-;\-* #,##0.0_-;_-* &quot;-&quot;??_-;_-@_-"/>
    <numFmt numFmtId="173" formatCode="_-* #,##0.0_-;\-* #,##0.0_-;_-* &quot;-&quot;?_-;_-@_-"/>
    <numFmt numFmtId="174" formatCode="0.0"/>
    <numFmt numFmtId="175" formatCode="#,##0.0"/>
    <numFmt numFmtId="176" formatCode="_-* #,##0_-;\-* #,##0_-;_-* &quot;-&quot;?_-;_-@_-"/>
    <numFmt numFmtId="177" formatCode="_-* #,##0.00_-;\-* #,##0.00_-;_-* &quot;-&quot;?_-;_-@_-"/>
    <numFmt numFmtId="178" formatCode="_(* #,##0.000_);_(* \(#,##0.000\);_(* &quot;-&quot;??_);_(@_)"/>
    <numFmt numFmtId="179" formatCode="#,##0_ ;[Red]\-#,##0\ "/>
    <numFmt numFmtId="180" formatCode="0.00000%"/>
    <numFmt numFmtId="181" formatCode="[$-409]mmmm\ d\,\ yyyy;@"/>
    <numFmt numFmtId="182" formatCode="#,##0;[Red]#,##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name val="Calibri Light"/>
      <family val="1"/>
      <scheme val="major"/>
    </font>
    <font>
      <sz val="10"/>
      <name val="Calibri Light"/>
      <family val="1"/>
      <scheme val="major"/>
    </font>
    <font>
      <b/>
      <sz val="10"/>
      <color rgb="FFFF0000"/>
      <name val="Calibri"/>
      <family val="2"/>
      <scheme val="minor"/>
    </font>
    <font>
      <b/>
      <sz val="14"/>
      <name val="Calibri Light"/>
      <family val="1"/>
      <scheme val="major"/>
    </font>
    <font>
      <b/>
      <sz val="11"/>
      <name val="Calibri Light"/>
      <family val="1"/>
      <scheme val="major"/>
    </font>
    <font>
      <sz val="14"/>
      <name val="Calibri Light"/>
      <family val="1"/>
      <scheme val="major"/>
    </font>
    <font>
      <b/>
      <i/>
      <sz val="11"/>
      <name val="Calibri Light"/>
      <family val="1"/>
      <scheme val="major"/>
    </font>
    <font>
      <b/>
      <sz val="16"/>
      <name val="Calibri Light"/>
      <family val="1"/>
      <scheme val="major"/>
    </font>
    <font>
      <i/>
      <sz val="9.5"/>
      <name val="Calibri Light"/>
      <family val="1"/>
      <scheme val="major"/>
    </font>
    <font>
      <i/>
      <sz val="10"/>
      <name val="Calibri Light"/>
      <family val="1"/>
      <scheme val="major"/>
    </font>
    <font>
      <sz val="11"/>
      <color theme="1"/>
      <name val="Calibri Light"/>
      <family val="1"/>
      <scheme val="major"/>
    </font>
    <font>
      <b/>
      <i/>
      <sz val="9"/>
      <name val="Calibri Light"/>
      <family val="1"/>
      <scheme val="major"/>
    </font>
    <font>
      <i/>
      <sz val="9"/>
      <name val="Calibri Light"/>
      <family val="1"/>
      <scheme val="major"/>
    </font>
    <font>
      <b/>
      <i/>
      <sz val="9"/>
      <name val="Calibri Light"/>
      <family val="1"/>
    </font>
    <font>
      <i/>
      <sz val="9"/>
      <name val="Calibri Light"/>
      <family val="1"/>
    </font>
    <font>
      <i/>
      <sz val="9"/>
      <color theme="1"/>
      <name val="Calibri Light"/>
      <family val="1"/>
      <scheme val="major"/>
    </font>
    <font>
      <u/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rgb="FF4472C4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57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8" fontId="6" fillId="0" borderId="0"/>
    <xf numFmtId="164" fontId="1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64" fontId="1" fillId="0" borderId="0" applyFont="0" applyFill="0" applyBorder="0" applyAlignment="0" applyProtection="0"/>
    <xf numFmtId="0" fontId="32" fillId="0" borderId="0" applyNumberFormat="0" applyFill="0" applyBorder="0" applyAlignment="0" applyProtection="0"/>
  </cellStyleXfs>
  <cellXfs count="440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3" fillId="0" borderId="1" xfId="0" applyFont="1" applyBorder="1"/>
    <xf numFmtId="43" fontId="4" fillId="0" borderId="1" xfId="2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2" xfId="0" applyFont="1" applyBorder="1"/>
    <xf numFmtId="0" fontId="3" fillId="0" borderId="5" xfId="0" applyFont="1" applyBorder="1"/>
    <xf numFmtId="0" fontId="3" fillId="0" borderId="8" xfId="0" applyFont="1" applyBorder="1"/>
    <xf numFmtId="43" fontId="4" fillId="0" borderId="6" xfId="2" applyFont="1" applyBorder="1"/>
    <xf numFmtId="0" fontId="3" fillId="0" borderId="7" xfId="0" applyFont="1" applyBorder="1"/>
    <xf numFmtId="43" fontId="4" fillId="0" borderId="8" xfId="2" applyFont="1" applyBorder="1"/>
    <xf numFmtId="43" fontId="4" fillId="0" borderId="9" xfId="2" applyFont="1" applyBorder="1"/>
    <xf numFmtId="0" fontId="3" fillId="0" borderId="4" xfId="0" applyFont="1" applyFill="1" applyBorder="1"/>
    <xf numFmtId="0" fontId="7" fillId="0" borderId="0" xfId="0" applyFont="1" applyAlignment="1">
      <alignment horizontal="left" vertical="center"/>
    </xf>
    <xf numFmtId="0" fontId="4" fillId="3" borderId="5" xfId="0" applyFont="1" applyFill="1" applyBorder="1" applyAlignment="1">
      <alignment wrapText="1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0" fillId="0" borderId="0" xfId="0" applyBorder="1"/>
    <xf numFmtId="0" fontId="8" fillId="0" borderId="15" xfId="0" applyFont="1" applyBorder="1"/>
    <xf numFmtId="0" fontId="3" fillId="0" borderId="21" xfId="0" applyFont="1" applyBorder="1"/>
    <xf numFmtId="0" fontId="4" fillId="0" borderId="21" xfId="0" applyFont="1" applyBorder="1"/>
    <xf numFmtId="170" fontId="4" fillId="0" borderId="0" xfId="0" applyNumberFormat="1" applyFont="1"/>
    <xf numFmtId="0" fontId="4" fillId="0" borderId="10" xfId="0" applyFont="1" applyBorder="1"/>
    <xf numFmtId="0" fontId="4" fillId="0" borderId="15" xfId="0" applyFont="1" applyBorder="1"/>
    <xf numFmtId="170" fontId="4" fillId="0" borderId="16" xfId="0" applyNumberFormat="1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170" fontId="4" fillId="0" borderId="0" xfId="0" applyNumberFormat="1" applyFont="1" applyBorder="1"/>
    <xf numFmtId="0" fontId="4" fillId="0" borderId="0" xfId="0" applyFont="1" applyBorder="1"/>
    <xf numFmtId="0" fontId="4" fillId="0" borderId="19" xfId="0" applyFont="1" applyBorder="1"/>
    <xf numFmtId="165" fontId="4" fillId="0" borderId="20" xfId="1" applyNumberFormat="1" applyFont="1" applyBorder="1"/>
    <xf numFmtId="165" fontId="4" fillId="0" borderId="14" xfId="1" applyNumberFormat="1" applyFont="1" applyBorder="1"/>
    <xf numFmtId="165" fontId="4" fillId="0" borderId="13" xfId="1" applyNumberFormat="1" applyFont="1" applyBorder="1"/>
    <xf numFmtId="0" fontId="4" fillId="2" borderId="0" xfId="0" applyFont="1" applyFill="1"/>
    <xf numFmtId="0" fontId="3" fillId="0" borderId="0" xfId="0" applyFont="1" applyBorder="1" applyAlignment="1">
      <alignment horizontal="center" vertical="center"/>
    </xf>
    <xf numFmtId="0" fontId="4" fillId="0" borderId="0" xfId="0" applyFont="1" applyFill="1" applyBorder="1"/>
    <xf numFmtId="0" fontId="3" fillId="0" borderId="7" xfId="0" applyFont="1" applyFill="1" applyBorder="1"/>
    <xf numFmtId="43" fontId="4" fillId="0" borderId="0" xfId="2" applyFont="1"/>
    <xf numFmtId="0" fontId="3" fillId="0" borderId="0" xfId="0" applyFont="1" applyAlignment="1"/>
    <xf numFmtId="171" fontId="4" fillId="0" borderId="1" xfId="2" applyNumberFormat="1" applyFont="1" applyBorder="1"/>
    <xf numFmtId="171" fontId="3" fillId="0" borderId="8" xfId="0" applyNumberFormat="1" applyFont="1" applyBorder="1"/>
    <xf numFmtId="171" fontId="3" fillId="0" borderId="9" xfId="0" applyNumberFormat="1" applyFont="1" applyBorder="1"/>
    <xf numFmtId="0" fontId="3" fillId="0" borderId="26" xfId="0" applyFont="1" applyFill="1" applyBorder="1" applyAlignment="1">
      <alignment vertical="center"/>
    </xf>
    <xf numFmtId="2" fontId="4" fillId="0" borderId="27" xfId="0" applyNumberFormat="1" applyFont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4" fillId="3" borderId="5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165" fontId="4" fillId="3" borderId="1" xfId="1" applyNumberFormat="1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 wrapText="1"/>
    </xf>
    <xf numFmtId="0" fontId="4" fillId="0" borderId="6" xfId="0" applyFont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165" fontId="4" fillId="0" borderId="1" xfId="1" applyNumberFormat="1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165" fontId="4" fillId="0" borderId="21" xfId="1" applyNumberFormat="1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165" fontId="4" fillId="0" borderId="6" xfId="1" applyNumberFormat="1" applyFont="1" applyBorder="1" applyAlignment="1">
      <alignment vertical="center"/>
    </xf>
    <xf numFmtId="0" fontId="4" fillId="0" borderId="7" xfId="0" applyFont="1" applyFill="1" applyBorder="1" applyAlignment="1">
      <alignment vertical="center" wrapText="1"/>
    </xf>
    <xf numFmtId="0" fontId="4" fillId="0" borderId="8" xfId="0" applyFont="1" applyFill="1" applyBorder="1" applyAlignment="1">
      <alignment vertical="center"/>
    </xf>
    <xf numFmtId="9" fontId="4" fillId="0" borderId="8" xfId="3" applyFont="1" applyFill="1" applyBorder="1" applyAlignment="1">
      <alignment vertical="center"/>
    </xf>
    <xf numFmtId="166" fontId="4" fillId="0" borderId="8" xfId="3" applyNumberFormat="1" applyFont="1" applyFill="1" applyBorder="1" applyAlignment="1">
      <alignment vertical="center"/>
    </xf>
    <xf numFmtId="0" fontId="4" fillId="0" borderId="9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165" fontId="4" fillId="0" borderId="1" xfId="1" applyNumberFormat="1" applyFont="1" applyBorder="1" applyAlignment="1">
      <alignment vertical="center"/>
    </xf>
    <xf numFmtId="9" fontId="4" fillId="0" borderId="0" xfId="3" applyFont="1" applyFill="1" applyAlignment="1">
      <alignment vertical="center"/>
    </xf>
    <xf numFmtId="0" fontId="3" fillId="0" borderId="28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165" fontId="4" fillId="0" borderId="12" xfId="1" applyNumberFormat="1" applyFont="1" applyBorder="1" applyAlignment="1">
      <alignment vertical="center"/>
    </xf>
    <xf numFmtId="2" fontId="4" fillId="0" borderId="7" xfId="0" applyNumberFormat="1" applyFont="1" applyBorder="1" applyAlignment="1">
      <alignment vertical="center"/>
    </xf>
    <xf numFmtId="2" fontId="4" fillId="0" borderId="8" xfId="0" applyNumberFormat="1" applyFont="1" applyBorder="1" applyAlignment="1">
      <alignment vertical="center"/>
    </xf>
    <xf numFmtId="0" fontId="4" fillId="4" borderId="5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165" fontId="4" fillId="4" borderId="1" xfId="1" applyNumberFormat="1" applyFont="1" applyFill="1" applyBorder="1" applyAlignment="1">
      <alignment vertical="center" wrapText="1"/>
    </xf>
    <xf numFmtId="165" fontId="4" fillId="4" borderId="6" xfId="1" applyNumberFormat="1" applyFont="1" applyFill="1" applyBorder="1" applyAlignment="1">
      <alignment vertical="center" wrapText="1"/>
    </xf>
    <xf numFmtId="165" fontId="4" fillId="4" borderId="21" xfId="1" applyNumberFormat="1" applyFont="1" applyFill="1" applyBorder="1" applyAlignment="1">
      <alignment vertical="center" wrapText="1"/>
    </xf>
    <xf numFmtId="0" fontId="4" fillId="4" borderId="12" xfId="0" applyFont="1" applyFill="1" applyBorder="1" applyAlignment="1">
      <alignment vertical="center"/>
    </xf>
    <xf numFmtId="0" fontId="4" fillId="5" borderId="5" xfId="0" applyFont="1" applyFill="1" applyBorder="1" applyAlignment="1">
      <alignment vertical="center" wrapText="1"/>
    </xf>
    <xf numFmtId="0" fontId="4" fillId="5" borderId="1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5" fontId="4" fillId="3" borderId="1" xfId="1" applyNumberFormat="1" applyFont="1" applyFill="1" applyBorder="1" applyAlignment="1">
      <alignment vertical="center" wrapText="1"/>
    </xf>
    <xf numFmtId="165" fontId="4" fillId="3" borderId="6" xfId="1" applyNumberFormat="1" applyFont="1" applyFill="1" applyBorder="1" applyAlignment="1">
      <alignment vertical="center" wrapText="1"/>
    </xf>
    <xf numFmtId="165" fontId="4" fillId="3" borderId="21" xfId="1" applyNumberFormat="1" applyFont="1" applyFill="1" applyBorder="1" applyAlignment="1">
      <alignment vertical="center" wrapText="1"/>
    </xf>
    <xf numFmtId="0" fontId="4" fillId="3" borderId="12" xfId="0" applyFont="1" applyFill="1" applyBorder="1" applyAlignment="1">
      <alignment vertical="center"/>
    </xf>
    <xf numFmtId="0" fontId="4" fillId="3" borderId="1" xfId="0" applyFont="1" applyFill="1" applyBorder="1" applyAlignment="1">
      <alignment wrapText="1"/>
    </xf>
    <xf numFmtId="165" fontId="4" fillId="3" borderId="6" xfId="1" applyNumberFormat="1" applyFont="1" applyFill="1" applyBorder="1" applyAlignment="1">
      <alignment vertical="center"/>
    </xf>
    <xf numFmtId="172" fontId="4" fillId="3" borderId="21" xfId="1" applyNumberFormat="1" applyFont="1" applyFill="1" applyBorder="1" applyAlignment="1">
      <alignment vertical="center"/>
    </xf>
    <xf numFmtId="172" fontId="4" fillId="3" borderId="6" xfId="1" applyNumberFormat="1" applyFont="1" applyFill="1" applyBorder="1" applyAlignment="1">
      <alignment vertical="center"/>
    </xf>
    <xf numFmtId="0" fontId="4" fillId="5" borderId="5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165" fontId="4" fillId="5" borderId="1" xfId="1" applyNumberFormat="1" applyFont="1" applyFill="1" applyBorder="1" applyAlignment="1">
      <alignment vertical="center"/>
    </xf>
    <xf numFmtId="172" fontId="4" fillId="5" borderId="21" xfId="1" applyNumberFormat="1" applyFont="1" applyFill="1" applyBorder="1" applyAlignment="1">
      <alignment vertical="center"/>
    </xf>
    <xf numFmtId="172" fontId="4" fillId="5" borderId="6" xfId="1" applyNumberFormat="1" applyFont="1" applyFill="1" applyBorder="1" applyAlignment="1">
      <alignment vertical="center"/>
    </xf>
    <xf numFmtId="0" fontId="9" fillId="5" borderId="5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165" fontId="9" fillId="5" borderId="1" xfId="1" applyNumberFormat="1" applyFont="1" applyFill="1" applyBorder="1" applyAlignment="1">
      <alignment vertical="center" wrapText="1"/>
    </xf>
    <xf numFmtId="165" fontId="9" fillId="5" borderId="6" xfId="1" applyNumberFormat="1" applyFont="1" applyFill="1" applyBorder="1" applyAlignment="1">
      <alignment vertical="center" wrapText="1"/>
    </xf>
    <xf numFmtId="172" fontId="9" fillId="5" borderId="21" xfId="1" applyNumberFormat="1" applyFont="1" applyFill="1" applyBorder="1" applyAlignment="1">
      <alignment vertical="center" wrapText="1"/>
    </xf>
    <xf numFmtId="172" fontId="9" fillId="5" borderId="6" xfId="1" applyNumberFormat="1" applyFont="1" applyFill="1" applyBorder="1" applyAlignment="1">
      <alignment vertical="center" wrapText="1"/>
    </xf>
    <xf numFmtId="0" fontId="9" fillId="5" borderId="12" xfId="0" applyFont="1" applyFill="1" applyBorder="1" applyAlignment="1">
      <alignment vertical="center"/>
    </xf>
    <xf numFmtId="0" fontId="9" fillId="5" borderId="1" xfId="0" applyFont="1" applyFill="1" applyBorder="1" applyAlignment="1">
      <alignment vertical="center"/>
    </xf>
    <xf numFmtId="165" fontId="9" fillId="5" borderId="1" xfId="1" applyNumberFormat="1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165" fontId="4" fillId="3" borderId="8" xfId="1" applyNumberFormat="1" applyFont="1" applyFill="1" applyBorder="1" applyAlignment="1">
      <alignment vertical="center"/>
    </xf>
    <xf numFmtId="172" fontId="4" fillId="3" borderId="25" xfId="1" applyNumberFormat="1" applyFont="1" applyFill="1" applyBorder="1" applyAlignment="1">
      <alignment vertical="center"/>
    </xf>
    <xf numFmtId="172" fontId="4" fillId="3" borderId="9" xfId="1" applyNumberFormat="1" applyFont="1" applyFill="1" applyBorder="1" applyAlignment="1">
      <alignment vertical="center"/>
    </xf>
    <xf numFmtId="0" fontId="4" fillId="3" borderId="29" xfId="0" applyFont="1" applyFill="1" applyBorder="1" applyAlignment="1">
      <alignment vertical="center"/>
    </xf>
    <xf numFmtId="0" fontId="4" fillId="6" borderId="5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 wrapText="1"/>
    </xf>
    <xf numFmtId="165" fontId="4" fillId="6" borderId="1" xfId="1" applyNumberFormat="1" applyFont="1" applyFill="1" applyBorder="1" applyAlignment="1">
      <alignment vertical="center" wrapText="1"/>
    </xf>
    <xf numFmtId="165" fontId="4" fillId="6" borderId="21" xfId="1" applyNumberFormat="1" applyFont="1" applyFill="1" applyBorder="1" applyAlignment="1">
      <alignment vertical="center" wrapText="1"/>
    </xf>
    <xf numFmtId="165" fontId="4" fillId="6" borderId="6" xfId="1" applyNumberFormat="1" applyFont="1" applyFill="1" applyBorder="1" applyAlignment="1">
      <alignment vertical="center" wrapText="1"/>
    </xf>
    <xf numFmtId="0" fontId="4" fillId="6" borderId="1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165" fontId="4" fillId="4" borderId="1" xfId="1" applyNumberFormat="1" applyFont="1" applyFill="1" applyBorder="1" applyAlignment="1">
      <alignment vertical="center"/>
    </xf>
    <xf numFmtId="0" fontId="4" fillId="4" borderId="6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/>
    </xf>
    <xf numFmtId="172" fontId="4" fillId="4" borderId="21" xfId="1" applyNumberFormat="1" applyFont="1" applyFill="1" applyBorder="1" applyAlignment="1">
      <alignment vertical="center" wrapText="1"/>
    </xf>
    <xf numFmtId="172" fontId="4" fillId="4" borderId="6" xfId="1" applyNumberFormat="1" applyFont="1" applyFill="1" applyBorder="1" applyAlignment="1">
      <alignment vertical="center" wrapText="1"/>
    </xf>
    <xf numFmtId="0" fontId="4" fillId="4" borderId="12" xfId="0" applyFont="1" applyFill="1" applyBorder="1" applyAlignment="1">
      <alignment vertical="center" wrapText="1"/>
    </xf>
    <xf numFmtId="0" fontId="4" fillId="4" borderId="5" xfId="0" applyFont="1" applyFill="1" applyBorder="1"/>
    <xf numFmtId="0" fontId="4" fillId="4" borderId="1" xfId="0" applyFont="1" applyFill="1" applyBorder="1"/>
    <xf numFmtId="165" fontId="4" fillId="4" borderId="1" xfId="1" applyNumberFormat="1" applyFont="1" applyFill="1" applyBorder="1"/>
    <xf numFmtId="172" fontId="4" fillId="4" borderId="21" xfId="1" applyNumberFormat="1" applyFont="1" applyFill="1" applyBorder="1" applyAlignment="1">
      <alignment vertical="center"/>
    </xf>
    <xf numFmtId="172" fontId="4" fillId="4" borderId="6" xfId="1" applyNumberFormat="1" applyFont="1" applyFill="1" applyBorder="1" applyAlignment="1">
      <alignment vertical="center"/>
    </xf>
    <xf numFmtId="0" fontId="3" fillId="0" borderId="30" xfId="0" applyFont="1" applyFill="1" applyBorder="1" applyAlignment="1">
      <alignment vertical="center"/>
    </xf>
    <xf numFmtId="0" fontId="4" fillId="3" borderId="31" xfId="0" applyFont="1" applyFill="1" applyBorder="1" applyAlignment="1">
      <alignment vertical="center"/>
    </xf>
    <xf numFmtId="0" fontId="4" fillId="5" borderId="31" xfId="0" applyFont="1" applyFill="1" applyBorder="1" applyAlignment="1">
      <alignment vertical="center"/>
    </xf>
    <xf numFmtId="0" fontId="4" fillId="6" borderId="31" xfId="0" applyFont="1" applyFill="1" applyBorder="1" applyAlignment="1">
      <alignment vertical="center"/>
    </xf>
    <xf numFmtId="0" fontId="4" fillId="4" borderId="32" xfId="0" applyFont="1" applyFill="1" applyBorder="1" applyAlignment="1">
      <alignment vertical="center"/>
    </xf>
    <xf numFmtId="2" fontId="4" fillId="0" borderId="33" xfId="0" applyNumberFormat="1" applyFont="1" applyBorder="1" applyAlignment="1">
      <alignment vertical="center"/>
    </xf>
    <xf numFmtId="0" fontId="10" fillId="0" borderId="0" xfId="0" applyFont="1"/>
    <xf numFmtId="0" fontId="10" fillId="0" borderId="16" xfId="0" applyFont="1" applyBorder="1"/>
    <xf numFmtId="0" fontId="10" fillId="0" borderId="17" xfId="0" applyFont="1" applyBorder="1"/>
    <xf numFmtId="0" fontId="8" fillId="0" borderId="18" xfId="0" applyFont="1" applyFill="1" applyBorder="1"/>
    <xf numFmtId="0" fontId="8" fillId="0" borderId="0" xfId="0" applyFont="1" applyFill="1" applyBorder="1"/>
    <xf numFmtId="0" fontId="10" fillId="0" borderId="0" xfId="0" applyFont="1" applyFill="1" applyBorder="1"/>
    <xf numFmtId="0" fontId="10" fillId="0" borderId="0" xfId="0" applyFont="1" applyBorder="1"/>
    <xf numFmtId="0" fontId="8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centerContinuous"/>
    </xf>
    <xf numFmtId="0" fontId="8" fillId="0" borderId="19" xfId="0" applyFont="1" applyBorder="1"/>
    <xf numFmtId="0" fontId="10" fillId="0" borderId="0" xfId="0" applyFont="1" applyFill="1"/>
    <xf numFmtId="0" fontId="8" fillId="0" borderId="18" xfId="0" applyFont="1" applyFill="1" applyBorder="1" applyAlignment="1">
      <alignment horizontal="left" vertical="center"/>
    </xf>
    <xf numFmtId="0" fontId="10" fillId="0" borderId="18" xfId="0" applyFont="1" applyFill="1" applyBorder="1"/>
    <xf numFmtId="169" fontId="10" fillId="0" borderId="0" xfId="1" applyNumberFormat="1" applyFont="1" applyFill="1" applyBorder="1"/>
    <xf numFmtId="166" fontId="10" fillId="0" borderId="0" xfId="3" applyNumberFormat="1" applyFont="1" applyFill="1" applyBorder="1"/>
    <xf numFmtId="0" fontId="8" fillId="0" borderId="0" xfId="0" applyFont="1" applyFill="1" applyBorder="1" applyAlignment="1"/>
    <xf numFmtId="169" fontId="8" fillId="0" borderId="0" xfId="9" applyNumberFormat="1" applyFont="1" applyFill="1" applyBorder="1" applyAlignment="1"/>
    <xf numFmtId="166" fontId="10" fillId="0" borderId="19" xfId="3" applyNumberFormat="1" applyFont="1" applyBorder="1"/>
    <xf numFmtId="0" fontId="10" fillId="3" borderId="5" xfId="0" applyFont="1" applyFill="1" applyBorder="1" applyAlignment="1">
      <alignment wrapText="1"/>
    </xf>
    <xf numFmtId="166" fontId="10" fillId="3" borderId="6" xfId="3" applyNumberFormat="1" applyFont="1" applyFill="1" applyBorder="1"/>
    <xf numFmtId="0" fontId="10" fillId="0" borderId="0" xfId="0" applyFont="1" applyFill="1" applyBorder="1" applyAlignment="1"/>
    <xf numFmtId="169" fontId="10" fillId="0" borderId="0" xfId="9" applyNumberFormat="1" applyFont="1" applyFill="1" applyBorder="1" applyAlignment="1"/>
    <xf numFmtId="0" fontId="10" fillId="3" borderId="5" xfId="0" quotePrefix="1" applyFont="1" applyFill="1" applyBorder="1" applyAlignment="1">
      <alignment wrapText="1"/>
    </xf>
    <xf numFmtId="0" fontId="10" fillId="0" borderId="0" xfId="0" applyFont="1" applyFill="1" applyBorder="1" applyAlignment="1">
      <alignment horizontal="left" indent="4"/>
    </xf>
    <xf numFmtId="0" fontId="10" fillId="3" borderId="7" xfId="0" applyFont="1" applyFill="1" applyBorder="1" applyAlignment="1">
      <alignment wrapText="1"/>
    </xf>
    <xf numFmtId="166" fontId="10" fillId="3" borderId="9" xfId="3" applyNumberFormat="1" applyFont="1" applyFill="1" applyBorder="1"/>
    <xf numFmtId="169" fontId="10" fillId="0" borderId="0" xfId="2" applyNumberFormat="1" applyFont="1" applyFill="1" applyBorder="1" applyAlignment="1"/>
    <xf numFmtId="0" fontId="10" fillId="0" borderId="0" xfId="0" applyFont="1" applyFill="1" applyBorder="1" applyAlignment="1">
      <alignment horizontal="left" indent="1"/>
    </xf>
    <xf numFmtId="0" fontId="10" fillId="0" borderId="19" xfId="0" applyFont="1" applyBorder="1"/>
    <xf numFmtId="0" fontId="8" fillId="0" borderId="14" xfId="0" applyFont="1" applyFill="1" applyBorder="1" applyAlignment="1"/>
    <xf numFmtId="169" fontId="8" fillId="0" borderId="14" xfId="9" applyNumberFormat="1" applyFont="1" applyFill="1" applyBorder="1" applyAlignment="1"/>
    <xf numFmtId="0" fontId="10" fillId="0" borderId="18" xfId="0" applyFont="1" applyFill="1" applyBorder="1" applyAlignment="1"/>
    <xf numFmtId="0" fontId="10" fillId="0" borderId="20" xfId="0" applyFont="1" applyFill="1" applyBorder="1"/>
    <xf numFmtId="0" fontId="10" fillId="0" borderId="14" xfId="0" applyFont="1" applyFill="1" applyBorder="1"/>
    <xf numFmtId="0" fontId="10" fillId="0" borderId="14" xfId="0" applyFont="1" applyBorder="1"/>
    <xf numFmtId="0" fontId="10" fillId="0" borderId="13" xfId="0" applyFont="1" applyBorder="1"/>
    <xf numFmtId="9" fontId="10" fillId="0" borderId="0" xfId="3" applyFont="1" applyFill="1"/>
    <xf numFmtId="0" fontId="8" fillId="0" borderId="16" xfId="0" applyFont="1" applyBorder="1"/>
    <xf numFmtId="0" fontId="8" fillId="0" borderId="16" xfId="0" applyFont="1" applyFill="1" applyBorder="1" applyAlignment="1">
      <alignment horizontal="left" vertical="center"/>
    </xf>
    <xf numFmtId="0" fontId="8" fillId="0" borderId="16" xfId="0" applyFont="1" applyFill="1" applyBorder="1" applyAlignment="1">
      <alignment horizontal="centerContinuous"/>
    </xf>
    <xf numFmtId="0" fontId="8" fillId="0" borderId="17" xfId="0" applyFont="1" applyBorder="1"/>
    <xf numFmtId="169" fontId="8" fillId="0" borderId="0" xfId="2" applyNumberFormat="1" applyFont="1" applyFill="1" applyBorder="1" applyAlignment="1"/>
    <xf numFmtId="9" fontId="10" fillId="0" borderId="0" xfId="3" applyFont="1"/>
    <xf numFmtId="165" fontId="0" fillId="0" borderId="0" xfId="1" applyNumberFormat="1" applyFont="1"/>
    <xf numFmtId="169" fontId="8" fillId="0" borderId="0" xfId="1" applyNumberFormat="1" applyFont="1" applyFill="1" applyBorder="1"/>
    <xf numFmtId="171" fontId="10" fillId="0" borderId="0" xfId="0" applyNumberFormat="1" applyFont="1"/>
    <xf numFmtId="0" fontId="10" fillId="3" borderId="18" xfId="0" applyFont="1" applyFill="1" applyBorder="1"/>
    <xf numFmtId="0" fontId="10" fillId="3" borderId="0" xfId="0" applyFont="1" applyFill="1" applyBorder="1"/>
    <xf numFmtId="171" fontId="10" fillId="3" borderId="0" xfId="0" applyNumberFormat="1" applyFont="1" applyFill="1" applyBorder="1"/>
    <xf numFmtId="9" fontId="10" fillId="3" borderId="0" xfId="3" applyFont="1" applyFill="1" applyBorder="1"/>
    <xf numFmtId="173" fontId="10" fillId="3" borderId="0" xfId="0" applyNumberFormat="1" applyFont="1" applyFill="1" applyBorder="1"/>
    <xf numFmtId="165" fontId="10" fillId="3" borderId="18" xfId="0" applyNumberFormat="1" applyFont="1" applyFill="1" applyBorder="1"/>
    <xf numFmtId="165" fontId="10" fillId="3" borderId="0" xfId="0" applyNumberFormat="1" applyFont="1" applyFill="1" applyBorder="1"/>
    <xf numFmtId="165" fontId="10" fillId="3" borderId="19" xfId="0" applyNumberFormat="1" applyFont="1" applyFill="1" applyBorder="1"/>
    <xf numFmtId="0" fontId="10" fillId="3" borderId="20" xfId="0" applyFont="1" applyFill="1" applyBorder="1"/>
    <xf numFmtId="171" fontId="10" fillId="3" borderId="14" xfId="0" applyNumberFormat="1" applyFont="1" applyFill="1" applyBorder="1"/>
    <xf numFmtId="0" fontId="10" fillId="3" borderId="14" xfId="0" applyFont="1" applyFill="1" applyBorder="1"/>
    <xf numFmtId="173" fontId="10" fillId="3" borderId="14" xfId="0" applyNumberFormat="1" applyFont="1" applyFill="1" applyBorder="1"/>
    <xf numFmtId="173" fontId="10" fillId="3" borderId="13" xfId="0" applyNumberFormat="1" applyFont="1" applyFill="1" applyBorder="1"/>
    <xf numFmtId="173" fontId="10" fillId="3" borderId="19" xfId="0" applyNumberFormat="1" applyFont="1" applyFill="1" applyBorder="1"/>
    <xf numFmtId="165" fontId="4" fillId="0" borderId="0" xfId="0" applyNumberFormat="1" applyFont="1" applyFill="1" applyAlignment="1">
      <alignment vertical="center"/>
    </xf>
    <xf numFmtId="165" fontId="4" fillId="0" borderId="0" xfId="3" applyNumberFormat="1" applyFont="1" applyFill="1" applyAlignment="1">
      <alignment vertical="center"/>
    </xf>
    <xf numFmtId="0" fontId="10" fillId="3" borderId="15" xfId="0" applyFont="1" applyFill="1" applyBorder="1" applyAlignment="1"/>
    <xf numFmtId="0" fontId="10" fillId="0" borderId="0" xfId="0" applyFont="1" applyAlignment="1"/>
    <xf numFmtId="0" fontId="10" fillId="3" borderId="18" xfId="0" applyFont="1" applyFill="1" applyBorder="1" applyAlignment="1"/>
    <xf numFmtId="0" fontId="10" fillId="3" borderId="0" xfId="0" applyFont="1" applyFill="1" applyBorder="1" applyAlignment="1"/>
    <xf numFmtId="0" fontId="10" fillId="3" borderId="19" xfId="0" applyFont="1" applyFill="1" applyBorder="1" applyAlignment="1"/>
    <xf numFmtId="0" fontId="7" fillId="0" borderId="0" xfId="0" applyFont="1"/>
    <xf numFmtId="2" fontId="0" fillId="0" borderId="0" xfId="0" applyNumberFormat="1"/>
    <xf numFmtId="1" fontId="0" fillId="0" borderId="0" xfId="0" applyNumberFormat="1"/>
    <xf numFmtId="0" fontId="7" fillId="0" borderId="0" xfId="0" applyFont="1" applyAlignment="1">
      <alignment wrapText="1"/>
    </xf>
    <xf numFmtId="0" fontId="7" fillId="0" borderId="0" xfId="0" quotePrefix="1" applyFont="1"/>
    <xf numFmtId="1" fontId="0" fillId="0" borderId="1" xfId="0" applyNumberFormat="1" applyBorder="1" applyAlignment="1">
      <alignment horizontal="right" vertical="center" wrapText="1"/>
    </xf>
    <xf numFmtId="1" fontId="0" fillId="0" borderId="6" xfId="0" applyNumberFormat="1" applyBorder="1" applyAlignment="1">
      <alignment horizontal="right" vertical="center" wrapText="1"/>
    </xf>
    <xf numFmtId="1" fontId="0" fillId="0" borderId="8" xfId="0" applyNumberFormat="1" applyBorder="1" applyAlignment="1">
      <alignment horizontal="right" vertical="center" wrapText="1"/>
    </xf>
    <xf numFmtId="1" fontId="0" fillId="0" borderId="9" xfId="0" applyNumberFormat="1" applyBorder="1" applyAlignment="1">
      <alignment horizontal="right" vertical="center" wrapText="1"/>
    </xf>
    <xf numFmtId="174" fontId="4" fillId="0" borderId="0" xfId="0" applyNumberFormat="1" applyFont="1"/>
    <xf numFmtId="171" fontId="4" fillId="0" borderId="0" xfId="0" applyNumberFormat="1" applyFont="1"/>
    <xf numFmtId="0" fontId="13" fillId="0" borderId="0" xfId="0" applyFont="1"/>
    <xf numFmtId="0" fontId="8" fillId="0" borderId="20" xfId="0" applyFont="1" applyFill="1" applyBorder="1" applyAlignment="1"/>
    <xf numFmtId="169" fontId="8" fillId="0" borderId="14" xfId="1" applyNumberFormat="1" applyFont="1" applyFill="1" applyBorder="1" applyAlignment="1"/>
    <xf numFmtId="9" fontId="8" fillId="0" borderId="14" xfId="3" applyFont="1" applyFill="1" applyBorder="1" applyAlignment="1"/>
    <xf numFmtId="9" fontId="8" fillId="0" borderId="13" xfId="3" applyFont="1" applyFill="1" applyBorder="1" applyAlignment="1"/>
    <xf numFmtId="166" fontId="8" fillId="0" borderId="14" xfId="3" applyNumberFormat="1" applyFont="1" applyFill="1" applyBorder="1"/>
    <xf numFmtId="166" fontId="10" fillId="0" borderId="13" xfId="3" applyNumberFormat="1" applyFont="1" applyBorder="1"/>
    <xf numFmtId="0" fontId="11" fillId="0" borderId="0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top" wrapText="1"/>
    </xf>
    <xf numFmtId="0" fontId="10" fillId="0" borderId="0" xfId="0" applyFont="1" applyFill="1" applyBorder="1" applyAlignment="1">
      <alignment vertical="top" wrapText="1"/>
    </xf>
    <xf numFmtId="0" fontId="10" fillId="0" borderId="0" xfId="0" applyFont="1" applyBorder="1" applyAlignment="1">
      <alignment vertical="top" wrapText="1"/>
    </xf>
    <xf numFmtId="0" fontId="8" fillId="0" borderId="19" xfId="0" applyFont="1" applyFill="1" applyBorder="1" applyAlignment="1">
      <alignment vertical="top" wrapText="1"/>
    </xf>
    <xf numFmtId="0" fontId="8" fillId="3" borderId="17" xfId="0" applyFont="1" applyFill="1" applyBorder="1" applyAlignment="1">
      <alignment vertical="top" wrapText="1"/>
    </xf>
    <xf numFmtId="0" fontId="8" fillId="0" borderId="20" xfId="0" applyFont="1" applyFill="1" applyBorder="1" applyAlignment="1">
      <alignment wrapText="1"/>
    </xf>
    <xf numFmtId="169" fontId="8" fillId="0" borderId="14" xfId="1" applyNumberFormat="1" applyFont="1" applyFill="1" applyBorder="1" applyAlignment="1">
      <alignment wrapText="1"/>
    </xf>
    <xf numFmtId="9" fontId="8" fillId="0" borderId="14" xfId="3" applyFont="1" applyFill="1" applyBorder="1" applyAlignment="1">
      <alignment wrapText="1"/>
    </xf>
    <xf numFmtId="0" fontId="10" fillId="0" borderId="14" xfId="0" applyFont="1" applyFill="1" applyBorder="1" applyAlignment="1">
      <alignment wrapText="1"/>
    </xf>
    <xf numFmtId="0" fontId="8" fillId="0" borderId="14" xfId="0" applyFont="1" applyFill="1" applyBorder="1" applyAlignment="1">
      <alignment wrapText="1"/>
    </xf>
    <xf numFmtId="0" fontId="10" fillId="0" borderId="14" xfId="0" applyFont="1" applyBorder="1" applyAlignment="1">
      <alignment wrapText="1"/>
    </xf>
    <xf numFmtId="169" fontId="8" fillId="0" borderId="14" xfId="9" applyNumberFormat="1" applyFont="1" applyFill="1" applyBorder="1" applyAlignment="1">
      <alignment wrapText="1"/>
    </xf>
    <xf numFmtId="9" fontId="8" fillId="0" borderId="13" xfId="3" applyFont="1" applyFill="1" applyBorder="1" applyAlignment="1">
      <alignment wrapText="1"/>
    </xf>
    <xf numFmtId="0" fontId="10" fillId="0" borderId="0" xfId="0" applyFont="1" applyAlignment="1">
      <alignment wrapText="1"/>
    </xf>
    <xf numFmtId="171" fontId="10" fillId="0" borderId="0" xfId="0" applyNumberFormat="1" applyFont="1" applyAlignment="1">
      <alignment wrapText="1"/>
    </xf>
    <xf numFmtId="0" fontId="8" fillId="3" borderId="30" xfId="0" applyFont="1" applyFill="1" applyBorder="1" applyAlignment="1">
      <alignment wrapText="1"/>
    </xf>
    <xf numFmtId="0" fontId="10" fillId="3" borderId="31" xfId="0" applyFont="1" applyFill="1" applyBorder="1" applyAlignment="1"/>
    <xf numFmtId="165" fontId="10" fillId="3" borderId="31" xfId="0" applyNumberFormat="1" applyFont="1" applyFill="1" applyBorder="1"/>
    <xf numFmtId="173" fontId="10" fillId="3" borderId="32" xfId="0" applyNumberFormat="1" applyFont="1" applyFill="1" applyBorder="1"/>
    <xf numFmtId="10" fontId="4" fillId="0" borderId="7" xfId="3" applyNumberFormat="1" applyFont="1" applyFill="1" applyBorder="1"/>
    <xf numFmtId="10" fontId="4" fillId="0" borderId="8" xfId="3" applyNumberFormat="1" applyFont="1" applyFill="1" applyBorder="1"/>
    <xf numFmtId="10" fontId="4" fillId="0" borderId="9" xfId="3" applyNumberFormat="1" applyFont="1" applyFill="1" applyBorder="1"/>
    <xf numFmtId="175" fontId="14" fillId="0" borderId="0" xfId="0" applyNumberFormat="1" applyFont="1" applyBorder="1" applyAlignment="1">
      <alignment horizontal="right" vertical="center"/>
    </xf>
    <xf numFmtId="175" fontId="14" fillId="0" borderId="34" xfId="0" applyNumberFormat="1" applyFont="1" applyBorder="1" applyAlignment="1">
      <alignment horizontal="right" vertical="center"/>
    </xf>
    <xf numFmtId="175" fontId="15" fillId="0" borderId="35" xfId="0" applyNumberFormat="1" applyFont="1" applyBorder="1" applyAlignment="1">
      <alignment horizontal="right" vertical="center"/>
    </xf>
    <xf numFmtId="175" fontId="14" fillId="0" borderId="36" xfId="0" applyNumberFormat="1" applyFont="1" applyBorder="1" applyAlignment="1">
      <alignment horizontal="right" vertical="center"/>
    </xf>
    <xf numFmtId="0" fontId="8" fillId="0" borderId="0" xfId="0" applyFont="1"/>
    <xf numFmtId="0" fontId="8" fillId="0" borderId="0" xfId="0" applyFont="1" applyFill="1"/>
    <xf numFmtId="0" fontId="8" fillId="0" borderId="0" xfId="0" applyFont="1" applyFill="1" applyAlignment="1"/>
    <xf numFmtId="0" fontId="8" fillId="0" borderId="0" xfId="0" applyFont="1" applyFill="1" applyAlignment="1">
      <alignment wrapText="1"/>
    </xf>
    <xf numFmtId="0" fontId="10" fillId="7" borderId="0" xfId="0" applyFont="1" applyFill="1"/>
    <xf numFmtId="0" fontId="10" fillId="7" borderId="16" xfId="0" applyFont="1" applyFill="1" applyBorder="1"/>
    <xf numFmtId="0" fontId="10" fillId="7" borderId="0" xfId="0" applyFont="1" applyFill="1" applyBorder="1"/>
    <xf numFmtId="0" fontId="8" fillId="7" borderId="0" xfId="0" applyFont="1" applyFill="1" applyBorder="1" applyAlignment="1">
      <alignment vertical="top" wrapText="1"/>
    </xf>
    <xf numFmtId="166" fontId="10" fillId="7" borderId="0" xfId="3" applyNumberFormat="1" applyFont="1" applyFill="1" applyBorder="1"/>
    <xf numFmtId="166" fontId="8" fillId="7" borderId="14" xfId="3" applyNumberFormat="1" applyFont="1" applyFill="1" applyBorder="1" applyAlignment="1">
      <alignment wrapText="1"/>
    </xf>
    <xf numFmtId="0" fontId="10" fillId="7" borderId="14" xfId="0" applyFont="1" applyFill="1" applyBorder="1"/>
    <xf numFmtId="9" fontId="8" fillId="7" borderId="14" xfId="3" applyFont="1" applyFill="1" applyBorder="1" applyAlignment="1"/>
    <xf numFmtId="166" fontId="8" fillId="7" borderId="14" xfId="3" applyNumberFormat="1" applyFont="1" applyFill="1" applyBorder="1"/>
    <xf numFmtId="176" fontId="10" fillId="3" borderId="20" xfId="0" applyNumberFormat="1" applyFont="1" applyFill="1" applyBorder="1"/>
    <xf numFmtId="176" fontId="10" fillId="3" borderId="14" xfId="0" applyNumberFormat="1" applyFont="1" applyFill="1" applyBorder="1"/>
    <xf numFmtId="176" fontId="10" fillId="3" borderId="13" xfId="0" applyNumberFormat="1" applyFont="1" applyFill="1" applyBorder="1"/>
    <xf numFmtId="177" fontId="10" fillId="3" borderId="19" xfId="0" applyNumberFormat="1" applyFont="1" applyFill="1" applyBorder="1"/>
    <xf numFmtId="177" fontId="10" fillId="3" borderId="13" xfId="0" applyNumberFormat="1" applyFont="1" applyFill="1" applyBorder="1"/>
    <xf numFmtId="178" fontId="8" fillId="0" borderId="0" xfId="1" applyNumberFormat="1" applyFont="1" applyFill="1" applyBorder="1"/>
    <xf numFmtId="173" fontId="10" fillId="0" borderId="0" xfId="0" applyNumberFormat="1" applyFont="1"/>
    <xf numFmtId="9" fontId="10" fillId="3" borderId="14" xfId="0" applyNumberFormat="1" applyFont="1" applyFill="1" applyBorder="1"/>
    <xf numFmtId="165" fontId="0" fillId="0" borderId="0" xfId="0" applyNumberFormat="1"/>
    <xf numFmtId="9" fontId="0" fillId="0" borderId="0" xfId="3" applyFont="1"/>
    <xf numFmtId="0" fontId="15" fillId="8" borderId="37" xfId="0" applyFont="1" applyFill="1" applyBorder="1" applyAlignment="1">
      <alignment horizontal="center" vertical="center" wrapText="1"/>
    </xf>
    <xf numFmtId="179" fontId="16" fillId="9" borderId="0" xfId="20" applyNumberFormat="1" applyFont="1" applyFill="1" applyBorder="1" applyAlignment="1"/>
    <xf numFmtId="3" fontId="16" fillId="9" borderId="0" xfId="3" applyNumberFormat="1" applyFont="1" applyFill="1" applyBorder="1" applyAlignment="1"/>
    <xf numFmtId="166" fontId="0" fillId="0" borderId="0" xfId="3" applyNumberFormat="1" applyFont="1"/>
    <xf numFmtId="179" fontId="17" fillId="0" borderId="0" xfId="20" applyNumberFormat="1" applyFont="1" applyFill="1" applyBorder="1" applyAlignment="1"/>
    <xf numFmtId="3" fontId="17" fillId="0" borderId="0" xfId="20" applyNumberFormat="1" applyFont="1" applyFill="1" applyBorder="1" applyAlignment="1"/>
    <xf numFmtId="179" fontId="16" fillId="0" borderId="0" xfId="20" applyNumberFormat="1" applyFont="1" applyFill="1" applyBorder="1" applyAlignment="1"/>
    <xf numFmtId="3" fontId="16" fillId="0" borderId="0" xfId="3" applyNumberFormat="1" applyFont="1" applyFill="1" applyBorder="1" applyAlignment="1"/>
    <xf numFmtId="172" fontId="0" fillId="0" borderId="0" xfId="1" applyNumberFormat="1" applyFont="1"/>
    <xf numFmtId="0" fontId="0" fillId="2" borderId="0" xfId="0" applyFill="1"/>
    <xf numFmtId="2" fontId="4" fillId="0" borderId="0" xfId="0" applyNumberFormat="1" applyFont="1"/>
    <xf numFmtId="2" fontId="4" fillId="0" borderId="9" xfId="0" applyNumberFormat="1" applyFont="1" applyFill="1" applyBorder="1" applyAlignment="1">
      <alignment vertical="center"/>
    </xf>
    <xf numFmtId="164" fontId="0" fillId="0" borderId="0" xfId="1" applyFont="1"/>
    <xf numFmtId="165" fontId="4" fillId="0" borderId="0" xfId="1" applyNumberFormat="1" applyFont="1" applyFill="1" applyAlignment="1">
      <alignment vertical="center"/>
    </xf>
    <xf numFmtId="180" fontId="4" fillId="0" borderId="0" xfId="3" applyNumberFormat="1" applyFont="1" applyFill="1" applyAlignment="1">
      <alignment vertical="center"/>
    </xf>
    <xf numFmtId="9" fontId="4" fillId="0" borderId="0" xfId="0" applyNumberFormat="1" applyFont="1" applyFill="1" applyAlignment="1">
      <alignment vertical="center"/>
    </xf>
    <xf numFmtId="0" fontId="4" fillId="0" borderId="0" xfId="0" applyFont="1" applyAlignment="1">
      <alignment horizontal="left"/>
    </xf>
    <xf numFmtId="0" fontId="3" fillId="0" borderId="30" xfId="0" applyFont="1" applyBorder="1"/>
    <xf numFmtId="0" fontId="4" fillId="0" borderId="1" xfId="0" applyFont="1" applyBorder="1" applyAlignment="1">
      <alignment horizontal="left"/>
    </xf>
    <xf numFmtId="2" fontId="18" fillId="1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9" fontId="4" fillId="0" borderId="1" xfId="0" applyNumberFormat="1" applyFont="1" applyBorder="1"/>
    <xf numFmtId="9" fontId="4" fillId="0" borderId="0" xfId="3" applyFont="1"/>
    <xf numFmtId="9" fontId="4" fillId="0" borderId="0" xfId="0" applyNumberFormat="1" applyFont="1"/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right" vertical="top"/>
    </xf>
    <xf numFmtId="9" fontId="4" fillId="11" borderId="30" xfId="0" applyNumberFormat="1" applyFont="1" applyFill="1" applyBorder="1"/>
    <xf numFmtId="9" fontId="4" fillId="11" borderId="31" xfId="0" applyNumberFormat="1" applyFont="1" applyFill="1" applyBorder="1"/>
    <xf numFmtId="0" fontId="4" fillId="0" borderId="0" xfId="0" applyFont="1" applyBorder="1" applyAlignment="1">
      <alignment horizontal="left"/>
    </xf>
    <xf numFmtId="9" fontId="4" fillId="0" borderId="0" xfId="0" applyNumberFormat="1" applyFont="1" applyBorder="1"/>
    <xf numFmtId="10" fontId="4" fillId="0" borderId="0" xfId="3" applyNumberFormat="1" applyFont="1"/>
    <xf numFmtId="0" fontId="4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/>
    <xf numFmtId="0" fontId="4" fillId="0" borderId="1" xfId="0" applyFont="1" applyBorder="1" applyAlignment="1"/>
    <xf numFmtId="9" fontId="4" fillId="0" borderId="1" xfId="0" applyNumberFormat="1" applyFont="1" applyBorder="1" applyAlignment="1"/>
    <xf numFmtId="0" fontId="4" fillId="0" borderId="1" xfId="0" applyFont="1" applyBorder="1" applyAlignment="1">
      <alignment wrapText="1"/>
    </xf>
    <xf numFmtId="166" fontId="4" fillId="11" borderId="31" xfId="0" applyNumberFormat="1" applyFont="1" applyFill="1" applyBorder="1"/>
    <xf numFmtId="166" fontId="4" fillId="11" borderId="32" xfId="0" applyNumberFormat="1" applyFont="1" applyFill="1" applyBorder="1"/>
    <xf numFmtId="10" fontId="4" fillId="0" borderId="0" xfId="0" applyNumberFormat="1" applyFont="1" applyFill="1" applyAlignment="1">
      <alignment vertical="center"/>
    </xf>
    <xf numFmtId="166" fontId="10" fillId="0" borderId="0" xfId="0" applyNumberFormat="1" applyFont="1"/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172" fontId="0" fillId="0" borderId="13" xfId="1" applyNumberFormat="1" applyFont="1" applyBorder="1"/>
    <xf numFmtId="165" fontId="0" fillId="0" borderId="19" xfId="1" applyNumberFormat="1" applyFont="1" applyBorder="1"/>
    <xf numFmtId="166" fontId="0" fillId="0" borderId="0" xfId="0" applyNumberFormat="1"/>
    <xf numFmtId="166" fontId="17" fillId="0" borderId="0" xfId="3" applyNumberFormat="1" applyFont="1" applyFill="1" applyBorder="1" applyAlignment="1"/>
    <xf numFmtId="179" fontId="19" fillId="0" borderId="0" xfId="20" applyNumberFormat="1" applyFont="1" applyBorder="1" applyAlignment="1"/>
    <xf numFmtId="179" fontId="20" fillId="0" borderId="0" xfId="20" applyNumberFormat="1" applyFont="1" applyFill="1" applyBorder="1" applyAlignment="1"/>
    <xf numFmtId="179" fontId="17" fillId="0" borderId="0" xfId="20" applyNumberFormat="1" applyFont="1" applyBorder="1" applyAlignment="1">
      <alignment horizontal="center"/>
    </xf>
    <xf numFmtId="179" fontId="19" fillId="0" borderId="0" xfId="20" applyNumberFormat="1" applyFont="1" applyBorder="1" applyAlignment="1">
      <alignment vertical="center"/>
    </xf>
    <xf numFmtId="179" fontId="19" fillId="0" borderId="0" xfId="20" applyNumberFormat="1" applyFont="1" applyBorder="1" applyAlignment="1">
      <alignment horizontal="center" vertical="center"/>
    </xf>
    <xf numFmtId="179" fontId="19" fillId="0" borderId="0" xfId="20" applyNumberFormat="1" applyFont="1" applyBorder="1" applyAlignment="1">
      <alignment horizontal="center"/>
    </xf>
    <xf numFmtId="179" fontId="22" fillId="0" borderId="0" xfId="20" applyNumberFormat="1" applyFont="1" applyFill="1" applyBorder="1" applyAlignment="1"/>
    <xf numFmtId="49" fontId="23" fillId="0" borderId="39" xfId="5" applyNumberFormat="1" applyFont="1" applyBorder="1" applyAlignment="1">
      <alignment horizontal="center" vertical="center" wrapText="1"/>
    </xf>
    <xf numFmtId="49" fontId="20" fillId="0" borderId="39" xfId="5" applyNumberFormat="1" applyFont="1" applyBorder="1" applyAlignment="1">
      <alignment horizontal="center" vertical="center" wrapText="1"/>
    </xf>
    <xf numFmtId="0" fontId="16" fillId="0" borderId="39" xfId="5" applyNumberFormat="1" applyFont="1" applyBorder="1" applyAlignment="1">
      <alignment horizontal="center" vertical="center" wrapText="1"/>
    </xf>
    <xf numFmtId="179" fontId="20" fillId="0" borderId="0" xfId="20" applyNumberFormat="1" applyFont="1" applyBorder="1" applyAlignment="1">
      <alignment vertical="center" wrapText="1"/>
    </xf>
    <xf numFmtId="179" fontId="20" fillId="0" borderId="0" xfId="20" applyNumberFormat="1" applyFont="1" applyBorder="1" applyAlignment="1">
      <alignment horizontal="center" vertical="center" wrapText="1"/>
    </xf>
    <xf numFmtId="179" fontId="16" fillId="9" borderId="0" xfId="20" applyNumberFormat="1" applyFont="1" applyFill="1" applyBorder="1" applyAlignment="1">
      <alignment horizontal="center"/>
    </xf>
    <xf numFmtId="3" fontId="20" fillId="0" borderId="0" xfId="20" applyNumberFormat="1" applyFont="1" applyBorder="1" applyAlignment="1">
      <alignment horizontal="center" vertical="center" wrapText="1"/>
    </xf>
    <xf numFmtId="179" fontId="21" fillId="0" borderId="0" xfId="20" applyNumberFormat="1" applyFont="1" applyFill="1" applyBorder="1" applyAlignment="1"/>
    <xf numFmtId="179" fontId="17" fillId="0" borderId="0" xfId="20" applyNumberFormat="1" applyFont="1" applyFill="1" applyBorder="1" applyAlignment="1">
      <alignment horizontal="center"/>
    </xf>
    <xf numFmtId="179" fontId="19" fillId="0" borderId="0" xfId="20" applyNumberFormat="1" applyFont="1" applyFill="1" applyBorder="1" applyAlignment="1"/>
    <xf numFmtId="179" fontId="16" fillId="0" borderId="0" xfId="20" applyNumberFormat="1" applyFont="1" applyFill="1" applyBorder="1" applyAlignment="1">
      <alignment horizontal="center"/>
    </xf>
    <xf numFmtId="179" fontId="24" fillId="0" borderId="0" xfId="20" applyNumberFormat="1" applyFont="1" applyFill="1" applyBorder="1" applyAlignment="1"/>
    <xf numFmtId="179" fontId="24" fillId="0" borderId="0" xfId="20" applyNumberFormat="1" applyFont="1" applyFill="1" applyBorder="1" applyAlignment="1">
      <alignment horizontal="left" indent="2"/>
    </xf>
    <xf numFmtId="179" fontId="25" fillId="0" borderId="0" xfId="20" applyNumberFormat="1" applyFont="1" applyFill="1" applyBorder="1" applyAlignment="1">
      <alignment horizontal="center"/>
    </xf>
    <xf numFmtId="3" fontId="25" fillId="0" borderId="0" xfId="20" applyNumberFormat="1" applyFont="1" applyFill="1" applyBorder="1" applyAlignment="1"/>
    <xf numFmtId="0" fontId="26" fillId="0" borderId="35" xfId="0" applyFont="1" applyBorder="1"/>
    <xf numFmtId="0" fontId="26" fillId="0" borderId="35" xfId="0" applyFont="1" applyBorder="1" applyAlignment="1">
      <alignment horizontal="center"/>
    </xf>
    <xf numFmtId="179" fontId="27" fillId="0" borderId="0" xfId="20" applyNumberFormat="1" applyFont="1" applyBorder="1" applyAlignment="1"/>
    <xf numFmtId="179" fontId="28" fillId="0" borderId="0" xfId="20" applyNumberFormat="1" applyFont="1" applyFill="1" applyBorder="1" applyAlignment="1"/>
    <xf numFmtId="0" fontId="31" fillId="0" borderId="0" xfId="0" applyFont="1" applyAlignment="1">
      <alignment horizontal="center"/>
    </xf>
    <xf numFmtId="0" fontId="31" fillId="0" borderId="0" xfId="0" applyFont="1"/>
    <xf numFmtId="181" fontId="28" fillId="0" borderId="0" xfId="20" applyNumberFormat="1" applyFont="1" applyFill="1" applyBorder="1" applyAlignment="1">
      <alignment horizontal="left"/>
    </xf>
    <xf numFmtId="179" fontId="0" fillId="0" borderId="0" xfId="0" applyNumberFormat="1"/>
    <xf numFmtId="174" fontId="0" fillId="0" borderId="0" xfId="0" applyNumberFormat="1"/>
    <xf numFmtId="0" fontId="0" fillId="12" borderId="15" xfId="0" applyFill="1" applyBorder="1"/>
    <xf numFmtId="0" fontId="0" fillId="12" borderId="16" xfId="0" applyFill="1" applyBorder="1"/>
    <xf numFmtId="0" fontId="0" fillId="12" borderId="17" xfId="0" applyFill="1" applyBorder="1"/>
    <xf numFmtId="179" fontId="0" fillId="12" borderId="18" xfId="0" applyNumberFormat="1" applyFill="1" applyBorder="1"/>
    <xf numFmtId="179" fontId="0" fillId="12" borderId="20" xfId="0" applyNumberFormat="1" applyFill="1" applyBorder="1"/>
    <xf numFmtId="9" fontId="0" fillId="12" borderId="0" xfId="3" applyFont="1" applyFill="1" applyBorder="1"/>
    <xf numFmtId="9" fontId="0" fillId="12" borderId="19" xfId="3" applyFont="1" applyFill="1" applyBorder="1"/>
    <xf numFmtId="9" fontId="0" fillId="12" borderId="14" xfId="3" applyFont="1" applyFill="1" applyBorder="1"/>
    <xf numFmtId="9" fontId="0" fillId="12" borderId="13" xfId="3" applyFont="1" applyFill="1" applyBorder="1"/>
    <xf numFmtId="3" fontId="16" fillId="9" borderId="0" xfId="20" applyNumberFormat="1" applyFont="1" applyFill="1" applyBorder="1" applyAlignment="1">
      <alignment horizontal="right"/>
    </xf>
    <xf numFmtId="3" fontId="16" fillId="0" borderId="0" xfId="20" applyNumberFormat="1" applyFont="1" applyFill="1" applyBorder="1" applyAlignment="1">
      <alignment horizontal="right"/>
    </xf>
    <xf numFmtId="3" fontId="19" fillId="0" borderId="0" xfId="20" applyNumberFormat="1" applyFont="1" applyBorder="1" applyAlignment="1">
      <alignment horizontal="right"/>
    </xf>
    <xf numFmtId="182" fontId="16" fillId="0" borderId="0" xfId="6" applyNumberFormat="1" applyFont="1" applyFill="1"/>
    <xf numFmtId="0" fontId="0" fillId="13" borderId="0" xfId="0" applyFill="1" applyAlignment="1">
      <alignment wrapText="1"/>
    </xf>
    <xf numFmtId="0" fontId="0" fillId="13" borderId="0" xfId="0" applyFill="1"/>
    <xf numFmtId="0" fontId="32" fillId="0" borderId="0" xfId="56"/>
    <xf numFmtId="9" fontId="0" fillId="0" borderId="0" xfId="0" applyNumberFormat="1"/>
    <xf numFmtId="179" fontId="20" fillId="0" borderId="0" xfId="20" applyNumberFormat="1" applyFont="1" applyAlignment="1"/>
    <xf numFmtId="179" fontId="17" fillId="0" borderId="0" xfId="20" applyNumberFormat="1" applyFont="1" applyAlignment="1">
      <alignment horizontal="center"/>
    </xf>
    <xf numFmtId="179" fontId="17" fillId="0" borderId="0" xfId="20" applyNumberFormat="1" applyFont="1" applyAlignment="1"/>
    <xf numFmtId="179" fontId="19" fillId="0" borderId="0" xfId="20" applyNumberFormat="1" applyFont="1">
      <alignment vertical="center"/>
    </xf>
    <xf numFmtId="179" fontId="19" fillId="0" borderId="0" xfId="20" applyNumberFormat="1" applyFont="1" applyAlignment="1">
      <alignment horizontal="center" vertical="center"/>
    </xf>
    <xf numFmtId="179" fontId="21" fillId="0" borderId="0" xfId="20" applyNumberFormat="1" applyFont="1">
      <alignment vertical="center"/>
    </xf>
    <xf numFmtId="179" fontId="19" fillId="0" borderId="0" xfId="20" applyNumberFormat="1" applyFont="1" applyAlignment="1">
      <alignment horizontal="center"/>
    </xf>
    <xf numFmtId="179" fontId="21" fillId="0" borderId="0" xfId="20" applyNumberFormat="1" applyFont="1" applyAlignment="1"/>
    <xf numFmtId="179" fontId="22" fillId="0" borderId="0" xfId="20" applyNumberFormat="1" applyFont="1" applyAlignment="1"/>
    <xf numFmtId="179" fontId="20" fillId="0" borderId="0" xfId="20" applyNumberFormat="1" applyFont="1" applyAlignment="1">
      <alignment vertical="center" wrapText="1"/>
    </xf>
    <xf numFmtId="179" fontId="20" fillId="0" borderId="0" xfId="20" applyNumberFormat="1" applyFont="1" applyAlignment="1">
      <alignment horizontal="center" vertical="center" wrapText="1"/>
    </xf>
    <xf numFmtId="179" fontId="16" fillId="9" borderId="0" xfId="20" applyNumberFormat="1" applyFont="1" applyFill="1" applyAlignment="1"/>
    <xf numFmtId="179" fontId="16" fillId="9" borderId="0" xfId="20" applyNumberFormat="1" applyFont="1" applyFill="1" applyAlignment="1">
      <alignment horizontal="center"/>
    </xf>
    <xf numFmtId="3" fontId="16" fillId="9" borderId="0" xfId="3" applyNumberFormat="1" applyFont="1" applyFill="1"/>
    <xf numFmtId="3" fontId="20" fillId="0" borderId="0" xfId="20" applyNumberFormat="1" applyFont="1" applyAlignment="1">
      <alignment horizontal="center" vertical="center" wrapText="1"/>
    </xf>
    <xf numFmtId="3" fontId="17" fillId="0" borderId="0" xfId="20" applyNumberFormat="1" applyFont="1" applyAlignment="1"/>
    <xf numFmtId="179" fontId="16" fillId="0" borderId="0" xfId="20" applyNumberFormat="1" applyFont="1" applyAlignment="1"/>
    <xf numFmtId="179" fontId="16" fillId="0" borderId="0" xfId="20" applyNumberFormat="1" applyFont="1" applyAlignment="1">
      <alignment horizontal="center"/>
    </xf>
    <xf numFmtId="3" fontId="16" fillId="0" borderId="0" xfId="3" applyNumberFormat="1" applyFont="1"/>
    <xf numFmtId="179" fontId="24" fillId="0" borderId="0" xfId="20" applyNumberFormat="1" applyFont="1" applyAlignment="1">
      <alignment horizontal="left" indent="2"/>
    </xf>
    <xf numFmtId="179" fontId="25" fillId="0" borderId="0" xfId="20" applyNumberFormat="1" applyFont="1" applyAlignment="1">
      <alignment horizontal="center"/>
    </xf>
    <xf numFmtId="3" fontId="25" fillId="0" borderId="0" xfId="20" applyNumberFormat="1" applyFont="1" applyAlignment="1"/>
    <xf numFmtId="179" fontId="19" fillId="0" borderId="0" xfId="20" applyNumberFormat="1" applyFont="1" applyAlignment="1"/>
    <xf numFmtId="3" fontId="19" fillId="0" borderId="0" xfId="20" applyNumberFormat="1" applyFont="1" applyAlignment="1"/>
    <xf numFmtId="179" fontId="28" fillId="0" borderId="0" xfId="20" applyNumberFormat="1" applyFont="1" applyAlignment="1"/>
    <xf numFmtId="0" fontId="7" fillId="0" borderId="26" xfId="0" applyFont="1" applyFill="1" applyBorder="1" applyAlignment="1">
      <alignment horizontal="center" vertical="center"/>
    </xf>
    <xf numFmtId="0" fontId="7" fillId="0" borderId="27" xfId="0" applyFont="1" applyFill="1" applyBorder="1" applyAlignment="1">
      <alignment horizontal="center" vertical="center"/>
    </xf>
    <xf numFmtId="0" fontId="7" fillId="0" borderId="33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3" borderId="15" xfId="0" applyFont="1" applyFill="1" applyBorder="1" applyAlignment="1">
      <alignment horizontal="center"/>
    </xf>
    <xf numFmtId="0" fontId="8" fillId="3" borderId="16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/>
    </xf>
    <xf numFmtId="0" fontId="10" fillId="3" borderId="18" xfId="0" applyFont="1" applyFill="1" applyBorder="1" applyAlignment="1">
      <alignment horizontal="center"/>
    </xf>
    <xf numFmtId="0" fontId="10" fillId="3" borderId="0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/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/>
  </cellXfs>
  <cellStyles count="57">
    <cellStyle name="Comma" xfId="1" builtinId="3"/>
    <cellStyle name="Comma 2" xfId="2"/>
    <cellStyle name="Comma 2 2" xfId="6"/>
    <cellStyle name="Comma 2 3" xfId="55"/>
    <cellStyle name="Comma 3" xfId="9"/>
    <cellStyle name="Comma 4" xfId="5"/>
    <cellStyle name="Hyperlink" xfId="56" builtinId="8"/>
    <cellStyle name="Normal" xfId="0" builtinId="0"/>
    <cellStyle name="Normal 10" xfId="10"/>
    <cellStyle name="Normal 11" xfId="11"/>
    <cellStyle name="Normal 12" xfId="12"/>
    <cellStyle name="Normal 13" xfId="13"/>
    <cellStyle name="Normal 14" xfId="14"/>
    <cellStyle name="Normal 15" xfId="15"/>
    <cellStyle name="Normal 16" xfId="16"/>
    <cellStyle name="Normal 17" xfId="17"/>
    <cellStyle name="Normal 18" xfId="18"/>
    <cellStyle name="Normal 19" xfId="19"/>
    <cellStyle name="Normal 2" xfId="4"/>
    <cellStyle name="Normal 2 2" xfId="20"/>
    <cellStyle name="Normal 20" xfId="21"/>
    <cellStyle name="Normal 21" xfId="22"/>
    <cellStyle name="Normal 22" xfId="23"/>
    <cellStyle name="Normal 23" xfId="24"/>
    <cellStyle name="Normal 24" xfId="25"/>
    <cellStyle name="Normal 25" xfId="26"/>
    <cellStyle name="Normal 26" xfId="27"/>
    <cellStyle name="Normal 27" xfId="28"/>
    <cellStyle name="Normal 28" xfId="29"/>
    <cellStyle name="Normal 29" xfId="30"/>
    <cellStyle name="Normal 3" xfId="8"/>
    <cellStyle name="Normal 3 2" xfId="31"/>
    <cellStyle name="Normal 30" xfId="32"/>
    <cellStyle name="Normal 31" xfId="33"/>
    <cellStyle name="Normal 32" xfId="34"/>
    <cellStyle name="Normal 33" xfId="35"/>
    <cellStyle name="Normal 34" xfId="36"/>
    <cellStyle name="Normal 35" xfId="37"/>
    <cellStyle name="Normal 36" xfId="38"/>
    <cellStyle name="Normal 37" xfId="39"/>
    <cellStyle name="Normal 38" xfId="40"/>
    <cellStyle name="Normal 39" xfId="41"/>
    <cellStyle name="Normal 4" xfId="42"/>
    <cellStyle name="Normal 40" xfId="43"/>
    <cellStyle name="Normal 41" xfId="44"/>
    <cellStyle name="Normal 42" xfId="45"/>
    <cellStyle name="Normal 43" xfId="46"/>
    <cellStyle name="Normal 44" xfId="47"/>
    <cellStyle name="Normal 45" xfId="48"/>
    <cellStyle name="Normal 46" xfId="49"/>
    <cellStyle name="Normal 5" xfId="50"/>
    <cellStyle name="Normal 6" xfId="51"/>
    <cellStyle name="Normal 7" xfId="52"/>
    <cellStyle name="Normal 8" xfId="53"/>
    <cellStyle name="Normal 9" xfId="54"/>
    <cellStyle name="Percent" xfId="3" builtinId="5"/>
    <cellStyle name="Percent 2" xfId="7"/>
  </cellStyles>
  <dxfs count="2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Production and exports of minerals in Rwanda (Tonnes)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Graphs!$C$5</c:f>
              <c:strCache>
                <c:ptCount val="1"/>
                <c:pt idx="0">
                  <c:v>Cassiterite exports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Graphs!$D$3:$H$3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Graphs!$D$5:$H$5</c:f>
              <c:numCache>
                <c:formatCode>_-* #,##0_-;\-* #,##0_-;_-* "-"??_-;_-@_-</c:formatCode>
                <c:ptCount val="5"/>
                <c:pt idx="0">
                  <c:v>4636.6403</c:v>
                </c:pt>
                <c:pt idx="1">
                  <c:v>4895.2674999999999</c:v>
                </c:pt>
                <c:pt idx="2">
                  <c:v>5953.7963200000004</c:v>
                </c:pt>
                <c:pt idx="3">
                  <c:v>3845.6560999999997</c:v>
                </c:pt>
                <c:pt idx="4">
                  <c:v>3549.9150499999996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25-4A48-BD4A-4B3F337EF647}"/>
            </c:ext>
          </c:extLst>
        </c:ser>
        <c:ser>
          <c:idx val="3"/>
          <c:order val="3"/>
          <c:tx>
            <c:strRef>
              <c:f>Graphs!$C$7</c:f>
              <c:strCache>
                <c:ptCount val="1"/>
                <c:pt idx="0">
                  <c:v>Coltan exports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Graphs!$D$3:$H$3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Graphs!$D$7:$H$7</c:f>
              <c:numCache>
                <c:formatCode>_-* #,##0_-;\-* #,##0_-;_-* "-"??_-;_-@_-</c:formatCode>
                <c:ptCount val="5"/>
                <c:pt idx="0">
                  <c:v>1144.6847</c:v>
                </c:pt>
                <c:pt idx="1">
                  <c:v>2466.02367</c:v>
                </c:pt>
                <c:pt idx="2">
                  <c:v>2302.5188700000003</c:v>
                </c:pt>
                <c:pt idx="3">
                  <c:v>1651.71126</c:v>
                </c:pt>
                <c:pt idx="4">
                  <c:v>1269.9392000000003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025-4A48-BD4A-4B3F337EF647}"/>
            </c:ext>
          </c:extLst>
        </c:ser>
        <c:ser>
          <c:idx val="5"/>
          <c:order val="5"/>
          <c:tx>
            <c:strRef>
              <c:f>Graphs!$C$9</c:f>
              <c:strCache>
                <c:ptCount val="1"/>
                <c:pt idx="0">
                  <c:v>Wolfram exports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Graphs!$D$3:$H$3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Graphs!$D$9:$H$9</c:f>
              <c:numCache>
                <c:formatCode>_-* #,##0_-;\-* #,##0_-;_-* "-"??_-;_-@_-</c:formatCode>
                <c:ptCount val="5"/>
                <c:pt idx="0">
                  <c:v>1750.5664999999999</c:v>
                </c:pt>
                <c:pt idx="1">
                  <c:v>2217.9280400000002</c:v>
                </c:pt>
                <c:pt idx="2">
                  <c:v>2214.4936500000003</c:v>
                </c:pt>
                <c:pt idx="3">
                  <c:v>1784.40112</c:v>
                </c:pt>
                <c:pt idx="4">
                  <c:v>1715.9599499999999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025-4A48-BD4A-4B3F337EF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6954928"/>
        <c:axId val="321339088"/>
      </c:barChart>
      <c:lineChart>
        <c:grouping val="standard"/>
        <c:varyColors val="0"/>
        <c:ser>
          <c:idx val="0"/>
          <c:order val="0"/>
          <c:tx>
            <c:strRef>
              <c:f>Graphs!$C$4</c:f>
              <c:strCache>
                <c:ptCount val="1"/>
                <c:pt idx="0">
                  <c:v>Cassiterite production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Graphs!$D$3:$H$3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Graphs!$D$4:$H$4</c:f>
              <c:numCache>
                <c:formatCode>_-* #,##0_-;\-* #,##0_-;_-* "-"??_-;_-@_-</c:formatCode>
                <c:ptCount val="5"/>
                <c:pt idx="0">
                  <c:v>3670.5237149999998</c:v>
                </c:pt>
                <c:pt idx="1">
                  <c:v>6112.1432199999999</c:v>
                </c:pt>
                <c:pt idx="2">
                  <c:v>7137.4682799999991</c:v>
                </c:pt>
                <c:pt idx="3">
                  <c:v>4714.1223749999999</c:v>
                </c:pt>
                <c:pt idx="4">
                  <c:v>2024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0025-4A48-BD4A-4B3F337EF647}"/>
            </c:ext>
          </c:extLst>
        </c:ser>
        <c:ser>
          <c:idx val="2"/>
          <c:order val="2"/>
          <c:tx>
            <c:strRef>
              <c:f>Graphs!$C$6</c:f>
              <c:strCache>
                <c:ptCount val="1"/>
                <c:pt idx="0">
                  <c:v>Coltan production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Graphs!$D$3:$H$3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Graphs!$D$6:$H$6</c:f>
              <c:numCache>
                <c:formatCode>_-* #,##0_-;\-* #,##0_-;_-* "-"??_-;_-@_-</c:formatCode>
                <c:ptCount val="5"/>
                <c:pt idx="0">
                  <c:v>967.88760500000001</c:v>
                </c:pt>
                <c:pt idx="1">
                  <c:v>1924.3862000000001</c:v>
                </c:pt>
                <c:pt idx="2">
                  <c:v>2097.5134899999998</c:v>
                </c:pt>
                <c:pt idx="3">
                  <c:v>1332</c:v>
                </c:pt>
                <c:pt idx="4">
                  <c:v>2553.6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0025-4A48-BD4A-4B3F337EF647}"/>
            </c:ext>
          </c:extLst>
        </c:ser>
        <c:ser>
          <c:idx val="4"/>
          <c:order val="4"/>
          <c:tx>
            <c:strRef>
              <c:f>Graphs!$C$8</c:f>
              <c:strCache>
                <c:ptCount val="1"/>
                <c:pt idx="0">
                  <c:v>Wolfram production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Graphs!$D$3:$H$3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Graphs!$D$8:$H$8</c:f>
              <c:numCache>
                <c:formatCode>_-* #,##0_-;\-* #,##0_-;_-* "-"??_-;_-@_-</c:formatCode>
                <c:ptCount val="5"/>
                <c:pt idx="0">
                  <c:v>1771.2721999999999</c:v>
                </c:pt>
                <c:pt idx="1">
                  <c:v>2264.212</c:v>
                </c:pt>
                <c:pt idx="2">
                  <c:v>2534.8689800000002</c:v>
                </c:pt>
                <c:pt idx="3">
                  <c:v>2169.4109399999998</c:v>
                </c:pt>
                <c:pt idx="4">
                  <c:v>1498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0025-4A48-BD4A-4B3F337EF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6954928"/>
        <c:axId val="321339088"/>
      </c:lineChart>
      <c:catAx>
        <c:axId val="54695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339088"/>
        <c:crosses val="autoZero"/>
        <c:auto val="1"/>
        <c:lblAlgn val="ctr"/>
        <c:lblOffset val="100"/>
        <c:noMultiLvlLbl val="0"/>
      </c:catAx>
      <c:valAx>
        <c:axId val="32133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95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Producer and export prices of minerals for Rwanda (US$/Tonne)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Graphs!$C$20</c:f>
              <c:strCache>
                <c:ptCount val="1"/>
                <c:pt idx="0">
                  <c:v>Cassiterite export prices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Graphs!$D$18:$H$18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Graphs!$D$20:$H$20</c:f>
              <c:numCache>
                <c:formatCode>_-* #,##0_-;\-* #,##0_-;_-* "-"??_-;_-@_-</c:formatCode>
                <c:ptCount val="5"/>
                <c:pt idx="0">
                  <c:v>11408.455876728416</c:v>
                </c:pt>
                <c:pt idx="1">
                  <c:v>12476.229132625425</c:v>
                </c:pt>
                <c:pt idx="2">
                  <c:v>12083.990343088415</c:v>
                </c:pt>
                <c:pt idx="3">
                  <c:v>8909.5964365224718</c:v>
                </c:pt>
                <c:pt idx="4">
                  <c:v>9805.2779997742782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765-439F-B773-B3C0CDAEEAFD}"/>
            </c:ext>
          </c:extLst>
        </c:ser>
        <c:ser>
          <c:idx val="3"/>
          <c:order val="3"/>
          <c:tx>
            <c:strRef>
              <c:f>Graphs!$C$22</c:f>
              <c:strCache>
                <c:ptCount val="1"/>
                <c:pt idx="0">
                  <c:v>Coltan export prices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Graphs!$D$18:$H$18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Graphs!$D$22:$H$22</c:f>
              <c:numCache>
                <c:formatCode>_-* #,##0_-;\-* #,##0_-;_-* "-"??_-;_-@_-</c:formatCode>
                <c:ptCount val="5"/>
                <c:pt idx="0">
                  <c:v>49718.149371024883</c:v>
                </c:pt>
                <c:pt idx="1">
                  <c:v>54570.284676931129</c:v>
                </c:pt>
                <c:pt idx="2">
                  <c:v>45506.82818945036</c:v>
                </c:pt>
                <c:pt idx="3">
                  <c:v>40079.839996213515</c:v>
                </c:pt>
                <c:pt idx="4">
                  <c:v>31294.810618683896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765-439F-B773-B3C0CDAEEAFD}"/>
            </c:ext>
          </c:extLst>
        </c:ser>
        <c:ser>
          <c:idx val="5"/>
          <c:order val="5"/>
          <c:tx>
            <c:strRef>
              <c:f>Graphs!$C$24</c:f>
              <c:strCache>
                <c:ptCount val="1"/>
                <c:pt idx="0">
                  <c:v>Wolfram export prices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Graphs!$D$18:$H$18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Graphs!$D$24:$H$24</c:f>
              <c:numCache>
                <c:formatCode>_-* #,##0_-;\-* #,##0_-;_-* "-"??_-;_-@_-</c:formatCode>
                <c:ptCount val="5"/>
                <c:pt idx="0">
                  <c:v>15002.264673206093</c:v>
                </c:pt>
                <c:pt idx="1">
                  <c:v>13550.386541073865</c:v>
                </c:pt>
                <c:pt idx="2">
                  <c:v>12008.306153975424</c:v>
                </c:pt>
                <c:pt idx="3">
                  <c:v>9719.2993743685638</c:v>
                </c:pt>
                <c:pt idx="4">
                  <c:v>6919.5569369313698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2765-439F-B773-B3C0CDAEE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1340176"/>
        <c:axId val="589415872"/>
      </c:barChart>
      <c:lineChart>
        <c:grouping val="standard"/>
        <c:varyColors val="0"/>
        <c:ser>
          <c:idx val="0"/>
          <c:order val="0"/>
          <c:tx>
            <c:strRef>
              <c:f>Graphs!$C$19</c:f>
              <c:strCache>
                <c:ptCount val="1"/>
                <c:pt idx="0">
                  <c:v>Cassiterite producer prices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Graphs!$D$18:$H$18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Graphs!$D$19:$H$19</c:f>
              <c:numCache>
                <c:formatCode>_-* #,##0_-;\-* #,##0_-;_-* "-"??_-;_-@_-</c:formatCode>
                <c:ptCount val="5"/>
                <c:pt idx="0">
                  <c:v>9213.9124614791963</c:v>
                </c:pt>
                <c:pt idx="1">
                  <c:v>10196.271649133059</c:v>
                </c:pt>
                <c:pt idx="2">
                  <c:v>10101.395833333332</c:v>
                </c:pt>
                <c:pt idx="3">
                  <c:v>7003.4075203252023</c:v>
                </c:pt>
                <c:pt idx="4">
                  <c:v>7573.3435828877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2765-439F-B773-B3C0CDAEEAFD}"/>
            </c:ext>
          </c:extLst>
        </c:ser>
        <c:ser>
          <c:idx val="2"/>
          <c:order val="2"/>
          <c:tx>
            <c:strRef>
              <c:f>Graphs!$C$21</c:f>
              <c:strCache>
                <c:ptCount val="1"/>
                <c:pt idx="0">
                  <c:v>Coltan producer prices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Graphs!$D$18:$H$18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Graphs!$D$21:$H$21</c:f>
              <c:numCache>
                <c:formatCode>_-* #,##0_-;\-* #,##0_-;_-* "-"??_-;_-@_-</c:formatCode>
                <c:ptCount val="5"/>
                <c:pt idx="0">
                  <c:v>49839.999999999993</c:v>
                </c:pt>
                <c:pt idx="1">
                  <c:v>56141</c:v>
                </c:pt>
                <c:pt idx="2">
                  <c:v>44661.63636363636</c:v>
                </c:pt>
                <c:pt idx="3">
                  <c:v>42300.370370370365</c:v>
                </c:pt>
                <c:pt idx="4">
                  <c:v>35080.727272727279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2765-439F-B773-B3C0CDAEEAFD}"/>
            </c:ext>
          </c:extLst>
        </c:ser>
        <c:ser>
          <c:idx val="4"/>
          <c:order val="4"/>
          <c:tx>
            <c:strRef>
              <c:f>Graphs!$C$23</c:f>
              <c:strCache>
                <c:ptCount val="1"/>
                <c:pt idx="0">
                  <c:v>Wolfram production prices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Graphs!$D$18:$H$18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Graphs!$D$23:$H$23</c:f>
              <c:numCache>
                <c:formatCode>_-* #,##0_-;\-* #,##0_-;_-* "-"??_-;_-@_-</c:formatCode>
                <c:ptCount val="5"/>
                <c:pt idx="0">
                  <c:v>12737.777777777776</c:v>
                </c:pt>
                <c:pt idx="1">
                  <c:v>11327.250000000004</c:v>
                </c:pt>
                <c:pt idx="2">
                  <c:v>10091.200000000003</c:v>
                </c:pt>
                <c:pt idx="3">
                  <c:v>7377.4999999999991</c:v>
                </c:pt>
                <c:pt idx="4">
                  <c:v>5573.1053459119503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2765-439F-B773-B3C0CDAEE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1340176"/>
        <c:axId val="589415872"/>
      </c:lineChart>
      <c:catAx>
        <c:axId val="32134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15872"/>
        <c:crosses val="autoZero"/>
        <c:auto val="1"/>
        <c:lblAlgn val="ctr"/>
        <c:lblOffset val="100"/>
        <c:noMultiLvlLbl val="0"/>
      </c:catAx>
      <c:valAx>
        <c:axId val="58941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34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Resource rent for the production of minerals in Rwanda: US$millions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Graphs!$C$38</c:f>
              <c:strCache>
                <c:ptCount val="1"/>
                <c:pt idx="0">
                  <c:v>Cassiterite resource rent: traders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Graphs!$D$36:$H$36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Graphs!$D$38:$H$38</c:f>
              <c:numCache>
                <c:formatCode>_-* #,##0_-;\-* #,##0_-;_-* "-"??_-;_-@_-</c:formatCode>
                <c:ptCount val="5"/>
                <c:pt idx="0">
                  <c:v>-1.9266613201055378</c:v>
                </c:pt>
                <c:pt idx="1">
                  <c:v>-2.1797197407022715</c:v>
                </c:pt>
                <c:pt idx="2">
                  <c:v>-2.580897092045769</c:v>
                </c:pt>
                <c:pt idx="3">
                  <c:v>-1.2228392334117071</c:v>
                </c:pt>
                <c:pt idx="4">
                  <c:v>-1.2422778974160105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AF4-40CC-9F92-4B601DE0C4B2}"/>
            </c:ext>
          </c:extLst>
        </c:ser>
        <c:ser>
          <c:idx val="3"/>
          <c:order val="3"/>
          <c:tx>
            <c:strRef>
              <c:f>Graphs!$C$40</c:f>
              <c:strCache>
                <c:ptCount val="1"/>
                <c:pt idx="0">
                  <c:v>Coltan resource rent: traders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Graphs!$D$36:$H$36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Graphs!$D$40:$H$40</c:f>
              <c:numCache>
                <c:formatCode>_-* #,##0_-;\-* #,##0_-;_-* "-"??_-;_-@_-</c:formatCode>
                <c:ptCount val="5"/>
                <c:pt idx="0">
                  <c:v>-2.0728884831726178</c:v>
                </c:pt>
                <c:pt idx="1">
                  <c:v>-4.8027982837830185</c:v>
                </c:pt>
                <c:pt idx="2">
                  <c:v>-3.7587730982326568</c:v>
                </c:pt>
                <c:pt idx="3">
                  <c:v>-2.3626587291858643</c:v>
                </c:pt>
                <c:pt idx="4">
                  <c:v>-1.4183915762730464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AF4-40CC-9F92-4B601DE0C4B2}"/>
            </c:ext>
          </c:extLst>
        </c:ser>
        <c:ser>
          <c:idx val="5"/>
          <c:order val="5"/>
          <c:tx>
            <c:strRef>
              <c:f>Graphs!$C$42</c:f>
              <c:strCache>
                <c:ptCount val="1"/>
                <c:pt idx="0">
                  <c:v>Wolfram resource rent: traders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Graphs!$D$36:$H$36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Graphs!$D$42:$H$42</c:f>
              <c:numCache>
                <c:formatCode>_-* #,##0_-;\-* #,##0_-;_-* "-"??_-;_-@_-</c:formatCode>
                <c:ptCount val="5"/>
                <c:pt idx="0">
                  <c:v>-0.95655631284740938</c:v>
                </c:pt>
                <c:pt idx="1">
                  <c:v>-1.0726055065440014</c:v>
                </c:pt>
                <c:pt idx="2">
                  <c:v>-0.95394324386807905</c:v>
                </c:pt>
                <c:pt idx="3">
                  <c:v>-0.61896819410055126</c:v>
                </c:pt>
                <c:pt idx="4">
                  <c:v>-0.42376620693891309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3AF4-40CC-9F92-4B601DE0C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9409888"/>
        <c:axId val="589407712"/>
      </c:barChart>
      <c:lineChart>
        <c:grouping val="standard"/>
        <c:varyColors val="0"/>
        <c:ser>
          <c:idx val="0"/>
          <c:order val="0"/>
          <c:tx>
            <c:strRef>
              <c:f>Graphs!$C$37</c:f>
              <c:strCache>
                <c:ptCount val="1"/>
                <c:pt idx="0">
                  <c:v>Cassiterite resource rent: producers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Graphs!$D$36:$H$36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Graphs!$D$37:$H$37</c:f>
              <c:numCache>
                <c:formatCode>_-* #,##0_-;\-* #,##0_-;_-* "-"??_-;_-@_-</c:formatCode>
                <c:ptCount val="5"/>
                <c:pt idx="0">
                  <c:v>-1.2327221922106371</c:v>
                </c:pt>
                <c:pt idx="1">
                  <c:v>-2.186755501198359</c:v>
                </c:pt>
                <c:pt idx="2">
                  <c:v>-2.5543604293635935</c:v>
                </c:pt>
                <c:pt idx="3">
                  <c:v>-1.1584453714997136</c:v>
                </c:pt>
                <c:pt idx="4">
                  <c:v>-0.53785285278651118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3AF4-40CC-9F92-4B601DE0C4B2}"/>
            </c:ext>
          </c:extLst>
        </c:ser>
        <c:ser>
          <c:idx val="2"/>
          <c:order val="2"/>
          <c:tx>
            <c:strRef>
              <c:f>Graphs!$C$39</c:f>
              <c:strCache>
                <c:ptCount val="1"/>
                <c:pt idx="0">
                  <c:v>Coltan resource rent: producers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Graphs!$D$36:$H$36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Graphs!$D$39:$H$39</c:f>
              <c:numCache>
                <c:formatCode>_-* #,##0_-;\-* #,##0_-;_-* "-"??_-;_-@_-</c:formatCode>
                <c:ptCount val="5"/>
                <c:pt idx="0">
                  <c:v>-1.7583124862235859</c:v>
                </c:pt>
                <c:pt idx="1">
                  <c:v>-3.7908594799308331</c:v>
                </c:pt>
                <c:pt idx="2">
                  <c:v>-3.3189139359845221</c:v>
                </c:pt>
                <c:pt idx="3">
                  <c:v>-1.9770320191556663</c:v>
                </c:pt>
                <c:pt idx="4">
                  <c:v>-3.1433067577357443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3AF4-40CC-9F92-4B601DE0C4B2}"/>
            </c:ext>
          </c:extLst>
        </c:ser>
        <c:ser>
          <c:idx val="4"/>
          <c:order val="4"/>
          <c:tx>
            <c:strRef>
              <c:f>Graphs!$C$41</c:f>
              <c:strCache>
                <c:ptCount val="1"/>
                <c:pt idx="0">
                  <c:v>Wolfram resource rent: producers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Graphs!$D$36:$H$36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Graphs!$D$41:$H$41</c:f>
              <c:numCache>
                <c:formatCode>_-* #,##0_-;\-* #,##0_-;_-* "-"??_-;_-@_-</c:formatCode>
                <c:ptCount val="5"/>
                <c:pt idx="0">
                  <c:v>-0.82237911532108487</c:v>
                </c:pt>
                <c:pt idx="1">
                  <c:v>-0.89992617087822779</c:v>
                </c:pt>
                <c:pt idx="2">
                  <c:v>-0.90626441465881091</c:v>
                </c:pt>
                <c:pt idx="3">
                  <c:v>-0.56158610312168855</c:v>
                </c:pt>
                <c:pt idx="4">
                  <c:v>-0.29293709740642554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3AF4-40CC-9F92-4B601DE0C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9409888"/>
        <c:axId val="589407712"/>
      </c:lineChart>
      <c:catAx>
        <c:axId val="58940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07712"/>
        <c:crosses val="autoZero"/>
        <c:auto val="1"/>
        <c:lblAlgn val="ctr"/>
        <c:lblOffset val="100"/>
        <c:noMultiLvlLbl val="0"/>
      </c:catAx>
      <c:valAx>
        <c:axId val="58940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0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Rwanda: Resource</a:t>
            </a:r>
            <a:r>
              <a:rPr lang="en-ZA" b="1" baseline="0"/>
              <a:t> rent and royalties</a:t>
            </a:r>
            <a:endParaRPr lang="en-ZA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Graphs!$C$57</c:f>
              <c:strCache>
                <c:ptCount val="1"/>
                <c:pt idx="0">
                  <c:v>Cassiterite: royalties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accent5"/>
              </a:solidFill>
            </a:ln>
            <a:effectLst/>
          </c:spPr>
          <c:invertIfNegative val="0"/>
          <c:cat>
            <c:numRef>
              <c:f>Graphs!$D$55:$H$55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Graphs!$D$57:$H$57</c:f>
              <c:numCache>
                <c:formatCode>0.00</c:formatCode>
                <c:ptCount val="5"/>
                <c:pt idx="0">
                  <c:v>0</c:v>
                </c:pt>
                <c:pt idx="1">
                  <c:v>1.2214895799098888</c:v>
                </c:pt>
                <c:pt idx="2">
                  <c:v>2.877824689423814</c:v>
                </c:pt>
                <c:pt idx="3">
                  <c:v>1.3705297553860361</c:v>
                </c:pt>
                <c:pt idx="4">
                  <c:v>1.3923161576333041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5C-4D38-BC43-F34D16F57D6E}"/>
            </c:ext>
          </c:extLst>
        </c:ser>
        <c:ser>
          <c:idx val="3"/>
          <c:order val="3"/>
          <c:tx>
            <c:strRef>
              <c:f>Graphs!$C$59</c:f>
              <c:strCache>
                <c:ptCount val="1"/>
                <c:pt idx="0">
                  <c:v>Coltan: royalties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Graphs!$D$55:$H$55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Graphs!$D$59:$H$59</c:f>
              <c:numCache>
                <c:formatCode>0.00</c:formatCode>
                <c:ptCount val="5"/>
                <c:pt idx="0">
                  <c:v>0</c:v>
                </c:pt>
                <c:pt idx="1">
                  <c:v>2.6914322738390095</c:v>
                </c:pt>
                <c:pt idx="2">
                  <c:v>4.1912132248022962</c:v>
                </c:pt>
                <c:pt idx="3">
                  <c:v>2.6480129208297689</c:v>
                </c:pt>
                <c:pt idx="4">
                  <c:v>1.5897002704497178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A5C-4D38-BC43-F34D16F57D6E}"/>
            </c:ext>
          </c:extLst>
        </c:ser>
        <c:ser>
          <c:idx val="5"/>
          <c:order val="5"/>
          <c:tx>
            <c:strRef>
              <c:f>Graphs!$C$61</c:f>
              <c:strCache>
                <c:ptCount val="1"/>
                <c:pt idx="0">
                  <c:v>Wolfram: royalties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Graphs!$D$55:$H$55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Graphs!$D$61:$H$61</c:f>
              <c:numCache>
                <c:formatCode>0.00</c:formatCode>
                <c:ptCount val="5"/>
                <c:pt idx="0">
                  <c:v>0</c:v>
                </c:pt>
                <c:pt idx="1">
                  <c:v>0.60107564524572676</c:v>
                </c:pt>
                <c:pt idx="2">
                  <c:v>1.0636927090093802</c:v>
                </c:pt>
                <c:pt idx="3">
                  <c:v>0.69372514756954251</c:v>
                </c:pt>
                <c:pt idx="4">
                  <c:v>0.47494730302075622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5A5C-4D38-BC43-F34D16F57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9420224"/>
        <c:axId val="589414784"/>
      </c:barChart>
      <c:lineChart>
        <c:grouping val="standard"/>
        <c:varyColors val="0"/>
        <c:ser>
          <c:idx val="0"/>
          <c:order val="0"/>
          <c:tx>
            <c:strRef>
              <c:f>Graphs!$C$56</c:f>
              <c:strCache>
                <c:ptCount val="1"/>
                <c:pt idx="0">
                  <c:v>Cassiterite: total resource rent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Graphs!$D$55:$H$55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Graphs!$D$56:$H$56</c:f>
              <c:numCache>
                <c:formatCode>0.00</c:formatCode>
                <c:ptCount val="5"/>
                <c:pt idx="0">
                  <c:v>-3.1593835123161749</c:v>
                </c:pt>
                <c:pt idx="1">
                  <c:v>-4.3664752419006305</c:v>
                </c:pt>
                <c:pt idx="2">
                  <c:v>-5.135257521409363</c:v>
                </c:pt>
                <c:pt idx="3">
                  <c:v>-2.3812846049114205</c:v>
                </c:pt>
                <c:pt idx="4">
                  <c:v>-1.7801307502025217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5A5C-4D38-BC43-F34D16F57D6E}"/>
            </c:ext>
          </c:extLst>
        </c:ser>
        <c:ser>
          <c:idx val="2"/>
          <c:order val="2"/>
          <c:tx>
            <c:strRef>
              <c:f>Graphs!$C$58</c:f>
              <c:strCache>
                <c:ptCount val="1"/>
                <c:pt idx="0">
                  <c:v>Coltan: total resource rent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Graphs!$D$55:$H$55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Graphs!$D$58:$H$58</c:f>
              <c:numCache>
                <c:formatCode>0.00</c:formatCode>
                <c:ptCount val="5"/>
                <c:pt idx="0">
                  <c:v>-3.8312009693962037</c:v>
                </c:pt>
                <c:pt idx="1">
                  <c:v>-8.5936577637138516</c:v>
                </c:pt>
                <c:pt idx="2">
                  <c:v>-7.0776870342171785</c:v>
                </c:pt>
                <c:pt idx="3">
                  <c:v>-4.3396907483415301</c:v>
                </c:pt>
                <c:pt idx="4">
                  <c:v>-4.5616983340087902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5A5C-4D38-BC43-F34D16F57D6E}"/>
            </c:ext>
          </c:extLst>
        </c:ser>
        <c:ser>
          <c:idx val="4"/>
          <c:order val="4"/>
          <c:tx>
            <c:strRef>
              <c:f>Graphs!$C$60</c:f>
              <c:strCache>
                <c:ptCount val="1"/>
                <c:pt idx="0">
                  <c:v>Wolfram: total resource rent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Graphs!$D$55:$H$55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Graphs!$D$60:$H$60</c:f>
              <c:numCache>
                <c:formatCode>0.00</c:formatCode>
                <c:ptCount val="5"/>
                <c:pt idx="0">
                  <c:v>-1.7789354281684941</c:v>
                </c:pt>
                <c:pt idx="1">
                  <c:v>-1.9725316774222292</c:v>
                </c:pt>
                <c:pt idx="2">
                  <c:v>-1.8602076585268901</c:v>
                </c:pt>
                <c:pt idx="3">
                  <c:v>-1.1805542972222398</c:v>
                </c:pt>
                <c:pt idx="4">
                  <c:v>-0.71670330434533858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5A5C-4D38-BC43-F34D16F57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9420224"/>
        <c:axId val="589414784"/>
      </c:lineChart>
      <c:catAx>
        <c:axId val="58942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14784"/>
        <c:crosses val="autoZero"/>
        <c:auto val="1"/>
        <c:lblAlgn val="ctr"/>
        <c:lblOffset val="100"/>
        <c:noMultiLvlLbl val="0"/>
      </c:catAx>
      <c:valAx>
        <c:axId val="58941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2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Structure of the industry - Traders of 3Ts: 2016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Graphs!$D$75</c:f>
              <c:strCache>
                <c:ptCount val="1"/>
                <c:pt idx="0">
                  <c:v>Traders of 3Ts: 2016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25-4AE4-9F76-70DB1A76F59B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25-4AE4-9F76-70DB1A76F59B}"/>
              </c:ext>
            </c:extLst>
          </c:dPt>
          <c:dPt>
            <c:idx val="2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25-4AE4-9F76-70DB1A76F59B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25-4AE4-9F76-70DB1A76F59B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25-4AE4-9F76-70DB1A76F59B}"/>
              </c:ext>
            </c:extLst>
          </c:dPt>
          <c:dLbls>
            <c:dLbl>
              <c:idx val="1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A025-4AE4-9F76-70DB1A76F59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4.2241696532119531E-2"/>
                  <c:y val="9.5319890331032775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A025-4AE4-9F76-70DB1A76F59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5.2556744360443317E-2"/>
                  <c:y val="0.21992253670993828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A025-4AE4-9F76-70DB1A76F59B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4.9429286455471323E-3"/>
                  <c:y val="0.1221493934879761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A025-4AE4-9F76-70DB1A76F59B}"/>
                </c:ext>
                <c:ext xmlns:c15="http://schemas.microsoft.com/office/drawing/2012/chart" uri="{CE6537A1-D6FC-4f65-9D91-7224C49458BB}"/>
              </c:extLst>
            </c:dLbl>
            <c:numFmt formatCode="0.0%" sourceLinked="0"/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Graphs!$C$76:$C$80</c:f>
              <c:strCache>
                <c:ptCount val="5"/>
                <c:pt idx="0">
                  <c:v>Purchases of raw material</c:v>
                </c:pt>
                <c:pt idx="1">
                  <c:v>Intermediate consumption</c:v>
                </c:pt>
                <c:pt idx="2">
                  <c:v>Other operating and overhead costs</c:v>
                </c:pt>
                <c:pt idx="3">
                  <c:v>Consumption of capital </c:v>
                </c:pt>
                <c:pt idx="4">
                  <c:v>Opportunity cost of capital</c:v>
                </c:pt>
              </c:strCache>
            </c:strRef>
          </c:cat>
          <c:val>
            <c:numRef>
              <c:f>Graphs!$D$76:$D$80</c:f>
              <c:numCache>
                <c:formatCode>0</c:formatCode>
                <c:ptCount val="5"/>
                <c:pt idx="0">
                  <c:v>73861631.495837286</c:v>
                </c:pt>
                <c:pt idx="1">
                  <c:v>0</c:v>
                </c:pt>
                <c:pt idx="2">
                  <c:v>14022665.500278402</c:v>
                </c:pt>
                <c:pt idx="3">
                  <c:v>792308.27419840777</c:v>
                </c:pt>
                <c:pt idx="4">
                  <c:v>831923.68790832814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A025-4AE4-9F76-70DB1A76F59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6.0039111405423805E-3"/>
          <c:y val="0.8356807831453501"/>
          <c:w val="0.90395790867797243"/>
          <c:h val="0.1365416755338015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Structure of the industry - Miners of 3Ts: 2016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Graphs!$F$75</c:f>
              <c:strCache>
                <c:ptCount val="1"/>
                <c:pt idx="0">
                  <c:v>Miners of 3Ts: 2016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A79-4637-9665-386A25580F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A79-4637-9665-386A25580F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CA79-4637-9665-386A25580F55}"/>
              </c:ext>
            </c:extLst>
          </c:dPt>
          <c:dPt>
            <c:idx val="3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CA79-4637-9665-386A25580F5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CA79-4637-9665-386A25580F55}"/>
              </c:ext>
            </c:extLst>
          </c:dPt>
          <c:dPt>
            <c:idx val="5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7DA0-40E4-BE9A-2077FB76567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7DA0-40E4-BE9A-2077FB765679}"/>
              </c:ext>
            </c:extLst>
          </c:dPt>
          <c:dPt>
            <c:idx val="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7DA0-40E4-BE9A-2077FB765679}"/>
              </c:ext>
            </c:extLst>
          </c:dPt>
          <c:dLbls>
            <c:numFmt formatCode="0.0%" sourceLinked="0"/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Graphs!$E$73:$E$80</c:f>
              <c:strCache>
                <c:ptCount val="8"/>
                <c:pt idx="3">
                  <c:v>Purchases of raw material</c:v>
                </c:pt>
                <c:pt idx="4">
                  <c:v>Interm. consump. excl. purchases or material</c:v>
                </c:pt>
                <c:pt idx="5">
                  <c:v>Other operating and overhead costs</c:v>
                </c:pt>
                <c:pt idx="6">
                  <c:v>Consumption of capital</c:v>
                </c:pt>
                <c:pt idx="7">
                  <c:v>Opportunity cost of capital</c:v>
                </c:pt>
              </c:strCache>
            </c:strRef>
          </c:cat>
          <c:val>
            <c:numRef>
              <c:f>Graphs!$F$73:$F$80</c:f>
              <c:numCache>
                <c:formatCode>General</c:formatCode>
                <c:ptCount val="8"/>
                <c:pt idx="2">
                  <c:v>0</c:v>
                </c:pt>
                <c:pt idx="3" formatCode="_-* #,##0_-;\-* #,##0_-;_-* &quot;-&quot;??_-;_-@_-">
                  <c:v>64666847.587636806</c:v>
                </c:pt>
                <c:pt idx="4" formatCode="_-* #,##0_-;\-* #,##0_-;_-* &quot;-&quot;??_-;_-@_-">
                  <c:v>31120974.455465682</c:v>
                </c:pt>
                <c:pt idx="5" formatCode="_-* #,##0_-;\-* #,##0_-;_-* &quot;-&quot;??_-;_-@_-">
                  <c:v>17495144.488116305</c:v>
                </c:pt>
                <c:pt idx="6" formatCode="_-* #,##0_-;\-* #,##0_-;_-* &quot;-&quot;??_-;_-@_-">
                  <c:v>1926943.6879449103</c:v>
                </c:pt>
                <c:pt idx="7" formatCode="_-* #,##0_-;\-* #,##0_-;_-* &quot;-&quot;??_-;_-@_-">
                  <c:v>2023290.8723421558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CA79-4637-9665-386A25580F5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A" sz="1800" b="1" i="0" baseline="0">
                <a:effectLst/>
              </a:rPr>
              <a:t>Rwanda: Total Resource rent and royalties: 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2012-2016: US$millions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Graphs!$D$65</c:f>
              <c:strCache>
                <c:ptCount val="1"/>
                <c:pt idx="0">
                  <c:v>2012-2016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Graphs!$C$66:$C$67</c:f>
              <c:strCache>
                <c:ptCount val="2"/>
                <c:pt idx="0">
                  <c:v>Total resource rent</c:v>
                </c:pt>
                <c:pt idx="1">
                  <c:v>Total royalties</c:v>
                </c:pt>
              </c:strCache>
            </c:strRef>
          </c:cat>
          <c:val>
            <c:numRef>
              <c:f>Graphs!$D$66:$D$67</c:f>
              <c:numCache>
                <c:formatCode>_-* #,##0_-;\-* #,##0_-;_-* "-"??_-;_-@_-</c:formatCode>
                <c:ptCount val="2"/>
                <c:pt idx="0">
                  <c:v>-52.735398846102861</c:v>
                </c:pt>
                <c:pt idx="1">
                  <c:v>20.815959677119242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9C-4C56-BB32-3CBFA99CD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9412064"/>
        <c:axId val="589413152"/>
      </c:barChart>
      <c:catAx>
        <c:axId val="58941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13152"/>
        <c:crosses val="autoZero"/>
        <c:auto val="1"/>
        <c:lblAlgn val="ctr"/>
        <c:lblOffset val="100"/>
        <c:noMultiLvlLbl val="0"/>
      </c:catAx>
      <c:valAx>
        <c:axId val="58941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1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Export prices and volumes of minerals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Graphs!$V$5</c:f>
              <c:strCache>
                <c:ptCount val="1"/>
                <c:pt idx="0">
                  <c:v>Coltan exports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Graphs!$W$3:$AA$3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Graphs!$W$5:$AA$5</c:f>
              <c:numCache>
                <c:formatCode>_-* #,##0_-;\-* #,##0_-;_-* "-"??_-;_-@_-</c:formatCode>
                <c:ptCount val="5"/>
                <c:pt idx="0">
                  <c:v>1144.6847</c:v>
                </c:pt>
                <c:pt idx="1">
                  <c:v>2466.02367</c:v>
                </c:pt>
                <c:pt idx="2">
                  <c:v>2302.5188700000003</c:v>
                </c:pt>
                <c:pt idx="3">
                  <c:v>1651.71126</c:v>
                </c:pt>
                <c:pt idx="4">
                  <c:v>1269.9392000000003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5E3-4E39-877B-3071BA80187C}"/>
            </c:ext>
          </c:extLst>
        </c:ser>
        <c:ser>
          <c:idx val="2"/>
          <c:order val="2"/>
          <c:tx>
            <c:strRef>
              <c:f>Graphs!$V$6</c:f>
              <c:strCache>
                <c:ptCount val="1"/>
                <c:pt idx="0">
                  <c:v>Wolfram exports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Graphs!$W$3:$AA$3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Graphs!$W$6:$AA$6</c:f>
              <c:numCache>
                <c:formatCode>_-* #,##0_-;\-* #,##0_-;_-* "-"??_-;_-@_-</c:formatCode>
                <c:ptCount val="5"/>
                <c:pt idx="0">
                  <c:v>1750.5664999999999</c:v>
                </c:pt>
                <c:pt idx="1">
                  <c:v>2217.9280400000002</c:v>
                </c:pt>
                <c:pt idx="2">
                  <c:v>2214.4936500000003</c:v>
                </c:pt>
                <c:pt idx="3">
                  <c:v>1784.40112</c:v>
                </c:pt>
                <c:pt idx="4">
                  <c:v>1715.9599499999999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5E3-4E39-877B-3071BA80187C}"/>
            </c:ext>
          </c:extLst>
        </c:ser>
        <c:ser>
          <c:idx val="0"/>
          <c:order val="4"/>
          <c:tx>
            <c:strRef>
              <c:f>Graphs!$V$4</c:f>
              <c:strCache>
                <c:ptCount val="1"/>
                <c:pt idx="0">
                  <c:v>Cassiterite exports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numRef>
              <c:f>Graphs!$W$3:$AA$3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Graphs!$W$4:$AA$4</c:f>
              <c:numCache>
                <c:formatCode>_-* #,##0_-;\-* #,##0_-;_-* "-"??_-;_-@_-</c:formatCode>
                <c:ptCount val="5"/>
                <c:pt idx="0">
                  <c:v>4636.6403</c:v>
                </c:pt>
                <c:pt idx="1">
                  <c:v>4895.2674999999999</c:v>
                </c:pt>
                <c:pt idx="2">
                  <c:v>5953.7963200000004</c:v>
                </c:pt>
                <c:pt idx="3">
                  <c:v>3845.6560999999997</c:v>
                </c:pt>
                <c:pt idx="4">
                  <c:v>3549.9150499999996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75E3-4E39-877B-3071BA801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89407168"/>
        <c:axId val="589414240"/>
      </c:barChart>
      <c:lineChart>
        <c:grouping val="standard"/>
        <c:varyColors val="0"/>
        <c:ser>
          <c:idx val="4"/>
          <c:order val="1"/>
          <c:tx>
            <c:strRef>
              <c:f>Graphs!$V$8</c:f>
              <c:strCache>
                <c:ptCount val="1"/>
                <c:pt idx="0">
                  <c:v>Coltan export prices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Graphs!$W$3:$AA$3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Graphs!$W$8:$AA$8</c:f>
              <c:numCache>
                <c:formatCode>_-* #,##0_-;\-* #,##0_-;_-* "-"??_-;_-@_-</c:formatCode>
                <c:ptCount val="5"/>
                <c:pt idx="0">
                  <c:v>49718.149371024883</c:v>
                </c:pt>
                <c:pt idx="1">
                  <c:v>54570.284676931129</c:v>
                </c:pt>
                <c:pt idx="2">
                  <c:v>45506.82818945036</c:v>
                </c:pt>
                <c:pt idx="3">
                  <c:v>40079.839996213515</c:v>
                </c:pt>
                <c:pt idx="4">
                  <c:v>31294.810618683896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75E3-4E39-877B-3071BA80187C}"/>
            </c:ext>
          </c:extLst>
        </c:ser>
        <c:ser>
          <c:idx val="5"/>
          <c:order val="3"/>
          <c:tx>
            <c:strRef>
              <c:f>Graphs!$V$9</c:f>
              <c:strCache>
                <c:ptCount val="1"/>
                <c:pt idx="0">
                  <c:v>Wolfram export prices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Graphs!$W$3:$AA$3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Graphs!$W$9:$AA$9</c:f>
              <c:numCache>
                <c:formatCode>_-* #,##0_-;\-* #,##0_-;_-* "-"??_-;_-@_-</c:formatCode>
                <c:ptCount val="5"/>
                <c:pt idx="0">
                  <c:v>15002.264673206093</c:v>
                </c:pt>
                <c:pt idx="1">
                  <c:v>13550.386541073865</c:v>
                </c:pt>
                <c:pt idx="2">
                  <c:v>12008.306153975424</c:v>
                </c:pt>
                <c:pt idx="3">
                  <c:v>9719.2993743685638</c:v>
                </c:pt>
                <c:pt idx="4">
                  <c:v>6919.5569369313698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75E3-4E39-877B-3071BA80187C}"/>
            </c:ext>
          </c:extLst>
        </c:ser>
        <c:ser>
          <c:idx val="3"/>
          <c:order val="5"/>
          <c:tx>
            <c:strRef>
              <c:f>Graphs!$V$7</c:f>
              <c:strCache>
                <c:ptCount val="1"/>
                <c:pt idx="0">
                  <c:v>Cassiterite export prices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Graphs!$W$3:$AA$3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Graphs!$W$7:$AA$7</c:f>
              <c:numCache>
                <c:formatCode>_-* #,##0_-;\-* #,##0_-;_-* "-"??_-;_-@_-</c:formatCode>
                <c:ptCount val="5"/>
                <c:pt idx="0">
                  <c:v>11408.455876728416</c:v>
                </c:pt>
                <c:pt idx="1">
                  <c:v>12476.229132625425</c:v>
                </c:pt>
                <c:pt idx="2">
                  <c:v>12083.990343088415</c:v>
                </c:pt>
                <c:pt idx="3">
                  <c:v>8909.5964365224718</c:v>
                </c:pt>
                <c:pt idx="4">
                  <c:v>9805.2779997742782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75E3-4E39-877B-3071BA801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9408256"/>
        <c:axId val="589413696"/>
      </c:lineChart>
      <c:catAx>
        <c:axId val="58940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13696"/>
        <c:crosses val="autoZero"/>
        <c:auto val="1"/>
        <c:lblAlgn val="ctr"/>
        <c:lblOffset val="100"/>
        <c:noMultiLvlLbl val="0"/>
      </c:catAx>
      <c:valAx>
        <c:axId val="58941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US$/tonne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08256"/>
        <c:crosses val="autoZero"/>
        <c:crossBetween val="between"/>
      </c:valAx>
      <c:valAx>
        <c:axId val="589414240"/>
        <c:scaling>
          <c:orientation val="minMax"/>
          <c:max val="60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Tonnes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07168"/>
        <c:crosses val="max"/>
        <c:crossBetween val="between"/>
      </c:valAx>
      <c:catAx>
        <c:axId val="5894071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94142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3T export</a:t>
            </a:r>
            <a:r>
              <a:rPr lang="en-ZA" baseline="0"/>
              <a:t> contribution to toal exports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Graphs!$V$25</c:f>
              <c:strCache>
                <c:ptCount val="1"/>
                <c:pt idx="0">
                  <c:v>Cassiterite 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accent5"/>
              </a:solidFill>
            </a:ln>
            <a:effectLst/>
          </c:spPr>
          <c:cat>
            <c:numRef>
              <c:f>Graphs!$W$24:$AB$24</c:f>
              <c:numCache>
                <c:formatCode>General</c:formatCode>
                <c:ptCount val="6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</c:numCache>
            </c:numRef>
          </c:cat>
          <c:val>
            <c:numRef>
              <c:f>Graphs!$W$25:$AB$25</c:f>
              <c:numCache>
                <c:formatCode>0%</c:formatCode>
                <c:ptCount val="6"/>
                <c:pt idx="0">
                  <c:v>0.10310698557203121</c:v>
                </c:pt>
                <c:pt idx="1">
                  <c:v>0.1008040507910329</c:v>
                </c:pt>
                <c:pt idx="2">
                  <c:v>0.12284714142977905</c:v>
                </c:pt>
                <c:pt idx="3">
                  <c:v>6.5610467013161297E-2</c:v>
                </c:pt>
                <c:pt idx="4">
                  <c:v>6.537904630414143E-2</c:v>
                </c:pt>
                <c:pt idx="5">
                  <c:v>5.8608087197411431E-2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474-48AE-AB3E-29564914C171}"/>
            </c:ext>
          </c:extLst>
        </c:ser>
        <c:ser>
          <c:idx val="1"/>
          <c:order val="1"/>
          <c:tx>
            <c:strRef>
              <c:f>Graphs!$V$26</c:f>
              <c:strCache>
                <c:ptCount val="1"/>
                <c:pt idx="0">
                  <c:v>Coltan 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cat>
            <c:numRef>
              <c:f>Graphs!$W$24:$AB$24</c:f>
              <c:numCache>
                <c:formatCode>General</c:formatCode>
                <c:ptCount val="6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</c:numCache>
            </c:numRef>
          </c:cat>
          <c:val>
            <c:numRef>
              <c:f>Graphs!$W$26:$AB$26</c:f>
              <c:numCache>
                <c:formatCode>0%</c:formatCode>
                <c:ptCount val="6"/>
                <c:pt idx="0">
                  <c:v>0.11093246160939257</c:v>
                </c:pt>
                <c:pt idx="1">
                  <c:v>0.22211182157829576</c:v>
                </c:pt>
                <c:pt idx="2">
                  <c:v>0.17891241453374801</c:v>
                </c:pt>
                <c:pt idx="3">
                  <c:v>0.12676657599716981</c:v>
                </c:pt>
                <c:pt idx="4">
                  <c:v>7.4647620098086384E-2</c:v>
                </c:pt>
                <c:pt idx="5">
                  <c:v>7.2693880729342616E-2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474-48AE-AB3E-29564914C171}"/>
            </c:ext>
          </c:extLst>
        </c:ser>
        <c:ser>
          <c:idx val="2"/>
          <c:order val="2"/>
          <c:tx>
            <c:strRef>
              <c:f>Graphs!$V$27</c:f>
              <c:strCache>
                <c:ptCount val="1"/>
                <c:pt idx="0">
                  <c:v>Wolfram 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Graphs!$W$24:$AB$24</c:f>
              <c:numCache>
                <c:formatCode>General</c:formatCode>
                <c:ptCount val="6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</c:numCache>
            </c:numRef>
          </c:cat>
          <c:val>
            <c:numRef>
              <c:f>Graphs!$W$27:$AB$27</c:f>
              <c:numCache>
                <c:formatCode>0%</c:formatCode>
                <c:ptCount val="6"/>
                <c:pt idx="0">
                  <c:v>5.1190957600265048E-2</c:v>
                </c:pt>
                <c:pt idx="1">
                  <c:v>4.9604074295151179E-2</c:v>
                </c:pt>
                <c:pt idx="2">
                  <c:v>4.5406382515837909E-2</c:v>
                </c:pt>
                <c:pt idx="3">
                  <c:v>3.3210246426201503E-2</c:v>
                </c:pt>
                <c:pt idx="4">
                  <c:v>2.2302119777883957E-2</c:v>
                </c:pt>
                <c:pt idx="5">
                  <c:v>1.4728927899462391E-2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6474-48AE-AB3E-29564914C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419136"/>
        <c:axId val="589411520"/>
      </c:areaChart>
      <c:lineChart>
        <c:grouping val="standard"/>
        <c:varyColors val="0"/>
        <c:ser>
          <c:idx val="3"/>
          <c:order val="3"/>
          <c:tx>
            <c:strRef>
              <c:f>Graphs!$V$28</c:f>
              <c:strCache>
                <c:ptCount val="1"/>
                <c:pt idx="0">
                  <c:v>Mining GDP as % to total GDP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Graphs!$W$24:$AB$24</c:f>
              <c:numCache>
                <c:formatCode>General</c:formatCode>
                <c:ptCount val="6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</c:numCache>
            </c:numRef>
          </c:cat>
          <c:val>
            <c:numRef>
              <c:f>Graphs!$W$28:$AB$28</c:f>
              <c:numCache>
                <c:formatCode>0.0%</c:formatCode>
                <c:ptCount val="6"/>
                <c:pt idx="0">
                  <c:v>2.1253286590709901E-2</c:v>
                </c:pt>
                <c:pt idx="1">
                  <c:v>2.5157232704402517E-2</c:v>
                </c:pt>
                <c:pt idx="2">
                  <c:v>2.6893523600439076E-2</c:v>
                </c:pt>
                <c:pt idx="3">
                  <c:v>2.2117962466487937E-2</c:v>
                </c:pt>
                <c:pt idx="4">
                  <c:v>2.0533573141486815E-2</c:v>
                </c:pt>
                <c:pt idx="5">
                  <c:v>2.394736842105263E-2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6474-48AE-AB3E-29564914C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9415328"/>
        <c:axId val="589409344"/>
      </c:lineChart>
      <c:catAx>
        <c:axId val="589419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11520"/>
        <c:crosses val="autoZero"/>
        <c:auto val="1"/>
        <c:lblAlgn val="ctr"/>
        <c:lblOffset val="100"/>
        <c:noMultiLvlLbl val="0"/>
      </c:catAx>
      <c:valAx>
        <c:axId val="58941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19136"/>
        <c:crosses val="autoZero"/>
        <c:crossBetween val="between"/>
      </c:valAx>
      <c:valAx>
        <c:axId val="58940934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15328"/>
        <c:crosses val="max"/>
        <c:crossBetween val="between"/>
      </c:valAx>
      <c:catAx>
        <c:axId val="58941532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589409344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Graphs!$AP$30</c:f>
              <c:strCache>
                <c:ptCount val="1"/>
                <c:pt idx="0">
                  <c:v>Mining GDP as % of GDP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Graphs!$AQ$29:$BI$29</c:f>
              <c:numCache>
                <c:formatCode>General</c:formatCode>
                <c:ptCount val="19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</c:numCache>
            </c:numRef>
          </c:cat>
          <c:val>
            <c:numRef>
              <c:f>Graphs!$AQ$30:$BI$30</c:f>
              <c:numCache>
                <c:formatCode>0.0%</c:formatCode>
                <c:ptCount val="19"/>
                <c:pt idx="0">
                  <c:v>1E-3</c:v>
                </c:pt>
                <c:pt idx="1">
                  <c:v>2E-3</c:v>
                </c:pt>
                <c:pt idx="2">
                  <c:v>8.0000000000000002E-3</c:v>
                </c:pt>
                <c:pt idx="3">
                  <c:v>3.0000000000000001E-3</c:v>
                </c:pt>
                <c:pt idx="4">
                  <c:v>3.0000000000000001E-3</c:v>
                </c:pt>
                <c:pt idx="5">
                  <c:v>7.0000000000000001E-3</c:v>
                </c:pt>
                <c:pt idx="6">
                  <c:v>7.0000000000000001E-3</c:v>
                </c:pt>
                <c:pt idx="7">
                  <c:v>1.2999999999999999E-2</c:v>
                </c:pt>
                <c:pt idx="8">
                  <c:v>2.1000000000000001E-2</c:v>
                </c:pt>
                <c:pt idx="9">
                  <c:v>1.9E-2</c:v>
                </c:pt>
                <c:pt idx="10">
                  <c:v>1.0999999999999999E-2</c:v>
                </c:pt>
                <c:pt idx="11">
                  <c:v>1.4E-2</c:v>
                </c:pt>
                <c:pt idx="12">
                  <c:v>2.5999999999999999E-2</c:v>
                </c:pt>
                <c:pt idx="13">
                  <c:v>2.1000000000000001E-2</c:v>
                </c:pt>
                <c:pt idx="14">
                  <c:v>2.5000000000000001E-2</c:v>
                </c:pt>
                <c:pt idx="15">
                  <c:v>2.7E-2</c:v>
                </c:pt>
                <c:pt idx="16">
                  <c:v>2.1999999999999999E-2</c:v>
                </c:pt>
                <c:pt idx="17">
                  <c:v>2.1000000000000001E-2</c:v>
                </c:pt>
                <c:pt idx="18">
                  <c:v>2.3E-2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6B9-4195-A71D-1DDF3370B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9408800"/>
        <c:axId val="589418048"/>
      </c:lineChart>
      <c:catAx>
        <c:axId val="58940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18048"/>
        <c:crosses val="autoZero"/>
        <c:auto val="1"/>
        <c:lblAlgn val="ctr"/>
        <c:lblOffset val="100"/>
        <c:noMultiLvlLbl val="0"/>
      </c:catAx>
      <c:valAx>
        <c:axId val="58941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0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Value of production and exports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Graphs!$C$96</c:f>
              <c:strCache>
                <c:ptCount val="1"/>
                <c:pt idx="0">
                  <c:v>Value of sales: Cassiterite mining operators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Graphs!$D$95:$H$95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Graphs!$D$96:$H$96</c:f>
              <c:numCache>
                <c:formatCode>_-* #,##0.00_-;\-* #,##0.00_-;_-* "-"??_-;_-@_-</c:formatCode>
                <c:ptCount val="5"/>
                <c:pt idx="0">
                  <c:v>33.819884197793407</c:v>
                </c:pt>
                <c:pt idx="1">
                  <c:v>62.321072629526846</c:v>
                </c:pt>
                <c:pt idx="2">
                  <c:v>72.098392344140819</c:v>
                </c:pt>
                <c:pt idx="3">
                  <c:v>33.014920092808303</c:v>
                </c:pt>
                <c:pt idx="4">
                  <c:v>15.328447411764705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9D2-4911-B6C8-CDFF873560B4}"/>
            </c:ext>
          </c:extLst>
        </c:ser>
        <c:ser>
          <c:idx val="1"/>
          <c:order val="1"/>
          <c:tx>
            <c:strRef>
              <c:f>Graphs!$C$97</c:f>
              <c:strCache>
                <c:ptCount val="1"/>
                <c:pt idx="0">
                  <c:v>Value of exports: Cassiterite exports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Graphs!$D$95:$H$95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Graphs!$D$97:$H$97</c:f>
              <c:numCache>
                <c:formatCode>_-* #,##0.00_-;\-* #,##0.00_-;_-* "-"??_-;_-@_-</c:formatCode>
                <c:ptCount val="5"/>
                <c:pt idx="0">
                  <c:v>52.896906278810803</c:v>
                </c:pt>
                <c:pt idx="1">
                  <c:v>61.074478995494431</c:v>
                </c:pt>
                <c:pt idx="2">
                  <c:v>71.94561723559535</c:v>
                </c:pt>
                <c:pt idx="3">
                  <c:v>34.263243884650898</c:v>
                </c:pt>
                <c:pt idx="4">
                  <c:v>34.807903940832603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9D2-4911-B6C8-CDFF873560B4}"/>
            </c:ext>
          </c:extLst>
        </c:ser>
        <c:ser>
          <c:idx val="2"/>
          <c:order val="2"/>
          <c:tx>
            <c:strRef>
              <c:f>Graphs!$C$98</c:f>
              <c:strCache>
                <c:ptCount val="1"/>
                <c:pt idx="0">
                  <c:v>Value of sales: Coltan mining operators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Graphs!$D$95:$H$95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Graphs!$D$98:$H$98</c:f>
              <c:numCache>
                <c:formatCode>_-* #,##0.00_-;\-* #,##0.00_-;_-* "-"??_-;_-@_-</c:formatCode>
                <c:ptCount val="5"/>
                <c:pt idx="0">
                  <c:v>48.239518233199995</c:v>
                </c:pt>
                <c:pt idx="1">
                  <c:v>108.0369656542</c:v>
                </c:pt>
                <c:pt idx="2">
                  <c:v>93.678384758201801</c:v>
                </c:pt>
                <c:pt idx="3">
                  <c:v>56.344093333333326</c:v>
                </c:pt>
                <c:pt idx="4">
                  <c:v>89.582145163636369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9D2-4911-B6C8-CDFF873560B4}"/>
            </c:ext>
          </c:extLst>
        </c:ser>
        <c:ser>
          <c:idx val="3"/>
          <c:order val="3"/>
          <c:tx>
            <c:strRef>
              <c:f>Graphs!$C$99</c:f>
              <c:strCache>
                <c:ptCount val="1"/>
                <c:pt idx="0">
                  <c:v>Value of exports: Coltan exports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Graphs!$D$95:$H$95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Graphs!$D$99:$H$99</c:f>
              <c:numCache>
                <c:formatCode>_-* #,##0.00_-;\-* #,##0.00_-;_-* "-"??_-;_-@_-</c:formatCode>
                <c:ptCount val="5"/>
                <c:pt idx="0">
                  <c:v>56.911604897326811</c:v>
                </c:pt>
                <c:pt idx="1">
                  <c:v>134.57161369195046</c:v>
                </c:pt>
                <c:pt idx="2">
                  <c:v>104.7803306200574</c:v>
                </c:pt>
                <c:pt idx="3">
                  <c:v>66.200323020744221</c:v>
                </c:pt>
                <c:pt idx="4">
                  <c:v>39.742506761242943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09D2-4911-B6C8-CDFF873560B4}"/>
            </c:ext>
          </c:extLst>
        </c:ser>
        <c:ser>
          <c:idx val="4"/>
          <c:order val="4"/>
          <c:tx>
            <c:strRef>
              <c:f>Graphs!$C$100</c:f>
              <c:strCache>
                <c:ptCount val="1"/>
                <c:pt idx="0">
                  <c:v>Value of sales: Wolfram mining operators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Graphs!$D$95:$H$95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Graphs!$D$100:$H$100</c:f>
              <c:numCache>
                <c:formatCode>_-* #,##0.00_-;\-* #,##0.00_-;_-* "-"??_-;_-@_-</c:formatCode>
                <c:ptCount val="5"/>
                <c:pt idx="0">
                  <c:v>22.562071667555553</c:v>
                </c:pt>
                <c:pt idx="1">
                  <c:v>25.647295377000006</c:v>
                </c:pt>
                <c:pt idx="2">
                  <c:v>25.57986985097601</c:v>
                </c:pt>
                <c:pt idx="3">
                  <c:v>16.004829209849998</c:v>
                </c:pt>
                <c:pt idx="4">
                  <c:v>8.3485118081761005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09D2-4911-B6C8-CDFF873560B4}"/>
            </c:ext>
          </c:extLst>
        </c:ser>
        <c:ser>
          <c:idx val="5"/>
          <c:order val="5"/>
          <c:tx>
            <c:strRef>
              <c:f>Graphs!$C$101</c:f>
              <c:strCache>
                <c:ptCount val="1"/>
                <c:pt idx="0">
                  <c:v>Value of exports: Wolfram exports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Graphs!$D$95:$H$95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Graphs!$D$101:$H$101</c:f>
              <c:numCache>
                <c:formatCode>_-* #,##0.00_-;\-* #,##0.00_-;_-* "-"??_-;_-@_-</c:formatCode>
                <c:ptCount val="5"/>
                <c:pt idx="0">
                  <c:v>26.262461961048032</c:v>
                </c:pt>
                <c:pt idx="1">
                  <c:v>30.05378226228634</c:v>
                </c:pt>
                <c:pt idx="2">
                  <c:v>26.592317725234501</c:v>
                </c:pt>
                <c:pt idx="3">
                  <c:v>17.343128689238561</c:v>
                </c:pt>
                <c:pt idx="4">
                  <c:v>11.873682575518906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09D2-4911-B6C8-CDFF87356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9418592"/>
        <c:axId val="589420768"/>
      </c:lineChart>
      <c:catAx>
        <c:axId val="58941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20768"/>
        <c:crosses val="autoZero"/>
        <c:auto val="1"/>
        <c:lblAlgn val="ctr"/>
        <c:lblOffset val="100"/>
        <c:noMultiLvlLbl val="0"/>
      </c:catAx>
      <c:valAx>
        <c:axId val="58942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1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156-4660-A120-4D8D6843EE92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156-4660-A120-4D8D6843EE92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5156-4660-A120-4D8D6843EE92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5156-4660-A120-4D8D6843EE92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5156-4660-A120-4D8D6843EE92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5156-4660-A120-4D8D6843EE92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5156-4660-A120-4D8D6843EE92}"/>
              </c:ext>
            </c:extLst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5156-4660-A120-4D8D6843EE92}"/>
              </c:ext>
            </c:extLst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5156-4660-A120-4D8D6843EE92}"/>
              </c:ext>
            </c:extLst>
          </c:dPt>
          <c:dLbls>
            <c:dLbl>
              <c:idx val="0"/>
              <c:layout>
                <c:manualLayout>
                  <c:x val="-2.1380845725245023E-2"/>
                  <c:y val="-1.4103127174116431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5156-4660-A120-4D8D6843EE92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8.055555555555545E-2"/>
                  <c:y val="-0.12962962962962971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5156-4660-A120-4D8D6843EE92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5.7895289749180637E-2"/>
                  <c:y val="-0.10028683761803735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5156-4660-A120-4D8D6843EE92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0.17318485037448467"/>
                  <c:y val="-5.7055200417097211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5156-4660-A120-4D8D6843EE92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2.8348139428703803E-2"/>
                  <c:y val="1.4103127174116301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5156-4660-A120-4D8D6843EE92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9.4865128951752767E-2"/>
                  <c:y val="1.0577345380587322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5156-4660-A120-4D8D6843EE92}"/>
                </c:ex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0.14166666666666666"/>
                  <c:y val="0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D-5156-4660-A120-4D8D6843EE92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4.2761691450490039E-3"/>
                  <c:y val="-3.5257817935291078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F-5156-4660-A120-4D8D6843EE92}"/>
                </c:ex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4.2761691450490438E-3"/>
                  <c:y val="3.5257817935291078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1-5156-4660-A120-4D8D6843EE92}"/>
                </c:ext>
                <c:ext xmlns:c15="http://schemas.microsoft.com/office/drawing/2012/chart" uri="{CE6537A1-D6FC-4f65-9D91-7224C49458BB}"/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Graphs!$AF$42:$AF$50</c:f>
              <c:strCache>
                <c:ptCount val="9"/>
                <c:pt idx="0">
                  <c:v>Agriculture</c:v>
                </c:pt>
                <c:pt idx="1">
                  <c:v>Mining &amp; quarrying</c:v>
                </c:pt>
                <c:pt idx="2">
                  <c:v>Manufacturng</c:v>
                </c:pt>
                <c:pt idx="3">
                  <c:v>Electricity</c:v>
                </c:pt>
                <c:pt idx="4">
                  <c:v>Water &amp; waste management</c:v>
                </c:pt>
                <c:pt idx="5">
                  <c:v>Construction</c:v>
                </c:pt>
                <c:pt idx="6">
                  <c:v>Trade and transport</c:v>
                </c:pt>
                <c:pt idx="7">
                  <c:v>Other services</c:v>
                </c:pt>
                <c:pt idx="8">
                  <c:v>Taxes less subsidies</c:v>
                </c:pt>
              </c:strCache>
            </c:strRef>
          </c:cat>
          <c:val>
            <c:numRef>
              <c:f>Graphs!$AG$42:$AG$50</c:f>
              <c:numCache>
                <c:formatCode>0.0%</c:formatCode>
                <c:ptCount val="9"/>
                <c:pt idx="0">
                  <c:v>0.29038954695322994</c:v>
                </c:pt>
                <c:pt idx="1">
                  <c:v>2.4911466601538649E-2</c:v>
                </c:pt>
                <c:pt idx="2">
                  <c:v>5.8859445597753086E-2</c:v>
                </c:pt>
                <c:pt idx="3">
                  <c:v>1.1723043106606424E-2</c:v>
                </c:pt>
                <c:pt idx="4">
                  <c:v>4.7624862620588597E-3</c:v>
                </c:pt>
                <c:pt idx="5">
                  <c:v>6.2034436439125658E-2</c:v>
                </c:pt>
                <c:pt idx="6">
                  <c:v>0.11759677616314568</c:v>
                </c:pt>
                <c:pt idx="7">
                  <c:v>0.36048357552814753</c:v>
                </c:pt>
                <c:pt idx="8">
                  <c:v>6.9361338380754672E-2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2-5156-4660-A120-4D8D6843EE9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ofPieChart>
        <c:ofPieType val="bar"/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031C-4CAA-ABFA-45F40C793200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031C-4CAA-ABFA-45F40C793200}"/>
              </c:ext>
            </c:extLst>
          </c:dPt>
          <c:dPt>
            <c:idx val="2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031C-4CAA-ABFA-45F40C793200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031C-4CAA-ABFA-45F40C793200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031C-4CAA-ABFA-45F40C793200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031C-4CAA-ABFA-45F40C793200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031C-4CAA-ABFA-45F40C793200}"/>
              </c:ext>
            </c:extLst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031C-4CAA-ABFA-45F40C793200}"/>
              </c:ext>
            </c:extLst>
          </c:dPt>
          <c:dPt>
            <c:idx val="8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031C-4CAA-ABFA-45F40C793200}"/>
              </c:ext>
            </c:extLst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031C-4CAA-ABFA-45F40C793200}"/>
              </c:ext>
            </c:extLst>
          </c:dPt>
          <c:dLbls>
            <c:dLbl>
              <c:idx val="0"/>
              <c:layout>
                <c:manualLayout>
                  <c:x val="2.5326304674448134E-2"/>
                  <c:y val="-2.3148148148148147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031C-4CAA-ABFA-45F40C793200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0"/>
                  <c:y val="2.3148148148147977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031C-4CAA-ABFA-45F40C793200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4.2210507790746889E-3"/>
                  <c:y val="-3.7037037037037125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031C-4CAA-ABFA-45F40C793200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2.1105253895373445E-3"/>
                  <c:y val="3.2407407407407406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031C-4CAA-ABFA-45F40C793200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7436830063985479E-2"/>
                  <c:y val="0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031C-4CAA-ABFA-45F40C793200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8.6531540971031051E-2"/>
                  <c:y val="-0.13425925925925927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031C-4CAA-ABFA-45F40C793200}"/>
                </c:ex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2.7436830063985479E-2"/>
                  <c:y val="-3.7037037037037035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D-031C-4CAA-ABFA-45F40C793200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1.0552710039237492E-2"/>
                  <c:y val="5.0925925925925923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F-031C-4CAA-ABFA-45F40C793200}"/>
                </c:ext>
                <c:ext xmlns:c15="http://schemas.microsoft.com/office/drawing/2012/chart" uri="{CE6537A1-D6FC-4f65-9D91-7224C49458BB}">
                  <c15:layout>
                    <c:manualLayout>
                      <c:w val="0.16988665813925777"/>
                      <c:h val="0.18340296004666085"/>
                    </c:manualLayout>
                  </c15:layout>
                </c:ext>
              </c:extLst>
            </c:dLbl>
            <c:dLbl>
              <c:idx val="8"/>
              <c:layout>
                <c:manualLayout>
                  <c:x val="2.9547355453522824E-2"/>
                  <c:y val="-4.6296296296296294E-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1-031C-4CAA-ABFA-45F40C793200}"/>
                </c:ext>
                <c:ext xmlns:c15="http://schemas.microsoft.com/office/drawing/2012/chart" uri="{CE6537A1-D6FC-4f65-9D91-7224C49458BB}"/>
              </c:extLst>
            </c:dLbl>
            <c:dLbl>
              <c:idx val="9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Graphs!$AF$53:$AF$61</c:f>
              <c:strCache>
                <c:ptCount val="9"/>
                <c:pt idx="0">
                  <c:v>Agriculture</c:v>
                </c:pt>
                <c:pt idx="1">
                  <c:v>Mining &amp; quarrying</c:v>
                </c:pt>
                <c:pt idx="2">
                  <c:v>Manufacturing</c:v>
                </c:pt>
                <c:pt idx="3">
                  <c:v>Other services</c:v>
                </c:pt>
                <c:pt idx="4">
                  <c:v>Taxes less subsidies</c:v>
                </c:pt>
                <c:pt idx="5">
                  <c:v>Trade and transport</c:v>
                </c:pt>
                <c:pt idx="6">
                  <c:v>Electricity</c:v>
                </c:pt>
                <c:pt idx="7">
                  <c:v>Water &amp; waste manmnt</c:v>
                </c:pt>
                <c:pt idx="8">
                  <c:v>Construction</c:v>
                </c:pt>
              </c:strCache>
            </c:strRef>
          </c:cat>
          <c:val>
            <c:numRef>
              <c:f>Graphs!$AG$53:$AG$61</c:f>
              <c:numCache>
                <c:formatCode>0.0%</c:formatCode>
                <c:ptCount val="9"/>
                <c:pt idx="0">
                  <c:v>0.29038954695322994</c:v>
                </c:pt>
                <c:pt idx="1">
                  <c:v>2.4911466601538649E-2</c:v>
                </c:pt>
                <c:pt idx="2">
                  <c:v>5.8859445597753086E-2</c:v>
                </c:pt>
                <c:pt idx="3">
                  <c:v>0.36048357552814753</c:v>
                </c:pt>
                <c:pt idx="4">
                  <c:v>6.9361338380754672E-2</c:v>
                </c:pt>
                <c:pt idx="5">
                  <c:v>0.11759677616314568</c:v>
                </c:pt>
                <c:pt idx="6">
                  <c:v>1.1723043106606424E-2</c:v>
                </c:pt>
                <c:pt idx="7">
                  <c:v>4.7624862620588597E-3</c:v>
                </c:pt>
                <c:pt idx="8">
                  <c:v>6.2034436439125658E-2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4-031C-4CAA-ABFA-45F40C793200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Graphs!$C$84</c:f>
              <c:strCache>
                <c:ptCount val="1"/>
                <c:pt idx="0">
                  <c:v>Purchases of raw material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Graphs!$D$83:$E$83</c:f>
              <c:strCache>
                <c:ptCount val="2"/>
                <c:pt idx="0">
                  <c:v>Miners of 3Ts: 2016</c:v>
                </c:pt>
                <c:pt idx="1">
                  <c:v>Traders of 3Ts: 2016</c:v>
                </c:pt>
              </c:strCache>
            </c:strRef>
          </c:cat>
          <c:val>
            <c:numRef>
              <c:f>Graphs!$D$84:$E$84</c:f>
              <c:numCache>
                <c:formatCode>0.0%</c:formatCode>
                <c:ptCount val="2"/>
                <c:pt idx="0">
                  <c:v>0.55160864828011802</c:v>
                </c:pt>
                <c:pt idx="1">
                  <c:v>0.82519098856279682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56E-4044-B73B-E538CEA5E8DD}"/>
            </c:ext>
          </c:extLst>
        </c:ser>
        <c:ser>
          <c:idx val="1"/>
          <c:order val="1"/>
          <c:tx>
            <c:strRef>
              <c:f>Graphs!$C$85</c:f>
              <c:strCache>
                <c:ptCount val="1"/>
                <c:pt idx="0">
                  <c:v>Intermediate consumption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Graphs!$D$83:$E$83</c:f>
              <c:strCache>
                <c:ptCount val="2"/>
                <c:pt idx="0">
                  <c:v>Miners of 3Ts: 2016</c:v>
                </c:pt>
                <c:pt idx="1">
                  <c:v>Traders of 3Ts: 2016</c:v>
                </c:pt>
              </c:strCache>
            </c:strRef>
          </c:cat>
          <c:val>
            <c:numRef>
              <c:f>Graphs!$D$85:$E$85</c:f>
              <c:numCache>
                <c:formatCode>0.0%</c:formatCode>
                <c:ptCount val="2"/>
                <c:pt idx="0">
                  <c:v>0.26546212306507216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56E-4044-B73B-E538CEA5E8DD}"/>
            </c:ext>
          </c:extLst>
        </c:ser>
        <c:ser>
          <c:idx val="2"/>
          <c:order val="2"/>
          <c:tx>
            <c:strRef>
              <c:f>Graphs!$C$86</c:f>
              <c:strCache>
                <c:ptCount val="1"/>
                <c:pt idx="0">
                  <c:v>Other operating and overhead costs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Graphs!$D$83:$E$83</c:f>
              <c:strCache>
                <c:ptCount val="2"/>
                <c:pt idx="0">
                  <c:v>Miners of 3Ts: 2016</c:v>
                </c:pt>
                <c:pt idx="1">
                  <c:v>Traders of 3Ts: 2016</c:v>
                </c:pt>
              </c:strCache>
            </c:strRef>
          </c:cat>
          <c:val>
            <c:numRef>
              <c:f>Graphs!$D$86:$E$86</c:f>
              <c:numCache>
                <c:formatCode>0.0%</c:formatCode>
                <c:ptCount val="2"/>
                <c:pt idx="0">
                  <c:v>0.14923370107808068</c:v>
                </c:pt>
                <c:pt idx="1">
                  <c:v>0.15666289753039511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356E-4044-B73B-E538CEA5E8DD}"/>
            </c:ext>
          </c:extLst>
        </c:ser>
        <c:ser>
          <c:idx val="3"/>
          <c:order val="3"/>
          <c:tx>
            <c:strRef>
              <c:f>Graphs!$C$87</c:f>
              <c:strCache>
                <c:ptCount val="1"/>
                <c:pt idx="0">
                  <c:v>Consumption of capital 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Graphs!$D$83:$E$83</c:f>
              <c:strCache>
                <c:ptCount val="2"/>
                <c:pt idx="0">
                  <c:v>Miners of 3Ts: 2016</c:v>
                </c:pt>
                <c:pt idx="1">
                  <c:v>Traders of 3Ts: 2016</c:v>
                </c:pt>
              </c:strCache>
            </c:strRef>
          </c:cat>
          <c:val>
            <c:numRef>
              <c:f>Graphs!$D$87:$E$87</c:f>
              <c:numCache>
                <c:formatCode>0.0%</c:formatCode>
                <c:ptCount val="2"/>
                <c:pt idx="0">
                  <c:v>1.6436842720355668E-2</c:v>
                </c:pt>
                <c:pt idx="1">
                  <c:v>8.8517628813698079E-3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356E-4044-B73B-E538CEA5E8DD}"/>
            </c:ext>
          </c:extLst>
        </c:ser>
        <c:ser>
          <c:idx val="4"/>
          <c:order val="4"/>
          <c:tx>
            <c:strRef>
              <c:f>Graphs!$C$88</c:f>
              <c:strCache>
                <c:ptCount val="1"/>
                <c:pt idx="0">
                  <c:v>Opportunity cost of capital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Graphs!$D$83:$E$83</c:f>
              <c:strCache>
                <c:ptCount val="2"/>
                <c:pt idx="0">
                  <c:v>Miners of 3Ts: 2016</c:v>
                </c:pt>
                <c:pt idx="1">
                  <c:v>Traders of 3Ts: 2016</c:v>
                </c:pt>
              </c:strCache>
            </c:strRef>
          </c:cat>
          <c:val>
            <c:numRef>
              <c:f>Graphs!$D$88:$E$88</c:f>
              <c:numCache>
                <c:formatCode>0.0%</c:formatCode>
                <c:ptCount val="2"/>
                <c:pt idx="0">
                  <c:v>1.7258684856373451E-2</c:v>
                </c:pt>
                <c:pt idx="1">
                  <c:v>9.2943510254382983E-3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356E-4044-B73B-E538CEA5E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9412608"/>
        <c:axId val="589416416"/>
      </c:barChart>
      <c:catAx>
        <c:axId val="58941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16416"/>
        <c:crosses val="autoZero"/>
        <c:auto val="1"/>
        <c:lblAlgn val="ctr"/>
        <c:lblOffset val="100"/>
        <c:noMultiLvlLbl val="0"/>
      </c:catAx>
      <c:valAx>
        <c:axId val="5894164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1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Export prices of minerals as % of international</a:t>
            </a:r>
            <a:r>
              <a:rPr lang="en-ZA" b="1" baseline="0"/>
              <a:t> </a:t>
            </a:r>
            <a:r>
              <a:rPr lang="en-ZA" b="1"/>
              <a:t>metal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Graphs!$AJ$102</c:f>
              <c:strCache>
                <c:ptCount val="1"/>
                <c:pt idx="0">
                  <c:v>Cassiterite as % of Tin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Graphs!$AK$101:$AO$101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Graphs!$AK$102:$AO$102</c:f>
              <c:numCache>
                <c:formatCode>0%</c:formatCode>
                <c:ptCount val="5"/>
                <c:pt idx="0">
                  <c:v>0.54045458698793958</c:v>
                </c:pt>
                <c:pt idx="1">
                  <c:v>0.55994924521455169</c:v>
                </c:pt>
                <c:pt idx="2">
                  <c:v>0.55183077646764156</c:v>
                </c:pt>
                <c:pt idx="3">
                  <c:v>0.55456220817393698</c:v>
                </c:pt>
                <c:pt idx="4">
                  <c:v>0.54677287680668474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2D6-446E-B21E-241DB942ECEB}"/>
            </c:ext>
          </c:extLst>
        </c:ser>
        <c:ser>
          <c:idx val="1"/>
          <c:order val="1"/>
          <c:tx>
            <c:strRef>
              <c:f>Graphs!$AJ$103</c:f>
              <c:strCache>
                <c:ptCount val="1"/>
                <c:pt idx="0">
                  <c:v>Coltan as % of Tantalum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Graphs!$AK$101:$AO$101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Graphs!$AK$103:$AO$103</c:f>
              <c:numCache>
                <c:formatCode>0%</c:formatCode>
                <c:ptCount val="5"/>
                <c:pt idx="0">
                  <c:v>0.170267634832277</c:v>
                </c:pt>
                <c:pt idx="1">
                  <c:v>0.1721460084445777</c:v>
                </c:pt>
                <c:pt idx="2">
                  <c:v>0.29938702756217345</c:v>
                </c:pt>
                <c:pt idx="3">
                  <c:v>0.23034390802421562</c:v>
                </c:pt>
                <c:pt idx="4">
                  <c:v>0.23354336282599922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2D6-446E-B21E-241DB942ECEB}"/>
            </c:ext>
          </c:extLst>
        </c:ser>
        <c:ser>
          <c:idx val="2"/>
          <c:order val="2"/>
          <c:tx>
            <c:strRef>
              <c:f>Graphs!$AJ$104</c:f>
              <c:strCache>
                <c:ptCount val="1"/>
                <c:pt idx="0">
                  <c:v>Wolfram as % of Tungsten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Graphs!$AK$101:$AO$101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Graphs!$AK$104:$AO$104</c:f>
              <c:numCache>
                <c:formatCode>0%</c:formatCode>
                <c:ptCount val="5"/>
                <c:pt idx="0">
                  <c:v>0.26459020587665066</c:v>
                </c:pt>
                <c:pt idx="1">
                  <c:v>0.29078082706167091</c:v>
                </c:pt>
                <c:pt idx="2">
                  <c:v>0.27391209292827151</c:v>
                </c:pt>
                <c:pt idx="3">
                  <c:v>0.24105405194366478</c:v>
                </c:pt>
                <c:pt idx="4">
                  <c:v>0.18137763923804376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2D6-446E-B21E-241DB942E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9410976"/>
        <c:axId val="589416960"/>
      </c:lineChart>
      <c:catAx>
        <c:axId val="58941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16960"/>
        <c:crosses val="autoZero"/>
        <c:auto val="1"/>
        <c:lblAlgn val="ctr"/>
        <c:lblOffset val="100"/>
        <c:noMultiLvlLbl val="0"/>
      </c:catAx>
      <c:valAx>
        <c:axId val="58941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1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GDP!$F$68</c:f>
              <c:strCache>
                <c:ptCount val="1"/>
                <c:pt idx="0">
                  <c:v>Agriculture, forestry and fishing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GDP!$G$67:$Z$67</c:f>
              <c:numCache>
                <c:formatCode>General</c:formatCode>
                <c:ptCount val="20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</c:numCache>
            </c:numRef>
          </c:cat>
          <c:val>
            <c:numRef>
              <c:f>GDP!$G$68:$Z$68</c:f>
              <c:numCache>
                <c:formatCode>0%</c:formatCode>
                <c:ptCount val="20"/>
                <c:pt idx="0">
                  <c:v>0.39886363636363636</c:v>
                </c:pt>
                <c:pt idx="1">
                  <c:v>0.39538542212899841</c:v>
                </c:pt>
                <c:pt idx="2">
                  <c:v>0.39681005316578055</c:v>
                </c:pt>
                <c:pt idx="3">
                  <c:v>0.40990606319385142</c:v>
                </c:pt>
                <c:pt idx="4">
                  <c:v>0.38863351441704974</c:v>
                </c:pt>
                <c:pt idx="5">
                  <c:v>0.36819595645412129</c:v>
                </c:pt>
                <c:pt idx="6">
                  <c:v>0.35833629576964093</c:v>
                </c:pt>
                <c:pt idx="7">
                  <c:v>0.33723958333333331</c:v>
                </c:pt>
                <c:pt idx="8">
                  <c:v>0.32143937103114606</c:v>
                </c:pt>
                <c:pt idx="9">
                  <c:v>0.30794341675734493</c:v>
                </c:pt>
                <c:pt idx="10">
                  <c:v>0.31208397337429594</c:v>
                </c:pt>
                <c:pt idx="11">
                  <c:v>0.30534351145038169</c:v>
                </c:pt>
                <c:pt idx="12">
                  <c:v>0.29518338488731771</c:v>
                </c:pt>
                <c:pt idx="13">
                  <c:v>0.29021761236526339</c:v>
                </c:pt>
                <c:pt idx="14">
                  <c:v>0.28626917848125849</c:v>
                </c:pt>
                <c:pt idx="15">
                  <c:v>0.28759604829857299</c:v>
                </c:pt>
                <c:pt idx="16">
                  <c:v>0.27726432532347506</c:v>
                </c:pt>
                <c:pt idx="17">
                  <c:v>0.27176153480260029</c:v>
                </c:pt>
                <c:pt idx="18">
                  <c:v>0.27297176154190944</c:v>
                </c:pt>
                <c:pt idx="19">
                  <c:v>0.26606135644517814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818-46BB-8748-184871A7E1F7}"/>
            </c:ext>
          </c:extLst>
        </c:ser>
        <c:ser>
          <c:idx val="1"/>
          <c:order val="1"/>
          <c:tx>
            <c:strRef>
              <c:f>GDP!$F$69</c:f>
              <c:strCache>
                <c:ptCount val="1"/>
                <c:pt idx="0">
                  <c:v>Mining &amp; quarrying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GDP!$G$67:$Z$67</c:f>
              <c:numCache>
                <c:formatCode>General</c:formatCode>
                <c:ptCount val="20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</c:numCache>
            </c:numRef>
          </c:cat>
          <c:val>
            <c:numRef>
              <c:f>GDP!$G$69:$Z$69</c:f>
              <c:numCache>
                <c:formatCode>0%</c:formatCode>
                <c:ptCount val="20"/>
                <c:pt idx="0">
                  <c:v>1.1931818181818182E-2</c:v>
                </c:pt>
                <c:pt idx="1">
                  <c:v>1.5207131620346093E-2</c:v>
                </c:pt>
                <c:pt idx="2">
                  <c:v>3.8182696955050749E-2</c:v>
                </c:pt>
                <c:pt idx="3">
                  <c:v>2.5619128949615714E-2</c:v>
                </c:pt>
                <c:pt idx="4">
                  <c:v>2.0058503969912243E-2</c:v>
                </c:pt>
                <c:pt idx="5">
                  <c:v>2.76049766718507E-2</c:v>
                </c:pt>
                <c:pt idx="6">
                  <c:v>3.3060789193032347E-2</c:v>
                </c:pt>
                <c:pt idx="7">
                  <c:v>2.6041666666666668E-2</c:v>
                </c:pt>
                <c:pt idx="8">
                  <c:v>3.4472331418203807E-2</c:v>
                </c:pt>
                <c:pt idx="9">
                  <c:v>2.6115342763873776E-2</c:v>
                </c:pt>
                <c:pt idx="10">
                  <c:v>2.0225294418842805E-2</c:v>
                </c:pt>
                <c:pt idx="11">
                  <c:v>1.6937022900763359E-2</c:v>
                </c:pt>
                <c:pt idx="12">
                  <c:v>2.3420238621299161E-2</c:v>
                </c:pt>
                <c:pt idx="13">
                  <c:v>1.9930852145617246E-2</c:v>
                </c:pt>
                <c:pt idx="14">
                  <c:v>2.2917071275975916E-2</c:v>
                </c:pt>
                <c:pt idx="15">
                  <c:v>2.6893523600439079E-2</c:v>
                </c:pt>
                <c:pt idx="16">
                  <c:v>2.3525457906234247E-2</c:v>
                </c:pt>
                <c:pt idx="17">
                  <c:v>2.4417314095449501E-2</c:v>
                </c:pt>
                <c:pt idx="18">
                  <c:v>2.8238458090542359E-2</c:v>
                </c:pt>
                <c:pt idx="19">
                  <c:v>2.6551107442564316E-2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818-46BB-8748-184871A7E1F7}"/>
            </c:ext>
          </c:extLst>
        </c:ser>
        <c:ser>
          <c:idx val="2"/>
          <c:order val="2"/>
          <c:tx>
            <c:strRef>
              <c:f>GDP!$F$70</c:f>
              <c:strCache>
                <c:ptCount val="1"/>
                <c:pt idx="0">
                  <c:v>Manufacturing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GDP!$G$67:$Z$67</c:f>
              <c:numCache>
                <c:formatCode>General</c:formatCode>
                <c:ptCount val="20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</c:numCache>
            </c:numRef>
          </c:cat>
          <c:val>
            <c:numRef>
              <c:f>GDP!$G$70:$Z$70</c:f>
              <c:numCache>
                <c:formatCode>0%</c:formatCode>
                <c:ptCount val="20"/>
                <c:pt idx="0">
                  <c:v>8.0113636363636359E-2</c:v>
                </c:pt>
                <c:pt idx="1">
                  <c:v>7.3938122705820661E-2</c:v>
                </c:pt>
                <c:pt idx="2">
                  <c:v>7.4915418076365398E-2</c:v>
                </c:pt>
                <c:pt idx="3">
                  <c:v>7.6003415883859948E-2</c:v>
                </c:pt>
                <c:pt idx="4">
                  <c:v>7.7726702883409951E-2</c:v>
                </c:pt>
                <c:pt idx="5">
                  <c:v>8.1259720062208399E-2</c:v>
                </c:pt>
                <c:pt idx="6">
                  <c:v>8.0696765019552086E-2</c:v>
                </c:pt>
                <c:pt idx="7">
                  <c:v>8.3658854166666671E-2</c:v>
                </c:pt>
                <c:pt idx="8">
                  <c:v>7.8318717871182345E-2</c:v>
                </c:pt>
                <c:pt idx="9">
                  <c:v>7.4265505984766056E-2</c:v>
                </c:pt>
                <c:pt idx="10">
                  <c:v>7.1940604198668712E-2</c:v>
                </c:pt>
                <c:pt idx="11">
                  <c:v>7.3234732824427481E-2</c:v>
                </c:pt>
                <c:pt idx="12">
                  <c:v>7.3574900574458688E-2</c:v>
                </c:pt>
                <c:pt idx="13">
                  <c:v>7.1588366890380312E-2</c:v>
                </c:pt>
                <c:pt idx="14">
                  <c:v>7.1664400854534863E-2</c:v>
                </c:pt>
                <c:pt idx="15">
                  <c:v>5.8909623124771313E-2</c:v>
                </c:pt>
                <c:pt idx="16">
                  <c:v>5.8645605780541087E-2</c:v>
                </c:pt>
                <c:pt idx="17">
                  <c:v>5.8982083399397492E-2</c:v>
                </c:pt>
                <c:pt idx="18">
                  <c:v>5.9166293142088752E-2</c:v>
                </c:pt>
                <c:pt idx="19">
                  <c:v>6.0393451643967533E-2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818-46BB-8748-184871A7E1F7}"/>
            </c:ext>
          </c:extLst>
        </c:ser>
        <c:ser>
          <c:idx val="3"/>
          <c:order val="3"/>
          <c:tx>
            <c:strRef>
              <c:f>GDP!$F$71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GDP!$G$67:$Z$67</c:f>
              <c:numCache>
                <c:formatCode>General</c:formatCode>
                <c:ptCount val="20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</c:numCache>
            </c:numRef>
          </c:cat>
          <c:val>
            <c:numRef>
              <c:f>GDP!$G$71:$Z$71</c:f>
              <c:numCache>
                <c:formatCode>0%</c:formatCode>
                <c:ptCount val="20"/>
                <c:pt idx="0">
                  <c:v>2.784090909090909E-2</c:v>
                </c:pt>
                <c:pt idx="1">
                  <c:v>2.2548505506030415E-2</c:v>
                </c:pt>
                <c:pt idx="2">
                  <c:v>1.8849685838569358E-2</c:v>
                </c:pt>
                <c:pt idx="3">
                  <c:v>1.6652433817250213E-2</c:v>
                </c:pt>
                <c:pt idx="4">
                  <c:v>1.4625992478061012E-2</c:v>
                </c:pt>
                <c:pt idx="5">
                  <c:v>9.3312597200622092E-3</c:v>
                </c:pt>
                <c:pt idx="6">
                  <c:v>7.4653394952008531E-3</c:v>
                </c:pt>
                <c:pt idx="7">
                  <c:v>5.859375E-3</c:v>
                </c:pt>
                <c:pt idx="8">
                  <c:v>5.7453885697006353E-3</c:v>
                </c:pt>
                <c:pt idx="9">
                  <c:v>6.2568008705114258E-3</c:v>
                </c:pt>
                <c:pt idx="10">
                  <c:v>6.6564260112647209E-3</c:v>
                </c:pt>
                <c:pt idx="11">
                  <c:v>7.1564885496183204E-3</c:v>
                </c:pt>
                <c:pt idx="12">
                  <c:v>7.5121520106053909E-3</c:v>
                </c:pt>
                <c:pt idx="13">
                  <c:v>8.1350416920886719E-3</c:v>
                </c:pt>
                <c:pt idx="14">
                  <c:v>8.3511361429403769E-3</c:v>
                </c:pt>
                <c:pt idx="15">
                  <c:v>8.598609586534944E-3</c:v>
                </c:pt>
                <c:pt idx="16">
                  <c:v>8.5699882372710472E-3</c:v>
                </c:pt>
                <c:pt idx="17">
                  <c:v>9.1961312827017593E-3</c:v>
                </c:pt>
                <c:pt idx="18">
                  <c:v>9.263409532347229E-3</c:v>
                </c:pt>
                <c:pt idx="19">
                  <c:v>9.3547943320951982E-3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4818-46BB-8748-184871A7E1F7}"/>
            </c:ext>
          </c:extLst>
        </c:ser>
        <c:ser>
          <c:idx val="4"/>
          <c:order val="4"/>
          <c:tx>
            <c:strRef>
              <c:f>GDP!$F$72</c:f>
              <c:strCache>
                <c:ptCount val="1"/>
                <c:pt idx="0">
                  <c:v>Water &amp; waste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dashDot"/>
              <a:round/>
            </a:ln>
            <a:effectLst/>
          </c:spPr>
          <c:marker>
            <c:symbol val="none"/>
          </c:marker>
          <c:cat>
            <c:numRef>
              <c:f>GDP!$G$67:$Z$67</c:f>
              <c:numCache>
                <c:formatCode>General</c:formatCode>
                <c:ptCount val="20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</c:numCache>
            </c:numRef>
          </c:cat>
          <c:val>
            <c:numRef>
              <c:f>GDP!$G$72:$Z$72</c:f>
              <c:numCache>
                <c:formatCode>0%</c:formatCode>
                <c:ptCount val="20"/>
                <c:pt idx="0">
                  <c:v>2.1022727272727273E-2</c:v>
                </c:pt>
                <c:pt idx="1">
                  <c:v>1.7304667016255899E-2</c:v>
                </c:pt>
                <c:pt idx="2">
                  <c:v>1.4499758337361043E-2</c:v>
                </c:pt>
                <c:pt idx="3">
                  <c:v>1.2382578992314262E-2</c:v>
                </c:pt>
                <c:pt idx="4">
                  <c:v>1.1282908483075638E-2</c:v>
                </c:pt>
                <c:pt idx="5">
                  <c:v>6.9984447900466561E-3</c:v>
                </c:pt>
                <c:pt idx="6">
                  <c:v>5.6878777106292213E-3</c:v>
                </c:pt>
                <c:pt idx="7">
                  <c:v>4.557291666666667E-3</c:v>
                </c:pt>
                <c:pt idx="8">
                  <c:v>4.5358330813426067E-3</c:v>
                </c:pt>
                <c:pt idx="9">
                  <c:v>4.6245919477693144E-3</c:v>
                </c:pt>
                <c:pt idx="10">
                  <c:v>5.1203277009728623E-3</c:v>
                </c:pt>
                <c:pt idx="11">
                  <c:v>5.4866412213740454E-3</c:v>
                </c:pt>
                <c:pt idx="12">
                  <c:v>5.7445868316394165E-3</c:v>
                </c:pt>
                <c:pt idx="13">
                  <c:v>5.69452918446207E-3</c:v>
                </c:pt>
                <c:pt idx="14">
                  <c:v>5.8263740532142165E-3</c:v>
                </c:pt>
                <c:pt idx="15">
                  <c:v>5.6714233443102818E-3</c:v>
                </c:pt>
                <c:pt idx="16">
                  <c:v>5.20920853638044E-3</c:v>
                </c:pt>
                <c:pt idx="17">
                  <c:v>5.2322815918820357E-3</c:v>
                </c:pt>
                <c:pt idx="18">
                  <c:v>4.9305244285073957E-3</c:v>
                </c:pt>
                <c:pt idx="19">
                  <c:v>4.6773971660475991E-3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4818-46BB-8748-184871A7E1F7}"/>
            </c:ext>
          </c:extLst>
        </c:ser>
        <c:ser>
          <c:idx val="5"/>
          <c:order val="5"/>
          <c:tx>
            <c:strRef>
              <c:f>GDP!$F$73</c:f>
              <c:strCache>
                <c:ptCount val="1"/>
                <c:pt idx="0">
                  <c:v>Construction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GDP!$G$67:$Z$67</c:f>
              <c:numCache>
                <c:formatCode>General</c:formatCode>
                <c:ptCount val="20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</c:numCache>
            </c:numRef>
          </c:cat>
          <c:val>
            <c:numRef>
              <c:f>GDP!$G$73:$Z$73</c:f>
              <c:numCache>
                <c:formatCode>0%</c:formatCode>
                <c:ptCount val="20"/>
                <c:pt idx="0">
                  <c:v>4.261363636363636E-2</c:v>
                </c:pt>
                <c:pt idx="1">
                  <c:v>4.0377556371263765E-2</c:v>
                </c:pt>
                <c:pt idx="2">
                  <c:v>4.1082648622522956E-2</c:v>
                </c:pt>
                <c:pt idx="3">
                  <c:v>3.7147736976942784E-2</c:v>
                </c:pt>
                <c:pt idx="4">
                  <c:v>3.9699122440451318E-2</c:v>
                </c:pt>
                <c:pt idx="5">
                  <c:v>4.432348367029549E-2</c:v>
                </c:pt>
                <c:pt idx="6">
                  <c:v>4.408105225737647E-2</c:v>
                </c:pt>
                <c:pt idx="7">
                  <c:v>4.5572916666666664E-2</c:v>
                </c:pt>
                <c:pt idx="8">
                  <c:v>4.8684608406410645E-2</c:v>
                </c:pt>
                <c:pt idx="9">
                  <c:v>5.6039173014145807E-2</c:v>
                </c:pt>
                <c:pt idx="10">
                  <c:v>5.3507424475166411E-2</c:v>
                </c:pt>
                <c:pt idx="11">
                  <c:v>5.4389312977099237E-2</c:v>
                </c:pt>
                <c:pt idx="12">
                  <c:v>6.2085726911179848E-2</c:v>
                </c:pt>
                <c:pt idx="13">
                  <c:v>6.5487085621313806E-2</c:v>
                </c:pt>
                <c:pt idx="14">
                  <c:v>6.9333851233249172E-2</c:v>
                </c:pt>
                <c:pt idx="15">
                  <c:v>7.1716062934504207E-2</c:v>
                </c:pt>
                <c:pt idx="16">
                  <c:v>7.6121660225172236E-2</c:v>
                </c:pt>
                <c:pt idx="17">
                  <c:v>7.5313144125574757E-2</c:v>
                </c:pt>
                <c:pt idx="18">
                  <c:v>6.8728522336769765E-2</c:v>
                </c:pt>
                <c:pt idx="19">
                  <c:v>7.222451506397029E-2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4818-46BB-8748-184871A7E1F7}"/>
            </c:ext>
          </c:extLst>
        </c:ser>
        <c:ser>
          <c:idx val="6"/>
          <c:order val="6"/>
          <c:tx>
            <c:strRef>
              <c:f>GDP!$F$74</c:f>
              <c:strCache>
                <c:ptCount val="1"/>
                <c:pt idx="0">
                  <c:v>Trade and transport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GDP!$G$67:$Z$67</c:f>
              <c:numCache>
                <c:formatCode>General</c:formatCode>
                <c:ptCount val="20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</c:numCache>
            </c:numRef>
          </c:cat>
          <c:val>
            <c:numRef>
              <c:f>GDP!$G$74:$Z$74</c:f>
              <c:numCache>
                <c:formatCode>0%</c:formatCode>
                <c:ptCount val="20"/>
                <c:pt idx="0">
                  <c:v>7.1590909090909094E-2</c:v>
                </c:pt>
                <c:pt idx="1">
                  <c:v>7.5511274252753016E-2</c:v>
                </c:pt>
                <c:pt idx="2">
                  <c:v>7.5398743354277431E-2</c:v>
                </c:pt>
                <c:pt idx="3">
                  <c:v>7.643040136635354E-2</c:v>
                </c:pt>
                <c:pt idx="4">
                  <c:v>7.6890931884663602E-2</c:v>
                </c:pt>
                <c:pt idx="5">
                  <c:v>8.164852255054432E-2</c:v>
                </c:pt>
                <c:pt idx="6">
                  <c:v>8.5318165659438325E-2</c:v>
                </c:pt>
                <c:pt idx="7">
                  <c:v>9.4401041666666671E-2</c:v>
                </c:pt>
                <c:pt idx="8">
                  <c:v>0.10069549440580587</c:v>
                </c:pt>
                <c:pt idx="9">
                  <c:v>0.10908596300326442</c:v>
                </c:pt>
                <c:pt idx="10">
                  <c:v>0.10829493087557604</c:v>
                </c:pt>
                <c:pt idx="11">
                  <c:v>0.10997137404580153</c:v>
                </c:pt>
                <c:pt idx="12">
                  <c:v>0.10892620415377817</c:v>
                </c:pt>
                <c:pt idx="13">
                  <c:v>0.11511083994305471</c:v>
                </c:pt>
                <c:pt idx="14">
                  <c:v>0.11633326859584385</c:v>
                </c:pt>
                <c:pt idx="15">
                  <c:v>0.11708744968898646</c:v>
                </c:pt>
                <c:pt idx="16">
                  <c:v>0.11997983532179465</c:v>
                </c:pt>
                <c:pt idx="17">
                  <c:v>0.12081813857618519</c:v>
                </c:pt>
                <c:pt idx="18">
                  <c:v>0.1181831764530106</c:v>
                </c:pt>
                <c:pt idx="19">
                  <c:v>0.12615215297840143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4818-46BB-8748-184871A7E1F7}"/>
            </c:ext>
          </c:extLst>
        </c:ser>
        <c:ser>
          <c:idx val="7"/>
          <c:order val="7"/>
          <c:tx>
            <c:strRef>
              <c:f>GDP!$F$75</c:f>
              <c:strCache>
                <c:ptCount val="1"/>
                <c:pt idx="0">
                  <c:v>Other services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GDP!$G$67:$Z$67</c:f>
              <c:numCache>
                <c:formatCode>General</c:formatCode>
                <c:ptCount val="20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</c:numCache>
            </c:numRef>
          </c:cat>
          <c:val>
            <c:numRef>
              <c:f>GDP!$G$75:$Z$75</c:f>
              <c:numCache>
                <c:formatCode>0%</c:formatCode>
                <c:ptCount val="20"/>
                <c:pt idx="0">
                  <c:v>0.34488636363636366</c:v>
                </c:pt>
                <c:pt idx="1">
                  <c:v>0.35710540115364447</c:v>
                </c:pt>
                <c:pt idx="2">
                  <c:v>0.34509424842919284</c:v>
                </c:pt>
                <c:pt idx="3">
                  <c:v>0.3300597779675491</c:v>
                </c:pt>
                <c:pt idx="4">
                  <c:v>0.35394901796907646</c:v>
                </c:pt>
                <c:pt idx="5">
                  <c:v>0.35147744945567649</c:v>
                </c:pt>
                <c:pt idx="6">
                  <c:v>0.35726981869889796</c:v>
                </c:pt>
                <c:pt idx="7">
                  <c:v>0.33072916666666669</c:v>
                </c:pt>
                <c:pt idx="8">
                  <c:v>0.34048986997278502</c:v>
                </c:pt>
                <c:pt idx="9">
                  <c:v>0.33650707290533188</c:v>
                </c:pt>
                <c:pt idx="10">
                  <c:v>0.33819764464925756</c:v>
                </c:pt>
                <c:pt idx="11">
                  <c:v>0.34422709923664124</c:v>
                </c:pt>
                <c:pt idx="12">
                  <c:v>0.3466637207247017</c:v>
                </c:pt>
                <c:pt idx="13">
                  <c:v>0.350823672971324</c:v>
                </c:pt>
                <c:pt idx="14">
                  <c:v>0.3517187803456982</c:v>
                </c:pt>
                <c:pt idx="15">
                  <c:v>0.35455543358946212</c:v>
                </c:pt>
                <c:pt idx="16">
                  <c:v>0.35859519408502771</c:v>
                </c:pt>
                <c:pt idx="17">
                  <c:v>0.36308863167908673</c:v>
                </c:pt>
                <c:pt idx="18">
                  <c:v>0.37397280741072764</c:v>
                </c:pt>
                <c:pt idx="19">
                  <c:v>0.36690053652496907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E-4818-46BB-8748-184871A7E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9417504"/>
        <c:axId val="589419680"/>
      </c:lineChart>
      <c:catAx>
        <c:axId val="58941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19680"/>
        <c:crosses val="autoZero"/>
        <c:auto val="1"/>
        <c:lblAlgn val="ctr"/>
        <c:lblOffset val="100"/>
        <c:noMultiLvlLbl val="0"/>
      </c:catAx>
      <c:valAx>
        <c:axId val="58941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1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6512266952546409E-3"/>
          <c:y val="0.65039656302504167"/>
          <c:w val="0.98616255714514556"/>
          <c:h val="0.327793186157073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'Metal prices'!$C$25</c:f>
              <c:strCache>
                <c:ptCount val="1"/>
                <c:pt idx="0">
                  <c:v>Tin (LH axis)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'Metal prices'!$B$26:$B$43</c:f>
              <c:numCache>
                <c:formatCode>General</c:formatCode>
                <c:ptCount val="18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</c:numCache>
            </c:numRef>
          </c:cat>
          <c:val>
            <c:numRef>
              <c:f>'Metal prices'!$C$26:$C$43</c:f>
              <c:numCache>
                <c:formatCode>General</c:formatCode>
                <c:ptCount val="18"/>
                <c:pt idx="0">
                  <c:v>4889</c:v>
                </c:pt>
                <c:pt idx="1">
                  <c:v>4061</c:v>
                </c:pt>
                <c:pt idx="2">
                  <c:v>4889</c:v>
                </c:pt>
                <c:pt idx="3">
                  <c:v>8480</c:v>
                </c:pt>
                <c:pt idx="4">
                  <c:v>7385</c:v>
                </c:pt>
                <c:pt idx="5">
                  <c:v>8754</c:v>
                </c:pt>
                <c:pt idx="6">
                  <c:v>14495</c:v>
                </c:pt>
                <c:pt idx="7">
                  <c:v>18466</c:v>
                </c:pt>
                <c:pt idx="8">
                  <c:v>13602</c:v>
                </c:pt>
                <c:pt idx="9">
                  <c:v>20367</c:v>
                </c:pt>
                <c:pt idx="10">
                  <c:v>26051</c:v>
                </c:pt>
                <c:pt idx="11">
                  <c:v>21109</c:v>
                </c:pt>
                <c:pt idx="12">
                  <c:v>22281</c:v>
                </c:pt>
                <c:pt idx="13">
                  <c:v>21898</c:v>
                </c:pt>
                <c:pt idx="14">
                  <c:v>16066</c:v>
                </c:pt>
                <c:pt idx="15">
                  <c:v>17933</c:v>
                </c:pt>
                <c:pt idx="16">
                  <c:v>21204</c:v>
                </c:pt>
                <c:pt idx="17">
                  <c:v>21825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4AF-49DC-A289-D81821B03AB5}"/>
            </c:ext>
          </c:extLst>
        </c:ser>
        <c:ser>
          <c:idx val="2"/>
          <c:order val="2"/>
          <c:tx>
            <c:strRef>
              <c:f>'Metal prices'!$E$25</c:f>
              <c:strCache>
                <c:ptCount val="1"/>
                <c:pt idx="0">
                  <c:v>Tungsten (LH axis)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'Metal prices'!$B$26:$B$43</c:f>
              <c:numCache>
                <c:formatCode>General</c:formatCode>
                <c:ptCount val="18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</c:numCache>
            </c:numRef>
          </c:cat>
          <c:val>
            <c:numRef>
              <c:f>'Metal prices'!$E$26:$E$43</c:f>
              <c:numCache>
                <c:formatCode>General</c:formatCode>
                <c:ptCount val="18"/>
                <c:pt idx="0">
                  <c:v>12500</c:v>
                </c:pt>
                <c:pt idx="1">
                  <c:v>9080</c:v>
                </c:pt>
                <c:pt idx="2">
                  <c:v>8710</c:v>
                </c:pt>
                <c:pt idx="3">
                  <c:v>11600</c:v>
                </c:pt>
                <c:pt idx="4">
                  <c:v>29900</c:v>
                </c:pt>
                <c:pt idx="5">
                  <c:v>37000</c:v>
                </c:pt>
                <c:pt idx="6">
                  <c:v>35900</c:v>
                </c:pt>
                <c:pt idx="7">
                  <c:v>35100</c:v>
                </c:pt>
                <c:pt idx="8">
                  <c:v>25700</c:v>
                </c:pt>
                <c:pt idx="9">
                  <c:v>27000</c:v>
                </c:pt>
                <c:pt idx="10">
                  <c:v>46700</c:v>
                </c:pt>
                <c:pt idx="11">
                  <c:v>56700</c:v>
                </c:pt>
                <c:pt idx="12">
                  <c:v>46600</c:v>
                </c:pt>
                <c:pt idx="13">
                  <c:v>43840</c:v>
                </c:pt>
                <c:pt idx="14">
                  <c:v>40320</c:v>
                </c:pt>
                <c:pt idx="15">
                  <c:v>38150</c:v>
                </c:pt>
                <c:pt idx="16">
                  <c:v>35200</c:v>
                </c:pt>
                <c:pt idx="17">
                  <c:v>30300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4AF-49DC-A289-D81821B03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9421312"/>
        <c:axId val="589421856"/>
      </c:lineChart>
      <c:lineChart>
        <c:grouping val="standard"/>
        <c:varyColors val="0"/>
        <c:ser>
          <c:idx val="1"/>
          <c:order val="1"/>
          <c:tx>
            <c:strRef>
              <c:f>'Metal prices'!$D$25</c:f>
              <c:strCache>
                <c:ptCount val="1"/>
                <c:pt idx="0">
                  <c:v>Tantalum (RH axis)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'Metal prices'!$B$26:$B$43</c:f>
              <c:numCache>
                <c:formatCode>General</c:formatCode>
                <c:ptCount val="18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</c:numCache>
            </c:numRef>
          </c:cat>
          <c:val>
            <c:numRef>
              <c:f>'Metal prices'!$D$26:$D$43</c:f>
              <c:numCache>
                <c:formatCode>General</c:formatCode>
                <c:ptCount val="18"/>
                <c:pt idx="0">
                  <c:v>99500</c:v>
                </c:pt>
                <c:pt idx="1">
                  <c:v>80500</c:v>
                </c:pt>
                <c:pt idx="2">
                  <c:v>80200</c:v>
                </c:pt>
                <c:pt idx="3">
                  <c:v>80000</c:v>
                </c:pt>
                <c:pt idx="4">
                  <c:v>94000</c:v>
                </c:pt>
                <c:pt idx="5">
                  <c:v>87500</c:v>
                </c:pt>
                <c:pt idx="6">
                  <c:v>100000</c:v>
                </c:pt>
                <c:pt idx="7">
                  <c:v>118000</c:v>
                </c:pt>
                <c:pt idx="8">
                  <c:v>108000</c:v>
                </c:pt>
                <c:pt idx="9">
                  <c:v>146000</c:v>
                </c:pt>
                <c:pt idx="10">
                  <c:v>336000</c:v>
                </c:pt>
                <c:pt idx="11">
                  <c:v>292000</c:v>
                </c:pt>
                <c:pt idx="12">
                  <c:v>317000</c:v>
                </c:pt>
                <c:pt idx="13">
                  <c:v>152000</c:v>
                </c:pt>
                <c:pt idx="14">
                  <c:v>174000</c:v>
                </c:pt>
                <c:pt idx="15">
                  <c:v>134000</c:v>
                </c:pt>
                <c:pt idx="16">
                  <c:v>128000</c:v>
                </c:pt>
                <c:pt idx="17">
                  <c:v>151800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4AF-49DC-A289-D81821B03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9422400"/>
        <c:axId val="589410432"/>
      </c:lineChart>
      <c:catAx>
        <c:axId val="58942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21856"/>
        <c:crosses val="autoZero"/>
        <c:auto val="1"/>
        <c:lblAlgn val="ctr"/>
        <c:lblOffset val="100"/>
        <c:noMultiLvlLbl val="0"/>
      </c:catAx>
      <c:valAx>
        <c:axId val="58942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400" b="1"/>
                  <a:t>US$/tonne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21312"/>
        <c:crosses val="autoZero"/>
        <c:crossBetween val="between"/>
      </c:valAx>
      <c:valAx>
        <c:axId val="5894104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400" b="1"/>
                  <a:t>US$/tonne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22400"/>
        <c:crosses val="max"/>
        <c:crossBetween val="between"/>
      </c:valAx>
      <c:catAx>
        <c:axId val="5894224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94104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117474</xdr:colOff>
      <xdr:row>0</xdr:row>
      <xdr:rowOff>130175</xdr:rowOff>
    </xdr:from>
    <xdr:to>
      <xdr:col>19</xdr:col>
      <xdr:colOff>177799</xdr:colOff>
      <xdr:row>15</xdr:row>
      <xdr:rowOff>111125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92074</xdr:colOff>
      <xdr:row>16</xdr:row>
      <xdr:rowOff>47624</xdr:rowOff>
    </xdr:from>
    <xdr:to>
      <xdr:col>19</xdr:col>
      <xdr:colOff>177799</xdr:colOff>
      <xdr:row>32</xdr:row>
      <xdr:rowOff>171449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92074</xdr:colOff>
      <xdr:row>33</xdr:row>
      <xdr:rowOff>111124</xdr:rowOff>
    </xdr:from>
    <xdr:to>
      <xdr:col>19</xdr:col>
      <xdr:colOff>311150</xdr:colOff>
      <xdr:row>51</xdr:row>
      <xdr:rowOff>44449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95250</xdr:colOff>
      <xdr:row>52</xdr:row>
      <xdr:rowOff>82550</xdr:rowOff>
    </xdr:from>
    <xdr:to>
      <xdr:col>19</xdr:col>
      <xdr:colOff>342900</xdr:colOff>
      <xdr:row>70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120650</xdr:colOff>
      <xdr:row>70</xdr:row>
      <xdr:rowOff>133350</xdr:rowOff>
    </xdr:from>
    <xdr:to>
      <xdr:col>19</xdr:col>
      <xdr:colOff>368300</xdr:colOff>
      <xdr:row>89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603250</xdr:colOff>
      <xdr:row>70</xdr:row>
      <xdr:rowOff>82550</xdr:rowOff>
    </xdr:from>
    <xdr:to>
      <xdr:col>28</xdr:col>
      <xdr:colOff>571500</xdr:colOff>
      <xdr:row>89</xdr:row>
      <xdr:rowOff>25400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xmlns="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577850</xdr:colOff>
      <xdr:row>52</xdr:row>
      <xdr:rowOff>57150</xdr:rowOff>
    </xdr:from>
    <xdr:to>
      <xdr:col>28</xdr:col>
      <xdr:colOff>546100</xdr:colOff>
      <xdr:row>70</xdr:row>
      <xdr:rowOff>50800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xmlns="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138906</xdr:colOff>
      <xdr:row>1</xdr:row>
      <xdr:rowOff>76994</xdr:rowOff>
    </xdr:from>
    <xdr:to>
      <xdr:col>37</xdr:col>
      <xdr:colOff>436563</xdr:colOff>
      <xdr:row>19</xdr:row>
      <xdr:rowOff>174625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xmlns="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28</xdr:col>
      <xdr:colOff>369093</xdr:colOff>
      <xdr:row>21</xdr:row>
      <xdr:rowOff>100806</xdr:rowOff>
    </xdr:from>
    <xdr:to>
      <xdr:col>38</xdr:col>
      <xdr:colOff>349249</xdr:colOff>
      <xdr:row>36</xdr:row>
      <xdr:rowOff>105569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xmlns="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45</xdr:col>
      <xdr:colOff>99219</xdr:colOff>
      <xdr:row>31</xdr:row>
      <xdr:rowOff>45243</xdr:rowOff>
    </xdr:from>
    <xdr:to>
      <xdr:col>52</xdr:col>
      <xdr:colOff>392907</xdr:colOff>
      <xdr:row>46</xdr:row>
      <xdr:rowOff>50006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xmlns="" id="{00000000-0008-0000-03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273843</xdr:colOff>
      <xdr:row>92</xdr:row>
      <xdr:rowOff>168275</xdr:rowOff>
    </xdr:from>
    <xdr:to>
      <xdr:col>15</xdr:col>
      <xdr:colOff>567531</xdr:colOff>
      <xdr:row>107</xdr:row>
      <xdr:rowOff>173038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xmlns="" i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34</xdr:col>
      <xdr:colOff>171979</xdr:colOff>
      <xdr:row>38</xdr:row>
      <xdr:rowOff>165629</xdr:rowOff>
    </xdr:from>
    <xdr:to>
      <xdr:col>44</xdr:col>
      <xdr:colOff>26459</xdr:colOff>
      <xdr:row>58</xdr:row>
      <xdr:rowOff>63500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xmlns="" id="{00000000-0008-0000-03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176417</xdr:colOff>
      <xdr:row>58</xdr:row>
      <xdr:rowOff>108235</xdr:rowOff>
    </xdr:from>
    <xdr:to>
      <xdr:col>44</xdr:col>
      <xdr:colOff>45358</xdr:colOff>
      <xdr:row>75</xdr:row>
      <xdr:rowOff>40820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xmlns="" id="{00000000-0008-0000-03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20</xdr:col>
      <xdr:colOff>38100</xdr:colOff>
      <xdr:row>89</xdr:row>
      <xdr:rowOff>125730</xdr:rowOff>
    </xdr:from>
    <xdr:to>
      <xdr:col>25</xdr:col>
      <xdr:colOff>396240</xdr:colOff>
      <xdr:row>104</xdr:row>
      <xdr:rowOff>125730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xmlns="" id="{B9BFA7C6-03C9-4DF9-BC21-BF225C09ED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42</xdr:col>
      <xdr:colOff>158750</xdr:colOff>
      <xdr:row>99</xdr:row>
      <xdr:rowOff>63500</xdr:rowOff>
    </xdr:from>
    <xdr:to>
      <xdr:col>48</xdr:col>
      <xdr:colOff>533400</xdr:colOff>
      <xdr:row>120</xdr:row>
      <xdr:rowOff>114300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ED69575C-CDFE-45D0-B830-868A36930F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76</xdr:row>
      <xdr:rowOff>179070</xdr:rowOff>
    </xdr:from>
    <xdr:to>
      <xdr:col>20</xdr:col>
      <xdr:colOff>190500</xdr:colOff>
      <xdr:row>97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27663749-18DE-42A5-8232-A93651220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</xdr:colOff>
      <xdr:row>0</xdr:row>
      <xdr:rowOff>45720</xdr:rowOff>
    </xdr:from>
    <xdr:to>
      <xdr:col>20</xdr:col>
      <xdr:colOff>541020</xdr:colOff>
      <xdr:row>23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9AB9EBD0-4F86-4459-B4EE-B24820121E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ames Blignaut" id="{07EC6C63-E4E9-4214-A6E8-7453A657C061}" userId="e3808e4c7e55a0b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19-06-12T06:57:02.40" personId="{07EC6C63-E4E9-4214-A6E8-7453A657C061}" id="{DC8843C4-164A-4C62-AAB5-596A654B594C}">
    <text>https://www.metalary.com/tin-price/</text>
  </threadedComment>
  <threadedComment ref="D2" dT="2019-06-12T07:05:28.54" personId="{07EC6C63-E4E9-4214-A6E8-7453A657C061}" id="{4424F3DE-743A-4F59-91F4-2A25A1D8A566}">
    <text>https://www.metalary.com/tantalum-price/</text>
  </threadedComment>
  <threadedComment ref="E2" dT="2019-06-12T07:08:15.38" personId="{07EC6C63-E4E9-4214-A6E8-7453A657C061}" id="{FA16BCF8-0E47-4D2E-A3A9-EE246C497987}">
    <text>https://www.metalary.com/tungsten-price/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metalary.com/tungsten-price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Z51"/>
  <sheetViews>
    <sheetView tabSelected="1" zoomScaleNormal="100" workbookViewId="0"/>
  </sheetViews>
  <sheetFormatPr defaultColWidth="8.7109375" defaultRowHeight="12.75" x14ac:dyDescent="0.25"/>
  <cols>
    <col min="1" max="1" width="4.5703125" style="85" customWidth="1"/>
    <col min="2" max="2" width="43.42578125" style="84" customWidth="1"/>
    <col min="3" max="3" width="8.42578125" style="84" bestFit="1" customWidth="1"/>
    <col min="4" max="4" width="12" style="84" customWidth="1"/>
    <col min="5" max="5" width="11" style="84" bestFit="1" customWidth="1"/>
    <col min="6" max="9" width="10.7109375" style="84" bestFit="1" customWidth="1"/>
    <col min="10" max="10" width="26.7109375" style="84" bestFit="1" customWidth="1"/>
    <col min="11" max="11" width="4.5703125" style="84" bestFit="1" customWidth="1"/>
    <col min="12" max="12" width="41.5703125" style="84" customWidth="1"/>
    <col min="13" max="13" width="6.28515625" style="84" bestFit="1" customWidth="1"/>
    <col min="14" max="14" width="7.5703125" style="84" bestFit="1" customWidth="1"/>
    <col min="15" max="15" width="12.28515625" style="84" bestFit="1" customWidth="1"/>
    <col min="16" max="19" width="11" style="84" bestFit="1" customWidth="1"/>
    <col min="20" max="20" width="11.7109375" style="84" bestFit="1" customWidth="1"/>
    <col min="21" max="25" width="11" style="84" customWidth="1"/>
    <col min="26" max="26" width="48.42578125" style="84" customWidth="1"/>
    <col min="27" max="16384" width="8.7109375" style="84"/>
  </cols>
  <sheetData>
    <row r="1" spans="1:26" ht="24" thickBot="1" x14ac:dyDescent="0.3">
      <c r="A1" s="83" t="s">
        <v>213</v>
      </c>
      <c r="P1" s="215"/>
      <c r="R1" s="215"/>
    </row>
    <row r="2" spans="1:26" ht="15.75" thickBot="1" x14ac:dyDescent="0.3">
      <c r="A2" s="84"/>
      <c r="B2" s="413" t="s">
        <v>214</v>
      </c>
      <c r="C2" s="414"/>
      <c r="D2" s="414"/>
      <c r="E2" s="414"/>
      <c r="F2" s="414"/>
      <c r="G2" s="414"/>
      <c r="H2" s="414"/>
      <c r="I2" s="414"/>
      <c r="J2" s="415"/>
      <c r="L2" s="413" t="s">
        <v>215</v>
      </c>
      <c r="M2" s="414"/>
      <c r="N2" s="414"/>
      <c r="O2" s="414"/>
      <c r="P2" s="414"/>
      <c r="Q2" s="414"/>
      <c r="R2" s="414"/>
      <c r="S2" s="415"/>
      <c r="T2" s="54" t="s">
        <v>140</v>
      </c>
      <c r="U2" s="55">
        <f>'Basic data - source records'!AF5</f>
        <v>614.29514240306696</v>
      </c>
      <c r="V2" s="55">
        <f>'Basic data - source records'!AG5</f>
        <v>646.63597455067304</v>
      </c>
      <c r="W2" s="55">
        <f>'Basic data - source records'!AH5</f>
        <v>681.86171894726601</v>
      </c>
      <c r="X2" s="55">
        <f>'Basic data - source records'!AI5</f>
        <v>720.97510889672799</v>
      </c>
      <c r="Y2" s="154">
        <f>'Basic data - source records'!AJ5</f>
        <v>788</v>
      </c>
    </row>
    <row r="3" spans="1:26" x14ac:dyDescent="0.25">
      <c r="B3" s="56"/>
      <c r="C3" s="57" t="s">
        <v>3</v>
      </c>
      <c r="D3" s="57" t="s">
        <v>23</v>
      </c>
      <c r="E3" s="57">
        <v>2012</v>
      </c>
      <c r="F3" s="57">
        <v>2013</v>
      </c>
      <c r="G3" s="57">
        <v>2014</v>
      </c>
      <c r="H3" s="57">
        <v>2015</v>
      </c>
      <c r="I3" s="57">
        <v>2016</v>
      </c>
      <c r="J3" s="58" t="s">
        <v>27</v>
      </c>
      <c r="L3" s="59"/>
      <c r="M3" s="60" t="s">
        <v>3</v>
      </c>
      <c r="N3" s="60" t="s">
        <v>23</v>
      </c>
      <c r="O3" s="60">
        <v>2012</v>
      </c>
      <c r="P3" s="60">
        <v>2013</v>
      </c>
      <c r="Q3" s="60">
        <v>2014</v>
      </c>
      <c r="R3" s="60">
        <v>2015</v>
      </c>
      <c r="S3" s="61">
        <v>2016</v>
      </c>
      <c r="T3" s="59" t="s">
        <v>23</v>
      </c>
      <c r="U3" s="60">
        <v>2012</v>
      </c>
      <c r="V3" s="60">
        <v>2013</v>
      </c>
      <c r="W3" s="60">
        <v>2014</v>
      </c>
      <c r="X3" s="60">
        <v>2015</v>
      </c>
      <c r="Y3" s="61">
        <v>2016</v>
      </c>
      <c r="Z3" s="88" t="s">
        <v>27</v>
      </c>
    </row>
    <row r="4" spans="1:26" ht="15" x14ac:dyDescent="0.25">
      <c r="B4" s="422" t="s">
        <v>0</v>
      </c>
      <c r="C4" s="423"/>
      <c r="D4" s="423"/>
      <c r="E4" s="423"/>
      <c r="F4" s="423"/>
      <c r="G4" s="423"/>
      <c r="H4" s="423"/>
      <c r="I4" s="423"/>
      <c r="J4" s="424"/>
      <c r="L4" s="416" t="s">
        <v>0</v>
      </c>
      <c r="M4" s="417"/>
      <c r="N4" s="417"/>
      <c r="O4" s="417"/>
      <c r="P4" s="417"/>
      <c r="Q4" s="417"/>
      <c r="R4" s="417"/>
      <c r="S4" s="418"/>
      <c r="T4" s="416" t="s">
        <v>0</v>
      </c>
      <c r="U4" s="417"/>
      <c r="V4" s="417"/>
      <c r="W4" s="417"/>
      <c r="X4" s="417"/>
      <c r="Y4" s="418"/>
      <c r="Z4" s="76"/>
    </row>
    <row r="5" spans="1:26" ht="12.75" customHeight="1" x14ac:dyDescent="0.25">
      <c r="B5" s="62" t="s">
        <v>13</v>
      </c>
      <c r="C5" s="63" t="s">
        <v>12</v>
      </c>
      <c r="D5" s="63" t="s">
        <v>2</v>
      </c>
      <c r="E5" s="64">
        <f>'Basic data - source records'!C5</f>
        <v>3670.5237149999998</v>
      </c>
      <c r="F5" s="64">
        <f>'Basic data - source records'!D5</f>
        <v>6112.1432199999999</v>
      </c>
      <c r="G5" s="64">
        <f>'Basic data - source records'!E5</f>
        <v>7137.4682799999991</v>
      </c>
      <c r="H5" s="64">
        <f>'Basic data - source records'!F5</f>
        <v>4714.1223749999999</v>
      </c>
      <c r="I5" s="64">
        <f>'Basic data - source records'!G5</f>
        <v>2024</v>
      </c>
      <c r="J5" s="65" t="s">
        <v>166</v>
      </c>
      <c r="L5" s="62" t="s">
        <v>6</v>
      </c>
      <c r="M5" s="101" t="s">
        <v>12</v>
      </c>
      <c r="N5" s="101" t="s">
        <v>2</v>
      </c>
      <c r="O5" s="102">
        <f>E5</f>
        <v>3670.5237149999998</v>
      </c>
      <c r="P5" s="102">
        <f>F5</f>
        <v>6112.1432199999999</v>
      </c>
      <c r="Q5" s="102">
        <f>G5</f>
        <v>7137.4682799999991</v>
      </c>
      <c r="R5" s="102">
        <f>H5</f>
        <v>4714.1223749999999</v>
      </c>
      <c r="S5" s="103">
        <f>I5</f>
        <v>2024</v>
      </c>
      <c r="T5" s="62" t="s">
        <v>2</v>
      </c>
      <c r="U5" s="104">
        <f>O5</f>
        <v>3670.5237149999998</v>
      </c>
      <c r="V5" s="104">
        <f>P5</f>
        <v>6112.1432199999999</v>
      </c>
      <c r="W5" s="104">
        <f>Q5</f>
        <v>7137.4682799999991</v>
      </c>
      <c r="X5" s="104">
        <f>R5</f>
        <v>4714.1223749999999</v>
      </c>
      <c r="Y5" s="103">
        <f>S5</f>
        <v>2024</v>
      </c>
      <c r="Z5" s="105" t="s">
        <v>107</v>
      </c>
    </row>
    <row r="6" spans="1:26" x14ac:dyDescent="0.25">
      <c r="B6" s="66" t="s">
        <v>37</v>
      </c>
      <c r="C6" s="68" t="s">
        <v>35</v>
      </c>
      <c r="D6" s="68" t="s">
        <v>24</v>
      </c>
      <c r="E6" s="69"/>
      <c r="F6" s="69"/>
      <c r="G6" s="69"/>
      <c r="H6" s="69"/>
      <c r="I6" s="69"/>
      <c r="J6" s="70"/>
      <c r="L6" s="130" t="s">
        <v>108</v>
      </c>
      <c r="M6" s="131" t="s">
        <v>34</v>
      </c>
      <c r="N6" s="132" t="s">
        <v>109</v>
      </c>
      <c r="O6" s="133">
        <f>'Mining price data'!BO40</f>
        <v>9213.9124614791963</v>
      </c>
      <c r="P6" s="133">
        <f>'Mining price data'!BP40</f>
        <v>10196.271649133059</v>
      </c>
      <c r="Q6" s="133">
        <f>'Mining price data'!BQ40</f>
        <v>10101.395833333332</v>
      </c>
      <c r="R6" s="133">
        <f>'Mining price data'!BR40</f>
        <v>7003.4075203252023</v>
      </c>
      <c r="S6" s="133">
        <f>'Mining price data'!BS40</f>
        <v>7573.3435828877</v>
      </c>
      <c r="T6" s="130" t="s">
        <v>139</v>
      </c>
      <c r="U6" s="134">
        <f>O6*U2</f>
        <v>5660061.6676137559</v>
      </c>
      <c r="V6" s="134">
        <f>P6*V2</f>
        <v>6593276.0546205537</v>
      </c>
      <c r="W6" s="134">
        <f>Q6*W2</f>
        <v>6887755.1266834168</v>
      </c>
      <c r="X6" s="134">
        <f>R6*X2</f>
        <v>5049282.4996146262</v>
      </c>
      <c r="Y6" s="135">
        <f>S6*Y2</f>
        <v>5967794.7433155077</v>
      </c>
      <c r="Z6" s="136" t="s">
        <v>155</v>
      </c>
    </row>
    <row r="7" spans="1:26" x14ac:dyDescent="0.25">
      <c r="B7" s="66" t="s">
        <v>38</v>
      </c>
      <c r="C7" s="68" t="s">
        <v>36</v>
      </c>
      <c r="D7" s="68" t="s">
        <v>24</v>
      </c>
      <c r="E7" s="69"/>
      <c r="F7" s="69"/>
      <c r="G7" s="69"/>
      <c r="H7" s="69"/>
      <c r="I7" s="69"/>
      <c r="J7" s="70"/>
      <c r="L7" s="93" t="s">
        <v>110</v>
      </c>
      <c r="M7" s="94" t="s">
        <v>34</v>
      </c>
      <c r="N7" s="94" t="s">
        <v>11</v>
      </c>
      <c r="O7" s="95">
        <f>O6*O5</f>
        <v>33819884.197793409</v>
      </c>
      <c r="P7" s="95">
        <f t="shared" ref="P7:S7" si="0">P6*P5</f>
        <v>62321072.629526846</v>
      </c>
      <c r="Q7" s="95">
        <f t="shared" si="0"/>
        <v>72098392.344140813</v>
      </c>
      <c r="R7" s="95">
        <f t="shared" si="0"/>
        <v>33014920.092808302</v>
      </c>
      <c r="S7" s="95">
        <f t="shared" si="0"/>
        <v>15328447.411764706</v>
      </c>
      <c r="T7" s="93" t="s">
        <v>138</v>
      </c>
      <c r="U7" s="141">
        <f t="shared" ref="U7:Y11" si="1">O7*U$2/1000000000</f>
        <v>20.775390579338737</v>
      </c>
      <c r="V7" s="141">
        <f t="shared" si="1"/>
        <v>40.299047534837364</v>
      </c>
      <c r="W7" s="141">
        <f t="shared" si="1"/>
        <v>49.161133737110262</v>
      </c>
      <c r="X7" s="141">
        <f t="shared" si="1"/>
        <v>23.802935609129239</v>
      </c>
      <c r="Y7" s="142">
        <f t="shared" si="1"/>
        <v>12.078816560470589</v>
      </c>
      <c r="Z7" s="143" t="s">
        <v>111</v>
      </c>
    </row>
    <row r="8" spans="1:26" ht="25.5" x14ac:dyDescent="0.25">
      <c r="B8" s="66"/>
      <c r="C8" s="68"/>
      <c r="D8" s="68"/>
      <c r="E8" s="69"/>
      <c r="F8" s="69"/>
      <c r="G8" s="69"/>
      <c r="H8" s="69"/>
      <c r="I8" s="68"/>
      <c r="J8" s="70"/>
      <c r="L8" s="115" t="s">
        <v>152</v>
      </c>
      <c r="M8" s="116" t="s">
        <v>154</v>
      </c>
      <c r="N8" s="116" t="s">
        <v>11</v>
      </c>
      <c r="O8" s="117">
        <f>O$7*'IBES data'!$U7</f>
        <v>28602848.898444131</v>
      </c>
      <c r="P8" s="117">
        <f>P$7*'IBES data'!$U7</f>
        <v>52707460.888574608</v>
      </c>
      <c r="Q8" s="117">
        <f>Q$7*'IBES data'!$U7</f>
        <v>60976537.05670438</v>
      </c>
      <c r="R8" s="117">
        <f>R$7*'IBES data'!$U7</f>
        <v>27922058.079383235</v>
      </c>
      <c r="S8" s="118">
        <f>S$7*'IBES data'!$U7</f>
        <v>12963890.195551258</v>
      </c>
      <c r="T8" s="115" t="s">
        <v>138</v>
      </c>
      <c r="U8" s="119">
        <f t="shared" si="1"/>
        <v>17.570591137203145</v>
      </c>
      <c r="V8" s="119">
        <f t="shared" si="1"/>
        <v>34.082540337774923</v>
      </c>
      <c r="W8" s="119">
        <f t="shared" si="1"/>
        <v>41.577566372936111</v>
      </c>
      <c r="X8" s="119">
        <f t="shared" si="1"/>
        <v>20.131108864404091</v>
      </c>
      <c r="Y8" s="120">
        <f t="shared" si="1"/>
        <v>10.215545474094391</v>
      </c>
      <c r="Z8" s="121" t="s">
        <v>151</v>
      </c>
    </row>
    <row r="9" spans="1:26" x14ac:dyDescent="0.25">
      <c r="B9" s="93" t="s">
        <v>1</v>
      </c>
      <c r="C9" s="137" t="s">
        <v>34</v>
      </c>
      <c r="D9" s="137" t="s">
        <v>2</v>
      </c>
      <c r="E9" s="138">
        <f>E5-E12</f>
        <v>0</v>
      </c>
      <c r="F9" s="138">
        <f>F5-F12</f>
        <v>0</v>
      </c>
      <c r="G9" s="138">
        <f>G5-G12</f>
        <v>0</v>
      </c>
      <c r="H9" s="138">
        <f>H5-H12</f>
        <v>0</v>
      </c>
      <c r="I9" s="138">
        <f>I5-I12</f>
        <v>0</v>
      </c>
      <c r="J9" s="139"/>
      <c r="L9" s="115" t="s">
        <v>112</v>
      </c>
      <c r="M9" s="116" t="s">
        <v>154</v>
      </c>
      <c r="N9" s="116" t="s">
        <v>11</v>
      </c>
      <c r="O9" s="117">
        <f>O$7*'IBES data'!$U8</f>
        <v>5224160.687408301</v>
      </c>
      <c r="P9" s="117">
        <f>P$7*'IBES data'!$U8</f>
        <v>9626741.9404568486</v>
      </c>
      <c r="Q9" s="117">
        <f>Q$7*'IBES data'!$U8</f>
        <v>11137045.434773399</v>
      </c>
      <c r="R9" s="117">
        <f>R$7*'IBES data'!$U8</f>
        <v>5099817.8065325478</v>
      </c>
      <c r="S9" s="118">
        <f>S$7*'IBES data'!$U8</f>
        <v>2367786.7108951081</v>
      </c>
      <c r="T9" s="115" t="s">
        <v>138</v>
      </c>
      <c r="U9" s="119">
        <f t="shared" si="1"/>
        <v>3.2091765334079865</v>
      </c>
      <c r="V9" s="119">
        <f t="shared" si="1"/>
        <v>6.2249976564151517</v>
      </c>
      <c r="W9" s="119">
        <f t="shared" si="1"/>
        <v>7.5939249441483909</v>
      </c>
      <c r="X9" s="119">
        <f t="shared" si="1"/>
        <v>3.6768416984182761</v>
      </c>
      <c r="Y9" s="120">
        <f t="shared" si="1"/>
        <v>1.8658159281853453</v>
      </c>
      <c r="Z9" s="121" t="s">
        <v>151</v>
      </c>
    </row>
    <row r="10" spans="1:26" x14ac:dyDescent="0.25">
      <c r="B10" s="66"/>
      <c r="C10" s="68"/>
      <c r="D10" s="68"/>
      <c r="E10" s="69"/>
      <c r="F10" s="69"/>
      <c r="G10" s="69"/>
      <c r="H10" s="69"/>
      <c r="I10" s="69"/>
      <c r="J10" s="70"/>
      <c r="L10" s="115" t="s">
        <v>113</v>
      </c>
      <c r="M10" s="116" t="s">
        <v>154</v>
      </c>
      <c r="N10" s="116" t="s">
        <v>11</v>
      </c>
      <c r="O10" s="117">
        <f>O$7*'IBES data'!$U9</f>
        <v>575397.56063456449</v>
      </c>
      <c r="P10" s="117">
        <f>P$7*'IBES data'!$U9</f>
        <v>1060305.0252164651</v>
      </c>
      <c r="Q10" s="117">
        <f>Q$7*'IBES data'!$U9</f>
        <v>1226652.3101577947</v>
      </c>
      <c r="R10" s="117">
        <f>R$7*'IBES data'!$U9</f>
        <v>561702.23336206505</v>
      </c>
      <c r="S10" s="118">
        <f>S$7*'IBES data'!$U9</f>
        <v>260791.88200236583</v>
      </c>
      <c r="T10" s="115" t="s">
        <v>138</v>
      </c>
      <c r="U10" s="119">
        <f t="shared" si="1"/>
        <v>0.35346392644838714</v>
      </c>
      <c r="V10" s="119">
        <f t="shared" si="1"/>
        <v>0.68563137330182489</v>
      </c>
      <c r="W10" s="119">
        <f t="shared" si="1"/>
        <v>0.83640725275482886</v>
      </c>
      <c r="X10" s="119">
        <f t="shared" si="1"/>
        <v>0.40497332886575016</v>
      </c>
      <c r="Y10" s="120">
        <f t="shared" si="1"/>
        <v>0.20550400301786428</v>
      </c>
      <c r="Z10" s="121" t="s">
        <v>151</v>
      </c>
    </row>
    <row r="11" spans="1:26" x14ac:dyDescent="0.25">
      <c r="B11" s="419" t="s">
        <v>26</v>
      </c>
      <c r="C11" s="420"/>
      <c r="D11" s="420"/>
      <c r="E11" s="420"/>
      <c r="F11" s="420"/>
      <c r="G11" s="420"/>
      <c r="H11" s="420"/>
      <c r="I11" s="420"/>
      <c r="J11" s="421"/>
      <c r="L11" s="115" t="s">
        <v>114</v>
      </c>
      <c r="M11" s="122" t="s">
        <v>34</v>
      </c>
      <c r="N11" s="116" t="s">
        <v>11</v>
      </c>
      <c r="O11" s="123">
        <f>O10*'Basic data - source records'!Y5*'Basic data - source records'!$AR$2</f>
        <v>650199.24351705797</v>
      </c>
      <c r="P11" s="123">
        <f>P10*'Basic data - source records'!Z5*'Basic data - source records'!$AR$2</f>
        <v>1113320.2764772882</v>
      </c>
      <c r="Q11" s="123">
        <f>Q10*'Basic data - source records'!AA5*'Basic data - source records'!$AR$2</f>
        <v>1312517.9718688405</v>
      </c>
      <c r="R11" s="123">
        <f>R10*'Basic data - source records'!AB5*'Basic data - source records'!$AR$2</f>
        <v>589787.3450301683</v>
      </c>
      <c r="S11" s="123">
        <f>S10*'Basic data - source records'!AC5*'Basic data - source records'!$AR$2</f>
        <v>273831.4761024841</v>
      </c>
      <c r="T11" s="115" t="s">
        <v>138</v>
      </c>
      <c r="U11" s="119">
        <f t="shared" si="1"/>
        <v>0.39941423688667754</v>
      </c>
      <c r="V11" s="119">
        <f t="shared" si="1"/>
        <v>0.71991294196691602</v>
      </c>
      <c r="W11" s="119">
        <f t="shared" si="1"/>
        <v>0.89495576044766689</v>
      </c>
      <c r="X11" s="119">
        <f t="shared" si="1"/>
        <v>0.4252219953090377</v>
      </c>
      <c r="Y11" s="120">
        <f t="shared" si="1"/>
        <v>0.21577920316875746</v>
      </c>
      <c r="Z11" s="121" t="s">
        <v>151</v>
      </c>
    </row>
    <row r="12" spans="1:26" ht="12.75" customHeight="1" x14ac:dyDescent="0.25">
      <c r="B12" s="62" t="s">
        <v>14</v>
      </c>
      <c r="C12" s="63" t="s">
        <v>12</v>
      </c>
      <c r="D12" s="63" t="s">
        <v>2</v>
      </c>
      <c r="E12" s="64">
        <f>'Basic data - source records'!C5</f>
        <v>3670.5237149999998</v>
      </c>
      <c r="F12" s="64">
        <f>'Basic data - source records'!D5</f>
        <v>6112.1432199999999</v>
      </c>
      <c r="G12" s="64">
        <f>'Basic data - source records'!E5</f>
        <v>7137.4682799999991</v>
      </c>
      <c r="H12" s="64">
        <f>'Basic data - source records'!F5</f>
        <v>4714.1223749999999</v>
      </c>
      <c r="I12" s="64">
        <f>'Basic data - source records'!G5</f>
        <v>2024</v>
      </c>
      <c r="J12" s="65" t="s">
        <v>166</v>
      </c>
      <c r="L12" s="71"/>
      <c r="M12" s="72"/>
      <c r="N12" s="73"/>
      <c r="O12" s="86"/>
      <c r="P12" s="86"/>
      <c r="Q12" s="86"/>
      <c r="R12" s="86"/>
      <c r="S12" s="67"/>
      <c r="T12" s="71"/>
      <c r="U12" s="75"/>
      <c r="V12" s="75"/>
      <c r="W12" s="75"/>
      <c r="X12" s="75"/>
      <c r="Y12" s="67"/>
      <c r="Z12" s="89"/>
    </row>
    <row r="13" spans="1:26" x14ac:dyDescent="0.25">
      <c r="B13" s="66"/>
      <c r="C13" s="68"/>
      <c r="D13" s="68"/>
      <c r="E13" s="69"/>
      <c r="F13" s="69"/>
      <c r="G13" s="69"/>
      <c r="H13" s="69"/>
      <c r="I13" s="69"/>
      <c r="J13" s="70"/>
      <c r="L13" s="93" t="s">
        <v>115</v>
      </c>
      <c r="M13" s="94" t="s">
        <v>34</v>
      </c>
      <c r="N13" s="94" t="s">
        <v>11</v>
      </c>
      <c r="O13" s="95">
        <f>O7-(O8+O9+O10+O11)</f>
        <v>-1232722.192210637</v>
      </c>
      <c r="P13" s="95">
        <f t="shared" ref="P13:S13" si="2">P7-(P8+P9+P10+P11)</f>
        <v>-2186755.5011983588</v>
      </c>
      <c r="Q13" s="95">
        <f t="shared" si="2"/>
        <v>-2554360.4293635935</v>
      </c>
      <c r="R13" s="95">
        <f t="shared" si="2"/>
        <v>-1158445.3714997135</v>
      </c>
      <c r="S13" s="95">
        <f t="shared" si="2"/>
        <v>-537852.85278651118</v>
      </c>
      <c r="T13" s="93" t="s">
        <v>138</v>
      </c>
      <c r="U13" s="141">
        <f>O13*U$2/1000000000</f>
        <v>-0.75725525460745413</v>
      </c>
      <c r="V13" s="141">
        <f>P13*V$2/1000000000</f>
        <v>-1.4140347746214461</v>
      </c>
      <c r="W13" s="141">
        <f>Q13*W$2/1000000000</f>
        <v>-1.7417205931767363</v>
      </c>
      <c r="X13" s="141">
        <f>R13*X$2/1000000000</f>
        <v>-0.83521027786791646</v>
      </c>
      <c r="Y13" s="142">
        <f>S13*Y$2/1000000000</f>
        <v>-0.42382804799577078</v>
      </c>
      <c r="Z13" s="98" t="s">
        <v>111</v>
      </c>
    </row>
    <row r="14" spans="1:26" ht="13.5" customHeight="1" x14ac:dyDescent="0.25">
      <c r="B14" s="93" t="s">
        <v>28</v>
      </c>
      <c r="C14" s="94" t="s">
        <v>34</v>
      </c>
      <c r="D14" s="137" t="s">
        <v>2</v>
      </c>
      <c r="E14" s="138">
        <f>E12-E16</f>
        <v>-910.02410500000087</v>
      </c>
      <c r="F14" s="138">
        <f>F12-F16</f>
        <v>1317.5959899999998</v>
      </c>
      <c r="G14" s="138">
        <f>G12-G16</f>
        <v>1232.2722199999989</v>
      </c>
      <c r="H14" s="138">
        <f>H12-H16</f>
        <v>1508.9454040000001</v>
      </c>
      <c r="I14" s="138">
        <f>I12-I16</f>
        <v>-1264</v>
      </c>
      <c r="J14" s="139"/>
      <c r="L14" s="93" t="s">
        <v>116</v>
      </c>
      <c r="M14" s="94" t="s">
        <v>34</v>
      </c>
      <c r="N14" s="94" t="s">
        <v>109</v>
      </c>
      <c r="O14" s="95">
        <f>O13/O5</f>
        <v>-335.84368006477712</v>
      </c>
      <c r="P14" s="95">
        <f t="shared" ref="P14:S14" si="3">P13/P5</f>
        <v>-357.77229402002769</v>
      </c>
      <c r="Q14" s="95">
        <f t="shared" si="3"/>
        <v>-357.88045973124713</v>
      </c>
      <c r="R14" s="95">
        <f t="shared" si="3"/>
        <v>-245.73935068872996</v>
      </c>
      <c r="S14" s="96">
        <f t="shared" si="3"/>
        <v>-265.73757548740673</v>
      </c>
      <c r="T14" s="93" t="s">
        <v>139</v>
      </c>
      <c r="U14" s="97">
        <f>O14*U2</f>
        <v>-206307.14127056231</v>
      </c>
      <c r="V14" s="97">
        <f>P14*V2</f>
        <v>-231348.43601087053</v>
      </c>
      <c r="W14" s="97">
        <f>Q14*W2</f>
        <v>-244024.98544998598</v>
      </c>
      <c r="X14" s="97">
        <f>R14*X2</f>
        <v>-177171.9551230183</v>
      </c>
      <c r="Y14" s="96">
        <f>S14*Y2</f>
        <v>-209401.20948407651</v>
      </c>
      <c r="Z14" s="98" t="s">
        <v>111</v>
      </c>
    </row>
    <row r="15" spans="1:26" x14ac:dyDescent="0.2">
      <c r="B15" s="66"/>
      <c r="C15" s="68"/>
      <c r="D15" s="68"/>
      <c r="E15" s="69"/>
      <c r="F15" s="69"/>
      <c r="G15" s="69"/>
      <c r="H15" s="69"/>
      <c r="I15" s="69"/>
      <c r="J15" s="70"/>
      <c r="L15" s="144" t="s">
        <v>156</v>
      </c>
      <c r="M15" s="145" t="s">
        <v>34</v>
      </c>
      <c r="N15" s="145" t="s">
        <v>11</v>
      </c>
      <c r="O15" s="146">
        <f>O20-O7</f>
        <v>11388016.176537432</v>
      </c>
      <c r="P15" s="146">
        <f t="shared" ref="P15:S15" si="4">P20-P7</f>
        <v>-10124277.843657076</v>
      </c>
      <c r="Q15" s="146">
        <f t="shared" si="4"/>
        <v>-10610669.806775533</v>
      </c>
      <c r="R15" s="146">
        <f t="shared" si="4"/>
        <v>-3732124.0843926445</v>
      </c>
      <c r="S15" s="146">
        <f t="shared" si="4"/>
        <v>14419837.777208248</v>
      </c>
      <c r="T15" s="93" t="s">
        <v>138</v>
      </c>
      <c r="U15" s="141">
        <f>O15*U$2/1000000000</f>
        <v>6.9956030188544922</v>
      </c>
      <c r="V15" s="141">
        <f>P15*V$2/1000000000</f>
        <v>-6.5467222700549801</v>
      </c>
      <c r="W15" s="141">
        <f>Q15*W$2/1000000000</f>
        <v>-7.23500955362982</v>
      </c>
      <c r="X15" s="141">
        <f>R15*X$2/1000000000</f>
        <v>-2.6907685681610878</v>
      </c>
      <c r="Y15" s="142">
        <f>S15*Y$2/1000000000</f>
        <v>11.3628321684401</v>
      </c>
      <c r="Z15" s="98" t="s">
        <v>111</v>
      </c>
    </row>
    <row r="16" spans="1:26" ht="15" x14ac:dyDescent="0.25">
      <c r="B16" s="62" t="s">
        <v>29</v>
      </c>
      <c r="C16" s="63" t="s">
        <v>12</v>
      </c>
      <c r="D16" s="63" t="s">
        <v>2</v>
      </c>
      <c r="E16" s="64">
        <f>'Basic data - source records'!C6</f>
        <v>4580.5478200000007</v>
      </c>
      <c r="F16" s="64">
        <f>'Basic data - source records'!D6</f>
        <v>4794.5472300000001</v>
      </c>
      <c r="G16" s="64">
        <f>'Basic data - source records'!E6</f>
        <v>5905.1960600000002</v>
      </c>
      <c r="H16" s="64">
        <f>'Basic data - source records'!F6</f>
        <v>3205.1769709999999</v>
      </c>
      <c r="I16" s="64">
        <f>'Basic data - source records'!G6</f>
        <v>3288</v>
      </c>
      <c r="J16" s="65" t="s">
        <v>166</v>
      </c>
      <c r="L16" s="416" t="s">
        <v>26</v>
      </c>
      <c r="M16" s="417"/>
      <c r="N16" s="417"/>
      <c r="O16" s="417"/>
      <c r="P16" s="417"/>
      <c r="Q16" s="417"/>
      <c r="R16" s="417"/>
      <c r="S16" s="418"/>
      <c r="T16" s="416" t="s">
        <v>26</v>
      </c>
      <c r="U16" s="417"/>
      <c r="V16" s="417"/>
      <c r="W16" s="417"/>
      <c r="X16" s="417"/>
      <c r="Y16" s="418"/>
      <c r="Z16" s="76"/>
    </row>
    <row r="17" spans="2:26" x14ac:dyDescent="0.25">
      <c r="B17" s="66"/>
      <c r="C17" s="68"/>
      <c r="D17" s="68"/>
      <c r="E17" s="69"/>
      <c r="F17" s="69"/>
      <c r="G17" s="69"/>
      <c r="H17" s="69"/>
      <c r="I17" s="69"/>
      <c r="J17" s="70"/>
      <c r="L17" s="62" t="s">
        <v>143</v>
      </c>
      <c r="M17" s="101" t="s">
        <v>32</v>
      </c>
      <c r="N17" s="101" t="s">
        <v>2</v>
      </c>
      <c r="O17" s="102">
        <f>E20</f>
        <v>4636.6403</v>
      </c>
      <c r="P17" s="102">
        <f>F20</f>
        <v>4895.2674999999999</v>
      </c>
      <c r="Q17" s="102">
        <f>G20</f>
        <v>5953.7963200000004</v>
      </c>
      <c r="R17" s="102">
        <f>H20</f>
        <v>3845.6560999999997</v>
      </c>
      <c r="S17" s="103">
        <f>I20</f>
        <v>3549.9150499999996</v>
      </c>
      <c r="T17" s="62" t="s">
        <v>2</v>
      </c>
      <c r="U17" s="104">
        <f>O17</f>
        <v>4636.6403</v>
      </c>
      <c r="V17" s="104">
        <f>P17</f>
        <v>4895.2674999999999</v>
      </c>
      <c r="W17" s="104">
        <f>Q17</f>
        <v>5953.7963200000004</v>
      </c>
      <c r="X17" s="104">
        <f>R17</f>
        <v>3845.6560999999997</v>
      </c>
      <c r="Y17" s="103">
        <f>S17</f>
        <v>3549.9150499999996</v>
      </c>
      <c r="Z17" s="105" t="s">
        <v>107</v>
      </c>
    </row>
    <row r="18" spans="2:26" x14ac:dyDescent="0.25">
      <c r="B18" s="93" t="s">
        <v>1</v>
      </c>
      <c r="C18" s="94" t="s">
        <v>34</v>
      </c>
      <c r="D18" s="137" t="s">
        <v>2</v>
      </c>
      <c r="E18" s="138">
        <f>E16-E20</f>
        <v>-56.092479999999341</v>
      </c>
      <c r="F18" s="138">
        <f>F16-F20</f>
        <v>-100.7202699999998</v>
      </c>
      <c r="G18" s="138">
        <f>G16-G20</f>
        <v>-48.600260000000162</v>
      </c>
      <c r="H18" s="138">
        <f>H16-H20</f>
        <v>-640.47912899999983</v>
      </c>
      <c r="I18" s="138">
        <f>I16-I20</f>
        <v>-261.91504999999961</v>
      </c>
      <c r="J18" s="140"/>
      <c r="L18" s="93" t="s">
        <v>108</v>
      </c>
      <c r="M18" s="94" t="s">
        <v>34</v>
      </c>
      <c r="N18" s="94" t="s">
        <v>109</v>
      </c>
      <c r="O18" s="95">
        <f>O19/O17</f>
        <v>11408.455876728416</v>
      </c>
      <c r="P18" s="95">
        <f t="shared" ref="P18:S18" si="5">P19/P17</f>
        <v>12476.229132625425</v>
      </c>
      <c r="Q18" s="95">
        <f t="shared" si="5"/>
        <v>12083.990343088415</v>
      </c>
      <c r="R18" s="95">
        <f t="shared" si="5"/>
        <v>8909.5964365224718</v>
      </c>
      <c r="S18" s="96">
        <f t="shared" si="5"/>
        <v>9805.2779997742782</v>
      </c>
      <c r="T18" s="93" t="s">
        <v>139</v>
      </c>
      <c r="U18" s="97">
        <f>O18*U2</f>
        <v>7008159.0273939883</v>
      </c>
      <c r="V18" s="97">
        <f>P18*V2</f>
        <v>8067578.5838927403</v>
      </c>
      <c r="W18" s="97">
        <f>Q18*W2</f>
        <v>8239610.4270804292</v>
      </c>
      <c r="X18" s="97">
        <f>R18*X2</f>
        <v>6423597.2610476883</v>
      </c>
      <c r="Y18" s="96">
        <f>S18*Y2</f>
        <v>7726559.0638221316</v>
      </c>
      <c r="Z18" s="98" t="s">
        <v>111</v>
      </c>
    </row>
    <row r="19" spans="2:26" x14ac:dyDescent="0.2">
      <c r="B19" s="66"/>
      <c r="C19" s="68"/>
      <c r="D19" s="68"/>
      <c r="E19" s="69"/>
      <c r="F19" s="69"/>
      <c r="G19" s="69"/>
      <c r="H19" s="69"/>
      <c r="I19" s="69"/>
      <c r="J19" s="70"/>
      <c r="L19" s="22" t="s">
        <v>142</v>
      </c>
      <c r="M19" s="106" t="s">
        <v>32</v>
      </c>
      <c r="N19" s="106" t="s">
        <v>11</v>
      </c>
      <c r="O19" s="64">
        <f>'Basic data - source records'!R5</f>
        <v>52896906.278810807</v>
      </c>
      <c r="P19" s="64">
        <f>'Basic data - source records'!S5</f>
        <v>61074478.995494433</v>
      </c>
      <c r="Q19" s="64">
        <f>'Basic data - source records'!T5</f>
        <v>71945617.235595345</v>
      </c>
      <c r="R19" s="64">
        <f>'Basic data - source records'!U5</f>
        <v>34263243.884650901</v>
      </c>
      <c r="S19" s="107">
        <f>'Basic data - source records'!V5</f>
        <v>34807903.9408326</v>
      </c>
      <c r="T19" s="62" t="s">
        <v>138</v>
      </c>
      <c r="U19" s="108">
        <f t="shared" ref="U19:Y21" si="6">O19*U$2/1000000000</f>
        <v>32.494312575223773</v>
      </c>
      <c r="V19" s="108">
        <f t="shared" si="6"/>
        <v>39.492955245426153</v>
      </c>
      <c r="W19" s="108">
        <f t="shared" si="6"/>
        <v>49.056962238985093</v>
      </c>
      <c r="X19" s="108">
        <f t="shared" si="6"/>
        <v>24.702945990891333</v>
      </c>
      <c r="Y19" s="109">
        <f t="shared" si="6"/>
        <v>27.428628305376087</v>
      </c>
      <c r="Z19" s="105" t="s">
        <v>141</v>
      </c>
    </row>
    <row r="20" spans="2:26" x14ac:dyDescent="0.2">
      <c r="B20" s="62" t="s">
        <v>30</v>
      </c>
      <c r="C20" s="63" t="s">
        <v>32</v>
      </c>
      <c r="D20" s="63" t="s">
        <v>2</v>
      </c>
      <c r="E20" s="64">
        <f>'Basic data - source records'!J5</f>
        <v>4636.6403</v>
      </c>
      <c r="F20" s="64">
        <f>'Basic data - source records'!K5</f>
        <v>4895.2674999999999</v>
      </c>
      <c r="G20" s="64">
        <f>'Basic data - source records'!L5</f>
        <v>5953.7963200000004</v>
      </c>
      <c r="H20" s="64">
        <f>'Basic data - source records'!M5</f>
        <v>3845.6560999999997</v>
      </c>
      <c r="I20" s="64">
        <f>'Basic data - source records'!N5</f>
        <v>3549.9150499999996</v>
      </c>
      <c r="J20" s="65" t="s">
        <v>219</v>
      </c>
      <c r="L20" s="110" t="s">
        <v>117</v>
      </c>
      <c r="M20" s="111" t="s">
        <v>154</v>
      </c>
      <c r="N20" s="111" t="s">
        <v>11</v>
      </c>
      <c r="O20" s="112">
        <f>O$19*'IBES data'!$U31</f>
        <v>45207900.374330841</v>
      </c>
      <c r="P20" s="112">
        <f>P$19*'IBES data'!$U31</f>
        <v>52196794.78586977</v>
      </c>
      <c r="Q20" s="112">
        <f>Q$19*'IBES data'!$U31</f>
        <v>61487722.53736528</v>
      </c>
      <c r="R20" s="112">
        <f>R$19*'IBES data'!$U31</f>
        <v>29282796.008415658</v>
      </c>
      <c r="S20" s="112">
        <f>S$19*'IBES data'!$U31</f>
        <v>29748285.188972954</v>
      </c>
      <c r="T20" s="99" t="s">
        <v>138</v>
      </c>
      <c r="U20" s="113">
        <f t="shared" si="6"/>
        <v>27.770993598193229</v>
      </c>
      <c r="V20" s="113">
        <f t="shared" si="6"/>
        <v>33.752325264782385</v>
      </c>
      <c r="W20" s="113">
        <f t="shared" si="6"/>
        <v>41.926124183480439</v>
      </c>
      <c r="X20" s="113">
        <f t="shared" si="6"/>
        <v>21.112167040968153</v>
      </c>
      <c r="Y20" s="114">
        <f t="shared" si="6"/>
        <v>23.441648728910685</v>
      </c>
      <c r="Z20" s="100" t="s">
        <v>151</v>
      </c>
    </row>
    <row r="21" spans="2:26" ht="13.5" thickBot="1" x14ac:dyDescent="0.25">
      <c r="B21" s="78"/>
      <c r="C21" s="79"/>
      <c r="D21" s="79"/>
      <c r="E21" s="80"/>
      <c r="F21" s="80"/>
      <c r="G21" s="80"/>
      <c r="H21" s="80"/>
      <c r="I21" s="81"/>
      <c r="J21" s="82"/>
      <c r="L21" s="110" t="s">
        <v>118</v>
      </c>
      <c r="M21" s="111" t="s">
        <v>154</v>
      </c>
      <c r="N21" s="111" t="s">
        <v>11</v>
      </c>
      <c r="O21" s="112">
        <f>O$19*'IBES data'!$U32</f>
        <v>0</v>
      </c>
      <c r="P21" s="112">
        <f>P$19*'IBES data'!$U32</f>
        <v>0</v>
      </c>
      <c r="Q21" s="112">
        <f>Q$19*'IBES data'!$U32</f>
        <v>0</v>
      </c>
      <c r="R21" s="112">
        <f>R$19*'IBES data'!$U32</f>
        <v>0</v>
      </c>
      <c r="S21" s="112">
        <f>S$19*'IBES data'!$U32</f>
        <v>0</v>
      </c>
      <c r="T21" s="99" t="s">
        <v>138</v>
      </c>
      <c r="U21" s="113">
        <f t="shared" si="6"/>
        <v>0</v>
      </c>
      <c r="V21" s="113">
        <f t="shared" si="6"/>
        <v>0</v>
      </c>
      <c r="W21" s="113">
        <f t="shared" si="6"/>
        <v>0</v>
      </c>
      <c r="X21" s="113">
        <f t="shared" si="6"/>
        <v>0</v>
      </c>
      <c r="Y21" s="114">
        <f t="shared" si="6"/>
        <v>0</v>
      </c>
      <c r="Z21" s="100" t="s">
        <v>151</v>
      </c>
    </row>
    <row r="22" spans="2:26" ht="13.5" thickBot="1" x14ac:dyDescent="0.25">
      <c r="L22" s="115" t="s">
        <v>112</v>
      </c>
      <c r="M22" s="111" t="s">
        <v>154</v>
      </c>
      <c r="N22" s="111" t="s">
        <v>11</v>
      </c>
      <c r="O22" s="112">
        <f>O$19*'IBES data'!$U33</f>
        <v>8582741.1618287861</v>
      </c>
      <c r="P22" s="112">
        <f>P$19*'IBES data'!$U33</f>
        <v>9909586.0549760312</v>
      </c>
      <c r="Q22" s="112">
        <f>Q$19*'IBES data'!$U33</f>
        <v>11673473.061097983</v>
      </c>
      <c r="R22" s="112">
        <f>R$19*'IBES data'!$U33</f>
        <v>5559352.6032801261</v>
      </c>
      <c r="S22" s="112">
        <f>S$19*'IBES data'!$U33</f>
        <v>5647725.9432776524</v>
      </c>
      <c r="T22" s="99" t="s">
        <v>138</v>
      </c>
      <c r="U22" s="113">
        <f t="shared" ref="U22" si="7">O22*U$2/1000000000</f>
        <v>5.2723362042142785</v>
      </c>
      <c r="V22" s="113">
        <f t="shared" ref="V22" si="8">P22*V$2/1000000000</f>
        <v>6.4078948360531855</v>
      </c>
      <c r="W22" s="113">
        <f t="shared" ref="W22" si="9">Q22*W$2/1000000000</f>
        <v>7.9596944075248741</v>
      </c>
      <c r="X22" s="113">
        <f t="shared" ref="X22" si="10">R22*X$2/1000000000</f>
        <v>4.008154848545197</v>
      </c>
      <c r="Y22" s="114">
        <f t="shared" ref="Y22" si="11">S22*Y$2/1000000000</f>
        <v>4.4504080433027893</v>
      </c>
      <c r="Z22" s="100" t="s">
        <v>151</v>
      </c>
    </row>
    <row r="23" spans="2:26" x14ac:dyDescent="0.2">
      <c r="B23" s="149" t="s">
        <v>159</v>
      </c>
      <c r="E23" s="215"/>
      <c r="F23" s="215"/>
      <c r="G23" s="215"/>
      <c r="H23" s="215"/>
      <c r="I23" s="215"/>
      <c r="L23" s="110" t="s">
        <v>113</v>
      </c>
      <c r="M23" s="111" t="s">
        <v>154</v>
      </c>
      <c r="N23" s="111" t="s">
        <v>11</v>
      </c>
      <c r="O23" s="112">
        <f>O$19*'IBES data'!$U34</f>
        <v>484941.81350080646</v>
      </c>
      <c r="P23" s="112">
        <f>P$19*'IBES data'!$U34</f>
        <v>559911.16846385493</v>
      </c>
      <c r="Q23" s="112">
        <f>Q$19*'IBES data'!$U34</f>
        <v>659574.26530330628</v>
      </c>
      <c r="R23" s="112">
        <f>R$19*'IBES data'!$U34</f>
        <v>314114.39334967034</v>
      </c>
      <c r="S23" s="112">
        <f>S$19*'IBES data'!$U34</f>
        <v>319107.66146244103</v>
      </c>
      <c r="T23" s="99" t="s">
        <v>138</v>
      </c>
      <c r="U23" s="113">
        <f t="shared" ref="U23:Y24" si="12">O23*U$2/1000000000</f>
        <v>0.29789740038167939</v>
      </c>
      <c r="V23" s="113">
        <f t="shared" si="12"/>
        <v>0.36205870408143093</v>
      </c>
      <c r="W23" s="113">
        <f t="shared" si="12"/>
        <v>0.44973844231309246</v>
      </c>
      <c r="X23" s="113">
        <f t="shared" si="12"/>
        <v>0.22646865895130822</v>
      </c>
      <c r="Y23" s="114">
        <f t="shared" si="12"/>
        <v>0.25145683723240353</v>
      </c>
      <c r="Z23" s="100" t="s">
        <v>151</v>
      </c>
    </row>
    <row r="24" spans="2:26" x14ac:dyDescent="0.2">
      <c r="B24" s="150" t="s">
        <v>160</v>
      </c>
      <c r="E24" s="87"/>
      <c r="F24" s="216"/>
      <c r="G24" s="216"/>
      <c r="H24" s="216"/>
      <c r="I24" s="216"/>
      <c r="L24" s="110" t="s">
        <v>114</v>
      </c>
      <c r="M24" s="111" t="s">
        <v>34</v>
      </c>
      <c r="N24" s="111" t="s">
        <v>11</v>
      </c>
      <c r="O24" s="112">
        <f>O23*'Basic data - source records'!Y5*'Basic data - source records'!$AR$2</f>
        <v>547984.24925591133</v>
      </c>
      <c r="P24" s="112">
        <f>P23*'Basic data - source records'!Z5*'Basic data - source records'!$AR$2</f>
        <v>587906.72688704764</v>
      </c>
      <c r="Q24" s="112">
        <f>Q23*'Basic data - source records'!AA5*'Basic data - source records'!$AR$2</f>
        <v>705744.46387453773</v>
      </c>
      <c r="R24" s="112">
        <f>R23*'Basic data - source records'!AB5*'Basic data - source records'!$AR$2</f>
        <v>329820.11301715387</v>
      </c>
      <c r="S24" s="112">
        <f>S23*'Basic data - source records'!AC5*'Basic data - source records'!$AR$2</f>
        <v>335063.04453556309</v>
      </c>
      <c r="T24" s="99" t="s">
        <v>138</v>
      </c>
      <c r="U24" s="113">
        <f t="shared" si="12"/>
        <v>0.33662406243129778</v>
      </c>
      <c r="V24" s="113">
        <f t="shared" si="12"/>
        <v>0.38016163928550245</v>
      </c>
      <c r="W24" s="113">
        <f t="shared" si="12"/>
        <v>0.48122013327500895</v>
      </c>
      <c r="X24" s="113">
        <f t="shared" si="12"/>
        <v>0.23779209189887365</v>
      </c>
      <c r="Y24" s="114">
        <f t="shared" si="12"/>
        <v>0.26402967909402369</v>
      </c>
      <c r="Z24" s="100" t="s">
        <v>151</v>
      </c>
    </row>
    <row r="25" spans="2:26" x14ac:dyDescent="0.25">
      <c r="B25" s="151" t="s">
        <v>163</v>
      </c>
      <c r="E25" s="87"/>
      <c r="F25" s="87"/>
      <c r="G25" s="87"/>
      <c r="H25" s="87"/>
      <c r="I25" s="87"/>
      <c r="L25" s="71"/>
      <c r="M25" s="72"/>
      <c r="N25" s="73"/>
      <c r="O25" s="86"/>
      <c r="P25" s="86"/>
      <c r="Q25" s="86"/>
      <c r="R25" s="86"/>
      <c r="S25" s="77"/>
      <c r="T25" s="71"/>
      <c r="U25" s="74"/>
      <c r="V25" s="74"/>
      <c r="W25" s="74"/>
      <c r="X25" s="74"/>
      <c r="Y25" s="77"/>
      <c r="Z25" s="90"/>
    </row>
    <row r="26" spans="2:26" x14ac:dyDescent="0.25">
      <c r="B26" s="152" t="s">
        <v>161</v>
      </c>
      <c r="L26" s="93" t="s">
        <v>119</v>
      </c>
      <c r="M26" s="94" t="s">
        <v>34</v>
      </c>
      <c r="N26" s="94" t="s">
        <v>11</v>
      </c>
      <c r="O26" s="95">
        <f>O19-(O20+O21+O22+O23+O24)</f>
        <v>-1926661.3201055378</v>
      </c>
      <c r="P26" s="95">
        <f t="shared" ref="P26:S26" si="13">P19-(P20+P21+P22+P23+P24)</f>
        <v>-2179719.7407022715</v>
      </c>
      <c r="Q26" s="95">
        <f t="shared" si="13"/>
        <v>-2580897.0920457691</v>
      </c>
      <c r="R26" s="95">
        <f t="shared" si="13"/>
        <v>-1222839.233411707</v>
      </c>
      <c r="S26" s="95">
        <f t="shared" si="13"/>
        <v>-1242277.8974160105</v>
      </c>
      <c r="T26" s="93" t="s">
        <v>138</v>
      </c>
      <c r="U26" s="147">
        <f>O26*U$2/1000000000</f>
        <v>-1.1835386899967122</v>
      </c>
      <c r="V26" s="147">
        <f>P26*V$2/1000000000</f>
        <v>-1.4094851987763537</v>
      </c>
      <c r="W26" s="147">
        <f>Q26*W$2/1000000000</f>
        <v>-1.7598149276083284</v>
      </c>
      <c r="X26" s="147">
        <f>R26*X$2/1000000000</f>
        <v>-0.88163664947219678</v>
      </c>
      <c r="Y26" s="148">
        <f>S26*Y$2/1000000000</f>
        <v>-0.9789149831638162</v>
      </c>
      <c r="Z26" s="98" t="s">
        <v>111</v>
      </c>
    </row>
    <row r="27" spans="2:26" ht="13.5" thickBot="1" x14ac:dyDescent="0.3">
      <c r="B27" s="153" t="s">
        <v>162</v>
      </c>
      <c r="L27" s="93" t="s">
        <v>116</v>
      </c>
      <c r="M27" s="94" t="s">
        <v>34</v>
      </c>
      <c r="N27" s="94" t="s">
        <v>109</v>
      </c>
      <c r="O27" s="95">
        <f>O26/O17</f>
        <v>-415.52960666488144</v>
      </c>
      <c r="P27" s="95">
        <f>P26/P17</f>
        <v>-445.2708132297717</v>
      </c>
      <c r="Q27" s="95">
        <f>Q26/Q17</f>
        <v>-433.48763601066031</v>
      </c>
      <c r="R27" s="95">
        <f>R26/R17</f>
        <v>-317.97935166686045</v>
      </c>
      <c r="S27" s="96">
        <f>S26/S17</f>
        <v>-349.94580994720161</v>
      </c>
      <c r="T27" s="93" t="s">
        <v>139</v>
      </c>
      <c r="U27" s="97">
        <f>O27*U2</f>
        <v>-255257.81889889375</v>
      </c>
      <c r="V27" s="97">
        <f>P27*V2</f>
        <v>-287928.12625180412</v>
      </c>
      <c r="W27" s="97">
        <f>Q27*W2</f>
        <v>-295578.6246326156</v>
      </c>
      <c r="X27" s="97">
        <f>R27*X2</f>
        <v>-229255.19769492568</v>
      </c>
      <c r="Y27" s="96">
        <f>S27*Y2</f>
        <v>-275757.29823839484</v>
      </c>
      <c r="Z27" s="98" t="s">
        <v>111</v>
      </c>
    </row>
    <row r="28" spans="2:26" ht="13.5" thickBot="1" x14ac:dyDescent="0.3">
      <c r="L28" s="124" t="s">
        <v>120</v>
      </c>
      <c r="M28" s="125" t="s">
        <v>34</v>
      </c>
      <c r="N28" s="125" t="s">
        <v>11</v>
      </c>
      <c r="O28" s="126">
        <f>0*O19</f>
        <v>0</v>
      </c>
      <c r="P28" s="126">
        <f>0.02*P19</f>
        <v>1221489.5799098888</v>
      </c>
      <c r="Q28" s="126">
        <f>0.04*Q19</f>
        <v>2877824.689423814</v>
      </c>
      <c r="R28" s="126">
        <f>0.04*R19</f>
        <v>1370529.7553860361</v>
      </c>
      <c r="S28" s="126">
        <f>0.04*S19</f>
        <v>1392316.1576333041</v>
      </c>
      <c r="T28" s="124" t="s">
        <v>138</v>
      </c>
      <c r="U28" s="127">
        <f>O28*U2/1000000000</f>
        <v>0</v>
      </c>
      <c r="V28" s="127">
        <f>P28*V2/1000000000</f>
        <v>0.78985910490852318</v>
      </c>
      <c r="W28" s="127">
        <f>Q28*W2/1000000000</f>
        <v>1.9622784895594036</v>
      </c>
      <c r="X28" s="127">
        <f>R28*X2/1000000000</f>
        <v>0.98811783963565336</v>
      </c>
      <c r="Y28" s="128">
        <f>S28*Y2/1000000000</f>
        <v>1.0971451322150436</v>
      </c>
      <c r="Z28" s="129" t="s">
        <v>157</v>
      </c>
    </row>
    <row r="30" spans="2:26" x14ac:dyDescent="0.25">
      <c r="L30" s="84" t="s">
        <v>270</v>
      </c>
    </row>
    <row r="31" spans="2:26" x14ac:dyDescent="0.25">
      <c r="L31" s="84" t="s">
        <v>268</v>
      </c>
      <c r="O31" s="303">
        <f>O5</f>
        <v>3670.5237149999998</v>
      </c>
      <c r="P31" s="303">
        <f t="shared" ref="P31:S31" si="14">P5</f>
        <v>6112.1432199999999</v>
      </c>
      <c r="Q31" s="303">
        <f t="shared" si="14"/>
        <v>7137.4682799999991</v>
      </c>
      <c r="R31" s="303">
        <f t="shared" si="14"/>
        <v>4714.1223749999999</v>
      </c>
      <c r="S31" s="303">
        <f t="shared" si="14"/>
        <v>2024</v>
      </c>
    </row>
    <row r="32" spans="2:26" x14ac:dyDescent="0.25">
      <c r="L32" s="84" t="s">
        <v>269</v>
      </c>
      <c r="O32" s="303">
        <v>9549.7561415439759</v>
      </c>
      <c r="P32" s="303">
        <v>10554.043943153087</v>
      </c>
      <c r="Q32" s="303">
        <v>10459.276293064569</v>
      </c>
      <c r="R32" s="303">
        <v>7249.1468710139316</v>
      </c>
      <c r="S32" s="303">
        <v>7839.0811583751065</v>
      </c>
      <c r="T32" s="303">
        <f t="shared" ref="T32" si="15">AVERAGE(O32:S32)</f>
        <v>9130.2608814301329</v>
      </c>
      <c r="W32" s="215">
        <f>S19+'MRA - Coltan - Tantalum'!S19+'MRA - Wolfram - Tungsten'!S19</f>
        <v>86424093.277594447</v>
      </c>
    </row>
    <row r="33" spans="12:20" x14ac:dyDescent="0.25">
      <c r="L33" s="84" t="s">
        <v>265</v>
      </c>
      <c r="O33" s="303">
        <f>O31*O32</f>
        <v>35052606.390004061</v>
      </c>
      <c r="P33" s="303">
        <f t="shared" ref="P33:S33" si="16">P31*P32</f>
        <v>64507828.130725205</v>
      </c>
      <c r="Q33" s="303">
        <f t="shared" si="16"/>
        <v>74652752.773504347</v>
      </c>
      <c r="R33" s="303">
        <f t="shared" si="16"/>
        <v>34173365.464308016</v>
      </c>
      <c r="S33" s="303">
        <f t="shared" si="16"/>
        <v>15866300.264551215</v>
      </c>
      <c r="T33" s="305"/>
    </row>
    <row r="34" spans="12:20" x14ac:dyDescent="0.25">
      <c r="L34" s="84" t="s">
        <v>267</v>
      </c>
      <c r="O34" s="303">
        <f>SUM(O8:O11)</f>
        <v>35052606.390004046</v>
      </c>
      <c r="P34" s="303">
        <f t="shared" ref="P34:S34" si="17">SUM(P8:P11)</f>
        <v>64507828.130725205</v>
      </c>
      <c r="Q34" s="303">
        <f t="shared" si="17"/>
        <v>74652752.773504406</v>
      </c>
      <c r="R34" s="303">
        <f t="shared" si="17"/>
        <v>34173365.464308016</v>
      </c>
      <c r="S34" s="303">
        <f t="shared" si="17"/>
        <v>15866300.264551217</v>
      </c>
      <c r="T34" s="305"/>
    </row>
    <row r="35" spans="12:20" x14ac:dyDescent="0.25">
      <c r="L35" s="84" t="s">
        <v>266</v>
      </c>
      <c r="O35" s="303">
        <f>O33-O34</f>
        <v>0</v>
      </c>
      <c r="P35" s="303">
        <f t="shared" ref="P35:S35" si="18">P33-P34</f>
        <v>0</v>
      </c>
      <c r="Q35" s="303">
        <f t="shared" si="18"/>
        <v>0</v>
      </c>
      <c r="R35" s="303">
        <f t="shared" si="18"/>
        <v>0</v>
      </c>
      <c r="S35" s="303">
        <f t="shared" si="18"/>
        <v>0</v>
      </c>
      <c r="T35" s="305"/>
    </row>
    <row r="36" spans="12:20" x14ac:dyDescent="0.25">
      <c r="O36" s="303"/>
      <c r="P36" s="303"/>
      <c r="Q36" s="303"/>
      <c r="R36" s="303"/>
      <c r="S36" s="303"/>
      <c r="T36" s="305"/>
    </row>
    <row r="37" spans="12:20" x14ac:dyDescent="0.25">
      <c r="L37" s="84" t="s">
        <v>271</v>
      </c>
      <c r="O37" s="303">
        <f>O32</f>
        <v>9549.7561415439759</v>
      </c>
      <c r="P37" s="303">
        <f t="shared" ref="P37:S37" si="19">P32</f>
        <v>10554.043943153087</v>
      </c>
      <c r="Q37" s="303">
        <f t="shared" si="19"/>
        <v>10459.276293064569</v>
      </c>
      <c r="R37" s="303">
        <f t="shared" si="19"/>
        <v>7249.1468710139316</v>
      </c>
      <c r="S37" s="303">
        <f t="shared" si="19"/>
        <v>7839.0811583751065</v>
      </c>
      <c r="T37" s="305"/>
    </row>
    <row r="38" spans="12:20" x14ac:dyDescent="0.25">
      <c r="L38" s="84" t="s">
        <v>272</v>
      </c>
      <c r="O38" s="303">
        <f>O6</f>
        <v>9213.9124614791963</v>
      </c>
      <c r="P38" s="303">
        <f t="shared" ref="P38:S38" si="20">P6</f>
        <v>10196.271649133059</v>
      </c>
      <c r="Q38" s="303">
        <f t="shared" si="20"/>
        <v>10101.395833333332</v>
      </c>
      <c r="R38" s="303">
        <f t="shared" si="20"/>
        <v>7003.4075203252023</v>
      </c>
      <c r="S38" s="303">
        <f t="shared" si="20"/>
        <v>7573.3435828877</v>
      </c>
      <c r="T38" s="305"/>
    </row>
    <row r="39" spans="12:20" x14ac:dyDescent="0.25">
      <c r="O39" s="304">
        <f>(O37-O38)/O38</f>
        <v>3.6449627828444062E-2</v>
      </c>
      <c r="P39" s="304">
        <f t="shared" ref="P39:S39" si="21">(P37-P38)/P38</f>
        <v>3.5088540824669681E-2</v>
      </c>
      <c r="Q39" s="304">
        <f t="shared" si="21"/>
        <v>3.542881257561227E-2</v>
      </c>
      <c r="R39" s="304">
        <f t="shared" si="21"/>
        <v>3.508854082466964E-2</v>
      </c>
      <c r="S39" s="304">
        <f t="shared" si="21"/>
        <v>3.5088540824669855E-2</v>
      </c>
      <c r="T39" s="330">
        <f>AVERAGE(O39:S39)</f>
        <v>3.5428812575613103E-2</v>
      </c>
    </row>
    <row r="40" spans="12:20" x14ac:dyDescent="0.25">
      <c r="O40" s="303"/>
      <c r="P40" s="303"/>
      <c r="Q40" s="303"/>
      <c r="R40" s="303"/>
      <c r="S40" s="303"/>
      <c r="T40" s="305"/>
    </row>
    <row r="41" spans="12:20" x14ac:dyDescent="0.25">
      <c r="O41" s="303"/>
      <c r="P41" s="303"/>
      <c r="Q41" s="303"/>
      <c r="R41" s="303"/>
      <c r="S41" s="303"/>
      <c r="T41" s="305"/>
    </row>
    <row r="42" spans="12:20" x14ac:dyDescent="0.25">
      <c r="L42" s="84" t="s">
        <v>273</v>
      </c>
      <c r="O42" s="303"/>
      <c r="P42" s="303"/>
      <c r="Q42" s="303"/>
      <c r="R42" s="303"/>
      <c r="S42" s="303"/>
      <c r="T42" s="305"/>
    </row>
    <row r="43" spans="12:20" x14ac:dyDescent="0.25">
      <c r="L43" s="84" t="s">
        <v>268</v>
      </c>
      <c r="O43" s="303">
        <f>O17</f>
        <v>4636.6403</v>
      </c>
      <c r="P43" s="303">
        <f t="shared" ref="P43:S43" si="22">P17</f>
        <v>4895.2674999999999</v>
      </c>
      <c r="Q43" s="303">
        <f t="shared" si="22"/>
        <v>5953.7963200000004</v>
      </c>
      <c r="R43" s="303">
        <f t="shared" si="22"/>
        <v>3845.6560999999997</v>
      </c>
      <c r="S43" s="303">
        <f t="shared" si="22"/>
        <v>3549.9150499999996</v>
      </c>
      <c r="T43" s="305"/>
    </row>
    <row r="44" spans="12:20" x14ac:dyDescent="0.25">
      <c r="L44" s="84" t="s">
        <v>269</v>
      </c>
      <c r="O44" s="303">
        <v>11823.985483393299</v>
      </c>
      <c r="P44" s="303">
        <v>12921.499945855196</v>
      </c>
      <c r="Q44" s="303">
        <v>12517.477979099076</v>
      </c>
      <c r="R44" s="303">
        <v>9227.5757881893314</v>
      </c>
      <c r="S44" s="303">
        <v>10155.223809721478</v>
      </c>
      <c r="T44" s="303">
        <f t="shared" ref="T44" si="23">AVERAGE(O44:S44)</f>
        <v>11329.152601251675</v>
      </c>
    </row>
    <row r="45" spans="12:20" x14ac:dyDescent="0.25">
      <c r="L45" s="84" t="s">
        <v>265</v>
      </c>
      <c r="O45" s="303">
        <f>O43*O44</f>
        <v>54823567.598916352</v>
      </c>
      <c r="P45" s="303">
        <f t="shared" ref="P45:S45" si="24">P43*P44</f>
        <v>63254198.736196697</v>
      </c>
      <c r="Q45" s="303">
        <f t="shared" si="24"/>
        <v>74526514.327641115</v>
      </c>
      <c r="R45" s="303">
        <f t="shared" si="24"/>
        <v>35486083.118062608</v>
      </c>
      <c r="S45" s="303">
        <f t="shared" si="24"/>
        <v>36050181.838248603</v>
      </c>
    </row>
    <row r="46" spans="12:20" x14ac:dyDescent="0.25">
      <c r="L46" s="84" t="s">
        <v>267</v>
      </c>
      <c r="O46" s="303">
        <f>SUM(O20:O24)</f>
        <v>54823567.598916344</v>
      </c>
      <c r="P46" s="303">
        <f t="shared" ref="P46:S46" si="25">SUM(P20:P24)</f>
        <v>63254198.736196704</v>
      </c>
      <c r="Q46" s="303">
        <f t="shared" si="25"/>
        <v>74526514.327641115</v>
      </c>
      <c r="R46" s="303">
        <f t="shared" si="25"/>
        <v>35486083.118062608</v>
      </c>
      <c r="S46" s="303">
        <f t="shared" si="25"/>
        <v>36050181.83824861</v>
      </c>
    </row>
    <row r="47" spans="12:20" x14ac:dyDescent="0.25">
      <c r="L47" s="84" t="s">
        <v>266</v>
      </c>
      <c r="O47" s="303">
        <f>O45-O46</f>
        <v>0</v>
      </c>
      <c r="P47" s="303">
        <f t="shared" ref="P47:S47" si="26">P45-P46</f>
        <v>0</v>
      </c>
      <c r="Q47" s="303">
        <f t="shared" si="26"/>
        <v>0</v>
      </c>
      <c r="R47" s="303">
        <f t="shared" si="26"/>
        <v>0</v>
      </c>
      <c r="S47" s="303">
        <f t="shared" si="26"/>
        <v>0</v>
      </c>
    </row>
    <row r="49" spans="12:20" x14ac:dyDescent="0.25">
      <c r="L49" s="84" t="s">
        <v>271</v>
      </c>
      <c r="O49" s="215">
        <f>O44</f>
        <v>11823.985483393299</v>
      </c>
      <c r="P49" s="215">
        <f t="shared" ref="P49:S49" si="27">P44</f>
        <v>12921.499945855196</v>
      </c>
      <c r="Q49" s="215">
        <f t="shared" si="27"/>
        <v>12517.477979099076</v>
      </c>
      <c r="R49" s="215">
        <f t="shared" si="27"/>
        <v>9227.5757881893314</v>
      </c>
      <c r="S49" s="215">
        <f t="shared" si="27"/>
        <v>10155.223809721478</v>
      </c>
    </row>
    <row r="50" spans="12:20" x14ac:dyDescent="0.25">
      <c r="L50" s="84" t="s">
        <v>272</v>
      </c>
      <c r="O50" s="215">
        <f>O18</f>
        <v>11408.455876728416</v>
      </c>
      <c r="P50" s="215">
        <f t="shared" ref="P50:S50" si="28">P18</f>
        <v>12476.229132625425</v>
      </c>
      <c r="Q50" s="215">
        <f t="shared" si="28"/>
        <v>12083.990343088415</v>
      </c>
      <c r="R50" s="215">
        <f t="shared" si="28"/>
        <v>8909.5964365224718</v>
      </c>
      <c r="S50" s="215">
        <f t="shared" si="28"/>
        <v>9805.2779997742782</v>
      </c>
    </row>
    <row r="51" spans="12:20" x14ac:dyDescent="0.25">
      <c r="O51" s="304">
        <f>(O49-O50)/O50</f>
        <v>3.6422949008594774E-2</v>
      </c>
      <c r="P51" s="304">
        <f t="shared" ref="P51:S51" si="29">(P49-P50)/P50</f>
        <v>3.5689534754165746E-2</v>
      </c>
      <c r="Q51" s="304">
        <f t="shared" si="29"/>
        <v>3.587288831777323E-2</v>
      </c>
      <c r="R51" s="304">
        <f t="shared" si="29"/>
        <v>3.5689534754165704E-2</v>
      </c>
      <c r="S51" s="304">
        <f t="shared" si="29"/>
        <v>3.56895347541656E-2</v>
      </c>
      <c r="T51" s="330">
        <f>AVERAGE(O51:S51)</f>
        <v>3.5872888317773008E-2</v>
      </c>
    </row>
  </sheetData>
  <dataConsolidate/>
  <mergeCells count="8">
    <mergeCell ref="B2:J2"/>
    <mergeCell ref="L2:S2"/>
    <mergeCell ref="T4:Y4"/>
    <mergeCell ref="T16:Y16"/>
    <mergeCell ref="B11:J11"/>
    <mergeCell ref="B4:J4"/>
    <mergeCell ref="L4:S4"/>
    <mergeCell ref="L16:S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Z51"/>
  <sheetViews>
    <sheetView zoomScaleNormal="100" workbookViewId="0"/>
  </sheetViews>
  <sheetFormatPr defaultColWidth="8.7109375" defaultRowHeight="12.75" x14ac:dyDescent="0.25"/>
  <cols>
    <col min="1" max="1" width="4.5703125" style="85" customWidth="1"/>
    <col min="2" max="2" width="43.42578125" style="84" customWidth="1"/>
    <col min="3" max="3" width="8.42578125" style="84" bestFit="1" customWidth="1"/>
    <col min="4" max="4" width="12" style="84" customWidth="1"/>
    <col min="5" max="5" width="11" style="84" bestFit="1" customWidth="1"/>
    <col min="6" max="9" width="10.7109375" style="84" bestFit="1" customWidth="1"/>
    <col min="10" max="10" width="26.7109375" style="84" bestFit="1" customWidth="1"/>
    <col min="11" max="11" width="4.5703125" style="84" bestFit="1" customWidth="1"/>
    <col min="12" max="12" width="41.5703125" style="84" customWidth="1"/>
    <col min="13" max="13" width="6.28515625" style="84" bestFit="1" customWidth="1"/>
    <col min="14" max="14" width="7.5703125" style="84" bestFit="1" customWidth="1"/>
    <col min="15" max="19" width="11" style="84" bestFit="1" customWidth="1"/>
    <col min="20" max="20" width="11.7109375" style="84" bestFit="1" customWidth="1"/>
    <col min="21" max="25" width="11" style="84" customWidth="1"/>
    <col min="26" max="26" width="48.42578125" style="84" customWidth="1"/>
    <col min="27" max="16384" width="8.7109375" style="84"/>
  </cols>
  <sheetData>
    <row r="1" spans="1:26" ht="24" thickBot="1" x14ac:dyDescent="0.3">
      <c r="A1" s="83" t="s">
        <v>216</v>
      </c>
    </row>
    <row r="2" spans="1:26" ht="15.75" thickBot="1" x14ac:dyDescent="0.3">
      <c r="A2" s="84"/>
      <c r="B2" s="413" t="s">
        <v>214</v>
      </c>
      <c r="C2" s="414"/>
      <c r="D2" s="414"/>
      <c r="E2" s="414"/>
      <c r="F2" s="414"/>
      <c r="G2" s="414"/>
      <c r="H2" s="414"/>
      <c r="I2" s="414"/>
      <c r="J2" s="415"/>
      <c r="L2" s="413" t="s">
        <v>215</v>
      </c>
      <c r="M2" s="414"/>
      <c r="N2" s="414"/>
      <c r="O2" s="414"/>
      <c r="P2" s="414"/>
      <c r="Q2" s="414"/>
      <c r="R2" s="414"/>
      <c r="S2" s="415"/>
      <c r="T2" s="54" t="s">
        <v>140</v>
      </c>
      <c r="U2" s="55">
        <f>'Basic data - source records'!AF5</f>
        <v>614.29514240306696</v>
      </c>
      <c r="V2" s="55">
        <f>'Basic data - source records'!AG5</f>
        <v>646.63597455067304</v>
      </c>
      <c r="W2" s="55">
        <f>'Basic data - source records'!AH5</f>
        <v>681.86171894726601</v>
      </c>
      <c r="X2" s="55">
        <f>'Basic data - source records'!AI5</f>
        <v>720.97510889672799</v>
      </c>
      <c r="Y2" s="154">
        <f>'Basic data - source records'!AJ5</f>
        <v>788</v>
      </c>
    </row>
    <row r="3" spans="1:26" x14ac:dyDescent="0.25">
      <c r="B3" s="56"/>
      <c r="C3" s="57" t="s">
        <v>3</v>
      </c>
      <c r="D3" s="57" t="s">
        <v>23</v>
      </c>
      <c r="E3" s="57">
        <v>2012</v>
      </c>
      <c r="F3" s="57">
        <v>2013</v>
      </c>
      <c r="G3" s="57">
        <v>2014</v>
      </c>
      <c r="H3" s="57">
        <v>2015</v>
      </c>
      <c r="I3" s="57">
        <v>2016</v>
      </c>
      <c r="J3" s="58" t="s">
        <v>27</v>
      </c>
      <c r="L3" s="59"/>
      <c r="M3" s="60" t="s">
        <v>3</v>
      </c>
      <c r="N3" s="60" t="s">
        <v>23</v>
      </c>
      <c r="O3" s="60">
        <v>2012</v>
      </c>
      <c r="P3" s="60">
        <v>2013</v>
      </c>
      <c r="Q3" s="60">
        <v>2014</v>
      </c>
      <c r="R3" s="60">
        <v>2015</v>
      </c>
      <c r="S3" s="61">
        <v>2016</v>
      </c>
      <c r="T3" s="59" t="s">
        <v>23</v>
      </c>
      <c r="U3" s="60">
        <v>2012</v>
      </c>
      <c r="V3" s="60">
        <v>2013</v>
      </c>
      <c r="W3" s="60">
        <v>2014</v>
      </c>
      <c r="X3" s="60">
        <v>2015</v>
      </c>
      <c r="Y3" s="61">
        <v>2016</v>
      </c>
      <c r="Z3" s="88" t="s">
        <v>27</v>
      </c>
    </row>
    <row r="4" spans="1:26" ht="15" x14ac:dyDescent="0.25">
      <c r="B4" s="422" t="s">
        <v>0</v>
      </c>
      <c r="C4" s="423"/>
      <c r="D4" s="423"/>
      <c r="E4" s="423"/>
      <c r="F4" s="423"/>
      <c r="G4" s="423"/>
      <c r="H4" s="423"/>
      <c r="I4" s="423"/>
      <c r="J4" s="424"/>
      <c r="L4" s="416" t="s">
        <v>0</v>
      </c>
      <c r="M4" s="417"/>
      <c r="N4" s="417"/>
      <c r="O4" s="417"/>
      <c r="P4" s="417"/>
      <c r="Q4" s="417"/>
      <c r="R4" s="417"/>
      <c r="S4" s="418"/>
      <c r="T4" s="416" t="s">
        <v>0</v>
      </c>
      <c r="U4" s="417"/>
      <c r="V4" s="417"/>
      <c r="W4" s="417"/>
      <c r="X4" s="417"/>
      <c r="Y4" s="418"/>
      <c r="Z4" s="76"/>
    </row>
    <row r="5" spans="1:26" ht="12.75" customHeight="1" x14ac:dyDescent="0.25">
      <c r="B5" s="62" t="s">
        <v>13</v>
      </c>
      <c r="C5" s="63" t="s">
        <v>12</v>
      </c>
      <c r="D5" s="63" t="s">
        <v>2</v>
      </c>
      <c r="E5" s="64">
        <f>'Basic data - source records'!C7</f>
        <v>967.88760500000001</v>
      </c>
      <c r="F5" s="64">
        <f>'Basic data - source records'!D7</f>
        <v>1924.3862000000001</v>
      </c>
      <c r="G5" s="64">
        <f>'Basic data - source records'!E7</f>
        <v>2097.5134899999998</v>
      </c>
      <c r="H5" s="64">
        <f>'Basic data - source records'!F7</f>
        <v>1332</v>
      </c>
      <c r="I5" s="64">
        <f>'Basic data - source records'!G7</f>
        <v>2553.6</v>
      </c>
      <c r="J5" s="65" t="s">
        <v>166</v>
      </c>
      <c r="L5" s="62" t="s">
        <v>6</v>
      </c>
      <c r="M5" s="101" t="s">
        <v>12</v>
      </c>
      <c r="N5" s="101" t="s">
        <v>2</v>
      </c>
      <c r="O5" s="102">
        <f>E5</f>
        <v>967.88760500000001</v>
      </c>
      <c r="P5" s="102">
        <f>F5</f>
        <v>1924.3862000000001</v>
      </c>
      <c r="Q5" s="102">
        <f>G5</f>
        <v>2097.5134899999998</v>
      </c>
      <c r="R5" s="102">
        <f>H5</f>
        <v>1332</v>
      </c>
      <c r="S5" s="103">
        <f>I5</f>
        <v>2553.6</v>
      </c>
      <c r="T5" s="62" t="s">
        <v>2</v>
      </c>
      <c r="U5" s="104">
        <f>O5</f>
        <v>967.88760500000001</v>
      </c>
      <c r="V5" s="104">
        <f t="shared" ref="V5:Y5" si="0">P5</f>
        <v>1924.3862000000001</v>
      </c>
      <c r="W5" s="104">
        <f t="shared" si="0"/>
        <v>2097.5134899999998</v>
      </c>
      <c r="X5" s="104">
        <f t="shared" si="0"/>
        <v>1332</v>
      </c>
      <c r="Y5" s="103">
        <f t="shared" si="0"/>
        <v>2553.6</v>
      </c>
      <c r="Z5" s="105" t="s">
        <v>107</v>
      </c>
    </row>
    <row r="6" spans="1:26" x14ac:dyDescent="0.25">
      <c r="B6" s="66" t="s">
        <v>33</v>
      </c>
      <c r="C6" s="68" t="s">
        <v>35</v>
      </c>
      <c r="D6" s="68" t="s">
        <v>24</v>
      </c>
      <c r="E6" s="69"/>
      <c r="F6" s="69"/>
      <c r="G6" s="69"/>
      <c r="H6" s="69"/>
      <c r="I6" s="69"/>
      <c r="J6" s="70"/>
      <c r="L6" s="130" t="s">
        <v>108</v>
      </c>
      <c r="M6" s="131" t="s">
        <v>34</v>
      </c>
      <c r="N6" s="132" t="s">
        <v>109</v>
      </c>
      <c r="O6" s="133">
        <f>'Mining price data'!BO47</f>
        <v>49839.999999999993</v>
      </c>
      <c r="P6" s="133">
        <f>'Mining price data'!BP47</f>
        <v>56141</v>
      </c>
      <c r="Q6" s="133">
        <f>'Mining price data'!BQ47</f>
        <v>44661.63636363636</v>
      </c>
      <c r="R6" s="133">
        <f>'Mining price data'!BR47</f>
        <v>42300.370370370365</v>
      </c>
      <c r="S6" s="133">
        <f>'Mining price data'!BS47</f>
        <v>35080.727272727279</v>
      </c>
      <c r="T6" s="130" t="s">
        <v>139</v>
      </c>
      <c r="U6" s="134">
        <f>O6*U2</f>
        <v>30616469.897368852</v>
      </c>
      <c r="V6" s="134">
        <f t="shared" ref="V6:Y6" si="1">P6*V2</f>
        <v>36302790.247249335</v>
      </c>
      <c r="W6" s="134">
        <f t="shared" si="1"/>
        <v>30453060.141906813</v>
      </c>
      <c r="X6" s="134">
        <f t="shared" si="1"/>
        <v>30497514.1341497</v>
      </c>
      <c r="Y6" s="135">
        <f t="shared" si="1"/>
        <v>27643613.090909097</v>
      </c>
      <c r="Z6" s="136" t="s">
        <v>155</v>
      </c>
    </row>
    <row r="7" spans="1:26" x14ac:dyDescent="0.25">
      <c r="B7" s="66" t="s">
        <v>33</v>
      </c>
      <c r="C7" s="68" t="s">
        <v>36</v>
      </c>
      <c r="D7" s="68" t="s">
        <v>24</v>
      </c>
      <c r="E7" s="69"/>
      <c r="F7" s="69"/>
      <c r="G7" s="69"/>
      <c r="H7" s="69"/>
      <c r="I7" s="69"/>
      <c r="J7" s="70"/>
      <c r="L7" s="93" t="s">
        <v>110</v>
      </c>
      <c r="M7" s="94" t="s">
        <v>34</v>
      </c>
      <c r="N7" s="94" t="s">
        <v>11</v>
      </c>
      <c r="O7" s="95">
        <f>O6*O5</f>
        <v>48239518.233199991</v>
      </c>
      <c r="P7" s="95">
        <f t="shared" ref="P7:S7" si="2">P6*P5</f>
        <v>108036965.6542</v>
      </c>
      <c r="Q7" s="95">
        <f t="shared" si="2"/>
        <v>93678384.758201808</v>
      </c>
      <c r="R7" s="95">
        <f t="shared" si="2"/>
        <v>56344093.333333328</v>
      </c>
      <c r="S7" s="95">
        <f t="shared" si="2"/>
        <v>89582145.163636371</v>
      </c>
      <c r="T7" s="93" t="s">
        <v>138</v>
      </c>
      <c r="U7" s="141">
        <f>O7*U$2/1000000000</f>
        <v>29.633301722518933</v>
      </c>
      <c r="V7" s="141">
        <f t="shared" ref="V7:Y11" si="3">P7*V$2/1000000000</f>
        <v>69.860588573301214</v>
      </c>
      <c r="W7" s="141">
        <f t="shared" si="3"/>
        <v>63.87570445943085</v>
      </c>
      <c r="X7" s="141">
        <f t="shared" si="3"/>
        <v>40.622688826687401</v>
      </c>
      <c r="Y7" s="142">
        <f t="shared" si="3"/>
        <v>70.59073038894546</v>
      </c>
      <c r="Z7" s="143" t="s">
        <v>111</v>
      </c>
    </row>
    <row r="8" spans="1:26" ht="25.5" x14ac:dyDescent="0.25">
      <c r="B8" s="66"/>
      <c r="C8" s="68"/>
      <c r="D8" s="68"/>
      <c r="E8" s="69"/>
      <c r="F8" s="69"/>
      <c r="G8" s="69"/>
      <c r="H8" s="69"/>
      <c r="I8" s="68"/>
      <c r="J8" s="70"/>
      <c r="L8" s="115" t="s">
        <v>152</v>
      </c>
      <c r="M8" s="116" t="s">
        <v>154</v>
      </c>
      <c r="N8" s="116" t="s">
        <v>11</v>
      </c>
      <c r="O8" s="117">
        <f>O$7*'IBES data'!$U7</f>
        <v>40798118.730636716</v>
      </c>
      <c r="P8" s="117">
        <f>P$7*'IBES data'!$U7</f>
        <v>91371247.340199336</v>
      </c>
      <c r="Q8" s="117">
        <f>Q$7*'IBES data'!$U7</f>
        <v>79227612.626301691</v>
      </c>
      <c r="R8" s="117">
        <f>R$7*'IBES data'!$U7</f>
        <v>47652486.877477713</v>
      </c>
      <c r="S8" s="118">
        <f>S$7*'IBES data'!$U7</f>
        <v>75763256.524726868</v>
      </c>
      <c r="T8" s="115" t="s">
        <v>138</v>
      </c>
      <c r="U8" s="119">
        <f>O8*U$2/1000000000</f>
        <v>25.062086155413716</v>
      </c>
      <c r="V8" s="119">
        <f t="shared" si="3"/>
        <v>59.08393556974039</v>
      </c>
      <c r="W8" s="119">
        <f t="shared" si="3"/>
        <v>54.022276133458192</v>
      </c>
      <c r="X8" s="119">
        <f t="shared" si="3"/>
        <v>34.356256915689393</v>
      </c>
      <c r="Y8" s="120">
        <f t="shared" si="3"/>
        <v>59.701446141484773</v>
      </c>
      <c r="Z8" s="121" t="s">
        <v>151</v>
      </c>
    </row>
    <row r="9" spans="1:26" x14ac:dyDescent="0.25">
      <c r="B9" s="93" t="s">
        <v>1</v>
      </c>
      <c r="C9" s="137" t="s">
        <v>34</v>
      </c>
      <c r="D9" s="137" t="s">
        <v>2</v>
      </c>
      <c r="E9" s="138">
        <f>E5-E12</f>
        <v>0</v>
      </c>
      <c r="F9" s="138">
        <f>F5-F12</f>
        <v>0</v>
      </c>
      <c r="G9" s="138">
        <f>G5-G12</f>
        <v>0</v>
      </c>
      <c r="H9" s="138">
        <f>H5-H12</f>
        <v>0</v>
      </c>
      <c r="I9" s="138">
        <f>I5-I12</f>
        <v>0</v>
      </c>
      <c r="J9" s="139"/>
      <c r="L9" s="115" t="s">
        <v>112</v>
      </c>
      <c r="M9" s="116" t="s">
        <v>154</v>
      </c>
      <c r="N9" s="116" t="s">
        <v>11</v>
      </c>
      <c r="O9" s="117">
        <f>O$7*'IBES data'!$U8</f>
        <v>7451562.9107281771</v>
      </c>
      <c r="P9" s="117">
        <f>P$7*'IBES data'!$U8</f>
        <v>16688480.228278758</v>
      </c>
      <c r="Q9" s="117">
        <f>Q$7*'IBES data'!$U8</f>
        <v>14470508.889135621</v>
      </c>
      <c r="R9" s="117">
        <f>R$7*'IBES data'!$U8</f>
        <v>8703477.3873906154</v>
      </c>
      <c r="S9" s="118">
        <f>S$7*'IBES data'!$U8</f>
        <v>13837762.374363987</v>
      </c>
      <c r="T9" s="115" t="s">
        <v>138</v>
      </c>
      <c r="U9" s="119">
        <f t="shared" ref="U9:U10" si="4">O9*U$2/1000000000</f>
        <v>4.5774588993711776</v>
      </c>
      <c r="V9" s="119">
        <f t="shared" si="3"/>
        <v>10.791371676182672</v>
      </c>
      <c r="W9" s="119">
        <f t="shared" si="3"/>
        <v>9.8668860651877086</v>
      </c>
      <c r="X9" s="119">
        <f t="shared" si="3"/>
        <v>6.2749905571541582</v>
      </c>
      <c r="Y9" s="120">
        <f t="shared" si="3"/>
        <v>10.904156750998821</v>
      </c>
      <c r="Z9" s="121" t="s">
        <v>151</v>
      </c>
    </row>
    <row r="10" spans="1:26" x14ac:dyDescent="0.25">
      <c r="B10" s="66"/>
      <c r="C10" s="68"/>
      <c r="D10" s="68"/>
      <c r="E10" s="69"/>
      <c r="F10" s="69"/>
      <c r="G10" s="69"/>
      <c r="H10" s="69"/>
      <c r="I10" s="69"/>
      <c r="J10" s="70"/>
      <c r="L10" s="115" t="s">
        <v>113</v>
      </c>
      <c r="M10" s="116" t="s">
        <v>154</v>
      </c>
      <c r="N10" s="116" t="s">
        <v>11</v>
      </c>
      <c r="O10" s="117">
        <f>O$7*'IBES data'!$U9</f>
        <v>820727.26669421536</v>
      </c>
      <c r="P10" s="117">
        <f>P$7*'IBES data'!$U9</f>
        <v>1838096.3734891452</v>
      </c>
      <c r="Q10" s="117">
        <f>Q$7*'IBES data'!$U9</f>
        <v>1593805.4003618488</v>
      </c>
      <c r="R10" s="117">
        <f>R$7*'IBES data'!$U9</f>
        <v>958615.16469300911</v>
      </c>
      <c r="S10" s="118">
        <f>S$7*'IBES data'!$U9</f>
        <v>1524113.6694054948</v>
      </c>
      <c r="T10" s="115" t="s">
        <v>138</v>
      </c>
      <c r="U10" s="119">
        <f t="shared" si="4"/>
        <v>0.50416877316800301</v>
      </c>
      <c r="V10" s="119">
        <f t="shared" si="3"/>
        <v>1.1885792397892112</v>
      </c>
      <c r="W10" s="119">
        <f t="shared" si="3"/>
        <v>1.0867548899581656</v>
      </c>
      <c r="X10" s="119">
        <f t="shared" si="3"/>
        <v>0.69113767275459703</v>
      </c>
      <c r="Y10" s="120">
        <f t="shared" si="3"/>
        <v>1.2010015714915299</v>
      </c>
      <c r="Z10" s="121" t="s">
        <v>151</v>
      </c>
    </row>
    <row r="11" spans="1:26" x14ac:dyDescent="0.25">
      <c r="B11" s="419" t="s">
        <v>26</v>
      </c>
      <c r="C11" s="420"/>
      <c r="D11" s="420"/>
      <c r="E11" s="420"/>
      <c r="F11" s="420"/>
      <c r="G11" s="420"/>
      <c r="H11" s="420"/>
      <c r="I11" s="420"/>
      <c r="J11" s="421"/>
      <c r="L11" s="115" t="s">
        <v>114</v>
      </c>
      <c r="M11" s="122" t="s">
        <v>34</v>
      </c>
      <c r="N11" s="116" t="s">
        <v>11</v>
      </c>
      <c r="O11" s="123">
        <f>O10*'Basic data - source records'!Y5*'Basic data - source records'!$AR$2</f>
        <v>927421.8113644633</v>
      </c>
      <c r="P11" s="123">
        <f>P10*'Basic data - source records'!Z5*'Basic data - source records'!$AR$2</f>
        <v>1930001.1921636024</v>
      </c>
      <c r="Q11" s="123">
        <f>Q10*'Basic data - source records'!AA5*'Basic data - source records'!$AR$2</f>
        <v>1705371.7783871782</v>
      </c>
      <c r="R11" s="123">
        <f>R10*'Basic data - source records'!AB5*'Basic data - source records'!$AR$2</f>
        <v>1006545.9229276596</v>
      </c>
      <c r="S11" s="123">
        <f>S10*'Basic data - source records'!AC5*'Basic data - source records'!$AR$2</f>
        <v>1600319.3528757696</v>
      </c>
      <c r="T11" s="115" t="s">
        <v>138</v>
      </c>
      <c r="U11" s="119">
        <f>O11*U$2/1000000000</f>
        <v>0.56971071367984327</v>
      </c>
      <c r="V11" s="119">
        <f t="shared" si="3"/>
        <v>1.248008201778672</v>
      </c>
      <c r="W11" s="119">
        <f t="shared" si="3"/>
        <v>1.1628277322552374</v>
      </c>
      <c r="X11" s="119">
        <f t="shared" si="3"/>
        <v>0.72569455639232694</v>
      </c>
      <c r="Y11" s="120">
        <f t="shared" si="3"/>
        <v>1.2610516500661066</v>
      </c>
      <c r="Z11" s="121" t="s">
        <v>151</v>
      </c>
    </row>
    <row r="12" spans="1:26" ht="12.75" customHeight="1" x14ac:dyDescent="0.25">
      <c r="B12" s="62" t="s">
        <v>14</v>
      </c>
      <c r="C12" s="63" t="s">
        <v>12</v>
      </c>
      <c r="D12" s="63" t="s">
        <v>2</v>
      </c>
      <c r="E12" s="64">
        <f>'Basic data - source records'!C7</f>
        <v>967.88760500000001</v>
      </c>
      <c r="F12" s="64">
        <f>'Basic data - source records'!D7</f>
        <v>1924.3862000000001</v>
      </c>
      <c r="G12" s="64">
        <f>'Basic data - source records'!E7</f>
        <v>2097.5134899999998</v>
      </c>
      <c r="H12" s="64">
        <f>'Basic data - source records'!F7</f>
        <v>1332</v>
      </c>
      <c r="I12" s="64">
        <f>'Basic data - source records'!G7</f>
        <v>2553.6</v>
      </c>
      <c r="J12" s="65" t="s">
        <v>166</v>
      </c>
      <c r="L12" s="71"/>
      <c r="M12" s="72"/>
      <c r="N12" s="73"/>
      <c r="O12" s="86"/>
      <c r="P12" s="86"/>
      <c r="Q12" s="86"/>
      <c r="R12" s="86"/>
      <c r="S12" s="67"/>
      <c r="T12" s="71"/>
      <c r="U12" s="75"/>
      <c r="V12" s="75"/>
      <c r="W12" s="75"/>
      <c r="X12" s="75"/>
      <c r="Y12" s="67"/>
      <c r="Z12" s="89"/>
    </row>
    <row r="13" spans="1:26" x14ac:dyDescent="0.25">
      <c r="B13" s="66"/>
      <c r="C13" s="68"/>
      <c r="D13" s="68"/>
      <c r="E13" s="69"/>
      <c r="F13" s="69"/>
      <c r="G13" s="69"/>
      <c r="H13" s="69"/>
      <c r="I13" s="69"/>
      <c r="J13" s="70"/>
      <c r="L13" s="93" t="s">
        <v>115</v>
      </c>
      <c r="M13" s="94" t="s">
        <v>34</v>
      </c>
      <c r="N13" s="94" t="s">
        <v>11</v>
      </c>
      <c r="O13" s="95">
        <f>O7-(O8+O9+O10+O11)</f>
        <v>-1758312.4862235859</v>
      </c>
      <c r="P13" s="95">
        <f t="shared" ref="P13:S13" si="5">P7-(P8+P9+P10+P11)</f>
        <v>-3790859.479930833</v>
      </c>
      <c r="Q13" s="95">
        <f t="shared" si="5"/>
        <v>-3318913.9359845221</v>
      </c>
      <c r="R13" s="95">
        <f t="shared" si="5"/>
        <v>-1977032.0191556662</v>
      </c>
      <c r="S13" s="96">
        <f t="shared" si="5"/>
        <v>-3143306.7577357441</v>
      </c>
      <c r="T13" s="93" t="s">
        <v>138</v>
      </c>
      <c r="U13" s="141">
        <f>O13*U$2/1000000000</f>
        <v>-1.0801228191138084</v>
      </c>
      <c r="V13" s="141">
        <f t="shared" ref="V13:Y13" si="6">P13*V$2/1000000000</f>
        <v>-2.4513061141897317</v>
      </c>
      <c r="W13" s="141">
        <f t="shared" si="6"/>
        <v>-2.2630403614284424</v>
      </c>
      <c r="X13" s="141">
        <f t="shared" si="6"/>
        <v>-1.4253908753030744</v>
      </c>
      <c r="Y13" s="142">
        <f t="shared" si="6"/>
        <v>-2.4769257250957666</v>
      </c>
      <c r="Z13" s="98" t="s">
        <v>111</v>
      </c>
    </row>
    <row r="14" spans="1:26" ht="13.5" customHeight="1" x14ac:dyDescent="0.25">
      <c r="B14" s="93" t="s">
        <v>28</v>
      </c>
      <c r="C14" s="94" t="s">
        <v>34</v>
      </c>
      <c r="D14" s="137" t="s">
        <v>2</v>
      </c>
      <c r="E14" s="138">
        <f>E12-E16</f>
        <v>25.639905000000226</v>
      </c>
      <c r="F14" s="138">
        <f>F12-F16</f>
        <v>-122.37526999999955</v>
      </c>
      <c r="G14" s="138">
        <f>G12-G16</f>
        <v>-187.39354000000003</v>
      </c>
      <c r="H14" s="138">
        <f>H12-H16</f>
        <v>-258</v>
      </c>
      <c r="I14" s="138">
        <f>I12-I16</f>
        <v>1377.6</v>
      </c>
      <c r="J14" s="139"/>
      <c r="L14" s="93" t="s">
        <v>116</v>
      </c>
      <c r="M14" s="94" t="s">
        <v>34</v>
      </c>
      <c r="N14" s="94" t="s">
        <v>109</v>
      </c>
      <c r="O14" s="95">
        <f>O13/O5</f>
        <v>-1816.6494509696565</v>
      </c>
      <c r="P14" s="95">
        <f t="shared" ref="P14:S14" si="7">P13/P5</f>
        <v>-1969.9057704377806</v>
      </c>
      <c r="Q14" s="95">
        <f t="shared" si="7"/>
        <v>-1582.3087440474685</v>
      </c>
      <c r="R14" s="95">
        <f t="shared" si="7"/>
        <v>-1484.2582726393891</v>
      </c>
      <c r="S14" s="96">
        <f t="shared" si="7"/>
        <v>-1230.9315310681957</v>
      </c>
      <c r="T14" s="93" t="s">
        <v>139</v>
      </c>
      <c r="U14" s="97">
        <f>O14*U2</f>
        <v>-1115958.9331798586</v>
      </c>
      <c r="V14" s="97">
        <f t="shared" ref="V14:Y14" si="8">P14*V2</f>
        <v>-1273811.9376400285</v>
      </c>
      <c r="W14" s="97">
        <f t="shared" si="8"/>
        <v>-1078915.7601214964</v>
      </c>
      <c r="X14" s="97">
        <f t="shared" si="8"/>
        <v>-1070113.269747053</v>
      </c>
      <c r="Y14" s="96">
        <f t="shared" si="8"/>
        <v>-969974.04648173822</v>
      </c>
      <c r="Z14" s="98" t="s">
        <v>111</v>
      </c>
    </row>
    <row r="15" spans="1:26" x14ac:dyDescent="0.2">
      <c r="B15" s="66"/>
      <c r="C15" s="68"/>
      <c r="D15" s="68"/>
      <c r="E15" s="69"/>
      <c r="F15" s="69"/>
      <c r="G15" s="69"/>
      <c r="H15" s="69"/>
      <c r="I15" s="69"/>
      <c r="J15" s="70"/>
      <c r="L15" s="144" t="s">
        <v>156</v>
      </c>
      <c r="M15" s="145" t="s">
        <v>34</v>
      </c>
      <c r="N15" s="145" t="s">
        <v>11</v>
      </c>
      <c r="O15" s="146">
        <f>O20-O7</f>
        <v>399510.87713290006</v>
      </c>
      <c r="P15" s="146">
        <f t="shared" ref="P15:S15" si="9">P20-P7</f>
        <v>6973543.1444140375</v>
      </c>
      <c r="Q15" s="146">
        <f t="shared" si="9"/>
        <v>-4128747.9062166363</v>
      </c>
      <c r="R15" s="146">
        <f t="shared" si="9"/>
        <v>233461.35570446402</v>
      </c>
      <c r="S15" s="146">
        <f t="shared" si="9"/>
        <v>-55616542.77436877</v>
      </c>
      <c r="T15" s="93" t="s">
        <v>138</v>
      </c>
      <c r="U15" s="141">
        <f>O15*U$2/1000000000</f>
        <v>0.24541759115992903</v>
      </c>
      <c r="V15" s="141">
        <f t="shared" ref="V15:Y15" si="10">P15*V$2/1000000000</f>
        <v>4.5093438672593358</v>
      </c>
      <c r="W15" s="141">
        <f t="shared" si="10"/>
        <v>-2.8152351444328012</v>
      </c>
      <c r="X15" s="141">
        <f t="shared" si="10"/>
        <v>0.16831982635220369</v>
      </c>
      <c r="Y15" s="142">
        <f t="shared" si="10"/>
        <v>-43.825835706202589</v>
      </c>
      <c r="Z15" s="98" t="s">
        <v>111</v>
      </c>
    </row>
    <row r="16" spans="1:26" ht="15" x14ac:dyDescent="0.25">
      <c r="B16" s="62" t="s">
        <v>29</v>
      </c>
      <c r="C16" s="63" t="s">
        <v>12</v>
      </c>
      <c r="D16" s="63" t="s">
        <v>2</v>
      </c>
      <c r="E16" s="64">
        <f>'Basic data - source records'!C8</f>
        <v>942.24769999999978</v>
      </c>
      <c r="F16" s="64">
        <f>'Basic data - source records'!D8</f>
        <v>2046.7614699999997</v>
      </c>
      <c r="G16" s="64">
        <f>'Basic data - source records'!E8</f>
        <v>2284.9070299999998</v>
      </c>
      <c r="H16" s="64">
        <f>'Basic data - source records'!F8</f>
        <v>1590</v>
      </c>
      <c r="I16" s="64">
        <f>'Basic data - source records'!G8</f>
        <v>1176</v>
      </c>
      <c r="J16" s="65" t="s">
        <v>166</v>
      </c>
      <c r="L16" s="416" t="s">
        <v>26</v>
      </c>
      <c r="M16" s="417"/>
      <c r="N16" s="417"/>
      <c r="O16" s="417"/>
      <c r="P16" s="417"/>
      <c r="Q16" s="417"/>
      <c r="R16" s="417"/>
      <c r="S16" s="418"/>
      <c r="T16" s="416" t="s">
        <v>26</v>
      </c>
      <c r="U16" s="417"/>
      <c r="V16" s="417"/>
      <c r="W16" s="417"/>
      <c r="X16" s="417"/>
      <c r="Y16" s="418"/>
      <c r="Z16" s="76"/>
    </row>
    <row r="17" spans="2:26" x14ac:dyDescent="0.25">
      <c r="B17" s="66"/>
      <c r="C17" s="68"/>
      <c r="D17" s="68"/>
      <c r="E17" s="69"/>
      <c r="F17" s="69"/>
      <c r="G17" s="69"/>
      <c r="H17" s="69"/>
      <c r="I17" s="69"/>
      <c r="J17" s="70"/>
      <c r="L17" s="62" t="s">
        <v>143</v>
      </c>
      <c r="M17" s="101" t="s">
        <v>32</v>
      </c>
      <c r="N17" s="101" t="s">
        <v>2</v>
      </c>
      <c r="O17" s="102">
        <f>E20</f>
        <v>1144.6847</v>
      </c>
      <c r="P17" s="102">
        <f>F20</f>
        <v>2466.02367</v>
      </c>
      <c r="Q17" s="102">
        <f>G20</f>
        <v>2302.5188700000003</v>
      </c>
      <c r="R17" s="102">
        <f>H20</f>
        <v>1651.71126</v>
      </c>
      <c r="S17" s="103">
        <f>I20</f>
        <v>1269.9392000000003</v>
      </c>
      <c r="T17" s="62" t="s">
        <v>2</v>
      </c>
      <c r="U17" s="104">
        <f>O17</f>
        <v>1144.6847</v>
      </c>
      <c r="V17" s="104">
        <f t="shared" ref="V17:Y17" si="11">P17</f>
        <v>2466.02367</v>
      </c>
      <c r="W17" s="104">
        <f t="shared" si="11"/>
        <v>2302.5188700000003</v>
      </c>
      <c r="X17" s="104">
        <f t="shared" si="11"/>
        <v>1651.71126</v>
      </c>
      <c r="Y17" s="103">
        <f t="shared" si="11"/>
        <v>1269.9392000000003</v>
      </c>
      <c r="Z17" s="105" t="s">
        <v>107</v>
      </c>
    </row>
    <row r="18" spans="2:26" x14ac:dyDescent="0.25">
      <c r="B18" s="93" t="s">
        <v>1</v>
      </c>
      <c r="C18" s="94" t="s">
        <v>34</v>
      </c>
      <c r="D18" s="137" t="s">
        <v>2</v>
      </c>
      <c r="E18" s="138">
        <f>E16-E20</f>
        <v>-202.43700000000024</v>
      </c>
      <c r="F18" s="138">
        <f t="shared" ref="F18:I18" si="12">F16-F20</f>
        <v>-419.26220000000035</v>
      </c>
      <c r="G18" s="138">
        <f t="shared" si="12"/>
        <v>-17.611840000000484</v>
      </c>
      <c r="H18" s="138">
        <f t="shared" si="12"/>
        <v>-61.711260000000038</v>
      </c>
      <c r="I18" s="138">
        <f t="shared" si="12"/>
        <v>-93.939200000000255</v>
      </c>
      <c r="J18" s="140"/>
      <c r="L18" s="93" t="s">
        <v>108</v>
      </c>
      <c r="M18" s="94" t="s">
        <v>34</v>
      </c>
      <c r="N18" s="94" t="s">
        <v>109</v>
      </c>
      <c r="O18" s="95">
        <f>O19/O17</f>
        <v>49718.149371024883</v>
      </c>
      <c r="P18" s="95">
        <f t="shared" ref="P18:S18" si="13">P19/P17</f>
        <v>54570.284676931129</v>
      </c>
      <c r="Q18" s="95">
        <f t="shared" si="13"/>
        <v>45506.82818945036</v>
      </c>
      <c r="R18" s="95">
        <f t="shared" si="13"/>
        <v>40079.839996213515</v>
      </c>
      <c r="S18" s="96">
        <f t="shared" si="13"/>
        <v>31294.810618683896</v>
      </c>
      <c r="T18" s="93" t="s">
        <v>139</v>
      </c>
      <c r="U18" s="97">
        <f>O18*U2</f>
        <v>30541617.647890683</v>
      </c>
      <c r="V18" s="97">
        <f t="shared" ref="V18:Y18" si="14">P18*V2</f>
        <v>35287109.21357502</v>
      </c>
      <c r="W18" s="97">
        <f t="shared" si="14"/>
        <v>31029364.093096524</v>
      </c>
      <c r="X18" s="97">
        <f t="shared" si="14"/>
        <v>28896567.005833473</v>
      </c>
      <c r="Y18" s="96">
        <f t="shared" si="14"/>
        <v>24660310.767522909</v>
      </c>
      <c r="Z18" s="98" t="s">
        <v>111</v>
      </c>
    </row>
    <row r="19" spans="2:26" x14ac:dyDescent="0.2">
      <c r="B19" s="66"/>
      <c r="C19" s="68"/>
      <c r="D19" s="68"/>
      <c r="E19" s="69"/>
      <c r="F19" s="69"/>
      <c r="G19" s="69"/>
      <c r="H19" s="69"/>
      <c r="I19" s="69"/>
      <c r="J19" s="70"/>
      <c r="L19" s="22" t="s">
        <v>142</v>
      </c>
      <c r="M19" s="106" t="s">
        <v>32</v>
      </c>
      <c r="N19" s="106" t="s">
        <v>11</v>
      </c>
      <c r="O19" s="64">
        <f>'Basic data - source records'!R6</f>
        <v>56911604.897326812</v>
      </c>
      <c r="P19" s="64">
        <f>'Basic data - source records'!S6</f>
        <v>134571613.69195047</v>
      </c>
      <c r="Q19" s="64">
        <f>'Basic data - source records'!T6</f>
        <v>104780330.6200574</v>
      </c>
      <c r="R19" s="64">
        <f>'Basic data - source records'!U6</f>
        <v>66200323.020744219</v>
      </c>
      <c r="S19" s="107">
        <f>'Basic data - source records'!V6</f>
        <v>39742506.761242941</v>
      </c>
      <c r="T19" s="62" t="s">
        <v>138</v>
      </c>
      <c r="U19" s="108">
        <f>O19*U$2/1000000000</f>
        <v>34.960522434790455</v>
      </c>
      <c r="V19" s="108">
        <f t="shared" ref="V19:Y21" si="15">P19*V$2/1000000000</f>
        <v>87.01884656655109</v>
      </c>
      <c r="W19" s="108">
        <f t="shared" si="15"/>
        <v>71.445696348455201</v>
      </c>
      <c r="X19" s="108">
        <f t="shared" si="15"/>
        <v>47.728785098879634</v>
      </c>
      <c r="Y19" s="109">
        <f t="shared" si="15"/>
        <v>31.317095327859438</v>
      </c>
      <c r="Z19" s="105" t="s">
        <v>141</v>
      </c>
    </row>
    <row r="20" spans="2:26" x14ac:dyDescent="0.2">
      <c r="B20" s="62" t="s">
        <v>30</v>
      </c>
      <c r="C20" s="63" t="s">
        <v>32</v>
      </c>
      <c r="D20" s="63" t="s">
        <v>2</v>
      </c>
      <c r="E20" s="64">
        <f>'Basic data - source records'!J6</f>
        <v>1144.6847</v>
      </c>
      <c r="F20" s="64">
        <f>'Basic data - source records'!K6</f>
        <v>2466.02367</v>
      </c>
      <c r="G20" s="64">
        <f>'Basic data - source records'!L6</f>
        <v>2302.5188700000003</v>
      </c>
      <c r="H20" s="64">
        <f>'Basic data - source records'!M6</f>
        <v>1651.71126</v>
      </c>
      <c r="I20" s="64">
        <f>'Basic data - source records'!N6</f>
        <v>1269.9392000000003</v>
      </c>
      <c r="J20" s="65" t="s">
        <v>219</v>
      </c>
      <c r="L20" s="110" t="s">
        <v>117</v>
      </c>
      <c r="M20" s="111" t="s">
        <v>154</v>
      </c>
      <c r="N20" s="111" t="s">
        <v>11</v>
      </c>
      <c r="O20" s="112">
        <f>O$19*'IBES data'!$U31</f>
        <v>48639029.110332891</v>
      </c>
      <c r="P20" s="112">
        <f>P$19*'IBES data'!$U31</f>
        <v>115010508.79861404</v>
      </c>
      <c r="Q20" s="112">
        <f>Q$19*'IBES data'!$U31</f>
        <v>89549636.851985171</v>
      </c>
      <c r="R20" s="112">
        <f>R$19*'IBES data'!$U31</f>
        <v>56577554.689037792</v>
      </c>
      <c r="S20" s="112">
        <f>S$19*'IBES data'!$U31</f>
        <v>33965602.389267601</v>
      </c>
      <c r="T20" s="99" t="s">
        <v>138</v>
      </c>
      <c r="U20" s="113">
        <f>O20*U$2/1000000000</f>
        <v>29.878719313678864</v>
      </c>
      <c r="V20" s="113">
        <f t="shared" si="15"/>
        <v>74.369932440560547</v>
      </c>
      <c r="W20" s="113">
        <f t="shared" si="15"/>
        <v>61.060469314998045</v>
      </c>
      <c r="X20" s="113">
        <f t="shared" si="15"/>
        <v>40.791008653039604</v>
      </c>
      <c r="Y20" s="114">
        <f t="shared" si="15"/>
        <v>26.76489468274287</v>
      </c>
      <c r="Z20" s="100" t="s">
        <v>151</v>
      </c>
    </row>
    <row r="21" spans="2:26" ht="13.5" thickBot="1" x14ac:dyDescent="0.25">
      <c r="B21" s="78"/>
      <c r="C21" s="79"/>
      <c r="D21" s="79"/>
      <c r="E21" s="80"/>
      <c r="F21" s="80"/>
      <c r="G21" s="80"/>
      <c r="H21" s="80"/>
      <c r="I21" s="81"/>
      <c r="J21" s="82"/>
      <c r="L21" s="110" t="s">
        <v>118</v>
      </c>
      <c r="M21" s="111" t="s">
        <v>154</v>
      </c>
      <c r="N21" s="111" t="s">
        <v>11</v>
      </c>
      <c r="O21" s="112">
        <f>O$19*'IBES data'!$U32</f>
        <v>0</v>
      </c>
      <c r="P21" s="112">
        <f>P$19*'IBES data'!$U32</f>
        <v>0</v>
      </c>
      <c r="Q21" s="112">
        <f>Q$19*'IBES data'!$U32</f>
        <v>0</v>
      </c>
      <c r="R21" s="112">
        <f>R$19*'IBES data'!$U32</f>
        <v>0</v>
      </c>
      <c r="S21" s="112">
        <f>S$19*'IBES data'!$U32</f>
        <v>0</v>
      </c>
      <c r="T21" s="99" t="s">
        <v>138</v>
      </c>
      <c r="U21" s="113">
        <f t="shared" ref="U21" si="16">O21*U$2/1000000000</f>
        <v>0</v>
      </c>
      <c r="V21" s="113">
        <f t="shared" si="15"/>
        <v>0</v>
      </c>
      <c r="W21" s="113">
        <f t="shared" si="15"/>
        <v>0</v>
      </c>
      <c r="X21" s="113">
        <f t="shared" si="15"/>
        <v>0</v>
      </c>
      <c r="Y21" s="114">
        <f t="shared" si="15"/>
        <v>0</v>
      </c>
      <c r="Z21" s="100" t="s">
        <v>151</v>
      </c>
    </row>
    <row r="22" spans="2:26" ht="13.5" thickBot="1" x14ac:dyDescent="0.25">
      <c r="L22" s="115" t="s">
        <v>112</v>
      </c>
      <c r="M22" s="111" t="s">
        <v>154</v>
      </c>
      <c r="N22" s="111" t="s">
        <v>11</v>
      </c>
      <c r="O22" s="112">
        <f>O$19*'IBES data'!$U33</f>
        <v>9234142.567118099</v>
      </c>
      <c r="P22" s="112">
        <f>P$19*'IBES data'!$U33</f>
        <v>21834799.221713413</v>
      </c>
      <c r="Q22" s="112">
        <f>Q$19*'IBES data'!$U33</f>
        <v>17001040.7002391</v>
      </c>
      <c r="R22" s="112">
        <f>R$19*'IBES data'!$U33</f>
        <v>10741275.384267645</v>
      </c>
      <c r="S22" s="112">
        <f>S$19*'IBES data'!$U33</f>
        <v>6448385.5985092781</v>
      </c>
      <c r="T22" s="99" t="s">
        <v>138</v>
      </c>
      <c r="U22" s="113">
        <f t="shared" ref="U22" si="17">O22*U$2/1000000000</f>
        <v>5.6724889232380349</v>
      </c>
      <c r="V22" s="113">
        <f t="shared" ref="V22" si="18">P22*V$2/1000000000</f>
        <v>14.119166673850929</v>
      </c>
      <c r="W22" s="113">
        <f t="shared" ref="W22" si="19">Q22*W$2/1000000000</f>
        <v>11.592358835757464</v>
      </c>
      <c r="X22" s="113">
        <f t="shared" ref="X22" si="20">R22*X$2/1000000000</f>
        <v>7.7441921898621091</v>
      </c>
      <c r="Y22" s="114">
        <f t="shared" ref="Y22" si="21">S22*Y$2/1000000000</f>
        <v>5.0813278516253106</v>
      </c>
      <c r="Z22" s="100" t="s">
        <v>151</v>
      </c>
    </row>
    <row r="23" spans="2:26" x14ac:dyDescent="0.2">
      <c r="B23" s="149" t="s">
        <v>159</v>
      </c>
      <c r="L23" s="110" t="s">
        <v>113</v>
      </c>
      <c r="M23" s="111" t="s">
        <v>154</v>
      </c>
      <c r="N23" s="111" t="s">
        <v>11</v>
      </c>
      <c r="O23" s="112">
        <f>O$19*'IBES data'!$U34</f>
        <v>521747.27842649748</v>
      </c>
      <c r="P23" s="112">
        <f>P$19*'IBES data'!$U34</f>
        <v>1233709.2465395415</v>
      </c>
      <c r="Q23" s="112">
        <f>Q$19*'IBES data'!$U34</f>
        <v>960592.35075641645</v>
      </c>
      <c r="R23" s="112">
        <f>R$19*'IBES data'!$U34</f>
        <v>606903.25689006655</v>
      </c>
      <c r="S23" s="112">
        <f>S$19*'IBES data'!$U34</f>
        <v>364346.51206786028</v>
      </c>
      <c r="T23" s="99" t="s">
        <v>138</v>
      </c>
      <c r="U23" s="113">
        <f t="shared" ref="U23:Y24" si="22">O23*U$2/1000000000</f>
        <v>0.32050681869941788</v>
      </c>
      <c r="V23" s="113">
        <f t="shared" si="22"/>
        <v>0.79776078094827296</v>
      </c>
      <c r="W23" s="113">
        <f t="shared" si="22"/>
        <v>0.65499115149436526</v>
      </c>
      <c r="X23" s="113">
        <f t="shared" si="22"/>
        <v>0.43756214172609459</v>
      </c>
      <c r="Y23" s="114">
        <f t="shared" si="22"/>
        <v>0.28710505150947391</v>
      </c>
      <c r="Z23" s="100" t="s">
        <v>151</v>
      </c>
    </row>
    <row r="24" spans="2:26" x14ac:dyDescent="0.2">
      <c r="B24" s="150" t="s">
        <v>160</v>
      </c>
      <c r="E24" s="87"/>
      <c r="F24" s="87"/>
      <c r="G24" s="87"/>
      <c r="H24" s="87"/>
      <c r="I24" s="87"/>
      <c r="L24" s="110" t="s">
        <v>114</v>
      </c>
      <c r="M24" s="111" t="s">
        <v>34</v>
      </c>
      <c r="N24" s="111" t="s">
        <v>11</v>
      </c>
      <c r="O24" s="112">
        <f>O23*'Basic data - source records'!Y5*'Basic data - source records'!$AR$2</f>
        <v>589574.42462194222</v>
      </c>
      <c r="P24" s="112">
        <f>P23*'Basic data - source records'!Z5*'Basic data - source records'!$AR$2</f>
        <v>1295394.7088665185</v>
      </c>
      <c r="Q24" s="112">
        <f>Q23*'Basic data - source records'!AA5*'Basic data - source records'!$AR$2</f>
        <v>1027833.8153093656</v>
      </c>
      <c r="R24" s="112">
        <f>R23*'Basic data - source records'!AB5*'Basic data - source records'!$AR$2</f>
        <v>637248.41973456985</v>
      </c>
      <c r="S24" s="112">
        <f>S23*'Basic data - source records'!AC5*'Basic data - source records'!$AR$2</f>
        <v>382563.83767125325</v>
      </c>
      <c r="T24" s="99" t="s">
        <v>138</v>
      </c>
      <c r="U24" s="113">
        <f t="shared" si="22"/>
        <v>0.36217270513034222</v>
      </c>
      <c r="V24" s="113">
        <f t="shared" si="22"/>
        <v>0.83764881999568652</v>
      </c>
      <c r="W24" s="113">
        <f t="shared" si="22"/>
        <v>0.70084053209897079</v>
      </c>
      <c r="X24" s="113">
        <f t="shared" si="22"/>
        <v>0.45944024881239931</v>
      </c>
      <c r="Y24" s="114">
        <f t="shared" si="22"/>
        <v>0.30146030408494756</v>
      </c>
      <c r="Z24" s="100" t="s">
        <v>151</v>
      </c>
    </row>
    <row r="25" spans="2:26" x14ac:dyDescent="0.25">
      <c r="B25" s="151" t="s">
        <v>163</v>
      </c>
      <c r="E25" s="87"/>
      <c r="F25" s="87"/>
      <c r="G25" s="87"/>
      <c r="H25" s="87"/>
      <c r="I25" s="87"/>
      <c r="L25" s="71"/>
      <c r="M25" s="72"/>
      <c r="N25" s="73"/>
      <c r="O25" s="86"/>
      <c r="P25" s="86"/>
      <c r="Q25" s="86"/>
      <c r="R25" s="86"/>
      <c r="S25" s="77"/>
      <c r="T25" s="71"/>
      <c r="U25" s="74"/>
      <c r="V25" s="74"/>
      <c r="W25" s="74"/>
      <c r="X25" s="74"/>
      <c r="Y25" s="77"/>
      <c r="Z25" s="90"/>
    </row>
    <row r="26" spans="2:26" x14ac:dyDescent="0.25">
      <c r="B26" s="152" t="s">
        <v>161</v>
      </c>
      <c r="L26" s="93" t="s">
        <v>119</v>
      </c>
      <c r="M26" s="94" t="s">
        <v>34</v>
      </c>
      <c r="N26" s="94" t="s">
        <v>11</v>
      </c>
      <c r="O26" s="95">
        <f>O19-(O20+O21+O22+O23+O24)</f>
        <v>-2072888.4831726179</v>
      </c>
      <c r="P26" s="95">
        <f t="shared" ref="P26:S26" si="23">P19-(P20+P21+P22+P23+P24)</f>
        <v>-4802798.2837830186</v>
      </c>
      <c r="Q26" s="95">
        <f t="shared" si="23"/>
        <v>-3758773.0982326567</v>
      </c>
      <c r="R26" s="95">
        <f t="shared" si="23"/>
        <v>-2362658.7291858643</v>
      </c>
      <c r="S26" s="95">
        <f t="shared" si="23"/>
        <v>-1418391.5762730464</v>
      </c>
      <c r="T26" s="93" t="s">
        <v>138</v>
      </c>
      <c r="U26" s="147">
        <f>O26*U$2/1000000000</f>
        <v>-1.2733653259562008</v>
      </c>
      <c r="V26" s="147">
        <f>P26*V$2/1000000000</f>
        <v>-3.1056621488043321</v>
      </c>
      <c r="W26" s="147">
        <f>Q26*W$2/1000000000</f>
        <v>-2.5629634858936599</v>
      </c>
      <c r="X26" s="147">
        <f>R26*X$2/1000000000</f>
        <v>-1.7034181345605837</v>
      </c>
      <c r="Y26" s="148">
        <f>S26*Y$2/1000000000</f>
        <v>-1.1176925621031606</v>
      </c>
      <c r="Z26" s="98" t="s">
        <v>111</v>
      </c>
    </row>
    <row r="27" spans="2:26" ht="13.5" thickBot="1" x14ac:dyDescent="0.3">
      <c r="B27" s="153" t="s">
        <v>162</v>
      </c>
      <c r="L27" s="93" t="s">
        <v>116</v>
      </c>
      <c r="M27" s="94" t="s">
        <v>34</v>
      </c>
      <c r="N27" s="94" t="s">
        <v>109</v>
      </c>
      <c r="O27" s="95">
        <f>O26/O17</f>
        <v>-1810.8816193425298</v>
      </c>
      <c r="P27" s="95">
        <f>P26/P17</f>
        <v>-1947.588071522046</v>
      </c>
      <c r="Q27" s="95">
        <f>Q26/Q17</f>
        <v>-1632.4613653362399</v>
      </c>
      <c r="R27" s="95">
        <f>R26/R17</f>
        <v>-1430.4308424862734</v>
      </c>
      <c r="S27" s="96">
        <f>S26/S17</f>
        <v>-1116.8972312005537</v>
      </c>
      <c r="T27" s="93" t="s">
        <v>139</v>
      </c>
      <c r="U27" s="97">
        <f>O27*U2</f>
        <v>-1112415.782229116</v>
      </c>
      <c r="V27" s="97">
        <f>P27*V2</f>
        <v>-1259380.5106519242</v>
      </c>
      <c r="W27" s="97">
        <f>Q27*W2</f>
        <v>-1113112.9126831694</v>
      </c>
      <c r="X27" s="97">
        <f>R27*X2</f>
        <v>-1031305.0324307793</v>
      </c>
      <c r="Y27" s="96">
        <f>S27*Y2</f>
        <v>-880115.01818603638</v>
      </c>
      <c r="Z27" s="98" t="s">
        <v>111</v>
      </c>
    </row>
    <row r="28" spans="2:26" ht="13.5" thickBot="1" x14ac:dyDescent="0.3">
      <c r="L28" s="124" t="s">
        <v>120</v>
      </c>
      <c r="M28" s="125" t="s">
        <v>34</v>
      </c>
      <c r="N28" s="125" t="s">
        <v>11</v>
      </c>
      <c r="O28" s="126">
        <f>0*O19</f>
        <v>0</v>
      </c>
      <c r="P28" s="126">
        <f>0.02*P19</f>
        <v>2691432.2738390095</v>
      </c>
      <c r="Q28" s="126">
        <f>0.04*Q19</f>
        <v>4191213.2248022961</v>
      </c>
      <c r="R28" s="126">
        <f>0.04*R19</f>
        <v>2648012.9208297688</v>
      </c>
      <c r="S28" s="126">
        <f>0.04*S19</f>
        <v>1589700.2704497178</v>
      </c>
      <c r="T28" s="124" t="s">
        <v>138</v>
      </c>
      <c r="U28" s="127">
        <f>O28*U2/1000000000</f>
        <v>0</v>
      </c>
      <c r="V28" s="127">
        <f>P28*V2/1000000000</f>
        <v>1.7403769313310218</v>
      </c>
      <c r="W28" s="127">
        <f>Q28*W2/1000000000</f>
        <v>2.8578278539382076</v>
      </c>
      <c r="X28" s="127">
        <f>R28*X2/1000000000</f>
        <v>1.9091514039551851</v>
      </c>
      <c r="Y28" s="128">
        <f>S28*Y2/1000000000</f>
        <v>1.2526838131143776</v>
      </c>
      <c r="Z28" s="129" t="s">
        <v>157</v>
      </c>
    </row>
    <row r="39" spans="15:20" x14ac:dyDescent="0.25">
      <c r="T39" s="305"/>
    </row>
    <row r="47" spans="15:20" x14ac:dyDescent="0.25">
      <c r="O47" s="303"/>
      <c r="P47" s="303"/>
      <c r="Q47" s="303"/>
      <c r="R47" s="303"/>
      <c r="S47" s="303"/>
    </row>
    <row r="49" spans="15:20" x14ac:dyDescent="0.25">
      <c r="O49" s="215"/>
      <c r="P49" s="215"/>
      <c r="Q49" s="215"/>
      <c r="R49" s="215"/>
      <c r="S49" s="215"/>
    </row>
    <row r="50" spans="15:20" x14ac:dyDescent="0.25">
      <c r="O50" s="215"/>
      <c r="P50" s="215"/>
      <c r="Q50" s="215"/>
      <c r="R50" s="215"/>
      <c r="S50" s="215"/>
    </row>
    <row r="51" spans="15:20" x14ac:dyDescent="0.25">
      <c r="O51" s="304"/>
      <c r="P51" s="304"/>
      <c r="Q51" s="304"/>
      <c r="R51" s="304"/>
      <c r="S51" s="304"/>
      <c r="T51" s="305"/>
    </row>
  </sheetData>
  <dataConsolidate/>
  <mergeCells count="8">
    <mergeCell ref="L16:S16"/>
    <mergeCell ref="T4:Y4"/>
    <mergeCell ref="T16:Y16"/>
    <mergeCell ref="B2:J2"/>
    <mergeCell ref="L2:S2"/>
    <mergeCell ref="B4:J4"/>
    <mergeCell ref="B11:J11"/>
    <mergeCell ref="L4:S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Z28"/>
  <sheetViews>
    <sheetView zoomScaleNormal="100" workbookViewId="0"/>
  </sheetViews>
  <sheetFormatPr defaultColWidth="8.7109375" defaultRowHeight="12.75" x14ac:dyDescent="0.25"/>
  <cols>
    <col min="1" max="1" width="4.5703125" style="85" customWidth="1"/>
    <col min="2" max="2" width="43.42578125" style="84" customWidth="1"/>
    <col min="3" max="3" width="8.42578125" style="84" bestFit="1" customWidth="1"/>
    <col min="4" max="4" width="12" style="84" customWidth="1"/>
    <col min="5" max="5" width="11" style="84" bestFit="1" customWidth="1"/>
    <col min="6" max="9" width="10.7109375" style="84" bestFit="1" customWidth="1"/>
    <col min="10" max="10" width="26.7109375" style="84" bestFit="1" customWidth="1"/>
    <col min="11" max="11" width="4.5703125" style="84" bestFit="1" customWidth="1"/>
    <col min="12" max="12" width="41.5703125" style="84" customWidth="1"/>
    <col min="13" max="13" width="6.28515625" style="84" bestFit="1" customWidth="1"/>
    <col min="14" max="14" width="7.5703125" style="84" bestFit="1" customWidth="1"/>
    <col min="15" max="19" width="11" style="84" bestFit="1" customWidth="1"/>
    <col min="20" max="20" width="11.7109375" style="84" bestFit="1" customWidth="1"/>
    <col min="21" max="25" width="11" style="84" customWidth="1"/>
    <col min="26" max="26" width="48.42578125" style="84" customWidth="1"/>
    <col min="27" max="16384" width="8.7109375" style="84"/>
  </cols>
  <sheetData>
    <row r="1" spans="1:26" ht="24" thickBot="1" x14ac:dyDescent="0.3">
      <c r="A1" s="83" t="s">
        <v>217</v>
      </c>
    </row>
    <row r="2" spans="1:26" ht="15.75" thickBot="1" x14ac:dyDescent="0.3">
      <c r="A2" s="84"/>
      <c r="B2" s="413" t="s">
        <v>214</v>
      </c>
      <c r="C2" s="414"/>
      <c r="D2" s="414"/>
      <c r="E2" s="414"/>
      <c r="F2" s="414"/>
      <c r="G2" s="414"/>
      <c r="H2" s="414"/>
      <c r="I2" s="414"/>
      <c r="J2" s="415"/>
      <c r="L2" s="413" t="s">
        <v>215</v>
      </c>
      <c r="M2" s="414"/>
      <c r="N2" s="414"/>
      <c r="O2" s="414"/>
      <c r="P2" s="414"/>
      <c r="Q2" s="414"/>
      <c r="R2" s="414"/>
      <c r="S2" s="415"/>
      <c r="T2" s="54" t="s">
        <v>140</v>
      </c>
      <c r="U2" s="55">
        <f>'Basic data - source records'!AF5</f>
        <v>614.29514240306696</v>
      </c>
      <c r="V2" s="55">
        <f>'Basic data - source records'!AG5</f>
        <v>646.63597455067304</v>
      </c>
      <c r="W2" s="55">
        <f>'Basic data - source records'!AH5</f>
        <v>681.86171894726601</v>
      </c>
      <c r="X2" s="55">
        <f>'Basic data - source records'!AI5</f>
        <v>720.97510889672799</v>
      </c>
      <c r="Y2" s="154">
        <f>'Basic data - source records'!AJ5</f>
        <v>788</v>
      </c>
    </row>
    <row r="3" spans="1:26" x14ac:dyDescent="0.25">
      <c r="B3" s="56"/>
      <c r="C3" s="57" t="s">
        <v>3</v>
      </c>
      <c r="D3" s="57" t="s">
        <v>23</v>
      </c>
      <c r="E3" s="57">
        <v>2012</v>
      </c>
      <c r="F3" s="57">
        <v>2013</v>
      </c>
      <c r="G3" s="57">
        <v>2014</v>
      </c>
      <c r="H3" s="57">
        <v>2015</v>
      </c>
      <c r="I3" s="57">
        <v>2016</v>
      </c>
      <c r="J3" s="58" t="s">
        <v>27</v>
      </c>
      <c r="L3" s="59"/>
      <c r="M3" s="60" t="s">
        <v>3</v>
      </c>
      <c r="N3" s="60" t="s">
        <v>23</v>
      </c>
      <c r="O3" s="60">
        <v>2012</v>
      </c>
      <c r="P3" s="60">
        <v>2013</v>
      </c>
      <c r="Q3" s="60">
        <v>2014</v>
      </c>
      <c r="R3" s="60">
        <v>2015</v>
      </c>
      <c r="S3" s="61">
        <v>2016</v>
      </c>
      <c r="T3" s="59" t="s">
        <v>23</v>
      </c>
      <c r="U3" s="60">
        <v>2012</v>
      </c>
      <c r="V3" s="60">
        <v>2013</v>
      </c>
      <c r="W3" s="60">
        <v>2014</v>
      </c>
      <c r="X3" s="60">
        <v>2015</v>
      </c>
      <c r="Y3" s="61">
        <v>2016</v>
      </c>
      <c r="Z3" s="88" t="s">
        <v>27</v>
      </c>
    </row>
    <row r="4" spans="1:26" ht="15" x14ac:dyDescent="0.25">
      <c r="B4" s="422" t="s">
        <v>0</v>
      </c>
      <c r="C4" s="423"/>
      <c r="D4" s="423"/>
      <c r="E4" s="423"/>
      <c r="F4" s="423"/>
      <c r="G4" s="423"/>
      <c r="H4" s="423"/>
      <c r="I4" s="423"/>
      <c r="J4" s="424"/>
      <c r="L4" s="416" t="s">
        <v>0</v>
      </c>
      <c r="M4" s="417"/>
      <c r="N4" s="417"/>
      <c r="O4" s="417"/>
      <c r="P4" s="417"/>
      <c r="Q4" s="417"/>
      <c r="R4" s="417"/>
      <c r="S4" s="418"/>
      <c r="T4" s="416" t="s">
        <v>0</v>
      </c>
      <c r="U4" s="417"/>
      <c r="V4" s="417"/>
      <c r="W4" s="417"/>
      <c r="X4" s="417"/>
      <c r="Y4" s="418"/>
      <c r="Z4" s="76"/>
    </row>
    <row r="5" spans="1:26" ht="12.75" customHeight="1" x14ac:dyDescent="0.25">
      <c r="B5" s="62" t="s">
        <v>13</v>
      </c>
      <c r="C5" s="63" t="s">
        <v>12</v>
      </c>
      <c r="D5" s="63" t="s">
        <v>2</v>
      </c>
      <c r="E5" s="64">
        <f>'Basic data - source records'!C9</f>
        <v>1771.2721999999999</v>
      </c>
      <c r="F5" s="64">
        <f>'Basic data - source records'!D9</f>
        <v>2264.212</v>
      </c>
      <c r="G5" s="64">
        <f>'Basic data - source records'!E9</f>
        <v>2534.8689800000002</v>
      </c>
      <c r="H5" s="64">
        <f>'Basic data - source records'!F9</f>
        <v>2169.4109399999998</v>
      </c>
      <c r="I5" s="64">
        <f>'Basic data - source records'!G9</f>
        <v>1498</v>
      </c>
      <c r="J5" s="65" t="s">
        <v>166</v>
      </c>
      <c r="L5" s="62" t="s">
        <v>6</v>
      </c>
      <c r="M5" s="101" t="s">
        <v>12</v>
      </c>
      <c r="N5" s="101" t="s">
        <v>2</v>
      </c>
      <c r="O5" s="102">
        <f>E5</f>
        <v>1771.2721999999999</v>
      </c>
      <c r="P5" s="102">
        <f>F5</f>
        <v>2264.212</v>
      </c>
      <c r="Q5" s="102">
        <f>G5</f>
        <v>2534.8689800000002</v>
      </c>
      <c r="R5" s="102">
        <f>H5</f>
        <v>2169.4109399999998</v>
      </c>
      <c r="S5" s="103">
        <f>I5</f>
        <v>1498</v>
      </c>
      <c r="T5" s="62" t="s">
        <v>2</v>
      </c>
      <c r="U5" s="104">
        <f>O5</f>
        <v>1771.2721999999999</v>
      </c>
      <c r="V5" s="104">
        <f t="shared" ref="V5:Y5" si="0">P5</f>
        <v>2264.212</v>
      </c>
      <c r="W5" s="104">
        <f t="shared" si="0"/>
        <v>2534.8689800000002</v>
      </c>
      <c r="X5" s="104">
        <f t="shared" si="0"/>
        <v>2169.4109399999998</v>
      </c>
      <c r="Y5" s="103">
        <f t="shared" si="0"/>
        <v>1498</v>
      </c>
      <c r="Z5" s="105" t="s">
        <v>107</v>
      </c>
    </row>
    <row r="6" spans="1:26" x14ac:dyDescent="0.25">
      <c r="B6" s="66" t="s">
        <v>33</v>
      </c>
      <c r="C6" s="68" t="s">
        <v>35</v>
      </c>
      <c r="D6" s="68" t="s">
        <v>24</v>
      </c>
      <c r="E6" s="69"/>
      <c r="F6" s="69"/>
      <c r="G6" s="69"/>
      <c r="H6" s="69"/>
      <c r="I6" s="69"/>
      <c r="J6" s="70"/>
      <c r="L6" s="130" t="s">
        <v>108</v>
      </c>
      <c r="M6" s="131" t="s">
        <v>34</v>
      </c>
      <c r="N6" s="132" t="s">
        <v>109</v>
      </c>
      <c r="O6" s="133">
        <f>'Mining price data'!BO60</f>
        <v>12737.777777777776</v>
      </c>
      <c r="P6" s="133">
        <f>'Mining price data'!BP60</f>
        <v>11327.250000000004</v>
      </c>
      <c r="Q6" s="133">
        <f>'Mining price data'!BQ60</f>
        <v>10091.200000000003</v>
      </c>
      <c r="R6" s="133">
        <f>'Mining price data'!BR60</f>
        <v>7377.4999999999991</v>
      </c>
      <c r="S6" s="133">
        <f>'Mining price data'!BS60</f>
        <v>5573.1053459119503</v>
      </c>
      <c r="T6" s="130" t="s">
        <v>139</v>
      </c>
      <c r="U6" s="134">
        <f>O6*U2</f>
        <v>7824755.0138986204</v>
      </c>
      <c r="V6" s="134">
        <f t="shared" ref="V6:Y6" si="1">P6*V2</f>
        <v>7324607.342729114</v>
      </c>
      <c r="W6" s="134">
        <f t="shared" si="1"/>
        <v>6880802.9782406529</v>
      </c>
      <c r="X6" s="134">
        <f t="shared" si="1"/>
        <v>5318993.8658856098</v>
      </c>
      <c r="Y6" s="135">
        <f t="shared" si="1"/>
        <v>4391607.0125786169</v>
      </c>
      <c r="Z6" s="136" t="s">
        <v>155</v>
      </c>
    </row>
    <row r="7" spans="1:26" x14ac:dyDescent="0.25">
      <c r="B7" s="66" t="s">
        <v>33</v>
      </c>
      <c r="C7" s="68" t="s">
        <v>36</v>
      </c>
      <c r="D7" s="68" t="s">
        <v>24</v>
      </c>
      <c r="E7" s="69"/>
      <c r="F7" s="69"/>
      <c r="G7" s="69"/>
      <c r="H7" s="69"/>
      <c r="I7" s="69"/>
      <c r="J7" s="70"/>
      <c r="L7" s="93" t="s">
        <v>110</v>
      </c>
      <c r="M7" s="94" t="s">
        <v>34</v>
      </c>
      <c r="N7" s="94" t="s">
        <v>11</v>
      </c>
      <c r="O7" s="95">
        <f>O6*O5</f>
        <v>22562071.667555552</v>
      </c>
      <c r="P7" s="95">
        <f t="shared" ref="P7:S7" si="2">P6*P5</f>
        <v>25647295.377000008</v>
      </c>
      <c r="Q7" s="95">
        <f t="shared" si="2"/>
        <v>25579869.850976009</v>
      </c>
      <c r="R7" s="95">
        <f t="shared" si="2"/>
        <v>16004829.209849996</v>
      </c>
      <c r="S7" s="95">
        <f t="shared" si="2"/>
        <v>8348511.8081761012</v>
      </c>
      <c r="T7" s="93" t="s">
        <v>138</v>
      </c>
      <c r="U7" s="141">
        <f>O7*U$2/1000000000</f>
        <v>13.859771027929241</v>
      </c>
      <c r="V7" s="141">
        <f t="shared" ref="V7:Y11" si="3">P7*V$2/1000000000</f>
        <v>16.584463840695371</v>
      </c>
      <c r="W7" s="141">
        <f t="shared" si="3"/>
        <v>17.441934027033849</v>
      </c>
      <c r="X7" s="141">
        <f t="shared" si="3"/>
        <v>11.539083482445134</v>
      </c>
      <c r="Y7" s="142">
        <f t="shared" si="3"/>
        <v>6.5786273048427679</v>
      </c>
      <c r="Z7" s="143" t="s">
        <v>111</v>
      </c>
    </row>
    <row r="8" spans="1:26" ht="25.5" x14ac:dyDescent="0.25">
      <c r="B8" s="66"/>
      <c r="C8" s="68"/>
      <c r="D8" s="68"/>
      <c r="E8" s="69"/>
      <c r="F8" s="69"/>
      <c r="G8" s="69"/>
      <c r="H8" s="69"/>
      <c r="I8" s="68"/>
      <c r="J8" s="70"/>
      <c r="L8" s="115" t="s">
        <v>152</v>
      </c>
      <c r="M8" s="116" t="s">
        <v>154</v>
      </c>
      <c r="N8" s="116" t="s">
        <v>11</v>
      </c>
      <c r="O8" s="117">
        <f>O$7*'IBES data'!$U7</f>
        <v>19081659.859292608</v>
      </c>
      <c r="P8" s="117">
        <f>P$7*'IBES data'!$U7</f>
        <v>21690958.787196524</v>
      </c>
      <c r="Q8" s="117">
        <f>Q$7*'IBES data'!$U7</f>
        <v>21633934.282869916</v>
      </c>
      <c r="R8" s="117">
        <f>R$7*'IBES data'!$U7</f>
        <v>13535933.738194546</v>
      </c>
      <c r="S8" s="118">
        <f>S$7*'IBES data'!$U7</f>
        <v>7060675.3228243645</v>
      </c>
      <c r="T8" s="115" t="s">
        <v>138</v>
      </c>
      <c r="U8" s="119">
        <f>O8*U$2/1000000000</f>
        <v>11.721770960551039</v>
      </c>
      <c r="V8" s="119">
        <f t="shared" si="3"/>
        <v>14.02615427429731</v>
      </c>
      <c r="W8" s="119">
        <f t="shared" si="3"/>
        <v>14.751351617709869</v>
      </c>
      <c r="X8" s="119">
        <f t="shared" si="3"/>
        <v>9.7590713009137069</v>
      </c>
      <c r="Y8" s="120">
        <f t="shared" si="3"/>
        <v>5.563812154385599</v>
      </c>
      <c r="Z8" s="121" t="s">
        <v>151</v>
      </c>
    </row>
    <row r="9" spans="1:26" x14ac:dyDescent="0.25">
      <c r="B9" s="93" t="s">
        <v>1</v>
      </c>
      <c r="C9" s="137" t="s">
        <v>34</v>
      </c>
      <c r="D9" s="137" t="s">
        <v>2</v>
      </c>
      <c r="E9" s="138">
        <f>E5-E12</f>
        <v>0</v>
      </c>
      <c r="F9" s="138">
        <f>F5-F12</f>
        <v>0</v>
      </c>
      <c r="G9" s="138">
        <f>G5-G12</f>
        <v>0</v>
      </c>
      <c r="H9" s="138">
        <f>H5-H12</f>
        <v>0</v>
      </c>
      <c r="I9" s="138">
        <f>I5-I12</f>
        <v>0</v>
      </c>
      <c r="J9" s="139"/>
      <c r="L9" s="115" t="s">
        <v>112</v>
      </c>
      <c r="M9" s="116" t="s">
        <v>154</v>
      </c>
      <c r="N9" s="116" t="s">
        <v>11</v>
      </c>
      <c r="O9" s="117">
        <f>O$7*'IBES data'!$U8</f>
        <v>3485165.3288577111</v>
      </c>
      <c r="P9" s="117">
        <f>P$7*'IBES data'!$U8</f>
        <v>3961740.1249296423</v>
      </c>
      <c r="Q9" s="117">
        <f>Q$7*'IBES data'!$U8</f>
        <v>3951324.8975940803</v>
      </c>
      <c r="R9" s="117">
        <f>R$7*'IBES data'!$U8</f>
        <v>2472267.4707513545</v>
      </c>
      <c r="S9" s="118">
        <f>S$7*'IBES data'!$U8</f>
        <v>1289595.40285721</v>
      </c>
      <c r="T9" s="115" t="s">
        <v>138</v>
      </c>
      <c r="U9" s="119">
        <f t="shared" ref="U9:U10" si="4">O9*U$2/1000000000</f>
        <v>2.1409201319888793</v>
      </c>
      <c r="V9" s="119">
        <f t="shared" si="3"/>
        <v>2.5618036866003844</v>
      </c>
      <c r="W9" s="119">
        <f t="shared" si="3"/>
        <v>2.6942571867926293</v>
      </c>
      <c r="X9" s="119">
        <f t="shared" si="3"/>
        <v>1.7824433089467961</v>
      </c>
      <c r="Y9" s="120">
        <f t="shared" si="3"/>
        <v>1.0162011774514814</v>
      </c>
      <c r="Z9" s="121" t="s">
        <v>151</v>
      </c>
    </row>
    <row r="10" spans="1:26" x14ac:dyDescent="0.25">
      <c r="B10" s="66"/>
      <c r="C10" s="68"/>
      <c r="D10" s="68"/>
      <c r="E10" s="69"/>
      <c r="F10" s="69"/>
      <c r="G10" s="69"/>
      <c r="H10" s="69"/>
      <c r="I10" s="69"/>
      <c r="J10" s="70"/>
      <c r="L10" s="115" t="s">
        <v>113</v>
      </c>
      <c r="M10" s="116" t="s">
        <v>154</v>
      </c>
      <c r="N10" s="116" t="s">
        <v>11</v>
      </c>
      <c r="O10" s="117">
        <f>O$7*'IBES data'!$U9</f>
        <v>383861.78156165039</v>
      </c>
      <c r="P10" s="117">
        <f>P$7*'IBES data'!$U9</f>
        <v>436352.50524491147</v>
      </c>
      <c r="Q10" s="117">
        <f>Q$7*'IBES data'!$U9</f>
        <v>435205.35515498772</v>
      </c>
      <c r="R10" s="117">
        <f>R$7*'IBES data'!$U9</f>
        <v>272299.5629394073</v>
      </c>
      <c r="S10" s="118">
        <f>S$7*'IBES data'!$U9</f>
        <v>142038.13653704958</v>
      </c>
      <c r="T10" s="115" t="s">
        <v>138</v>
      </c>
      <c r="U10" s="119">
        <f t="shared" si="4"/>
        <v>0.23580442776750901</v>
      </c>
      <c r="V10" s="119">
        <f t="shared" si="3"/>
        <v>0.28216122747667099</v>
      </c>
      <c r="W10" s="119">
        <f t="shared" si="3"/>
        <v>0.29674987156103533</v>
      </c>
      <c r="X10" s="119">
        <f t="shared" si="3"/>
        <v>0.19632120704277062</v>
      </c>
      <c r="Y10" s="120">
        <f t="shared" si="3"/>
        <v>0.11192605159119506</v>
      </c>
      <c r="Z10" s="121" t="s">
        <v>151</v>
      </c>
    </row>
    <row r="11" spans="1:26" x14ac:dyDescent="0.25">
      <c r="B11" s="419" t="s">
        <v>26</v>
      </c>
      <c r="C11" s="420"/>
      <c r="D11" s="420"/>
      <c r="E11" s="420"/>
      <c r="F11" s="420"/>
      <c r="G11" s="420"/>
      <c r="H11" s="420"/>
      <c r="I11" s="420"/>
      <c r="J11" s="421"/>
      <c r="L11" s="115" t="s">
        <v>114</v>
      </c>
      <c r="M11" s="122" t="s">
        <v>34</v>
      </c>
      <c r="N11" s="116" t="s">
        <v>11</v>
      </c>
      <c r="O11" s="123">
        <f>O10*'Basic data - source records'!Y5*'Basic data - source records'!$AR$2</f>
        <v>433763.81316466496</v>
      </c>
      <c r="P11" s="123">
        <f>P10*'Basic data - source records'!Z5*'Basic data - source records'!$AR$2</f>
        <v>458170.13050715701</v>
      </c>
      <c r="Q11" s="123">
        <f>Q10*'Basic data - source records'!AA5*'Basic data - source records'!$AR$2</f>
        <v>465669.73001583683</v>
      </c>
      <c r="R11" s="123">
        <f>R10*'Basic data - source records'!AB5*'Basic data - source records'!$AR$2</f>
        <v>285914.54108637763</v>
      </c>
      <c r="S11" s="123">
        <f>S10*'Basic data - source records'!AC5*'Basic data - source records'!$AR$2</f>
        <v>149140.04336390205</v>
      </c>
      <c r="T11" s="115" t="s">
        <v>138</v>
      </c>
      <c r="U11" s="119">
        <f>O11*U$2/1000000000</f>
        <v>0.26645900337728518</v>
      </c>
      <c r="V11" s="119">
        <f t="shared" si="3"/>
        <v>0.29626928885050452</v>
      </c>
      <c r="W11" s="119">
        <f t="shared" si="3"/>
        <v>0.3175223625703078</v>
      </c>
      <c r="X11" s="119">
        <f t="shared" si="3"/>
        <v>0.20613726739490912</v>
      </c>
      <c r="Y11" s="120">
        <f t="shared" si="3"/>
        <v>0.11752235417075482</v>
      </c>
      <c r="Z11" s="121" t="s">
        <v>151</v>
      </c>
    </row>
    <row r="12" spans="1:26" ht="12.75" customHeight="1" x14ac:dyDescent="0.25">
      <c r="B12" s="62" t="s">
        <v>14</v>
      </c>
      <c r="C12" s="63" t="s">
        <v>12</v>
      </c>
      <c r="D12" s="63" t="s">
        <v>2</v>
      </c>
      <c r="E12" s="64">
        <f>'Basic data - source records'!C9</f>
        <v>1771.2721999999999</v>
      </c>
      <c r="F12" s="64">
        <f>'Basic data - source records'!D9</f>
        <v>2264.212</v>
      </c>
      <c r="G12" s="64">
        <f>'Basic data - source records'!E9</f>
        <v>2534.8689800000002</v>
      </c>
      <c r="H12" s="64">
        <f>'Basic data - source records'!F9</f>
        <v>2169.4109399999998</v>
      </c>
      <c r="I12" s="64">
        <f>'Basic data - source records'!G9</f>
        <v>1498</v>
      </c>
      <c r="J12" s="65" t="s">
        <v>166</v>
      </c>
      <c r="L12" s="71"/>
      <c r="M12" s="72"/>
      <c r="N12" s="73"/>
      <c r="O12" s="86"/>
      <c r="P12" s="86"/>
      <c r="Q12" s="86"/>
      <c r="R12" s="86"/>
      <c r="S12" s="67"/>
      <c r="T12" s="71"/>
      <c r="U12" s="75"/>
      <c r="V12" s="75"/>
      <c r="W12" s="75"/>
      <c r="X12" s="75"/>
      <c r="Y12" s="67"/>
      <c r="Z12" s="89"/>
    </row>
    <row r="13" spans="1:26" x14ac:dyDescent="0.25">
      <c r="B13" s="66"/>
      <c r="C13" s="68"/>
      <c r="D13" s="68"/>
      <c r="E13" s="69"/>
      <c r="F13" s="69"/>
      <c r="G13" s="69"/>
      <c r="H13" s="69"/>
      <c r="I13" s="69"/>
      <c r="J13" s="70"/>
      <c r="L13" s="93" t="s">
        <v>115</v>
      </c>
      <c r="M13" s="94" t="s">
        <v>34</v>
      </c>
      <c r="N13" s="94" t="s">
        <v>11</v>
      </c>
      <c r="O13" s="95">
        <f>O7-(O8+O9+O10+O11)</f>
        <v>-822379.11532108486</v>
      </c>
      <c r="P13" s="95">
        <f t="shared" ref="P13:S13" si="5">P7-(P8+P9+P10+P11)</f>
        <v>-899926.1708782278</v>
      </c>
      <c r="Q13" s="95">
        <f t="shared" si="5"/>
        <v>-906264.41465881094</v>
      </c>
      <c r="R13" s="95">
        <f t="shared" si="5"/>
        <v>-561586.10312168859</v>
      </c>
      <c r="S13" s="96">
        <f t="shared" si="5"/>
        <v>-292937.09740642551</v>
      </c>
      <c r="T13" s="93" t="s">
        <v>138</v>
      </c>
      <c r="U13" s="141">
        <f>O13*U$2/1000000000</f>
        <v>-0.50518349575547405</v>
      </c>
      <c r="V13" s="141">
        <f t="shared" ref="V13:Y13" si="6">P13*V$2/1000000000</f>
        <v>-0.58192463652949833</v>
      </c>
      <c r="W13" s="141">
        <f t="shared" si="6"/>
        <v>-0.61794701159999466</v>
      </c>
      <c r="X13" s="141">
        <f t="shared" si="6"/>
        <v>-0.40488960185304856</v>
      </c>
      <c r="Y13" s="142">
        <f t="shared" si="6"/>
        <v>-0.23083443275626331</v>
      </c>
      <c r="Z13" s="98" t="s">
        <v>111</v>
      </c>
    </row>
    <row r="14" spans="1:26" ht="13.5" customHeight="1" x14ac:dyDescent="0.25">
      <c r="B14" s="93" t="s">
        <v>28</v>
      </c>
      <c r="C14" s="94" t="s">
        <v>34</v>
      </c>
      <c r="D14" s="137" t="s">
        <v>2</v>
      </c>
      <c r="E14" s="138">
        <f>E12-E16</f>
        <v>186.51018999999997</v>
      </c>
      <c r="F14" s="138">
        <f>F12-F16</f>
        <v>-5.7527599999998529</v>
      </c>
      <c r="G14" s="138">
        <f>G12-G16</f>
        <v>475.99089999999978</v>
      </c>
      <c r="H14" s="138">
        <f>H12-H16</f>
        <v>846.41093999999975</v>
      </c>
      <c r="I14" s="138">
        <f>I12-I16</f>
        <v>-141</v>
      </c>
      <c r="J14" s="139"/>
      <c r="L14" s="93" t="s">
        <v>116</v>
      </c>
      <c r="M14" s="94" t="s">
        <v>34</v>
      </c>
      <c r="N14" s="94" t="s">
        <v>109</v>
      </c>
      <c r="O14" s="95">
        <f>O13/O5</f>
        <v>-464.28725936142672</v>
      </c>
      <c r="P14" s="95">
        <f t="shared" ref="P14:S14" si="7">P13/P5</f>
        <v>-397.45667405624022</v>
      </c>
      <c r="Q14" s="95">
        <f t="shared" si="7"/>
        <v>-357.51923346302925</v>
      </c>
      <c r="R14" s="95">
        <f t="shared" si="7"/>
        <v>-258.86570993400107</v>
      </c>
      <c r="S14" s="96">
        <f t="shared" si="7"/>
        <v>-195.5521344502173</v>
      </c>
      <c r="T14" s="93" t="s">
        <v>139</v>
      </c>
      <c r="U14" s="97">
        <f>O14*U2</f>
        <v>-285209.40810535732</v>
      </c>
      <c r="V14" s="97">
        <f t="shared" ref="V14:Y14" si="8">P14*V2</f>
        <v>-257009.78377002609</v>
      </c>
      <c r="W14" s="97">
        <f t="shared" si="8"/>
        <v>-243778.67908581003</v>
      </c>
      <c r="X14" s="97">
        <f t="shared" si="8"/>
        <v>-186635.73340929524</v>
      </c>
      <c r="Y14" s="96">
        <f t="shared" si="8"/>
        <v>-154095.08194677124</v>
      </c>
      <c r="Z14" s="98" t="s">
        <v>111</v>
      </c>
    </row>
    <row r="15" spans="1:26" x14ac:dyDescent="0.2">
      <c r="B15" s="66"/>
      <c r="C15" s="68"/>
      <c r="D15" s="68"/>
      <c r="E15" s="69"/>
      <c r="F15" s="69"/>
      <c r="G15" s="69"/>
      <c r="H15" s="69"/>
      <c r="I15" s="69"/>
      <c r="J15" s="70"/>
      <c r="L15" s="144" t="s">
        <v>156</v>
      </c>
      <c r="M15" s="145" t="s">
        <v>34</v>
      </c>
      <c r="N15" s="145" t="s">
        <v>11</v>
      </c>
      <c r="O15" s="146">
        <f>O20-O7</f>
        <v>-117077.29185792804</v>
      </c>
      <c r="P15" s="146">
        <f t="shared" ref="P15:S15" si="9">P20-P7</f>
        <v>37919.316350046545</v>
      </c>
      <c r="Q15" s="146">
        <f t="shared" si="9"/>
        <v>-2852966.9937758669</v>
      </c>
      <c r="R15" s="146">
        <f t="shared" si="9"/>
        <v>-1182668.7260266617</v>
      </c>
      <c r="S15" s="146">
        <f t="shared" si="9"/>
        <v>1799232.1094206301</v>
      </c>
      <c r="T15" s="93" t="s">
        <v>138</v>
      </c>
      <c r="U15" s="141">
        <f>O15*U$2/1000000000</f>
        <v>-7.1920011674031337E-2</v>
      </c>
      <c r="V15" s="141">
        <f t="shared" ref="V15:Y15" si="10">P15*V$2/1000000000</f>
        <v>2.4519994082307619E-2</v>
      </c>
      <c r="W15" s="141">
        <f t="shared" si="10"/>
        <v>-1.9453289784758265</v>
      </c>
      <c r="X15" s="141">
        <f t="shared" si="10"/>
        <v>-0.85267471353582691</v>
      </c>
      <c r="Y15" s="142">
        <f t="shared" si="10"/>
        <v>1.4177949022234566</v>
      </c>
      <c r="Z15" s="98" t="s">
        <v>111</v>
      </c>
    </row>
    <row r="16" spans="1:26" ht="15" x14ac:dyDescent="0.25">
      <c r="B16" s="62" t="s">
        <v>29</v>
      </c>
      <c r="C16" s="63" t="s">
        <v>12</v>
      </c>
      <c r="D16" s="63" t="s">
        <v>2</v>
      </c>
      <c r="E16" s="64">
        <f>'Basic data - source records'!C10</f>
        <v>1584.7620099999999</v>
      </c>
      <c r="F16" s="64">
        <f>'Basic data - source records'!D10</f>
        <v>2269.9647599999998</v>
      </c>
      <c r="G16" s="64">
        <f>'Basic data - source records'!E10</f>
        <v>2058.8780800000004</v>
      </c>
      <c r="H16" s="64">
        <f>'Basic data - source records'!F10</f>
        <v>1323</v>
      </c>
      <c r="I16" s="64">
        <f>'Basic data - source records'!G10</f>
        <v>1639</v>
      </c>
      <c r="J16" s="65" t="s">
        <v>166</v>
      </c>
      <c r="L16" s="416" t="s">
        <v>26</v>
      </c>
      <c r="M16" s="417"/>
      <c r="N16" s="417"/>
      <c r="O16" s="417"/>
      <c r="P16" s="417"/>
      <c r="Q16" s="417"/>
      <c r="R16" s="417"/>
      <c r="S16" s="418"/>
      <c r="T16" s="416" t="s">
        <v>26</v>
      </c>
      <c r="U16" s="417"/>
      <c r="V16" s="417"/>
      <c r="W16" s="417"/>
      <c r="X16" s="417"/>
      <c r="Y16" s="418"/>
      <c r="Z16" s="76"/>
    </row>
    <row r="17" spans="2:26" x14ac:dyDescent="0.25">
      <c r="B17" s="66"/>
      <c r="C17" s="68"/>
      <c r="D17" s="68"/>
      <c r="E17" s="69"/>
      <c r="F17" s="69"/>
      <c r="G17" s="69"/>
      <c r="H17" s="69"/>
      <c r="I17" s="69"/>
      <c r="J17" s="70"/>
      <c r="L17" s="62" t="s">
        <v>143</v>
      </c>
      <c r="M17" s="101" t="s">
        <v>32</v>
      </c>
      <c r="N17" s="101" t="s">
        <v>2</v>
      </c>
      <c r="O17" s="102">
        <f>E20</f>
        <v>1750.5664999999999</v>
      </c>
      <c r="P17" s="102">
        <f>F20</f>
        <v>2217.9280400000002</v>
      </c>
      <c r="Q17" s="102">
        <f>G20</f>
        <v>2214.4936500000003</v>
      </c>
      <c r="R17" s="102">
        <f>H20</f>
        <v>1784.40112</v>
      </c>
      <c r="S17" s="103">
        <f>I20</f>
        <v>1715.9599499999999</v>
      </c>
      <c r="T17" s="62" t="s">
        <v>2</v>
      </c>
      <c r="U17" s="104">
        <f>O17</f>
        <v>1750.5664999999999</v>
      </c>
      <c r="V17" s="104">
        <f t="shared" ref="V17:Y17" si="11">P17</f>
        <v>2217.9280400000002</v>
      </c>
      <c r="W17" s="104">
        <f t="shared" si="11"/>
        <v>2214.4936500000003</v>
      </c>
      <c r="X17" s="104">
        <f t="shared" si="11"/>
        <v>1784.40112</v>
      </c>
      <c r="Y17" s="103">
        <f t="shared" si="11"/>
        <v>1715.9599499999999</v>
      </c>
      <c r="Z17" s="105" t="s">
        <v>107</v>
      </c>
    </row>
    <row r="18" spans="2:26" x14ac:dyDescent="0.25">
      <c r="B18" s="93" t="s">
        <v>1</v>
      </c>
      <c r="C18" s="94" t="s">
        <v>34</v>
      </c>
      <c r="D18" s="137" t="s">
        <v>2</v>
      </c>
      <c r="E18" s="138">
        <f>E16-E20</f>
        <v>-165.80448999999999</v>
      </c>
      <c r="F18" s="138">
        <f t="shared" ref="F18:I18" si="12">F16-F20</f>
        <v>52.036719999999605</v>
      </c>
      <c r="G18" s="138">
        <f t="shared" si="12"/>
        <v>-155.61556999999993</v>
      </c>
      <c r="H18" s="138">
        <f t="shared" si="12"/>
        <v>-461.40111999999999</v>
      </c>
      <c r="I18" s="138">
        <f t="shared" si="12"/>
        <v>-76.959949999999935</v>
      </c>
      <c r="J18" s="140"/>
      <c r="L18" s="93" t="s">
        <v>108</v>
      </c>
      <c r="M18" s="94" t="s">
        <v>34</v>
      </c>
      <c r="N18" s="94" t="s">
        <v>109</v>
      </c>
      <c r="O18" s="95">
        <f>O19/O17</f>
        <v>15002.264673206093</v>
      </c>
      <c r="P18" s="95">
        <f t="shared" ref="P18:S18" si="13">P19/P17</f>
        <v>13550.386541073865</v>
      </c>
      <c r="Q18" s="95">
        <f t="shared" si="13"/>
        <v>12008.306153975424</v>
      </c>
      <c r="R18" s="95">
        <f t="shared" si="13"/>
        <v>9719.2993743685638</v>
      </c>
      <c r="S18" s="96">
        <f t="shared" si="13"/>
        <v>6919.5569369313698</v>
      </c>
      <c r="T18" s="93" t="s">
        <v>139</v>
      </c>
      <c r="U18" s="97">
        <f>O18*U2</f>
        <v>9215818.3137956373</v>
      </c>
      <c r="V18" s="97">
        <f t="shared" ref="V18:Y18" si="14">P18*V2</f>
        <v>8762167.4065256231</v>
      </c>
      <c r="W18" s="97">
        <f t="shared" si="14"/>
        <v>8188004.2757947147</v>
      </c>
      <c r="X18" s="97">
        <f t="shared" si="14"/>
        <v>7007372.9248352759</v>
      </c>
      <c r="Y18" s="96">
        <f t="shared" si="14"/>
        <v>5452610.8663019193</v>
      </c>
      <c r="Z18" s="98" t="s">
        <v>111</v>
      </c>
    </row>
    <row r="19" spans="2:26" x14ac:dyDescent="0.2">
      <c r="B19" s="66"/>
      <c r="C19" s="68"/>
      <c r="D19" s="68"/>
      <c r="E19" s="69"/>
      <c r="F19" s="69"/>
      <c r="G19" s="69"/>
      <c r="H19" s="69"/>
      <c r="I19" s="69"/>
      <c r="J19" s="70"/>
      <c r="L19" s="22" t="s">
        <v>142</v>
      </c>
      <c r="M19" s="106" t="s">
        <v>32</v>
      </c>
      <c r="N19" s="106" t="s">
        <v>11</v>
      </c>
      <c r="O19" s="64">
        <f>'Basic data - source records'!R7</f>
        <v>26262461.961048033</v>
      </c>
      <c r="P19" s="64">
        <f>'Basic data - source records'!S7</f>
        <v>30053782.262286339</v>
      </c>
      <c r="Q19" s="64">
        <f>'Basic data - source records'!T7</f>
        <v>26592317.725234501</v>
      </c>
      <c r="R19" s="64">
        <f>'Basic data - source records'!U7</f>
        <v>17343128.689238563</v>
      </c>
      <c r="S19" s="107">
        <f>'Basic data - source records'!V7</f>
        <v>11873682.575518906</v>
      </c>
      <c r="T19" s="62" t="s">
        <v>138</v>
      </c>
      <c r="U19" s="108">
        <f>O19*U$2/1000000000</f>
        <v>16.132902810217132</v>
      </c>
      <c r="V19" s="108">
        <f t="shared" ref="V19:Y21" si="15">P19*V$2/1000000000</f>
        <v>19.433856782107259</v>
      </c>
      <c r="W19" s="108">
        <f t="shared" si="15"/>
        <v>18.132283474920246</v>
      </c>
      <c r="X19" s="108">
        <f t="shared" si="15"/>
        <v>12.503964095333741</v>
      </c>
      <c r="Y19" s="109">
        <f t="shared" si="15"/>
        <v>9.3564618695088981</v>
      </c>
      <c r="Z19" s="105" t="s">
        <v>141</v>
      </c>
    </row>
    <row r="20" spans="2:26" x14ac:dyDescent="0.2">
      <c r="B20" s="62" t="s">
        <v>30</v>
      </c>
      <c r="C20" s="63" t="s">
        <v>32</v>
      </c>
      <c r="D20" s="63" t="s">
        <v>2</v>
      </c>
      <c r="E20" s="64">
        <f>'Basic data - source records'!J7</f>
        <v>1750.5664999999999</v>
      </c>
      <c r="F20" s="64">
        <f>'Basic data - source records'!K7</f>
        <v>2217.9280400000002</v>
      </c>
      <c r="G20" s="64">
        <f>'Basic data - source records'!L7</f>
        <v>2214.4936500000003</v>
      </c>
      <c r="H20" s="64">
        <f>'Basic data - source records'!M7</f>
        <v>1784.40112</v>
      </c>
      <c r="I20" s="64">
        <f>'Basic data - source records'!N7</f>
        <v>1715.9599499999999</v>
      </c>
      <c r="J20" s="65" t="s">
        <v>219</v>
      </c>
      <c r="L20" s="110" t="s">
        <v>117</v>
      </c>
      <c r="M20" s="111" t="s">
        <v>154</v>
      </c>
      <c r="N20" s="111" t="s">
        <v>11</v>
      </c>
      <c r="O20" s="112">
        <f>O$19*'IBES data'!$U31</f>
        <v>22444994.375697624</v>
      </c>
      <c r="P20" s="112">
        <f>P$19*'IBES data'!$U31</f>
        <v>25685214.693350054</v>
      </c>
      <c r="Q20" s="112">
        <f>Q$19*'IBES data'!$U31</f>
        <v>22726902.857200142</v>
      </c>
      <c r="R20" s="112">
        <f>R$19*'IBES data'!$U31</f>
        <v>14822160.483823335</v>
      </c>
      <c r="S20" s="112">
        <f>S$19*'IBES data'!$U31</f>
        <v>10147743.917596731</v>
      </c>
      <c r="T20" s="99" t="s">
        <v>138</v>
      </c>
      <c r="U20" s="113">
        <f>O20*U$2/1000000000</f>
        <v>13.787851016255209</v>
      </c>
      <c r="V20" s="113">
        <f t="shared" si="15"/>
        <v>16.608983834777678</v>
      </c>
      <c r="W20" s="113">
        <f t="shared" si="15"/>
        <v>15.49660504855802</v>
      </c>
      <c r="X20" s="113">
        <f t="shared" si="15"/>
        <v>10.686408768909308</v>
      </c>
      <c r="Y20" s="114">
        <f t="shared" si="15"/>
        <v>7.9964222070662245</v>
      </c>
      <c r="Z20" s="100" t="s">
        <v>151</v>
      </c>
    </row>
    <row r="21" spans="2:26" ht="13.5" thickBot="1" x14ac:dyDescent="0.25">
      <c r="B21" s="78"/>
      <c r="C21" s="79"/>
      <c r="D21" s="79"/>
      <c r="E21" s="80"/>
      <c r="F21" s="80"/>
      <c r="G21" s="80"/>
      <c r="H21" s="80"/>
      <c r="I21" s="81"/>
      <c r="J21" s="82"/>
      <c r="L21" s="110" t="s">
        <v>118</v>
      </c>
      <c r="M21" s="111" t="s">
        <v>154</v>
      </c>
      <c r="N21" s="111" t="s">
        <v>11</v>
      </c>
      <c r="O21" s="112">
        <f>O$19*'IBES data'!$U32</f>
        <v>0</v>
      </c>
      <c r="P21" s="112">
        <f>P$19*'IBES data'!$U32</f>
        <v>0</v>
      </c>
      <c r="Q21" s="112">
        <f>Q$19*'IBES data'!$U32</f>
        <v>0</v>
      </c>
      <c r="R21" s="112">
        <f>R$19*'IBES data'!$U32</f>
        <v>0</v>
      </c>
      <c r="S21" s="112">
        <f>S$19*'IBES data'!$U32</f>
        <v>0</v>
      </c>
      <c r="T21" s="99" t="s">
        <v>138</v>
      </c>
      <c r="U21" s="113">
        <f t="shared" ref="U21" si="16">O21*U$2/1000000000</f>
        <v>0</v>
      </c>
      <c r="V21" s="113">
        <f t="shared" si="15"/>
        <v>0</v>
      </c>
      <c r="W21" s="113">
        <f t="shared" si="15"/>
        <v>0</v>
      </c>
      <c r="X21" s="113">
        <f t="shared" si="15"/>
        <v>0</v>
      </c>
      <c r="Y21" s="114">
        <f t="shared" si="15"/>
        <v>0</v>
      </c>
      <c r="Z21" s="100" t="s">
        <v>151</v>
      </c>
    </row>
    <row r="22" spans="2:26" ht="13.5" thickBot="1" x14ac:dyDescent="0.25">
      <c r="L22" s="115" t="s">
        <v>112</v>
      </c>
      <c r="M22" s="111" t="s">
        <v>154</v>
      </c>
      <c r="N22" s="111" t="s">
        <v>11</v>
      </c>
      <c r="O22" s="112">
        <f>O$19*'IBES data'!$U33</f>
        <v>4261192.7452993765</v>
      </c>
      <c r="P22" s="112">
        <f>P$19*'IBES data'!$U33</f>
        <v>4876350.097519611</v>
      </c>
      <c r="Q22" s="112">
        <f>Q$19*'IBES data'!$U33</f>
        <v>4314713.2031845246</v>
      </c>
      <c r="R22" s="112">
        <f>R$19*'IBES data'!$U33</f>
        <v>2813994.1434655846</v>
      </c>
      <c r="S22" s="112">
        <f>S$19*'IBES data'!$U33</f>
        <v>1926553.9584914716</v>
      </c>
      <c r="T22" s="99" t="s">
        <v>138</v>
      </c>
      <c r="U22" s="113">
        <f t="shared" ref="U22" si="17">O22*U$2/1000000000</f>
        <v>2.6176300042805964</v>
      </c>
      <c r="V22" s="113">
        <f t="shared" ref="V22" si="18">P22*V$2/1000000000</f>
        <v>3.1532233975598629</v>
      </c>
      <c r="W22" s="113">
        <f t="shared" ref="W22" si="19">Q22*W$2/1000000000</f>
        <v>2.9420377614878639</v>
      </c>
      <c r="X22" s="113">
        <f t="shared" ref="X22" si="20">R22*X$2/1000000000</f>
        <v>2.0288197340198546</v>
      </c>
      <c r="Y22" s="114">
        <f t="shared" ref="Y22" si="21">S22*Y$2/1000000000</f>
        <v>1.5181245192912796</v>
      </c>
      <c r="Z22" s="100" t="s">
        <v>151</v>
      </c>
    </row>
    <row r="23" spans="2:26" x14ac:dyDescent="0.2">
      <c r="B23" s="149" t="s">
        <v>159</v>
      </c>
      <c r="L23" s="110" t="s">
        <v>113</v>
      </c>
      <c r="M23" s="111" t="s">
        <v>154</v>
      </c>
      <c r="N23" s="111" t="s">
        <v>11</v>
      </c>
      <c r="O23" s="112">
        <f>O$19*'IBES data'!$U34</f>
        <v>240765.79948283691</v>
      </c>
      <c r="P23" s="112">
        <f>P$19*'IBES data'!$U34</f>
        <v>275523.40388325555</v>
      </c>
      <c r="Q23" s="112">
        <f>Q$19*'IBES data'!$U34</f>
        <v>243789.81097483519</v>
      </c>
      <c r="R23" s="112">
        <f>R$19*'IBES data'!$U34</f>
        <v>158996.22246350948</v>
      </c>
      <c r="S23" s="112">
        <f>S$19*'IBES data'!$U34</f>
        <v>108854.10066810648</v>
      </c>
      <c r="T23" s="99" t="s">
        <v>138</v>
      </c>
      <c r="U23" s="113">
        <f t="shared" ref="U23:Y24" si="22">O23*U$2/1000000000</f>
        <v>0.14790126107909757</v>
      </c>
      <c r="V23" s="113">
        <f t="shared" si="22"/>
        <v>0.17816334478156765</v>
      </c>
      <c r="W23" s="113">
        <f t="shared" si="22"/>
        <v>0.1662309395731302</v>
      </c>
      <c r="X23" s="113">
        <f t="shared" si="22"/>
        <v>0.11463231880479713</v>
      </c>
      <c r="Y23" s="114">
        <f t="shared" si="22"/>
        <v>8.5777031326467898E-2</v>
      </c>
      <c r="Z23" s="100" t="s">
        <v>151</v>
      </c>
    </row>
    <row r="24" spans="2:26" x14ac:dyDescent="0.2">
      <c r="B24" s="150" t="s">
        <v>160</v>
      </c>
      <c r="E24" s="87"/>
      <c r="F24" s="87"/>
      <c r="G24" s="87"/>
      <c r="H24" s="87"/>
      <c r="I24" s="87"/>
      <c r="L24" s="110" t="s">
        <v>114</v>
      </c>
      <c r="M24" s="111" t="s">
        <v>34</v>
      </c>
      <c r="N24" s="111" t="s">
        <v>11</v>
      </c>
      <c r="O24" s="112">
        <f>O23*'Basic data - source records'!Y5*'Basic data - source records'!$AR$2</f>
        <v>272065.35341560573</v>
      </c>
      <c r="P24" s="112">
        <f>P23*'Basic data - source records'!Z5*'Basic data - source records'!$AR$2</f>
        <v>289299.57407741831</v>
      </c>
      <c r="Q24" s="112">
        <f>Q23*'Basic data - source records'!AA5*'Basic data - source records'!$AR$2</f>
        <v>260855.09774307365</v>
      </c>
      <c r="R24" s="112">
        <f>R23*'Basic data - source records'!AB5*'Basic data - source records'!$AR$2</f>
        <v>166946.03358668493</v>
      </c>
      <c r="S24" s="112">
        <f>S23*'Basic data - source records'!AC5*'Basic data - source records'!$AR$2</f>
        <v>114296.8057015118</v>
      </c>
      <c r="T24" s="99" t="s">
        <v>138</v>
      </c>
      <c r="U24" s="113">
        <f t="shared" si="22"/>
        <v>0.16712842501938027</v>
      </c>
      <c r="V24" s="113">
        <f t="shared" si="22"/>
        <v>0.18707151202064601</v>
      </c>
      <c r="W24" s="113">
        <f t="shared" si="22"/>
        <v>0.17786710534324929</v>
      </c>
      <c r="X24" s="113">
        <f t="shared" si="22"/>
        <v>0.12036393474503697</v>
      </c>
      <c r="Y24" s="114">
        <f t="shared" si="22"/>
        <v>9.0065882892791299E-2</v>
      </c>
      <c r="Z24" s="100" t="s">
        <v>151</v>
      </c>
    </row>
    <row r="25" spans="2:26" x14ac:dyDescent="0.25">
      <c r="B25" s="151" t="s">
        <v>163</v>
      </c>
      <c r="E25" s="87"/>
      <c r="F25" s="87"/>
      <c r="G25" s="87"/>
      <c r="H25" s="87"/>
      <c r="I25" s="87"/>
      <c r="L25" s="71"/>
      <c r="M25" s="72"/>
      <c r="N25" s="73"/>
      <c r="O25" s="86"/>
      <c r="P25" s="86"/>
      <c r="Q25" s="86"/>
      <c r="R25" s="86"/>
      <c r="S25" s="77"/>
      <c r="T25" s="71"/>
      <c r="U25" s="74"/>
      <c r="V25" s="74"/>
      <c r="W25" s="74"/>
      <c r="X25" s="74"/>
      <c r="Y25" s="77"/>
      <c r="Z25" s="90"/>
    </row>
    <row r="26" spans="2:26" x14ac:dyDescent="0.25">
      <c r="B26" s="152" t="s">
        <v>161</v>
      </c>
      <c r="L26" s="93" t="s">
        <v>119</v>
      </c>
      <c r="M26" s="94" t="s">
        <v>34</v>
      </c>
      <c r="N26" s="94" t="s">
        <v>11</v>
      </c>
      <c r="O26" s="95">
        <f>O19-(O20+O21+O22+O23+O24)</f>
        <v>-956556.3128474094</v>
      </c>
      <c r="P26" s="95">
        <f t="shared" ref="P26:S26" si="23">P19-(P20+P21+P22+P23+P24)</f>
        <v>-1072605.5065440014</v>
      </c>
      <c r="Q26" s="95">
        <f t="shared" si="23"/>
        <v>-953943.24386807904</v>
      </c>
      <c r="R26" s="95">
        <f t="shared" si="23"/>
        <v>-618968.19410055131</v>
      </c>
      <c r="S26" s="95">
        <f t="shared" si="23"/>
        <v>-423766.20693891309</v>
      </c>
      <c r="T26" s="93" t="s">
        <v>138</v>
      </c>
      <c r="U26" s="147">
        <f>O26*U$2/1000000000</f>
        <v>-0.58760789641715205</v>
      </c>
      <c r="V26" s="147">
        <f>P26*V$2/1000000000</f>
        <v>-0.69358530703249854</v>
      </c>
      <c r="W26" s="147">
        <f>Q26*W$2/1000000000</f>
        <v>-0.65045738004201936</v>
      </c>
      <c r="X26" s="147">
        <f>R26*X$2/1000000000</f>
        <v>-0.44626066114525603</v>
      </c>
      <c r="Y26" s="148">
        <f>S26*Y$2/1000000000</f>
        <v>-0.33392777106786353</v>
      </c>
      <c r="Z26" s="98" t="s">
        <v>111</v>
      </c>
    </row>
    <row r="27" spans="2:26" ht="13.5" thickBot="1" x14ac:dyDescent="0.3">
      <c r="B27" s="153" t="s">
        <v>162</v>
      </c>
      <c r="L27" s="93" t="s">
        <v>116</v>
      </c>
      <c r="M27" s="94" t="s">
        <v>34</v>
      </c>
      <c r="N27" s="94" t="s">
        <v>109</v>
      </c>
      <c r="O27" s="95">
        <f>O26/O17</f>
        <v>-546.42672120562656</v>
      </c>
      <c r="P27" s="95">
        <f>P26/P17</f>
        <v>-483.60699139003685</v>
      </c>
      <c r="Q27" s="95">
        <f>Q26/Q17</f>
        <v>-430.77262554718948</v>
      </c>
      <c r="R27" s="95">
        <f>R26/R17</f>
        <v>-346.87727280766967</v>
      </c>
      <c r="S27" s="96">
        <f>S26/S17</f>
        <v>-246.95576778404012</v>
      </c>
      <c r="T27" s="93" t="s">
        <v>139</v>
      </c>
      <c r="U27" s="97">
        <f>O27*U2</f>
        <v>-335667.28051585134</v>
      </c>
      <c r="V27" s="97">
        <f>P27*V2</f>
        <v>-312717.67817701545</v>
      </c>
      <c r="W27" s="97">
        <f>Q27*W2</f>
        <v>-293727.3629310336</v>
      </c>
      <c r="X27" s="97">
        <f>R27*X2</f>
        <v>-250089.87953630966</v>
      </c>
      <c r="Y27" s="96">
        <f>S27*Y2</f>
        <v>-194601.14501382361</v>
      </c>
      <c r="Z27" s="98" t="s">
        <v>111</v>
      </c>
    </row>
    <row r="28" spans="2:26" ht="13.5" thickBot="1" x14ac:dyDescent="0.3">
      <c r="L28" s="124" t="s">
        <v>120</v>
      </c>
      <c r="M28" s="125" t="s">
        <v>34</v>
      </c>
      <c r="N28" s="125" t="s">
        <v>11</v>
      </c>
      <c r="O28" s="126">
        <f>0*O19</f>
        <v>0</v>
      </c>
      <c r="P28" s="126">
        <f>0.02*P19</f>
        <v>601075.6452457268</v>
      </c>
      <c r="Q28" s="126">
        <f>0.04*Q19</f>
        <v>1063692.7090093801</v>
      </c>
      <c r="R28" s="126">
        <f>0.04*R19</f>
        <v>693725.14756954252</v>
      </c>
      <c r="S28" s="126">
        <f>0.04*S19</f>
        <v>474947.30302075623</v>
      </c>
      <c r="T28" s="124" t="s">
        <v>138</v>
      </c>
      <c r="U28" s="127">
        <f>O28*U2/1000000000</f>
        <v>0</v>
      </c>
      <c r="V28" s="127">
        <f>P28*V2/1000000000</f>
        <v>0.38867713564214518</v>
      </c>
      <c r="W28" s="127">
        <f>Q28*W2/1000000000</f>
        <v>0.72529133899680998</v>
      </c>
      <c r="X28" s="127">
        <f>R28*X2/1000000000</f>
        <v>0.50015856381334955</v>
      </c>
      <c r="Y28" s="128">
        <f>S28*Y2/1000000000</f>
        <v>0.37425847478035595</v>
      </c>
      <c r="Z28" s="129" t="s">
        <v>157</v>
      </c>
    </row>
  </sheetData>
  <mergeCells count="8">
    <mergeCell ref="L16:S16"/>
    <mergeCell ref="T4:Y4"/>
    <mergeCell ref="T16:Y16"/>
    <mergeCell ref="B2:J2"/>
    <mergeCell ref="L2:S2"/>
    <mergeCell ref="B4:J4"/>
    <mergeCell ref="B11:J11"/>
    <mergeCell ref="L4:S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C1:BJ124"/>
  <sheetViews>
    <sheetView zoomScale="80" zoomScaleNormal="80" workbookViewId="0"/>
  </sheetViews>
  <sheetFormatPr defaultRowHeight="15" x14ac:dyDescent="0.25"/>
  <cols>
    <col min="3" max="3" width="23.42578125" bestFit="1" customWidth="1"/>
    <col min="4" max="4" width="16.5703125" bestFit="1" customWidth="1"/>
    <col min="5" max="5" width="19.5703125" customWidth="1"/>
    <col min="6" max="7" width="14.28515625" bestFit="1" customWidth="1"/>
    <col min="8" max="8" width="11.140625" bestFit="1" customWidth="1"/>
    <col min="10" max="10" width="12.140625" bestFit="1" customWidth="1"/>
    <col min="11" max="11" width="16" bestFit="1" customWidth="1"/>
    <col min="12" max="12" width="21.85546875" bestFit="1" customWidth="1"/>
    <col min="13" max="13" width="22.28515625" bestFit="1" customWidth="1"/>
    <col min="14" max="14" width="14.5703125" bestFit="1" customWidth="1"/>
    <col min="15" max="15" width="14.42578125" customWidth="1"/>
    <col min="16" max="16" width="12.5703125" customWidth="1"/>
    <col min="17" max="17" width="13" customWidth="1"/>
    <col min="22" max="22" width="21.28515625" bestFit="1" customWidth="1"/>
    <col min="23" max="27" width="10.42578125" bestFit="1" customWidth="1"/>
    <col min="41" max="41" width="20.140625" customWidth="1"/>
    <col min="42" max="42" width="17.7109375" bestFit="1" customWidth="1"/>
    <col min="43" max="43" width="24.42578125" bestFit="1" customWidth="1"/>
    <col min="45" max="45" width="20.7109375" bestFit="1" customWidth="1"/>
    <col min="50" max="50" width="10" bestFit="1" customWidth="1"/>
    <col min="51" max="52" width="9" bestFit="1" customWidth="1"/>
    <col min="53" max="53" width="19.28515625" bestFit="1" customWidth="1"/>
    <col min="54" max="54" width="17.85546875" bestFit="1" customWidth="1"/>
    <col min="55" max="55" width="16.140625" bestFit="1" customWidth="1"/>
  </cols>
  <sheetData>
    <row r="1" spans="3:57" x14ac:dyDescent="0.25">
      <c r="AO1" t="s">
        <v>381</v>
      </c>
      <c r="AW1" t="s">
        <v>236</v>
      </c>
      <c r="AX1" t="s">
        <v>411</v>
      </c>
      <c r="AY1" t="s">
        <v>412</v>
      </c>
      <c r="AZ1" t="s">
        <v>237</v>
      </c>
      <c r="BA1" s="385" t="s">
        <v>238</v>
      </c>
      <c r="BB1" s="385" t="s">
        <v>379</v>
      </c>
      <c r="BC1" s="385" t="s">
        <v>378</v>
      </c>
      <c r="BE1" s="385" t="s">
        <v>239</v>
      </c>
    </row>
    <row r="2" spans="3:57" ht="45" x14ac:dyDescent="0.25">
      <c r="C2" s="222" t="s">
        <v>195</v>
      </c>
      <c r="W2" t="s">
        <v>227</v>
      </c>
      <c r="AO2" s="384" t="s">
        <v>380</v>
      </c>
      <c r="AP2" s="384" t="s">
        <v>303</v>
      </c>
      <c r="AQ2" s="384" t="s">
        <v>382</v>
      </c>
      <c r="AS2" t="s">
        <v>240</v>
      </c>
      <c r="AT2" t="s">
        <v>241</v>
      </c>
      <c r="AU2" t="s">
        <v>140</v>
      </c>
      <c r="AV2" t="s">
        <v>242</v>
      </c>
      <c r="AX2" t="s">
        <v>243</v>
      </c>
      <c r="AY2" t="s">
        <v>243</v>
      </c>
    </row>
    <row r="3" spans="3:57" x14ac:dyDescent="0.25">
      <c r="D3">
        <v>2012</v>
      </c>
      <c r="E3">
        <v>2013</v>
      </c>
      <c r="F3">
        <v>2014</v>
      </c>
      <c r="G3">
        <v>2015</v>
      </c>
      <c r="H3">
        <v>2016</v>
      </c>
      <c r="W3">
        <f>D3</f>
        <v>2012</v>
      </c>
      <c r="X3">
        <f t="shared" ref="X3:AA3" si="0">E3</f>
        <v>2013</v>
      </c>
      <c r="Y3">
        <f t="shared" si="0"/>
        <v>2014</v>
      </c>
      <c r="Z3">
        <f t="shared" si="0"/>
        <v>2015</v>
      </c>
      <c r="AA3">
        <f t="shared" si="0"/>
        <v>2016</v>
      </c>
      <c r="AO3" s="383">
        <v>607</v>
      </c>
      <c r="AP3">
        <v>1760</v>
      </c>
      <c r="AQ3">
        <v>1</v>
      </c>
      <c r="AR3">
        <v>1999</v>
      </c>
      <c r="AS3" s="198">
        <v>62874251.497005992</v>
      </c>
      <c r="AT3" s="198">
        <v>62.874251497005993</v>
      </c>
      <c r="AU3">
        <v>334</v>
      </c>
      <c r="AW3">
        <v>1999</v>
      </c>
      <c r="AX3" s="198">
        <f>(AO3*1000000000)/(BE3*1000000)</f>
        <v>1817.3652694610778</v>
      </c>
      <c r="AY3" s="198">
        <f>(AQ3*1000000000)/(BE3*1000000)</f>
        <v>2.9940119760479043</v>
      </c>
      <c r="AZ3" s="293">
        <f>AY3/AX3</f>
        <v>1.6474464579901153E-3</v>
      </c>
      <c r="BA3" s="370">
        <f>AO3/BB3</f>
        <v>7.4938271604938276</v>
      </c>
      <c r="BB3">
        <v>81</v>
      </c>
      <c r="BC3">
        <v>242</v>
      </c>
      <c r="BE3">
        <v>334</v>
      </c>
    </row>
    <row r="4" spans="3:57" x14ac:dyDescent="0.25">
      <c r="C4" t="s">
        <v>167</v>
      </c>
      <c r="D4" s="198">
        <f>'MRA - Cassiterite - Tin'!E5</f>
        <v>3670.5237149999998</v>
      </c>
      <c r="E4" s="198">
        <f>'MRA - Cassiterite - Tin'!F5</f>
        <v>6112.1432199999999</v>
      </c>
      <c r="F4" s="198">
        <f>'MRA - Cassiterite - Tin'!G5</f>
        <v>7137.4682799999991</v>
      </c>
      <c r="G4" s="198">
        <f>'MRA - Cassiterite - Tin'!H5</f>
        <v>4714.1223749999999</v>
      </c>
      <c r="H4" s="198">
        <f>'MRA - Cassiterite - Tin'!I5</f>
        <v>2024</v>
      </c>
      <c r="V4" t="str">
        <f>C5</f>
        <v>Cassiterite exports</v>
      </c>
      <c r="W4" s="198">
        <f>D5</f>
        <v>4636.6403</v>
      </c>
      <c r="X4" s="198">
        <f t="shared" ref="X4:AA4" si="1">E5</f>
        <v>4895.2674999999999</v>
      </c>
      <c r="Y4" s="198">
        <f t="shared" si="1"/>
        <v>5953.7963200000004</v>
      </c>
      <c r="Z4" s="198">
        <f t="shared" si="1"/>
        <v>3845.6560999999997</v>
      </c>
      <c r="AA4" s="198">
        <f t="shared" si="1"/>
        <v>3549.9150499999996</v>
      </c>
      <c r="AO4" s="383">
        <v>676</v>
      </c>
      <c r="AP4">
        <v>1907</v>
      </c>
      <c r="AQ4">
        <v>1</v>
      </c>
      <c r="AR4">
        <v>2000</v>
      </c>
      <c r="AS4" s="198">
        <v>69230769.230769232</v>
      </c>
      <c r="AT4" s="198">
        <v>69.230769230769226</v>
      </c>
      <c r="AU4">
        <v>390</v>
      </c>
      <c r="AW4">
        <v>2000</v>
      </c>
      <c r="AX4" s="198">
        <f t="shared" ref="AX4:AX22" si="2">(AO4*1000000000)/(BE4*1000000)</f>
        <v>1733.3333333333333</v>
      </c>
      <c r="AY4" s="198">
        <f>(AQ4*1000000000)/(BE4*1000000)</f>
        <v>2.5641025641025643</v>
      </c>
      <c r="AZ4" s="293">
        <f t="shared" ref="AZ4:AZ22" si="3">AY4/AX4</f>
        <v>1.4792899408284025E-3</v>
      </c>
      <c r="BA4" s="370">
        <f t="shared" ref="BA4:BA22" si="4">AO4/BB4</f>
        <v>7.6818181818181817</v>
      </c>
      <c r="BB4">
        <v>88</v>
      </c>
      <c r="BC4">
        <v>225</v>
      </c>
      <c r="BE4">
        <v>390</v>
      </c>
    </row>
    <row r="5" spans="3:57" x14ac:dyDescent="0.25">
      <c r="C5" t="s">
        <v>168</v>
      </c>
      <c r="D5" s="198">
        <f>'MRA - Cassiterite - Tin'!E20</f>
        <v>4636.6403</v>
      </c>
      <c r="E5" s="198">
        <f>'MRA - Cassiterite - Tin'!F20</f>
        <v>4895.2674999999999</v>
      </c>
      <c r="F5" s="198">
        <f>'MRA - Cassiterite - Tin'!G20</f>
        <v>5953.7963200000004</v>
      </c>
      <c r="G5" s="198">
        <f>'MRA - Cassiterite - Tin'!H20</f>
        <v>3845.6560999999997</v>
      </c>
      <c r="H5" s="198">
        <f>'MRA - Cassiterite - Tin'!I20</f>
        <v>3549.9150499999996</v>
      </c>
      <c r="V5" t="str">
        <f>C7</f>
        <v>Coltan exports</v>
      </c>
      <c r="W5" s="198">
        <f>D7</f>
        <v>1144.6847</v>
      </c>
      <c r="X5" s="198">
        <f t="shared" ref="X5:AA5" si="5">E7</f>
        <v>2466.02367</v>
      </c>
      <c r="Y5" s="198">
        <f t="shared" si="5"/>
        <v>2302.5188700000003</v>
      </c>
      <c r="Z5" s="198">
        <f t="shared" si="5"/>
        <v>1651.71126</v>
      </c>
      <c r="AA5" s="198">
        <f t="shared" si="5"/>
        <v>1269.9392000000003</v>
      </c>
      <c r="AO5" s="383">
        <v>742</v>
      </c>
      <c r="AP5">
        <v>2069</v>
      </c>
      <c r="AQ5">
        <v>6</v>
      </c>
      <c r="AR5">
        <v>2001</v>
      </c>
      <c r="AS5" s="198">
        <v>92550790.067720085</v>
      </c>
      <c r="AT5" s="198">
        <v>92.550790067720087</v>
      </c>
      <c r="AU5">
        <v>443</v>
      </c>
      <c r="AW5">
        <v>2001</v>
      </c>
      <c r="AX5" s="198">
        <f t="shared" si="2"/>
        <v>1674.943566591422</v>
      </c>
      <c r="AY5" s="198">
        <f t="shared" ref="AY5:AY21" si="6">(AQ5*1000000000)/(BE5*1000000)</f>
        <v>13.544018058690744</v>
      </c>
      <c r="AZ5" s="293">
        <f t="shared" si="3"/>
        <v>8.0862533692722376E-3</v>
      </c>
      <c r="BA5" s="370">
        <f t="shared" si="4"/>
        <v>7.8936170212765955</v>
      </c>
      <c r="BB5">
        <v>94</v>
      </c>
      <c r="BC5">
        <v>211</v>
      </c>
      <c r="BE5">
        <v>443</v>
      </c>
    </row>
    <row r="6" spans="3:57" x14ac:dyDescent="0.25">
      <c r="C6" t="s">
        <v>169</v>
      </c>
      <c r="D6" s="198">
        <f>'MRA - Coltan - Tantalum'!E5</f>
        <v>967.88760500000001</v>
      </c>
      <c r="E6" s="198">
        <f>'MRA - Coltan - Tantalum'!F5</f>
        <v>1924.3862000000001</v>
      </c>
      <c r="F6" s="198">
        <f>'MRA - Coltan - Tantalum'!G5</f>
        <v>2097.5134899999998</v>
      </c>
      <c r="G6" s="198">
        <f>'MRA - Coltan - Tantalum'!H5</f>
        <v>1332</v>
      </c>
      <c r="H6" s="198">
        <f>'MRA - Coltan - Tantalum'!I5</f>
        <v>2553.6</v>
      </c>
      <c r="V6" t="str">
        <f>C9</f>
        <v>Wolfram exports</v>
      </c>
      <c r="W6" s="198">
        <f>D9</f>
        <v>1750.5664999999999</v>
      </c>
      <c r="X6" s="198">
        <f t="shared" ref="X6:AA6" si="7">E9</f>
        <v>2217.9280400000002</v>
      </c>
      <c r="Y6" s="198">
        <f t="shared" si="7"/>
        <v>2214.4936500000003</v>
      </c>
      <c r="Z6" s="198">
        <f t="shared" si="7"/>
        <v>1784.40112</v>
      </c>
      <c r="AA6" s="198">
        <f t="shared" si="7"/>
        <v>1715.9599499999999</v>
      </c>
      <c r="AO6" s="383">
        <v>797</v>
      </c>
      <c r="AP6">
        <v>2342</v>
      </c>
      <c r="AQ6">
        <v>2</v>
      </c>
      <c r="AR6">
        <v>2002</v>
      </c>
      <c r="AS6" s="198">
        <v>67368421.052631572</v>
      </c>
      <c r="AT6" s="198">
        <v>67.368421052631575</v>
      </c>
      <c r="AU6">
        <v>475</v>
      </c>
      <c r="AW6">
        <v>2002</v>
      </c>
      <c r="AX6" s="198">
        <f t="shared" si="2"/>
        <v>1677.8947368421052</v>
      </c>
      <c r="AY6" s="198">
        <f t="shared" si="6"/>
        <v>4.2105263157894735</v>
      </c>
      <c r="AZ6" s="293">
        <f t="shared" si="3"/>
        <v>2.509410288582183E-3</v>
      </c>
      <c r="BA6" s="370">
        <f t="shared" si="4"/>
        <v>8.1326530612244898</v>
      </c>
      <c r="BB6">
        <v>98</v>
      </c>
      <c r="BC6">
        <v>206</v>
      </c>
      <c r="BE6">
        <v>475</v>
      </c>
    </row>
    <row r="7" spans="3:57" x14ac:dyDescent="0.25">
      <c r="C7" t="s">
        <v>170</v>
      </c>
      <c r="D7" s="198">
        <f>'MRA - Coltan - Tantalum'!E20</f>
        <v>1144.6847</v>
      </c>
      <c r="E7" s="198">
        <f>'MRA - Coltan - Tantalum'!F20</f>
        <v>2466.02367</v>
      </c>
      <c r="F7" s="198">
        <f>'MRA - Coltan - Tantalum'!G20</f>
        <v>2302.5188700000003</v>
      </c>
      <c r="G7" s="198">
        <f>'MRA - Coltan - Tantalum'!H20</f>
        <v>1651.71126</v>
      </c>
      <c r="H7" s="198">
        <f>'MRA - Coltan - Tantalum'!I20</f>
        <v>1269.9392000000003</v>
      </c>
      <c r="V7" t="str">
        <f>C20</f>
        <v>Cassiterite export prices</v>
      </c>
      <c r="W7" s="198">
        <f>D20</f>
        <v>11408.455876728416</v>
      </c>
      <c r="X7" s="198">
        <f t="shared" ref="X7:AA7" si="8">E20</f>
        <v>12476.229132625425</v>
      </c>
      <c r="Y7" s="198">
        <f t="shared" si="8"/>
        <v>12083.990343088415</v>
      </c>
      <c r="Z7" s="198">
        <f t="shared" si="8"/>
        <v>8909.5964365224718</v>
      </c>
      <c r="AA7" s="198">
        <f t="shared" si="8"/>
        <v>9805.2779997742782</v>
      </c>
      <c r="AO7" s="383">
        <v>993</v>
      </c>
      <c r="AP7">
        <v>2393</v>
      </c>
      <c r="AQ7">
        <v>3</v>
      </c>
      <c r="AR7">
        <v>2003</v>
      </c>
      <c r="AS7" s="198">
        <v>61338289.962825276</v>
      </c>
      <c r="AT7" s="198">
        <v>61.338289962825279</v>
      </c>
      <c r="AU7">
        <v>538</v>
      </c>
      <c r="AW7">
        <v>2003</v>
      </c>
      <c r="AX7" s="198">
        <f t="shared" si="2"/>
        <v>1845.724907063197</v>
      </c>
      <c r="AY7" s="198">
        <f t="shared" si="6"/>
        <v>5.5762081784386615</v>
      </c>
      <c r="AZ7" s="293">
        <f t="shared" si="3"/>
        <v>3.0211480362537764E-3</v>
      </c>
      <c r="BA7" s="370">
        <f t="shared" si="4"/>
        <v>8.344537815126051</v>
      </c>
      <c r="BB7">
        <v>119</v>
      </c>
      <c r="BC7">
        <v>221</v>
      </c>
      <c r="BE7">
        <v>538</v>
      </c>
    </row>
    <row r="8" spans="3:57" x14ac:dyDescent="0.25">
      <c r="C8" t="s">
        <v>171</v>
      </c>
      <c r="D8" s="198">
        <f>'MRA - Wolfram - Tungsten'!E5</f>
        <v>1771.2721999999999</v>
      </c>
      <c r="E8" s="198">
        <f>'MRA - Wolfram - Tungsten'!F5</f>
        <v>2264.212</v>
      </c>
      <c r="F8" s="198">
        <f>'MRA - Wolfram - Tungsten'!G5</f>
        <v>2534.8689800000002</v>
      </c>
      <c r="G8" s="198">
        <f>'MRA - Wolfram - Tungsten'!H5</f>
        <v>2169.4109399999998</v>
      </c>
      <c r="H8" s="198">
        <f>'MRA - Wolfram - Tungsten'!I5</f>
        <v>1498</v>
      </c>
      <c r="V8" t="str">
        <f>C22</f>
        <v>Coltan export prices</v>
      </c>
      <c r="W8" s="198">
        <f>D22</f>
        <v>49718.149371024883</v>
      </c>
      <c r="X8" s="198">
        <f t="shared" ref="X8:AA8" si="9">E22</f>
        <v>54570.284676931129</v>
      </c>
      <c r="Y8" s="198">
        <f t="shared" si="9"/>
        <v>45506.82818945036</v>
      </c>
      <c r="Z8" s="198">
        <f t="shared" si="9"/>
        <v>40079.839996213515</v>
      </c>
      <c r="AA8" s="198">
        <f t="shared" si="9"/>
        <v>31294.810618683896</v>
      </c>
      <c r="AO8" s="383">
        <v>1206</v>
      </c>
      <c r="AP8">
        <v>2572</v>
      </c>
      <c r="AQ8">
        <v>8</v>
      </c>
      <c r="AR8">
        <v>2004</v>
      </c>
      <c r="AS8" s="198">
        <v>95652173.913043484</v>
      </c>
      <c r="AT8" s="198">
        <v>95.652173913043484</v>
      </c>
      <c r="AU8">
        <v>575</v>
      </c>
      <c r="AW8">
        <v>2004</v>
      </c>
      <c r="AX8" s="198">
        <f t="shared" si="2"/>
        <v>2097.391304347826</v>
      </c>
      <c r="AY8" s="198">
        <f t="shared" si="6"/>
        <v>13.913043478260869</v>
      </c>
      <c r="AZ8" s="293">
        <f t="shared" si="3"/>
        <v>6.6334991708126038E-3</v>
      </c>
      <c r="BA8" s="370">
        <f t="shared" si="4"/>
        <v>8.5531914893617014</v>
      </c>
      <c r="BB8">
        <v>141</v>
      </c>
      <c r="BC8">
        <v>245</v>
      </c>
      <c r="BE8">
        <v>575</v>
      </c>
    </row>
    <row r="9" spans="3:57" x14ac:dyDescent="0.25">
      <c r="C9" t="s">
        <v>172</v>
      </c>
      <c r="D9" s="198">
        <f>'MRA - Wolfram - Tungsten'!E20</f>
        <v>1750.5664999999999</v>
      </c>
      <c r="E9" s="198">
        <f>'MRA - Wolfram - Tungsten'!F20</f>
        <v>2217.9280400000002</v>
      </c>
      <c r="F9" s="198">
        <f>'MRA - Wolfram - Tungsten'!G20</f>
        <v>2214.4936500000003</v>
      </c>
      <c r="G9" s="198">
        <f>'MRA - Wolfram - Tungsten'!H20</f>
        <v>1784.40112</v>
      </c>
      <c r="H9" s="198">
        <f>'MRA - Wolfram - Tungsten'!I20</f>
        <v>1715.9599499999999</v>
      </c>
      <c r="V9" t="str">
        <f>C24</f>
        <v>Wolfram export prices</v>
      </c>
      <c r="W9" s="198">
        <f>D24</f>
        <v>15002.264673206093</v>
      </c>
      <c r="X9" s="198">
        <f t="shared" ref="X9:AA9" si="10">E24</f>
        <v>13550.386541073865</v>
      </c>
      <c r="Y9" s="198">
        <f t="shared" si="10"/>
        <v>12008.306153975424</v>
      </c>
      <c r="Z9" s="198">
        <f t="shared" si="10"/>
        <v>9719.2993743685638</v>
      </c>
      <c r="AA9" s="198">
        <f t="shared" si="10"/>
        <v>6919.5569369313698</v>
      </c>
      <c r="AO9" s="383">
        <v>1440</v>
      </c>
      <c r="AP9">
        <v>2813</v>
      </c>
      <c r="AQ9">
        <v>10</v>
      </c>
      <c r="AR9">
        <v>2005</v>
      </c>
      <c r="AS9" s="198">
        <v>120287253.14183123</v>
      </c>
      <c r="AT9" s="198">
        <v>120.28725314183123</v>
      </c>
      <c r="AU9">
        <v>557</v>
      </c>
      <c r="AW9">
        <v>2005</v>
      </c>
      <c r="AX9" s="198">
        <f t="shared" si="2"/>
        <v>2585.2782764811491</v>
      </c>
      <c r="AY9" s="198">
        <f t="shared" si="6"/>
        <v>17.953321364452425</v>
      </c>
      <c r="AZ9" s="293">
        <f t="shared" si="3"/>
        <v>6.9444444444444449E-3</v>
      </c>
      <c r="BA9" s="370">
        <f t="shared" si="4"/>
        <v>8.7804878048780495</v>
      </c>
      <c r="BB9">
        <v>164</v>
      </c>
      <c r="BC9">
        <v>295</v>
      </c>
      <c r="BE9">
        <v>557</v>
      </c>
    </row>
    <row r="10" spans="3:57" x14ac:dyDescent="0.25">
      <c r="AO10" s="383">
        <v>1762</v>
      </c>
      <c r="AP10">
        <v>3072</v>
      </c>
      <c r="AQ10">
        <v>23</v>
      </c>
      <c r="AR10">
        <v>2006</v>
      </c>
      <c r="AS10" s="198">
        <v>143115942.0289855</v>
      </c>
      <c r="AT10" s="198">
        <v>143.1159420289855</v>
      </c>
      <c r="AU10">
        <v>552</v>
      </c>
      <c r="AW10">
        <v>2006</v>
      </c>
      <c r="AX10" s="198">
        <f t="shared" si="2"/>
        <v>3192.0289855072465</v>
      </c>
      <c r="AY10" s="198">
        <f t="shared" si="6"/>
        <v>41.666666666666664</v>
      </c>
      <c r="AZ10" s="293">
        <f t="shared" si="3"/>
        <v>1.3053348467650397E-2</v>
      </c>
      <c r="BA10" s="370">
        <f t="shared" si="4"/>
        <v>8.9897959183673475</v>
      </c>
      <c r="BB10">
        <v>196</v>
      </c>
      <c r="BC10">
        <v>355</v>
      </c>
      <c r="BE10">
        <v>552</v>
      </c>
    </row>
    <row r="11" spans="3:57" x14ac:dyDescent="0.25">
      <c r="D11" s="288"/>
      <c r="E11" s="288"/>
      <c r="F11" s="288"/>
      <c r="G11" s="288"/>
      <c r="H11" s="288"/>
      <c r="AO11" s="383">
        <v>2120</v>
      </c>
      <c r="AP11">
        <v>3307</v>
      </c>
      <c r="AQ11">
        <v>43</v>
      </c>
      <c r="AR11">
        <v>2007</v>
      </c>
      <c r="AS11" s="198">
        <v>179159049.36014625</v>
      </c>
      <c r="AT11" s="198">
        <v>179.15904936014624</v>
      </c>
      <c r="AU11">
        <v>547</v>
      </c>
      <c r="AW11">
        <v>2007</v>
      </c>
      <c r="AX11" s="198">
        <f t="shared" si="2"/>
        <v>3875.6855575868371</v>
      </c>
      <c r="AY11" s="198">
        <f t="shared" si="6"/>
        <v>78.610603290676423</v>
      </c>
      <c r="AZ11" s="293">
        <f t="shared" si="3"/>
        <v>2.0283018867924531E-2</v>
      </c>
      <c r="BA11" s="370">
        <f t="shared" si="4"/>
        <v>9.2173913043478262</v>
      </c>
      <c r="BB11">
        <v>230</v>
      </c>
      <c r="BC11">
        <v>420</v>
      </c>
      <c r="BE11">
        <v>547</v>
      </c>
    </row>
    <row r="12" spans="3:57" x14ac:dyDescent="0.25">
      <c r="AO12" s="383">
        <v>2693</v>
      </c>
      <c r="AP12">
        <v>3676</v>
      </c>
      <c r="AQ12">
        <v>51</v>
      </c>
      <c r="AR12">
        <v>2008</v>
      </c>
      <c r="AS12" s="198">
        <v>268738574.04021937</v>
      </c>
      <c r="AT12" s="198">
        <v>268.73857404021936</v>
      </c>
      <c r="AU12">
        <v>547</v>
      </c>
      <c r="AW12">
        <v>2008</v>
      </c>
      <c r="AX12" s="198">
        <f t="shared" si="2"/>
        <v>4923.217550274223</v>
      </c>
      <c r="AY12" s="198">
        <f t="shared" si="6"/>
        <v>93.235831809872025</v>
      </c>
      <c r="AZ12" s="293">
        <f t="shared" si="3"/>
        <v>1.8937987374675083E-2</v>
      </c>
      <c r="BA12" s="370">
        <f t="shared" si="4"/>
        <v>9.4823943661971839</v>
      </c>
      <c r="BB12">
        <v>284</v>
      </c>
      <c r="BC12">
        <v>520</v>
      </c>
      <c r="BE12">
        <v>547</v>
      </c>
    </row>
    <row r="13" spans="3:57" x14ac:dyDescent="0.25">
      <c r="AO13" s="383">
        <v>3097</v>
      </c>
      <c r="AP13">
        <v>3906</v>
      </c>
      <c r="AQ13">
        <v>33</v>
      </c>
      <c r="AR13">
        <v>2009</v>
      </c>
      <c r="AS13" s="198">
        <v>200704225.35211268</v>
      </c>
      <c r="AT13" s="198">
        <v>200.70422535211267</v>
      </c>
      <c r="AU13">
        <v>568</v>
      </c>
      <c r="AW13">
        <v>2009</v>
      </c>
      <c r="AX13" s="198">
        <f t="shared" si="2"/>
        <v>5452.4647887323945</v>
      </c>
      <c r="AY13" s="198">
        <f t="shared" si="6"/>
        <v>58.098591549295776</v>
      </c>
      <c r="AZ13" s="293">
        <f t="shared" si="3"/>
        <v>1.0655473038424281E-2</v>
      </c>
      <c r="BA13" s="370">
        <f t="shared" si="4"/>
        <v>9.7084639498432601</v>
      </c>
      <c r="BB13">
        <v>319</v>
      </c>
      <c r="BC13">
        <v>561</v>
      </c>
      <c r="BE13">
        <v>568</v>
      </c>
    </row>
    <row r="14" spans="3:57" x14ac:dyDescent="0.25">
      <c r="W14" s="224"/>
      <c r="X14" s="224"/>
      <c r="Y14" s="224"/>
      <c r="Z14" s="224"/>
      <c r="AA14" s="224">
        <v>532.40152477763661</v>
      </c>
      <c r="AO14" s="383">
        <v>3411</v>
      </c>
      <c r="AP14">
        <v>4192</v>
      </c>
      <c r="AQ14">
        <v>45</v>
      </c>
      <c r="AR14">
        <v>2010</v>
      </c>
      <c r="AS14" s="198">
        <v>269296740.99485421</v>
      </c>
      <c r="AT14" s="198">
        <v>269.29674099485419</v>
      </c>
      <c r="AU14">
        <v>583</v>
      </c>
      <c r="AW14">
        <v>2010</v>
      </c>
      <c r="AX14" s="198">
        <f t="shared" si="2"/>
        <v>5850.7718696397942</v>
      </c>
      <c r="AY14" s="198">
        <f t="shared" si="6"/>
        <v>77.186963979416817</v>
      </c>
      <c r="AZ14" s="293">
        <f t="shared" si="3"/>
        <v>1.3192612137203167E-2</v>
      </c>
      <c r="BA14" s="370">
        <f t="shared" si="4"/>
        <v>9.973684210526315</v>
      </c>
      <c r="BB14">
        <v>342</v>
      </c>
      <c r="BC14">
        <v>587</v>
      </c>
      <c r="BE14">
        <v>583</v>
      </c>
    </row>
    <row r="15" spans="3:57" x14ac:dyDescent="0.25">
      <c r="AO15" s="383">
        <v>3990</v>
      </c>
      <c r="AP15">
        <v>4526</v>
      </c>
      <c r="AQ15">
        <v>102</v>
      </c>
      <c r="AR15">
        <v>2011</v>
      </c>
      <c r="AS15" s="198">
        <v>465000000</v>
      </c>
      <c r="AT15" s="198">
        <v>465</v>
      </c>
      <c r="AU15">
        <v>600</v>
      </c>
      <c r="AW15">
        <v>2011</v>
      </c>
      <c r="AX15" s="198">
        <f t="shared" si="2"/>
        <v>6650</v>
      </c>
      <c r="AY15" s="198">
        <f t="shared" si="6"/>
        <v>170</v>
      </c>
      <c r="AZ15" s="293">
        <f t="shared" si="3"/>
        <v>2.5563909774436091E-2</v>
      </c>
      <c r="BA15" s="370">
        <f t="shared" si="4"/>
        <v>10.23076923076923</v>
      </c>
      <c r="BB15">
        <v>390</v>
      </c>
      <c r="BC15">
        <v>650</v>
      </c>
      <c r="BE15">
        <v>600</v>
      </c>
    </row>
    <row r="16" spans="3:57" x14ac:dyDescent="0.25">
      <c r="V16" t="s">
        <v>233</v>
      </c>
      <c r="AO16" s="383">
        <v>4564</v>
      </c>
      <c r="AP16">
        <v>4917</v>
      </c>
      <c r="AQ16">
        <v>97</v>
      </c>
      <c r="AR16" s="299">
        <v>2012</v>
      </c>
      <c r="AS16" s="198">
        <v>513029315.96091205</v>
      </c>
      <c r="AT16" s="198">
        <v>513.02931596091207</v>
      </c>
      <c r="AU16">
        <v>614</v>
      </c>
      <c r="AW16">
        <v>2012</v>
      </c>
      <c r="AX16" s="198">
        <f t="shared" si="2"/>
        <v>7433.2247557003257</v>
      </c>
      <c r="AY16" s="198">
        <f t="shared" si="6"/>
        <v>157.98045602605862</v>
      </c>
      <c r="AZ16" s="293">
        <f t="shared" si="3"/>
        <v>2.1253286590709901E-2</v>
      </c>
      <c r="BA16" s="370">
        <f t="shared" si="4"/>
        <v>10.491954022988505</v>
      </c>
      <c r="BB16">
        <v>435</v>
      </c>
      <c r="BC16">
        <v>709</v>
      </c>
      <c r="BE16">
        <v>614</v>
      </c>
    </row>
    <row r="17" spans="3:62" x14ac:dyDescent="0.25">
      <c r="C17" s="222" t="s">
        <v>196</v>
      </c>
      <c r="V17" t="s">
        <v>168</v>
      </c>
      <c r="W17" s="198">
        <f>'MRA - Cassiterite - Tin'!O19/1000000</f>
        <v>52.896906278810803</v>
      </c>
      <c r="X17" s="198">
        <f>'MRA - Cassiterite - Tin'!P19/1000000</f>
        <v>61.074478995494431</v>
      </c>
      <c r="Y17" s="198">
        <f>'MRA - Cassiterite - Tin'!Q19/1000000</f>
        <v>71.94561723559535</v>
      </c>
      <c r="Z17" s="198">
        <f>'MRA - Cassiterite - Tin'!R19/1000000</f>
        <v>34.263243884650898</v>
      </c>
      <c r="AA17" s="298">
        <f>'MRA - Cassiterite - Tin'!S19/1000000</f>
        <v>34.807903940832603</v>
      </c>
      <c r="AB17">
        <f>'Basic data - source records'!W5/1000000</f>
        <v>50.154997697784779</v>
      </c>
      <c r="AO17" s="383">
        <v>4929</v>
      </c>
      <c r="AP17">
        <v>5149</v>
      </c>
      <c r="AQ17">
        <v>124</v>
      </c>
      <c r="AR17" s="299">
        <v>2013</v>
      </c>
      <c r="AS17" s="198">
        <v>605873261.20556414</v>
      </c>
      <c r="AT17" s="198">
        <v>605.87326120556418</v>
      </c>
      <c r="AU17">
        <v>647</v>
      </c>
      <c r="AW17">
        <v>2013</v>
      </c>
      <c r="AX17" s="198">
        <f t="shared" si="2"/>
        <v>7618.2380216383308</v>
      </c>
      <c r="AY17" s="198">
        <f t="shared" si="6"/>
        <v>191.65378670788255</v>
      </c>
      <c r="AZ17" s="293">
        <f t="shared" si="3"/>
        <v>2.5157232704402517E-2</v>
      </c>
      <c r="BA17" s="370">
        <f t="shared" si="4"/>
        <v>10.738562091503267</v>
      </c>
      <c r="BB17">
        <v>459</v>
      </c>
      <c r="BC17">
        <v>710</v>
      </c>
      <c r="BE17">
        <v>647</v>
      </c>
    </row>
    <row r="18" spans="3:62" x14ac:dyDescent="0.25">
      <c r="D18">
        <v>2012</v>
      </c>
      <c r="E18">
        <v>2013</v>
      </c>
      <c r="F18">
        <v>2014</v>
      </c>
      <c r="G18">
        <v>2015</v>
      </c>
      <c r="H18">
        <v>2016</v>
      </c>
      <c r="V18" t="s">
        <v>170</v>
      </c>
      <c r="W18" s="198">
        <f>'MRA - Coltan - Tantalum'!O19/1000000</f>
        <v>56.911604897326811</v>
      </c>
      <c r="X18" s="198">
        <f>'MRA - Coltan - Tantalum'!P19/1000000</f>
        <v>134.57161369195046</v>
      </c>
      <c r="Y18" s="198">
        <f>'MRA - Coltan - Tantalum'!Q19/1000000</f>
        <v>104.7803306200574</v>
      </c>
      <c r="Z18" s="198">
        <f>'MRA - Coltan - Tantalum'!R19/1000000</f>
        <v>66.200323020744221</v>
      </c>
      <c r="AA18" s="198">
        <f>'MRA - Coltan - Tantalum'!S19/1000000</f>
        <v>39.742506761242943</v>
      </c>
      <c r="AB18">
        <f>'Basic data - source records'!W6/1000000</f>
        <v>62.209186393379738</v>
      </c>
      <c r="AO18" s="383">
        <v>5466</v>
      </c>
      <c r="AP18">
        <v>5466</v>
      </c>
      <c r="AQ18">
        <v>147</v>
      </c>
      <c r="AR18" s="299">
        <v>2014</v>
      </c>
      <c r="AS18" s="198">
        <v>585651537.33528554</v>
      </c>
      <c r="AT18" s="198">
        <v>585.65153733528552</v>
      </c>
      <c r="AU18">
        <v>683</v>
      </c>
      <c r="AW18">
        <v>2014</v>
      </c>
      <c r="AX18" s="198">
        <f t="shared" si="2"/>
        <v>8002.9282576866763</v>
      </c>
      <c r="AY18" s="198">
        <f t="shared" si="6"/>
        <v>215.22693997071741</v>
      </c>
      <c r="AZ18" s="293">
        <f t="shared" si="3"/>
        <v>2.6893523600439076E-2</v>
      </c>
      <c r="BA18" s="370">
        <f t="shared" si="4"/>
        <v>10.997987927565392</v>
      </c>
      <c r="BB18">
        <v>497</v>
      </c>
      <c r="BC18">
        <v>728</v>
      </c>
      <c r="BE18">
        <v>683</v>
      </c>
    </row>
    <row r="19" spans="3:62" x14ac:dyDescent="0.25">
      <c r="C19" t="s">
        <v>173</v>
      </c>
      <c r="D19" s="198">
        <f>'MRA - Cassiterite - Tin'!O6</f>
        <v>9213.9124614791963</v>
      </c>
      <c r="E19" s="198">
        <f>'MRA - Cassiterite - Tin'!P6</f>
        <v>10196.271649133059</v>
      </c>
      <c r="F19" s="198">
        <f>'MRA - Cassiterite - Tin'!Q6</f>
        <v>10101.395833333332</v>
      </c>
      <c r="G19" s="198">
        <f>'MRA - Cassiterite - Tin'!R6</f>
        <v>7003.4075203252023</v>
      </c>
      <c r="H19" s="198">
        <f>'MRA - Cassiterite - Tin'!S6</f>
        <v>7573.3435828877</v>
      </c>
      <c r="V19" t="s">
        <v>172</v>
      </c>
      <c r="W19" s="198">
        <f>'MRA - Wolfram - Tungsten'!O19/1000000</f>
        <v>26.262461961048032</v>
      </c>
      <c r="X19" s="198">
        <f>'MRA - Wolfram - Tungsten'!P19/1000000</f>
        <v>30.05378226228634</v>
      </c>
      <c r="Y19" s="198">
        <f>'MRA - Wolfram - Tungsten'!Q19/1000000</f>
        <v>26.592317725234501</v>
      </c>
      <c r="Z19" s="198">
        <f>'MRA - Wolfram - Tungsten'!R19/1000000</f>
        <v>17.343128689238561</v>
      </c>
      <c r="AA19" s="198">
        <f>'MRA - Wolfram - Tungsten'!S19/1000000</f>
        <v>11.873682575518906</v>
      </c>
      <c r="AB19">
        <f>'Basic data - source records'!W7/1000000</f>
        <v>12.604563298578391</v>
      </c>
      <c r="AO19" s="383">
        <v>5968</v>
      </c>
      <c r="AP19">
        <v>5951</v>
      </c>
      <c r="AQ19">
        <v>132</v>
      </c>
      <c r="AR19" s="299">
        <v>2015</v>
      </c>
      <c r="AS19" s="198">
        <v>522222222.22222221</v>
      </c>
      <c r="AT19" s="198">
        <v>522.22222222222217</v>
      </c>
      <c r="AU19">
        <v>720</v>
      </c>
      <c r="AW19">
        <v>2015</v>
      </c>
      <c r="AX19" s="198">
        <f t="shared" si="2"/>
        <v>8288.8888888888887</v>
      </c>
      <c r="AY19" s="198">
        <f t="shared" si="6"/>
        <v>183.33333333333334</v>
      </c>
      <c r="AZ19" s="293">
        <f t="shared" si="3"/>
        <v>2.2117962466487937E-2</v>
      </c>
      <c r="BA19" s="370">
        <f t="shared" si="4"/>
        <v>11.260377358490565</v>
      </c>
      <c r="BB19">
        <v>530</v>
      </c>
      <c r="BC19">
        <v>736</v>
      </c>
      <c r="BE19">
        <v>720</v>
      </c>
    </row>
    <row r="20" spans="3:62" x14ac:dyDescent="0.25">
      <c r="C20" t="s">
        <v>174</v>
      </c>
      <c r="D20" s="198">
        <f>'MRA - Cassiterite - Tin'!O18</f>
        <v>11408.455876728416</v>
      </c>
      <c r="E20" s="198">
        <f>'MRA - Cassiterite - Tin'!P18</f>
        <v>12476.229132625425</v>
      </c>
      <c r="F20" s="198">
        <f>'MRA - Cassiterite - Tin'!Q18</f>
        <v>12083.990343088415</v>
      </c>
      <c r="G20" s="198">
        <f>'MRA - Cassiterite - Tin'!R18</f>
        <v>8909.5964365224718</v>
      </c>
      <c r="H20" s="198">
        <f>'MRA - Cassiterite - Tin'!S18</f>
        <v>9805.2779997742782</v>
      </c>
      <c r="W20" s="198">
        <f>SUM(W17:W19)</f>
        <v>136.07097313718566</v>
      </c>
      <c r="X20" s="198">
        <f t="shared" ref="X20:AB20" si="11">SUM(X17:X19)</f>
        <v>225.69987494973122</v>
      </c>
      <c r="Y20" s="198">
        <f t="shared" si="11"/>
        <v>203.31826558088724</v>
      </c>
      <c r="Z20" s="198">
        <f t="shared" si="11"/>
        <v>117.80669559463368</v>
      </c>
      <c r="AA20" s="198">
        <f t="shared" si="11"/>
        <v>86.424093277594437</v>
      </c>
      <c r="AB20" s="198">
        <f t="shared" si="11"/>
        <v>124.9687473897429</v>
      </c>
      <c r="AO20" s="383">
        <v>6672</v>
      </c>
      <c r="AP20">
        <v>6307</v>
      </c>
      <c r="AQ20">
        <v>137</v>
      </c>
      <c r="AR20" s="299">
        <v>2016</v>
      </c>
      <c r="AS20" s="198">
        <v>532401524.77763659</v>
      </c>
      <c r="AT20" s="198">
        <v>532.40152477763661</v>
      </c>
      <c r="AU20">
        <v>787</v>
      </c>
      <c r="AW20">
        <v>2016</v>
      </c>
      <c r="AX20" s="198">
        <f t="shared" si="2"/>
        <v>8477.7636594663272</v>
      </c>
      <c r="AY20" s="198">
        <f t="shared" si="6"/>
        <v>174.07878017789074</v>
      </c>
      <c r="AZ20" s="293">
        <f t="shared" si="3"/>
        <v>2.0533573141486815E-2</v>
      </c>
      <c r="BA20" s="370">
        <f t="shared" si="4"/>
        <v>11.523316062176166</v>
      </c>
      <c r="BB20">
        <v>579</v>
      </c>
      <c r="BC20">
        <v>735</v>
      </c>
      <c r="BE20">
        <v>787</v>
      </c>
    </row>
    <row r="21" spans="3:62" x14ac:dyDescent="0.25">
      <c r="C21" t="s">
        <v>175</v>
      </c>
      <c r="D21" s="198">
        <f>'MRA - Coltan - Tantalum'!O6</f>
        <v>49839.999999999993</v>
      </c>
      <c r="E21" s="198">
        <f>'MRA - Coltan - Tantalum'!P6</f>
        <v>56141</v>
      </c>
      <c r="F21" s="198">
        <f>'MRA - Coltan - Tantalum'!Q6</f>
        <v>44661.63636363636</v>
      </c>
      <c r="G21" s="198">
        <f>'MRA - Coltan - Tantalum'!R6</f>
        <v>42300.370370370365</v>
      </c>
      <c r="H21" s="198">
        <f>'MRA - Coltan - Tantalum'!S6</f>
        <v>35080.727272727279</v>
      </c>
      <c r="V21" t="s">
        <v>232</v>
      </c>
      <c r="W21" s="224">
        <f>AT16</f>
        <v>513.02931596091207</v>
      </c>
      <c r="X21" s="224">
        <f>AT17</f>
        <v>605.87326120556418</v>
      </c>
      <c r="Y21" s="224">
        <f>AT18</f>
        <v>585.65153733528552</v>
      </c>
      <c r="Z21" s="224">
        <f>AT19</f>
        <v>522.22222222222217</v>
      </c>
      <c r="AA21" s="224">
        <f>AT20</f>
        <v>532.40152477763661</v>
      </c>
      <c r="AB21" s="288">
        <f>AT21</f>
        <v>855.76923076923072</v>
      </c>
      <c r="AO21" s="383">
        <v>7600</v>
      </c>
      <c r="AP21">
        <v>6693</v>
      </c>
      <c r="AQ21">
        <v>182</v>
      </c>
      <c r="AR21">
        <v>2017</v>
      </c>
      <c r="AS21" s="198">
        <v>855769230.76923072</v>
      </c>
      <c r="AT21" s="198">
        <v>855.76923076923072</v>
      </c>
      <c r="AU21">
        <v>832</v>
      </c>
      <c r="AW21">
        <v>2017</v>
      </c>
      <c r="AX21" s="198">
        <f t="shared" si="2"/>
        <v>9134.6153846153848</v>
      </c>
      <c r="AY21" s="198">
        <f t="shared" si="6"/>
        <v>218.75</v>
      </c>
      <c r="AZ21" s="293">
        <f t="shared" si="3"/>
        <v>2.394736842105263E-2</v>
      </c>
      <c r="BA21" s="370">
        <f t="shared" si="4"/>
        <v>11.801242236024844</v>
      </c>
      <c r="BB21">
        <v>644</v>
      </c>
      <c r="BC21">
        <v>774</v>
      </c>
      <c r="BE21">
        <v>832</v>
      </c>
    </row>
    <row r="22" spans="3:62" x14ac:dyDescent="0.25">
      <c r="C22" t="s">
        <v>176</v>
      </c>
      <c r="D22" s="198">
        <f>'MRA - Coltan - Tantalum'!O18</f>
        <v>49718.149371024883</v>
      </c>
      <c r="E22" s="198">
        <f>'MRA - Coltan - Tantalum'!P18</f>
        <v>54570.284676931129</v>
      </c>
      <c r="F22" s="198">
        <f>'MRA - Coltan - Tantalum'!Q18</f>
        <v>45506.82818945036</v>
      </c>
      <c r="G22" s="198">
        <f>'MRA - Coltan - Tantalum'!R18</f>
        <v>40079.839996213515</v>
      </c>
      <c r="H22" s="198">
        <f>'MRA - Coltan - Tantalum'!S18</f>
        <v>31294.810618683896</v>
      </c>
      <c r="V22" t="s">
        <v>234</v>
      </c>
      <c r="W22" s="289">
        <f>W20/W21</f>
        <v>0.26523040478168886</v>
      </c>
      <c r="X22" s="289">
        <f t="shared" ref="X22:AA22" si="12">X20/X21</f>
        <v>0.37251994666447985</v>
      </c>
      <c r="Y22" s="289">
        <f t="shared" si="12"/>
        <v>0.34716593847936494</v>
      </c>
      <c r="Z22" s="289">
        <f t="shared" si="12"/>
        <v>0.22558728943653261</v>
      </c>
      <c r="AA22" s="289">
        <f t="shared" si="12"/>
        <v>0.16232878618011173</v>
      </c>
      <c r="AO22" s="383">
        <v>8189</v>
      </c>
      <c r="AP22">
        <v>7269</v>
      </c>
      <c r="AQ22">
        <v>204</v>
      </c>
      <c r="AR22">
        <v>2018</v>
      </c>
      <c r="AW22">
        <v>2018</v>
      </c>
      <c r="AX22" s="198">
        <f t="shared" si="2"/>
        <v>9511.0336817653897</v>
      </c>
      <c r="AY22" s="198">
        <f>(AQ22*1000000000)/(BE22*1000000)</f>
        <v>236.93379790940767</v>
      </c>
      <c r="AZ22" s="293">
        <f t="shared" si="3"/>
        <v>2.4911466601538649E-2</v>
      </c>
      <c r="BA22" s="370">
        <f t="shared" si="4"/>
        <v>12.096011816838995</v>
      </c>
      <c r="BB22">
        <v>677</v>
      </c>
      <c r="BC22">
        <v>787</v>
      </c>
      <c r="BE22">
        <v>861</v>
      </c>
    </row>
    <row r="23" spans="3:62" x14ac:dyDescent="0.25">
      <c r="C23" t="s">
        <v>177</v>
      </c>
      <c r="D23" s="198">
        <f>'MRA - Wolfram - Tungsten'!O6</f>
        <v>12737.777777777776</v>
      </c>
      <c r="E23" s="198">
        <f>'MRA - Wolfram - Tungsten'!P6</f>
        <v>11327.250000000004</v>
      </c>
      <c r="F23" s="198">
        <f>'MRA - Wolfram - Tungsten'!Q6</f>
        <v>10091.200000000003</v>
      </c>
      <c r="G23" s="198">
        <f>'MRA - Wolfram - Tungsten'!R6</f>
        <v>7377.4999999999991</v>
      </c>
      <c r="H23" s="198">
        <f>'MRA - Wolfram - Tungsten'!S6</f>
        <v>5573.1053459119503</v>
      </c>
    </row>
    <row r="24" spans="3:62" x14ac:dyDescent="0.25">
      <c r="C24" t="s">
        <v>178</v>
      </c>
      <c r="D24" s="198">
        <f>'MRA - Wolfram - Tungsten'!O18</f>
        <v>15002.264673206093</v>
      </c>
      <c r="E24" s="198">
        <f>'MRA - Wolfram - Tungsten'!P18</f>
        <v>13550.386541073865</v>
      </c>
      <c r="F24" s="198">
        <f>'MRA - Wolfram - Tungsten'!Q18</f>
        <v>12008.306153975424</v>
      </c>
      <c r="G24" s="198">
        <f>'MRA - Wolfram - Tungsten'!R18</f>
        <v>9719.2993743685638</v>
      </c>
      <c r="H24" s="198">
        <f>'MRA - Wolfram - Tungsten'!S18</f>
        <v>6919.5569369313698</v>
      </c>
      <c r="W24">
        <v>2012</v>
      </c>
      <c r="X24">
        <v>2013</v>
      </c>
      <c r="Y24">
        <v>2014</v>
      </c>
      <c r="Z24">
        <v>2015</v>
      </c>
      <c r="AA24">
        <v>2016</v>
      </c>
      <c r="AB24">
        <v>2017</v>
      </c>
    </row>
    <row r="25" spans="3:62" x14ac:dyDescent="0.25">
      <c r="V25" t="s">
        <v>235</v>
      </c>
      <c r="W25" s="289">
        <f>W17/W$21</f>
        <v>0.10310698557203121</v>
      </c>
      <c r="X25" s="289">
        <f t="shared" ref="X25:AA25" si="13">X17/X$21</f>
        <v>0.1008040507910329</v>
      </c>
      <c r="Y25" s="289">
        <f t="shared" si="13"/>
        <v>0.12284714142977905</v>
      </c>
      <c r="Z25" s="289">
        <f t="shared" si="13"/>
        <v>6.5610467013161297E-2</v>
      </c>
      <c r="AA25" s="289">
        <f t="shared" si="13"/>
        <v>6.537904630414143E-2</v>
      </c>
      <c r="AB25" s="289">
        <f t="shared" ref="AB25" si="14">AB17/AB$21</f>
        <v>5.8608087197411431E-2</v>
      </c>
    </row>
    <row r="26" spans="3:62" x14ac:dyDescent="0.25">
      <c r="V26" t="s">
        <v>39</v>
      </c>
      <c r="W26" s="289">
        <f t="shared" ref="W26:AA27" si="15">W18/W$21</f>
        <v>0.11093246160939257</v>
      </c>
      <c r="X26" s="289">
        <f t="shared" si="15"/>
        <v>0.22211182157829576</v>
      </c>
      <c r="Y26" s="289">
        <f t="shared" si="15"/>
        <v>0.17891241453374801</v>
      </c>
      <c r="Z26" s="289">
        <f t="shared" si="15"/>
        <v>0.12676657599716981</v>
      </c>
      <c r="AA26" s="289">
        <f t="shared" si="15"/>
        <v>7.4647620098086384E-2</v>
      </c>
      <c r="AB26" s="289">
        <f t="shared" ref="AB26" si="16">AB18/AB$21</f>
        <v>7.2693880729342616E-2</v>
      </c>
    </row>
    <row r="27" spans="3:62" x14ac:dyDescent="0.25">
      <c r="V27" t="s">
        <v>40</v>
      </c>
      <c r="W27" s="289">
        <f t="shared" si="15"/>
        <v>5.1190957600265048E-2</v>
      </c>
      <c r="X27" s="289">
        <f t="shared" si="15"/>
        <v>4.9604074295151179E-2</v>
      </c>
      <c r="Y27" s="289">
        <f t="shared" si="15"/>
        <v>4.5406382515837909E-2</v>
      </c>
      <c r="Z27" s="289">
        <f t="shared" si="15"/>
        <v>3.3210246426201503E-2</v>
      </c>
      <c r="AA27" s="289">
        <f t="shared" si="15"/>
        <v>2.2302119777883957E-2</v>
      </c>
      <c r="AB27" s="289">
        <f t="shared" ref="AB27" si="17">AB19/AB$21</f>
        <v>1.4728927899462391E-2</v>
      </c>
    </row>
    <row r="28" spans="3:62" x14ac:dyDescent="0.25">
      <c r="V28" t="s">
        <v>383</v>
      </c>
      <c r="W28" s="338">
        <f>AZ16</f>
        <v>2.1253286590709901E-2</v>
      </c>
      <c r="X28" s="338">
        <f>AZ17</f>
        <v>2.5157232704402517E-2</v>
      </c>
      <c r="Y28" s="338">
        <f>AZ18</f>
        <v>2.6893523600439076E-2</v>
      </c>
      <c r="Z28" s="338">
        <f>AZ19</f>
        <v>2.2117962466487937E-2</v>
      </c>
      <c r="AA28" s="338">
        <f>AZ20</f>
        <v>2.0533573141486815E-2</v>
      </c>
      <c r="AB28" s="338">
        <f>AZ21</f>
        <v>2.394736842105263E-2</v>
      </c>
    </row>
    <row r="29" spans="3:62" ht="15.75" thickBot="1" x14ac:dyDescent="0.3">
      <c r="W29" s="289">
        <f t="shared" ref="W29:AB29" si="18">W20/W$21</f>
        <v>0.26523040478168886</v>
      </c>
      <c r="X29" s="289">
        <f t="shared" si="18"/>
        <v>0.37251994666447985</v>
      </c>
      <c r="Y29" s="289">
        <f t="shared" si="18"/>
        <v>0.34716593847936494</v>
      </c>
      <c r="Z29" s="289">
        <f t="shared" si="18"/>
        <v>0.22558728943653261</v>
      </c>
      <c r="AA29" s="289">
        <f t="shared" si="18"/>
        <v>0.16232878618011173</v>
      </c>
      <c r="AB29" s="289">
        <f t="shared" si="18"/>
        <v>0.14603089582621642</v>
      </c>
      <c r="AQ29">
        <v>1999</v>
      </c>
      <c r="AR29">
        <v>2000</v>
      </c>
      <c r="AS29">
        <v>2001</v>
      </c>
      <c r="AT29">
        <v>2002</v>
      </c>
      <c r="AU29">
        <v>2003</v>
      </c>
      <c r="AV29">
        <v>2004</v>
      </c>
      <c r="AW29">
        <v>2005</v>
      </c>
      <c r="AX29">
        <v>2006</v>
      </c>
      <c r="AY29">
        <v>2007</v>
      </c>
      <c r="AZ29">
        <v>2008</v>
      </c>
      <c r="BA29">
        <v>2009</v>
      </c>
      <c r="BB29">
        <v>2010</v>
      </c>
      <c r="BC29">
        <v>2011</v>
      </c>
      <c r="BD29">
        <v>2012</v>
      </c>
      <c r="BE29">
        <v>2013</v>
      </c>
      <c r="BF29">
        <v>2014</v>
      </c>
      <c r="BG29">
        <v>2015</v>
      </c>
      <c r="BH29">
        <v>2016</v>
      </c>
      <c r="BI29">
        <v>2017</v>
      </c>
    </row>
    <row r="30" spans="3:62" ht="30" x14ac:dyDescent="0.25">
      <c r="AP30" s="290" t="s">
        <v>237</v>
      </c>
      <c r="AQ30" s="339">
        <v>1E-3</v>
      </c>
      <c r="AR30" s="339">
        <v>2E-3</v>
      </c>
      <c r="AS30" s="339">
        <v>8.0000000000000002E-3</v>
      </c>
      <c r="AT30" s="339">
        <v>3.0000000000000001E-3</v>
      </c>
      <c r="AU30" s="339">
        <v>3.0000000000000001E-3</v>
      </c>
      <c r="AV30" s="339">
        <v>7.0000000000000001E-3</v>
      </c>
      <c r="AW30" s="339">
        <v>7.0000000000000001E-3</v>
      </c>
      <c r="AX30" s="339">
        <v>1.2999999999999999E-2</v>
      </c>
      <c r="AY30" s="339">
        <v>2.1000000000000001E-2</v>
      </c>
      <c r="AZ30" s="339">
        <v>1.9E-2</v>
      </c>
      <c r="BA30" s="339">
        <v>1.0999999999999999E-2</v>
      </c>
      <c r="BB30" s="339">
        <v>1.4E-2</v>
      </c>
      <c r="BC30" s="339">
        <v>2.5999999999999999E-2</v>
      </c>
      <c r="BD30" s="339">
        <v>2.1000000000000001E-2</v>
      </c>
      <c r="BE30" s="339">
        <v>2.5000000000000001E-2</v>
      </c>
      <c r="BF30" s="339">
        <v>2.7E-2</v>
      </c>
      <c r="BG30" s="339">
        <v>2.1999999999999999E-2</v>
      </c>
      <c r="BH30" s="339">
        <v>2.1000000000000001E-2</v>
      </c>
      <c r="BI30" s="339">
        <v>2.3E-2</v>
      </c>
      <c r="BJ30" s="339">
        <v>2.3E-2</v>
      </c>
    </row>
    <row r="35" spans="3:33" x14ac:dyDescent="0.25">
      <c r="C35" s="222" t="s">
        <v>197</v>
      </c>
    </row>
    <row r="36" spans="3:33" x14ac:dyDescent="0.25">
      <c r="D36">
        <v>2012</v>
      </c>
      <c r="E36">
        <v>2013</v>
      </c>
      <c r="F36">
        <v>2014</v>
      </c>
      <c r="G36">
        <v>2015</v>
      </c>
      <c r="H36">
        <v>2016</v>
      </c>
    </row>
    <row r="37" spans="3:33" x14ac:dyDescent="0.25">
      <c r="C37" t="s">
        <v>188</v>
      </c>
      <c r="D37" s="198">
        <f>'MRA - Cassiterite - Tin'!O13/1000000</f>
        <v>-1.2327221922106371</v>
      </c>
      <c r="E37" s="198">
        <f>'MRA - Cassiterite - Tin'!P13/1000000</f>
        <v>-2.186755501198359</v>
      </c>
      <c r="F37" s="198">
        <f>'MRA - Cassiterite - Tin'!Q13/1000000</f>
        <v>-2.5543604293635935</v>
      </c>
      <c r="G37" s="198">
        <f>'MRA - Cassiterite - Tin'!R13/1000000</f>
        <v>-1.1584453714997136</v>
      </c>
      <c r="H37" s="198">
        <f>'MRA - Cassiterite - Tin'!S13/1000000</f>
        <v>-0.53785285278651118</v>
      </c>
    </row>
    <row r="38" spans="3:33" x14ac:dyDescent="0.25">
      <c r="C38" t="s">
        <v>189</v>
      </c>
      <c r="D38" s="198">
        <f>'MRA - Cassiterite - Tin'!O26/1000000</f>
        <v>-1.9266613201055378</v>
      </c>
      <c r="E38" s="198">
        <f>'MRA - Cassiterite - Tin'!P26/1000000</f>
        <v>-2.1797197407022715</v>
      </c>
      <c r="F38" s="198">
        <f>'MRA - Cassiterite - Tin'!Q26/1000000</f>
        <v>-2.580897092045769</v>
      </c>
      <c r="G38" s="198">
        <f>'MRA - Cassiterite - Tin'!R26/1000000</f>
        <v>-1.2228392334117071</v>
      </c>
      <c r="H38" s="198">
        <f>'MRA - Cassiterite - Tin'!S26/1000000</f>
        <v>-1.2422778974160105</v>
      </c>
    </row>
    <row r="39" spans="3:33" x14ac:dyDescent="0.25">
      <c r="C39" t="s">
        <v>190</v>
      </c>
      <c r="D39" s="198">
        <f>'MRA - Coltan - Tantalum'!O13/1000000</f>
        <v>-1.7583124862235859</v>
      </c>
      <c r="E39" s="198">
        <f>'MRA - Coltan - Tantalum'!P13/1000000</f>
        <v>-3.7908594799308331</v>
      </c>
      <c r="F39" s="198">
        <f>'MRA - Coltan - Tantalum'!Q13/1000000</f>
        <v>-3.3189139359845221</v>
      </c>
      <c r="G39" s="198">
        <f>'MRA - Coltan - Tantalum'!R13/1000000</f>
        <v>-1.9770320191556663</v>
      </c>
      <c r="H39" s="198">
        <f>'MRA - Coltan - Tantalum'!S13/1000000</f>
        <v>-3.1433067577357443</v>
      </c>
    </row>
    <row r="40" spans="3:33" x14ac:dyDescent="0.25">
      <c r="C40" t="s">
        <v>191</v>
      </c>
      <c r="D40" s="198">
        <f>'MRA - Coltan - Tantalum'!O26/1000000</f>
        <v>-2.0728884831726178</v>
      </c>
      <c r="E40" s="198">
        <f>'MRA - Coltan - Tantalum'!P26/1000000</f>
        <v>-4.8027982837830185</v>
      </c>
      <c r="F40" s="198">
        <f>'MRA - Coltan - Tantalum'!Q26/1000000</f>
        <v>-3.7587730982326568</v>
      </c>
      <c r="G40" s="198">
        <f>'MRA - Coltan - Tantalum'!R26/1000000</f>
        <v>-2.3626587291858643</v>
      </c>
      <c r="H40" s="198">
        <f>'MRA - Coltan - Tantalum'!S26/1000000</f>
        <v>-1.4183915762730464</v>
      </c>
    </row>
    <row r="41" spans="3:33" x14ac:dyDescent="0.25">
      <c r="C41" t="s">
        <v>192</v>
      </c>
      <c r="D41" s="198">
        <f>'MRA - Wolfram - Tungsten'!O13/1000000</f>
        <v>-0.82237911532108487</v>
      </c>
      <c r="E41" s="198">
        <f>'MRA - Wolfram - Tungsten'!P13/1000000</f>
        <v>-0.89992617087822779</v>
      </c>
      <c r="F41" s="198">
        <f>'MRA - Wolfram - Tungsten'!Q13/1000000</f>
        <v>-0.90626441465881091</v>
      </c>
      <c r="G41" s="198">
        <f>'MRA - Wolfram - Tungsten'!R13/1000000</f>
        <v>-0.56158610312168855</v>
      </c>
      <c r="H41" s="198">
        <f>'MRA - Wolfram - Tungsten'!S13/1000000</f>
        <v>-0.29293709740642554</v>
      </c>
      <c r="AD41" s="291" t="s">
        <v>244</v>
      </c>
      <c r="AE41" s="292">
        <f>GDP!AY7</f>
        <v>8189</v>
      </c>
    </row>
    <row r="42" spans="3:33" x14ac:dyDescent="0.25">
      <c r="C42" t="s">
        <v>193</v>
      </c>
      <c r="D42" s="198">
        <f>'MRA - Wolfram - Tungsten'!O26/1000000</f>
        <v>-0.95655631284740938</v>
      </c>
      <c r="E42" s="198">
        <f>'MRA - Wolfram - Tungsten'!P26/1000000</f>
        <v>-1.0726055065440014</v>
      </c>
      <c r="F42" s="198">
        <f>'MRA - Wolfram - Tungsten'!Q26/1000000</f>
        <v>-0.95394324386807905</v>
      </c>
      <c r="G42" s="198">
        <f>'MRA - Wolfram - Tungsten'!R26/1000000</f>
        <v>-0.61896819410055126</v>
      </c>
      <c r="H42" s="198">
        <f>'MRA - Wolfram - Tungsten'!S26/1000000</f>
        <v>-0.42376620693891309</v>
      </c>
      <c r="AD42" s="291" t="s">
        <v>245</v>
      </c>
      <c r="AE42" s="292">
        <f>GDP!AY9</f>
        <v>2378</v>
      </c>
      <c r="AF42" t="s">
        <v>246</v>
      </c>
      <c r="AG42" s="293">
        <f>AE42/$AE$41</f>
        <v>0.29038954695322994</v>
      </c>
    </row>
    <row r="43" spans="3:33" x14ac:dyDescent="0.25">
      <c r="AD43" s="294" t="s">
        <v>247</v>
      </c>
      <c r="AE43" s="295">
        <f>GDP!AY16</f>
        <v>204</v>
      </c>
      <c r="AF43" t="s">
        <v>247</v>
      </c>
      <c r="AG43" s="293">
        <f t="shared" ref="AG43:AG50" si="19">AE43/$AE$41</f>
        <v>2.4911466601538649E-2</v>
      </c>
    </row>
    <row r="44" spans="3:33" x14ac:dyDescent="0.25">
      <c r="AD44" s="296" t="s">
        <v>248</v>
      </c>
      <c r="AE44" s="297">
        <f>GDP!AY17</f>
        <v>482</v>
      </c>
      <c r="AF44" t="s">
        <v>249</v>
      </c>
      <c r="AG44" s="293">
        <f t="shared" si="19"/>
        <v>5.8859445597753086E-2</v>
      </c>
    </row>
    <row r="45" spans="3:33" x14ac:dyDescent="0.25">
      <c r="AD45" s="294" t="s">
        <v>250</v>
      </c>
      <c r="AE45" s="295">
        <f>GDP!AY26</f>
        <v>96</v>
      </c>
      <c r="AF45" t="s">
        <v>250</v>
      </c>
      <c r="AG45" s="293">
        <f t="shared" si="19"/>
        <v>1.1723043106606424E-2</v>
      </c>
    </row>
    <row r="46" spans="3:33" x14ac:dyDescent="0.25">
      <c r="AD46" s="294" t="s">
        <v>251</v>
      </c>
      <c r="AE46" s="295">
        <f>GDP!AY27</f>
        <v>39</v>
      </c>
      <c r="AF46" t="s">
        <v>251</v>
      </c>
      <c r="AG46" s="293">
        <f t="shared" si="19"/>
        <v>4.7624862620588597E-3</v>
      </c>
    </row>
    <row r="47" spans="3:33" x14ac:dyDescent="0.25">
      <c r="AD47" s="294" t="s">
        <v>252</v>
      </c>
      <c r="AE47" s="295">
        <f>GDP!AY28</f>
        <v>508</v>
      </c>
      <c r="AF47" t="s">
        <v>252</v>
      </c>
      <c r="AG47" s="293">
        <f t="shared" si="19"/>
        <v>6.2034436439125658E-2</v>
      </c>
    </row>
    <row r="48" spans="3:33" x14ac:dyDescent="0.25">
      <c r="AD48" s="291" t="s">
        <v>253</v>
      </c>
      <c r="AE48" s="292">
        <f>GDP!AY30</f>
        <v>963</v>
      </c>
      <c r="AF48" t="s">
        <v>254</v>
      </c>
      <c r="AG48" s="293">
        <f t="shared" si="19"/>
        <v>0.11759677616314568</v>
      </c>
    </row>
    <row r="49" spans="3:33" x14ac:dyDescent="0.25">
      <c r="AD49" s="291" t="s">
        <v>255</v>
      </c>
      <c r="AE49" s="292">
        <f>GDP!AY34</f>
        <v>2952</v>
      </c>
      <c r="AF49" t="s">
        <v>256</v>
      </c>
      <c r="AG49" s="293">
        <f t="shared" si="19"/>
        <v>0.36048357552814753</v>
      </c>
    </row>
    <row r="50" spans="3:33" x14ac:dyDescent="0.25">
      <c r="AD50" s="291" t="s">
        <v>257</v>
      </c>
      <c r="AE50" s="292">
        <f>GDP!AY46</f>
        <v>568</v>
      </c>
      <c r="AF50" t="s">
        <v>258</v>
      </c>
      <c r="AG50" s="293">
        <f t="shared" si="19"/>
        <v>6.9361338380754672E-2</v>
      </c>
    </row>
    <row r="53" spans="3:33" x14ac:dyDescent="0.25">
      <c r="AF53" t="s">
        <v>246</v>
      </c>
      <c r="AG53" s="338">
        <f>AG42</f>
        <v>0.29038954695322994</v>
      </c>
    </row>
    <row r="54" spans="3:33" x14ac:dyDescent="0.25">
      <c r="C54" s="222" t="s">
        <v>198</v>
      </c>
      <c r="AF54" t="s">
        <v>247</v>
      </c>
      <c r="AG54" s="338">
        <f>AG43</f>
        <v>2.4911466601538649E-2</v>
      </c>
    </row>
    <row r="55" spans="3:33" x14ac:dyDescent="0.25">
      <c r="D55">
        <v>2012</v>
      </c>
      <c r="E55">
        <v>2013</v>
      </c>
      <c r="F55">
        <v>2014</v>
      </c>
      <c r="G55">
        <v>2015</v>
      </c>
      <c r="H55">
        <v>2016</v>
      </c>
      <c r="AF55" t="s">
        <v>301</v>
      </c>
      <c r="AG55" s="338">
        <f>AG44</f>
        <v>5.8859445597753086E-2</v>
      </c>
    </row>
    <row r="56" spans="3:33" x14ac:dyDescent="0.25">
      <c r="C56" t="s">
        <v>199</v>
      </c>
      <c r="D56" s="223">
        <f>('MRA - Cassiterite - Tin'!O13+'MRA - Cassiterite - Tin'!O26)/1000000</f>
        <v>-3.1593835123161749</v>
      </c>
      <c r="E56" s="223">
        <f>('MRA - Cassiterite - Tin'!P13+'MRA - Cassiterite - Tin'!P26)/1000000</f>
        <v>-4.3664752419006305</v>
      </c>
      <c r="F56" s="223">
        <f>('MRA - Cassiterite - Tin'!Q13+'MRA - Cassiterite - Tin'!Q26)/1000000</f>
        <v>-5.135257521409363</v>
      </c>
      <c r="G56" s="223">
        <f>('MRA - Cassiterite - Tin'!R13+'MRA - Cassiterite - Tin'!R26)/1000000</f>
        <v>-2.3812846049114205</v>
      </c>
      <c r="H56" s="223">
        <f>('MRA - Cassiterite - Tin'!S13+'MRA - Cassiterite - Tin'!S26)/1000000</f>
        <v>-1.7801307502025217</v>
      </c>
      <c r="AF56" t="s">
        <v>256</v>
      </c>
      <c r="AG56" s="338">
        <f>AG49</f>
        <v>0.36048357552814753</v>
      </c>
    </row>
    <row r="57" spans="3:33" x14ac:dyDescent="0.25">
      <c r="C57" t="s">
        <v>200</v>
      </c>
      <c r="D57" s="223">
        <f>('MRA - Cassiterite - Tin'!O28)/1000000</f>
        <v>0</v>
      </c>
      <c r="E57" s="223">
        <f>('MRA - Cassiterite - Tin'!P28)/1000000</f>
        <v>1.2214895799098888</v>
      </c>
      <c r="F57" s="223">
        <f>('MRA - Cassiterite - Tin'!Q28)/1000000</f>
        <v>2.877824689423814</v>
      </c>
      <c r="G57" s="223">
        <f>('MRA - Cassiterite - Tin'!R28)/1000000</f>
        <v>1.3705297553860361</v>
      </c>
      <c r="H57" s="223">
        <f>('MRA - Cassiterite - Tin'!S28)/1000000</f>
        <v>1.3923161576333041</v>
      </c>
      <c r="AF57" t="s">
        <v>258</v>
      </c>
      <c r="AG57" s="338">
        <f>AG50</f>
        <v>6.9361338380754672E-2</v>
      </c>
    </row>
    <row r="58" spans="3:33" x14ac:dyDescent="0.25">
      <c r="C58" t="s">
        <v>201</v>
      </c>
      <c r="D58" s="223">
        <f>('MRA - Coltan - Tantalum'!O13+'MRA - Coltan - Tantalum'!O26)/1000000</f>
        <v>-3.8312009693962037</v>
      </c>
      <c r="E58" s="223">
        <f>('MRA - Coltan - Tantalum'!P13+'MRA - Coltan - Tantalum'!P26)/1000000</f>
        <v>-8.5936577637138516</v>
      </c>
      <c r="F58" s="223">
        <f>('MRA - Coltan - Tantalum'!Q13+'MRA - Coltan - Tantalum'!Q26)/1000000</f>
        <v>-7.0776870342171785</v>
      </c>
      <c r="G58" s="223">
        <f>('MRA - Coltan - Tantalum'!R13+'MRA - Coltan - Tantalum'!R26)/1000000</f>
        <v>-4.3396907483415301</v>
      </c>
      <c r="H58" s="223">
        <f>('MRA - Coltan - Tantalum'!S13+'MRA - Coltan - Tantalum'!S26)/1000000</f>
        <v>-4.5616983340087902</v>
      </c>
      <c r="AF58" t="s">
        <v>254</v>
      </c>
      <c r="AG58" s="338">
        <f>AG48</f>
        <v>0.11759677616314568</v>
      </c>
    </row>
    <row r="59" spans="3:33" x14ac:dyDescent="0.25">
      <c r="C59" t="s">
        <v>202</v>
      </c>
      <c r="D59" s="223">
        <f>('MRA - Coltan - Tantalum'!O28)/1000000</f>
        <v>0</v>
      </c>
      <c r="E59" s="223">
        <f>('MRA - Coltan - Tantalum'!P28)/1000000</f>
        <v>2.6914322738390095</v>
      </c>
      <c r="F59" s="223">
        <f>('MRA - Coltan - Tantalum'!Q28)/1000000</f>
        <v>4.1912132248022962</v>
      </c>
      <c r="G59" s="223">
        <f>('MRA - Coltan - Tantalum'!R28)/1000000</f>
        <v>2.6480129208297689</v>
      </c>
      <c r="H59" s="223">
        <f>('MRA - Coltan - Tantalum'!S28)/1000000</f>
        <v>1.5897002704497178</v>
      </c>
      <c r="AF59" t="s">
        <v>250</v>
      </c>
      <c r="AG59" s="338">
        <f>AG45</f>
        <v>1.1723043106606424E-2</v>
      </c>
    </row>
    <row r="60" spans="3:33" x14ac:dyDescent="0.25">
      <c r="C60" t="s">
        <v>203</v>
      </c>
      <c r="D60" s="223">
        <f>('MRA - Wolfram - Tungsten'!O13+'MRA - Wolfram - Tungsten'!O26)/1000000</f>
        <v>-1.7789354281684941</v>
      </c>
      <c r="E60" s="223">
        <f>('MRA - Wolfram - Tungsten'!P13+'MRA - Wolfram - Tungsten'!P26)/1000000</f>
        <v>-1.9725316774222292</v>
      </c>
      <c r="F60" s="223">
        <f>('MRA - Wolfram - Tungsten'!Q13+'MRA - Wolfram - Tungsten'!Q26)/1000000</f>
        <v>-1.8602076585268901</v>
      </c>
      <c r="G60" s="223">
        <f>('MRA - Wolfram - Tungsten'!R13+'MRA - Wolfram - Tungsten'!R26)/1000000</f>
        <v>-1.1805542972222398</v>
      </c>
      <c r="H60" s="223">
        <f>('MRA - Wolfram - Tungsten'!S13+'MRA - Wolfram - Tungsten'!S26)/1000000</f>
        <v>-0.71670330434533858</v>
      </c>
      <c r="AF60" t="s">
        <v>302</v>
      </c>
      <c r="AG60" s="338">
        <f>AG46</f>
        <v>4.7624862620588597E-3</v>
      </c>
    </row>
    <row r="61" spans="3:33" x14ac:dyDescent="0.25">
      <c r="C61" t="s">
        <v>204</v>
      </c>
      <c r="D61" s="223">
        <f>('MRA - Wolfram - Tungsten'!O28)/1000000</f>
        <v>0</v>
      </c>
      <c r="E61" s="223">
        <f>('MRA - Wolfram - Tungsten'!P28)/1000000</f>
        <v>0.60107564524572676</v>
      </c>
      <c r="F61" s="223">
        <f>('MRA - Wolfram - Tungsten'!Q28)/1000000</f>
        <v>1.0636927090093802</v>
      </c>
      <c r="G61" s="223">
        <f>('MRA - Wolfram - Tungsten'!R28)/1000000</f>
        <v>0.69372514756954251</v>
      </c>
      <c r="H61" s="223">
        <f>('MRA - Wolfram - Tungsten'!S28)/1000000</f>
        <v>0.47494730302075622</v>
      </c>
      <c r="AF61" t="s">
        <v>252</v>
      </c>
      <c r="AG61" s="338">
        <f>AG47</f>
        <v>6.2034436439125658E-2</v>
      </c>
    </row>
    <row r="64" spans="3:33" x14ac:dyDescent="0.25">
      <c r="C64" s="222" t="s">
        <v>198</v>
      </c>
    </row>
    <row r="65" spans="3:7" x14ac:dyDescent="0.25">
      <c r="D65" s="226" t="s">
        <v>212</v>
      </c>
    </row>
    <row r="66" spans="3:7" x14ac:dyDescent="0.25">
      <c r="C66" t="s">
        <v>210</v>
      </c>
      <c r="D66" s="198">
        <f>(SUM('MRA - Cassiterite - Tin'!O26:S26)+SUM('MRA - Cassiterite - Tin'!O13:S13)+SUM('MRA - Coltan - Tantalum'!O26:S26)+SUM('MRA - Coltan - Tantalum'!O13:S13)+SUM('MRA - Wolfram - Tungsten'!O13:S13)+SUM('MRA - Wolfram - Tungsten'!O26:S26))/1000000</f>
        <v>-52.735398846102861</v>
      </c>
    </row>
    <row r="67" spans="3:7" x14ac:dyDescent="0.25">
      <c r="C67" t="s">
        <v>211</v>
      </c>
      <c r="D67" s="198">
        <f>(SUM('MRA - Wolfram - Tungsten'!O28:S28)+SUM('MRA - Coltan - Tantalum'!O28:S28)+SUM('MRA - Cassiterite - Tin'!O28:S28))/1000000</f>
        <v>20.815959677119242</v>
      </c>
    </row>
    <row r="74" spans="3:7" x14ac:dyDescent="0.25">
      <c r="C74" s="222" t="s">
        <v>206</v>
      </c>
    </row>
    <row r="75" spans="3:7" ht="30" x14ac:dyDescent="0.25">
      <c r="D75" s="225" t="s">
        <v>207</v>
      </c>
      <c r="F75" s="225" t="s">
        <v>208</v>
      </c>
    </row>
    <row r="76" spans="3:7" x14ac:dyDescent="0.25">
      <c r="C76" t="s">
        <v>294</v>
      </c>
      <c r="D76" s="224">
        <f>'MRA - Wolfram - Tungsten'!S20+'MRA - Coltan - Tantalum'!S20+'MRA - Cassiterite - Tin'!S20</f>
        <v>73861631.495837286</v>
      </c>
      <c r="E76" t="s">
        <v>294</v>
      </c>
      <c r="F76" s="198">
        <f>G76*'IBES data'!U10</f>
        <v>64666847.587636806</v>
      </c>
      <c r="G76" s="198">
        <f>'MRA - Cassiterite - Tin'!S8+'MRA - Coltan - Tantalum'!S8+'MRA - Wolfram - Tungsten'!S8</f>
        <v>95787822.043102488</v>
      </c>
    </row>
    <row r="77" spans="3:7" x14ac:dyDescent="0.25">
      <c r="C77" t="s">
        <v>205</v>
      </c>
      <c r="D77" s="224">
        <f>'MRA - Wolfram - Tungsten'!S21+'MRA - Coltan - Tantalum'!S21+'MRA - Cassiterite - Tin'!S21</f>
        <v>0</v>
      </c>
      <c r="E77" t="s">
        <v>295</v>
      </c>
      <c r="F77" s="198">
        <f>G76-F76</f>
        <v>31120974.455465682</v>
      </c>
      <c r="G77" s="198"/>
    </row>
    <row r="78" spans="3:7" x14ac:dyDescent="0.25">
      <c r="C78" t="s">
        <v>146</v>
      </c>
      <c r="D78" s="224">
        <f>'MRA - Wolfram - Tungsten'!S22+'MRA - Coltan - Tantalum'!S22+'MRA - Cassiterite - Tin'!S22</f>
        <v>14022665.500278402</v>
      </c>
      <c r="E78" t="s">
        <v>146</v>
      </c>
      <c r="F78" s="198">
        <f>'MRA - Cassiterite - Tin'!S9+'MRA - Coltan - Tantalum'!S9+'MRA - Wolfram - Tungsten'!S9</f>
        <v>17495144.488116305</v>
      </c>
      <c r="G78" s="198"/>
    </row>
    <row r="79" spans="3:7" x14ac:dyDescent="0.25">
      <c r="C79" t="s">
        <v>147</v>
      </c>
      <c r="D79" s="224">
        <f>'MRA - Wolfram - Tungsten'!S23+'MRA - Coltan - Tantalum'!S23+'MRA - Cassiterite - Tin'!S23</f>
        <v>792308.27419840777</v>
      </c>
      <c r="E79" t="s">
        <v>209</v>
      </c>
      <c r="F79" s="198">
        <f>'MRA - Cassiterite - Tin'!S10+'MRA - Coltan - Tantalum'!S10+'MRA - Wolfram - Tungsten'!S10</f>
        <v>1926943.6879449103</v>
      </c>
      <c r="G79" s="198"/>
    </row>
    <row r="80" spans="3:7" x14ac:dyDescent="0.25">
      <c r="C80" t="s">
        <v>183</v>
      </c>
      <c r="D80" s="224">
        <f>'MRA - Wolfram - Tungsten'!S24+'MRA - Coltan - Tantalum'!S24+'MRA - Cassiterite - Tin'!S24</f>
        <v>831923.68790832814</v>
      </c>
      <c r="E80" t="s">
        <v>183</v>
      </c>
      <c r="F80" s="198">
        <f>'MRA - Cassiterite - Tin'!S11+'MRA - Coltan - Tantalum'!S11+'MRA - Wolfram - Tungsten'!S11</f>
        <v>2023290.8723421558</v>
      </c>
      <c r="G80" s="198"/>
    </row>
    <row r="83" spans="3:42" x14ac:dyDescent="0.25">
      <c r="D83" t="s">
        <v>208</v>
      </c>
      <c r="E83" t="s">
        <v>207</v>
      </c>
    </row>
    <row r="84" spans="3:42" x14ac:dyDescent="0.25">
      <c r="C84" t="str">
        <f>C76</f>
        <v>Purchases of raw material</v>
      </c>
      <c r="D84" s="293">
        <f>F76/SUM(F$76:F$80)</f>
        <v>0.55160864828011802</v>
      </c>
      <c r="E84" s="293">
        <f>D76/SUM(D$76:D$80)</f>
        <v>0.82519098856279682</v>
      </c>
    </row>
    <row r="85" spans="3:42" x14ac:dyDescent="0.25">
      <c r="C85" t="str">
        <f t="shared" ref="C85:C88" si="20">C77</f>
        <v>Intermediate consumption</v>
      </c>
      <c r="D85" s="293">
        <f t="shared" ref="D85:D88" si="21">F77/SUM(F$76:F$80)</f>
        <v>0.26546212306507216</v>
      </c>
      <c r="E85" s="293">
        <f>D77/SUM(D$76:D$80)</f>
        <v>0</v>
      </c>
    </row>
    <row r="86" spans="3:42" x14ac:dyDescent="0.25">
      <c r="C86" t="str">
        <f t="shared" si="20"/>
        <v>Other operating and overhead costs</v>
      </c>
      <c r="D86" s="293">
        <f t="shared" si="21"/>
        <v>0.14923370107808068</v>
      </c>
      <c r="E86" s="293">
        <f>D78/SUM(D$76:D$80)</f>
        <v>0.15666289753039511</v>
      </c>
    </row>
    <row r="87" spans="3:42" x14ac:dyDescent="0.25">
      <c r="C87" t="str">
        <f t="shared" si="20"/>
        <v xml:space="preserve">Consumption of capital </v>
      </c>
      <c r="D87" s="293">
        <f t="shared" si="21"/>
        <v>1.6436842720355668E-2</v>
      </c>
      <c r="E87" s="293">
        <f>D79/SUM(D$76:D$80)</f>
        <v>8.8517628813698079E-3</v>
      </c>
    </row>
    <row r="88" spans="3:42" x14ac:dyDescent="0.25">
      <c r="C88" t="str">
        <f t="shared" si="20"/>
        <v>Opportunity cost of capital</v>
      </c>
      <c r="D88" s="293">
        <f t="shared" si="21"/>
        <v>1.7258684856373451E-2</v>
      </c>
      <c r="E88" s="293">
        <f>D80/SUM(D$76:D$80)</f>
        <v>9.2943510254382983E-3</v>
      </c>
    </row>
    <row r="92" spans="3:42" x14ac:dyDescent="0.25">
      <c r="AK92">
        <v>2012</v>
      </c>
      <c r="AL92">
        <v>2013</v>
      </c>
      <c r="AM92">
        <v>2014</v>
      </c>
      <c r="AN92">
        <v>2015</v>
      </c>
      <c r="AO92">
        <v>2016</v>
      </c>
    </row>
    <row r="93" spans="3:42" x14ac:dyDescent="0.25">
      <c r="AI93" t="s">
        <v>390</v>
      </c>
      <c r="AJ93" t="s">
        <v>391</v>
      </c>
      <c r="AK93" s="224">
        <f>'MRA - Cassiterite - Tin'!O18</f>
        <v>11408.455876728416</v>
      </c>
      <c r="AL93" s="224">
        <f>'MRA - Cassiterite - Tin'!P18</f>
        <v>12476.229132625425</v>
      </c>
      <c r="AM93" s="224">
        <f>'MRA - Cassiterite - Tin'!Q18</f>
        <v>12083.990343088415</v>
      </c>
      <c r="AN93" s="224">
        <f>'MRA - Cassiterite - Tin'!R18</f>
        <v>8909.5964365224718</v>
      </c>
      <c r="AO93" s="224">
        <f>'MRA - Cassiterite - Tin'!S18</f>
        <v>9805.2779997742782</v>
      </c>
      <c r="AP93" t="s">
        <v>392</v>
      </c>
    </row>
    <row r="94" spans="3:42" x14ac:dyDescent="0.25">
      <c r="AI94" t="s">
        <v>390</v>
      </c>
      <c r="AJ94" t="s">
        <v>388</v>
      </c>
      <c r="AK94">
        <v>21109</v>
      </c>
      <c r="AL94">
        <v>22281</v>
      </c>
      <c r="AM94">
        <v>21898</v>
      </c>
      <c r="AN94">
        <v>16066</v>
      </c>
      <c r="AO94">
        <v>17933</v>
      </c>
      <c r="AP94" t="s">
        <v>389</v>
      </c>
    </row>
    <row r="95" spans="3:42" x14ac:dyDescent="0.25">
      <c r="D95">
        <v>2012</v>
      </c>
      <c r="E95">
        <v>2013</v>
      </c>
      <c r="F95">
        <v>2014</v>
      </c>
      <c r="G95">
        <v>2015</v>
      </c>
      <c r="H95">
        <v>2016</v>
      </c>
      <c r="AI95" t="s">
        <v>390</v>
      </c>
      <c r="AJ95" t="s">
        <v>8</v>
      </c>
      <c r="AK95" s="224">
        <f>'MRA - Coltan - Tantalum'!O18</f>
        <v>49718.149371024883</v>
      </c>
      <c r="AL95" s="224">
        <f>'MRA - Coltan - Tantalum'!P18</f>
        <v>54570.284676931129</v>
      </c>
      <c r="AM95" s="224">
        <f>'MRA - Coltan - Tantalum'!Q18</f>
        <v>45506.82818945036</v>
      </c>
      <c r="AN95" s="224">
        <f>'MRA - Coltan - Tantalum'!R18</f>
        <v>40079.839996213515</v>
      </c>
      <c r="AO95" s="224">
        <f>'MRA - Coltan - Tantalum'!S18</f>
        <v>31294.810618683896</v>
      </c>
      <c r="AP95" t="s">
        <v>392</v>
      </c>
    </row>
    <row r="96" spans="3:42" x14ac:dyDescent="0.25">
      <c r="C96" t="s">
        <v>259</v>
      </c>
      <c r="D96" s="302">
        <f>'MRA - Cassiterite - Tin'!O7/1000000</f>
        <v>33.819884197793407</v>
      </c>
      <c r="E96" s="302">
        <f>'MRA - Cassiterite - Tin'!P7/1000000</f>
        <v>62.321072629526846</v>
      </c>
      <c r="F96" s="302">
        <f>'MRA - Cassiterite - Tin'!Q7/1000000</f>
        <v>72.098392344140819</v>
      </c>
      <c r="G96" s="302">
        <f>'MRA - Cassiterite - Tin'!R7/1000000</f>
        <v>33.014920092808303</v>
      </c>
      <c r="H96" s="302">
        <f>'MRA - Cassiterite - Tin'!S7/1000000</f>
        <v>15.328447411764705</v>
      </c>
      <c r="AI96" t="s">
        <v>390</v>
      </c>
      <c r="AJ96" t="s">
        <v>385</v>
      </c>
      <c r="AK96">
        <v>292000</v>
      </c>
      <c r="AL96">
        <v>317000</v>
      </c>
      <c r="AM96">
        <v>152000</v>
      </c>
      <c r="AN96">
        <v>174000</v>
      </c>
      <c r="AO96">
        <v>134000</v>
      </c>
      <c r="AP96" t="s">
        <v>384</v>
      </c>
    </row>
    <row r="97" spans="3:42" x14ac:dyDescent="0.25">
      <c r="C97" t="s">
        <v>260</v>
      </c>
      <c r="D97" s="302">
        <f>'MRA - Cassiterite - Tin'!O19/1000000</f>
        <v>52.896906278810803</v>
      </c>
      <c r="E97" s="302">
        <f>'MRA - Cassiterite - Tin'!P19/1000000</f>
        <v>61.074478995494431</v>
      </c>
      <c r="F97" s="302">
        <f>'MRA - Cassiterite - Tin'!Q19/1000000</f>
        <v>71.94561723559535</v>
      </c>
      <c r="G97" s="302">
        <f>'MRA - Cassiterite - Tin'!R19/1000000</f>
        <v>34.263243884650898</v>
      </c>
      <c r="H97" s="302">
        <f>'MRA - Cassiterite - Tin'!S19/1000000</f>
        <v>34.807903940832603</v>
      </c>
      <c r="AI97" t="s">
        <v>390</v>
      </c>
      <c r="AJ97" t="s">
        <v>9</v>
      </c>
      <c r="AK97" s="224">
        <f>'MRA - Wolfram - Tungsten'!O18</f>
        <v>15002.264673206093</v>
      </c>
      <c r="AL97" s="224">
        <f>'MRA - Wolfram - Tungsten'!P18</f>
        <v>13550.386541073865</v>
      </c>
      <c r="AM97" s="224">
        <f>'MRA - Wolfram - Tungsten'!Q18</f>
        <v>12008.306153975424</v>
      </c>
      <c r="AN97" s="224">
        <f>'MRA - Wolfram - Tungsten'!R18</f>
        <v>9719.2993743685638</v>
      </c>
      <c r="AO97" s="224">
        <f>'MRA - Wolfram - Tungsten'!S18</f>
        <v>6919.5569369313698</v>
      </c>
      <c r="AP97" t="s">
        <v>392</v>
      </c>
    </row>
    <row r="98" spans="3:42" x14ac:dyDescent="0.25">
      <c r="C98" t="s">
        <v>261</v>
      </c>
      <c r="D98" s="302">
        <f>'MRA - Coltan - Tantalum'!O7/1000000</f>
        <v>48.239518233199995</v>
      </c>
      <c r="E98" s="302">
        <f>'MRA - Coltan - Tantalum'!P7/1000000</f>
        <v>108.0369656542</v>
      </c>
      <c r="F98" s="302">
        <f>'MRA - Coltan - Tantalum'!Q7/1000000</f>
        <v>93.678384758201801</v>
      </c>
      <c r="G98" s="302">
        <f>'MRA - Coltan - Tantalum'!R7/1000000</f>
        <v>56.344093333333326</v>
      </c>
      <c r="H98" s="302">
        <f>'MRA - Coltan - Tantalum'!S7/1000000</f>
        <v>89.582145163636369</v>
      </c>
      <c r="AI98" t="s">
        <v>390</v>
      </c>
      <c r="AJ98" t="s">
        <v>386</v>
      </c>
      <c r="AK98">
        <v>56700</v>
      </c>
      <c r="AL98">
        <v>46600</v>
      </c>
      <c r="AM98">
        <v>43840</v>
      </c>
      <c r="AN98">
        <v>40320</v>
      </c>
      <c r="AO98">
        <v>38150</v>
      </c>
      <c r="AP98" s="386" t="s">
        <v>387</v>
      </c>
    </row>
    <row r="99" spans="3:42" x14ac:dyDescent="0.25">
      <c r="C99" t="s">
        <v>262</v>
      </c>
      <c r="D99" s="302">
        <f>'MRA - Coltan - Tantalum'!O19/1000000</f>
        <v>56.911604897326811</v>
      </c>
      <c r="E99" s="302">
        <f>'MRA - Coltan - Tantalum'!P19/1000000</f>
        <v>134.57161369195046</v>
      </c>
      <c r="F99" s="302">
        <f>'MRA - Coltan - Tantalum'!Q19/1000000</f>
        <v>104.7803306200574</v>
      </c>
      <c r="G99" s="302">
        <f>'MRA - Coltan - Tantalum'!R19/1000000</f>
        <v>66.200323020744221</v>
      </c>
      <c r="H99" s="302">
        <f>'MRA - Coltan - Tantalum'!S19/1000000</f>
        <v>39.742506761242943</v>
      </c>
    </row>
    <row r="100" spans="3:42" x14ac:dyDescent="0.25">
      <c r="C100" t="s">
        <v>263</v>
      </c>
      <c r="D100" s="302">
        <f>'MRA - Wolfram - Tungsten'!O7/1000000</f>
        <v>22.562071667555553</v>
      </c>
      <c r="E100" s="302">
        <f>'MRA - Wolfram - Tungsten'!P7/1000000</f>
        <v>25.647295377000006</v>
      </c>
      <c r="F100" s="302">
        <f>'MRA - Wolfram - Tungsten'!Q7/1000000</f>
        <v>25.57986985097601</v>
      </c>
      <c r="G100" s="302">
        <f>'MRA - Wolfram - Tungsten'!R7/1000000</f>
        <v>16.004829209849998</v>
      </c>
      <c r="H100" s="302">
        <f>'MRA - Wolfram - Tungsten'!S7/1000000</f>
        <v>8.3485118081761005</v>
      </c>
    </row>
    <row r="101" spans="3:42" x14ac:dyDescent="0.25">
      <c r="C101" t="s">
        <v>264</v>
      </c>
      <c r="D101" s="302">
        <f>'MRA - Wolfram - Tungsten'!O19/1000000</f>
        <v>26.262461961048032</v>
      </c>
      <c r="E101" s="302">
        <f>'MRA - Wolfram - Tungsten'!P19/1000000</f>
        <v>30.05378226228634</v>
      </c>
      <c r="F101" s="302">
        <f>'MRA - Wolfram - Tungsten'!Q19/1000000</f>
        <v>26.592317725234501</v>
      </c>
      <c r="G101" s="302">
        <f>'MRA - Wolfram - Tungsten'!R19/1000000</f>
        <v>17.343128689238561</v>
      </c>
      <c r="H101" s="302">
        <f>'MRA - Wolfram - Tungsten'!S19/1000000</f>
        <v>11.873682575518906</v>
      </c>
      <c r="AK101">
        <v>2012</v>
      </c>
      <c r="AL101">
        <v>2013</v>
      </c>
      <c r="AM101">
        <v>2014</v>
      </c>
      <c r="AN101">
        <v>2015</v>
      </c>
      <c r="AO101">
        <v>2016</v>
      </c>
    </row>
    <row r="102" spans="3:42" x14ac:dyDescent="0.25">
      <c r="AJ102" t="s">
        <v>395</v>
      </c>
      <c r="AK102" s="289">
        <f>AK93/AK94</f>
        <v>0.54045458698793958</v>
      </c>
      <c r="AL102" s="289">
        <f t="shared" ref="AL102:AN102" si="22">AL93/AL94</f>
        <v>0.55994924521455169</v>
      </c>
      <c r="AM102" s="289">
        <f t="shared" si="22"/>
        <v>0.55183077646764156</v>
      </c>
      <c r="AN102" s="289">
        <f t="shared" si="22"/>
        <v>0.55456220817393698</v>
      </c>
      <c r="AO102" s="289">
        <f t="shared" ref="AO102" si="23">AO93/AO94</f>
        <v>0.54677287680668474</v>
      </c>
    </row>
    <row r="103" spans="3:42" x14ac:dyDescent="0.25">
      <c r="AJ103" t="s">
        <v>393</v>
      </c>
      <c r="AK103" s="289">
        <f>AK95/AK96</f>
        <v>0.170267634832277</v>
      </c>
      <c r="AL103" s="289">
        <f t="shared" ref="AL103:AN103" si="24">AL95/AL96</f>
        <v>0.1721460084445777</v>
      </c>
      <c r="AM103" s="289">
        <f t="shared" si="24"/>
        <v>0.29938702756217345</v>
      </c>
      <c r="AN103" s="289">
        <f t="shared" si="24"/>
        <v>0.23034390802421562</v>
      </c>
      <c r="AO103" s="289">
        <f t="shared" ref="AO103" si="25">AO95/AO96</f>
        <v>0.23354336282599922</v>
      </c>
    </row>
    <row r="104" spans="3:42" x14ac:dyDescent="0.25">
      <c r="AJ104" t="s">
        <v>394</v>
      </c>
      <c r="AK104" s="289">
        <f>AK97/AK98</f>
        <v>0.26459020587665066</v>
      </c>
      <c r="AL104" s="289">
        <f t="shared" ref="AL104:AN104" si="26">AL97/AL98</f>
        <v>0.29078082706167091</v>
      </c>
      <c r="AM104" s="289">
        <f t="shared" si="26"/>
        <v>0.27391209292827151</v>
      </c>
      <c r="AN104" s="289">
        <f t="shared" si="26"/>
        <v>0.24105405194366478</v>
      </c>
      <c r="AO104" s="289">
        <f t="shared" ref="AO104" si="27">AO97/AO98</f>
        <v>0.18137763923804376</v>
      </c>
    </row>
    <row r="113" spans="3:17" ht="15.75" thickBot="1" x14ac:dyDescent="0.3"/>
    <row r="114" spans="3:17" x14ac:dyDescent="0.25">
      <c r="C114" s="332"/>
      <c r="D114" s="333">
        <v>2016</v>
      </c>
      <c r="N114" s="338">
        <v>3.5000000000000003E-2</v>
      </c>
      <c r="O114" s="387">
        <v>0.06</v>
      </c>
      <c r="P114" s="387">
        <v>0.09</v>
      </c>
      <c r="Q114" s="387">
        <v>0.12</v>
      </c>
    </row>
    <row r="115" spans="3:17" x14ac:dyDescent="0.25">
      <c r="C115" s="334" t="s">
        <v>296</v>
      </c>
      <c r="D115" s="337">
        <f>'MRA - Cassiterite - Tin'!S7+'MRA - Coltan - Tantalum'!S7+'MRA - Wolfram - Tungsten'!S7</f>
        <v>113259104.38357718</v>
      </c>
      <c r="K115" s="425">
        <v>2016</v>
      </c>
      <c r="L115" s="425"/>
      <c r="M115" s="425"/>
      <c r="N115" s="425"/>
      <c r="O115" s="425"/>
      <c r="P115" s="425"/>
    </row>
    <row r="116" spans="3:17" x14ac:dyDescent="0.25">
      <c r="C116" s="334" t="s">
        <v>297</v>
      </c>
      <c r="D116" s="337">
        <v>53369</v>
      </c>
      <c r="K116" t="s">
        <v>110</v>
      </c>
      <c r="L116" t="s">
        <v>403</v>
      </c>
      <c r="M116" t="s">
        <v>404</v>
      </c>
      <c r="N116" t="s">
        <v>408</v>
      </c>
      <c r="O116" t="s">
        <v>405</v>
      </c>
      <c r="P116" t="s">
        <v>406</v>
      </c>
      <c r="Q116" t="s">
        <v>407</v>
      </c>
    </row>
    <row r="117" spans="3:17" x14ac:dyDescent="0.25">
      <c r="C117" s="334" t="s">
        <v>298</v>
      </c>
      <c r="D117" s="337">
        <f>D115/D116</f>
        <v>2122.188993302801</v>
      </c>
      <c r="J117" t="s">
        <v>396</v>
      </c>
      <c r="K117" s="198">
        <f>'MRA - Cassiterite - Tin'!S7</f>
        <v>15328447.411764706</v>
      </c>
      <c r="L117" s="198">
        <f>SUM('MRA - Cassiterite - Tin'!S8:S11)</f>
        <v>15866300.264551217</v>
      </c>
      <c r="M117" s="198">
        <f>K117-L117</f>
        <v>-537852.85278651118</v>
      </c>
      <c r="N117" s="198">
        <f>($K117*(1+N$114))-$L117</f>
        <v>-1357.1933747474104</v>
      </c>
      <c r="O117" s="198">
        <f t="shared" ref="O117:Q117" si="28">($K117*(1+O$114))-$L117</f>
        <v>381853.99191937223</v>
      </c>
      <c r="P117" s="198">
        <f t="shared" si="28"/>
        <v>841707.41427231394</v>
      </c>
      <c r="Q117" s="198">
        <f t="shared" si="28"/>
        <v>1301560.8366252538</v>
      </c>
    </row>
    <row r="118" spans="3:17" x14ac:dyDescent="0.25">
      <c r="C118" s="334" t="s">
        <v>299</v>
      </c>
      <c r="D118" s="337">
        <v>260</v>
      </c>
      <c r="J118" t="s">
        <v>397</v>
      </c>
      <c r="K118" s="198">
        <f>'MRA - Cassiterite - Tin'!S19</f>
        <v>34807903.9408326</v>
      </c>
      <c r="L118" s="198">
        <f>SUM('MRA - Cassiterite - Tin'!S20:S24)</f>
        <v>36050181.83824861</v>
      </c>
      <c r="M118" s="198">
        <f t="shared" ref="M118:M122" si="29">K118-L118</f>
        <v>-1242277.8974160105</v>
      </c>
      <c r="N118" s="198">
        <f t="shared" ref="N118:Q122" si="30">($K118*(1+N$114))-$L118</f>
        <v>-24001.259486868978</v>
      </c>
      <c r="O118" s="198">
        <f t="shared" si="30"/>
        <v>846196.33903394639</v>
      </c>
      <c r="P118" s="198">
        <f t="shared" si="30"/>
        <v>1890433.4572589248</v>
      </c>
      <c r="Q118" s="198">
        <f t="shared" si="30"/>
        <v>2934670.5754839033</v>
      </c>
    </row>
    <row r="119" spans="3:17" ht="15.75" thickBot="1" x14ac:dyDescent="0.3">
      <c r="C119" s="335"/>
      <c r="D119" s="336">
        <f>D117/D118</f>
        <v>8.1622653588569278</v>
      </c>
      <c r="J119" t="s">
        <v>398</v>
      </c>
      <c r="K119" s="198">
        <f>'MRA - Coltan - Tantalum'!S7</f>
        <v>89582145.163636371</v>
      </c>
      <c r="L119" s="198">
        <f>SUM('MRA - Coltan - Tantalum'!S8:S11)</f>
        <v>92725451.921372116</v>
      </c>
      <c r="M119" s="198">
        <f t="shared" si="29"/>
        <v>-3143306.7577357441</v>
      </c>
      <c r="N119" s="198">
        <f t="shared" si="30"/>
        <v>-7931.6770084798336</v>
      </c>
      <c r="O119" s="198">
        <f t="shared" si="30"/>
        <v>2231621.9520824403</v>
      </c>
      <c r="P119" s="198">
        <f t="shared" si="30"/>
        <v>4919086.3069915324</v>
      </c>
      <c r="Q119" s="198">
        <f t="shared" si="30"/>
        <v>7606550.6619006246</v>
      </c>
    </row>
    <row r="120" spans="3:17" x14ac:dyDescent="0.25">
      <c r="J120" t="s">
        <v>399</v>
      </c>
      <c r="K120" s="198">
        <f>'MRA - Coltan - Tantalum'!S19</f>
        <v>39742506.761242941</v>
      </c>
      <c r="L120" s="198">
        <f>SUM('MRA - Coltan - Tantalum'!S20:S24)</f>
        <v>41160898.337515987</v>
      </c>
      <c r="M120" s="198">
        <f t="shared" si="29"/>
        <v>-1418391.5762730464</v>
      </c>
      <c r="N120" s="198">
        <f t="shared" si="30"/>
        <v>-27403.839629545808</v>
      </c>
      <c r="O120" s="198">
        <f t="shared" si="30"/>
        <v>966158.82940153033</v>
      </c>
      <c r="P120" s="198">
        <f t="shared" si="30"/>
        <v>2158434.0322388187</v>
      </c>
      <c r="Q120" s="198">
        <f t="shared" si="30"/>
        <v>3350709.2350761071</v>
      </c>
    </row>
    <row r="121" spans="3:17" x14ac:dyDescent="0.25">
      <c r="J121" t="s">
        <v>400</v>
      </c>
      <c r="K121" s="198">
        <f>'MRA - Wolfram - Tungsten'!S7</f>
        <v>8348511.8081761012</v>
      </c>
      <c r="L121" s="198">
        <f>SUM('MRA - Wolfram - Tungsten'!S8:S11)</f>
        <v>8641448.9055825267</v>
      </c>
      <c r="M121" s="198">
        <f t="shared" si="29"/>
        <v>-292937.09740642551</v>
      </c>
      <c r="N121" s="198">
        <f t="shared" si="30"/>
        <v>-739.18412026204169</v>
      </c>
      <c r="O121" s="198">
        <f t="shared" si="30"/>
        <v>207973.61108414084</v>
      </c>
      <c r="P121" s="198">
        <f t="shared" si="30"/>
        <v>458428.96532942355</v>
      </c>
      <c r="Q121" s="198">
        <f t="shared" si="30"/>
        <v>708884.31957470812</v>
      </c>
    </row>
    <row r="122" spans="3:17" x14ac:dyDescent="0.25">
      <c r="J122" t="s">
        <v>401</v>
      </c>
      <c r="K122" s="198">
        <f>'MRA - Wolfram - Tungsten'!S19</f>
        <v>11873682.575518906</v>
      </c>
      <c r="L122" s="198">
        <f>SUM('MRA - Wolfram - Tungsten'!S20:S24)</f>
        <v>12297448.782457819</v>
      </c>
      <c r="M122" s="198">
        <f t="shared" si="29"/>
        <v>-423766.20693891309</v>
      </c>
      <c r="N122" s="198">
        <f t="shared" si="30"/>
        <v>-8187.3167957514524</v>
      </c>
      <c r="O122" s="198">
        <f t="shared" si="30"/>
        <v>288654.74759222195</v>
      </c>
      <c r="P122" s="198">
        <f t="shared" si="30"/>
        <v>644865.22485778853</v>
      </c>
      <c r="Q122" s="198">
        <f t="shared" si="30"/>
        <v>1001075.702123357</v>
      </c>
    </row>
    <row r="123" spans="3:17" x14ac:dyDescent="0.25">
      <c r="J123" t="s">
        <v>402</v>
      </c>
      <c r="K123" s="198">
        <f t="shared" ref="K123:L123" si="31">SUM(K117:K122)</f>
        <v>199683197.66117162</v>
      </c>
      <c r="L123" s="198">
        <f t="shared" si="31"/>
        <v>206741730.04972827</v>
      </c>
      <c r="M123" s="198">
        <f>SUM(M117:M122)</f>
        <v>-7058532.3885566508</v>
      </c>
      <c r="N123" s="198">
        <f t="shared" ref="N123:Q123" si="32">SUM(N117:N122)</f>
        <v>-69620.470415655524</v>
      </c>
      <c r="O123" s="198">
        <f t="shared" si="32"/>
        <v>4922459.471113652</v>
      </c>
      <c r="P123" s="198">
        <f t="shared" si="32"/>
        <v>10912955.400948802</v>
      </c>
      <c r="Q123" s="198">
        <f t="shared" si="32"/>
        <v>16903451.330783956</v>
      </c>
    </row>
    <row r="124" spans="3:17" x14ac:dyDescent="0.25">
      <c r="M124" s="288"/>
    </row>
  </sheetData>
  <mergeCells count="1">
    <mergeCell ref="K115:P115"/>
  </mergeCells>
  <conditionalFormatting sqref="AE41 AE45:AE48">
    <cfRule type="cellIs" dxfId="23" priority="6" operator="lessThan">
      <formula>0</formula>
    </cfRule>
  </conditionalFormatting>
  <conditionalFormatting sqref="AE44">
    <cfRule type="cellIs" dxfId="22" priority="5" operator="lessThan">
      <formula>0</formula>
    </cfRule>
  </conditionalFormatting>
  <conditionalFormatting sqref="AE49">
    <cfRule type="cellIs" dxfId="21" priority="4" operator="lessThan">
      <formula>0</formula>
    </cfRule>
  </conditionalFormatting>
  <conditionalFormatting sqref="AE50">
    <cfRule type="cellIs" dxfId="20" priority="3" operator="lessThan">
      <formula>0</formula>
    </cfRule>
  </conditionalFormatting>
  <conditionalFormatting sqref="AE42">
    <cfRule type="cellIs" dxfId="19" priority="2" operator="lessThan">
      <formula>0</formula>
    </cfRule>
  </conditionalFormatting>
  <conditionalFormatting sqref="AE43">
    <cfRule type="cellIs" dxfId="18" priority="1" operator="lessThan">
      <formula>0</formula>
    </cfRule>
  </conditionalFormatting>
  <hyperlinks>
    <hyperlink ref="AP98" r:id="rId1"/>
  </hyperlinks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76"/>
  <sheetViews>
    <sheetView workbookViewId="0"/>
  </sheetViews>
  <sheetFormatPr defaultRowHeight="15" x14ac:dyDescent="0.25"/>
  <cols>
    <col min="4" max="4" width="50.7109375" bestFit="1" customWidth="1"/>
    <col min="29" max="29" width="50.7109375" bestFit="1" customWidth="1"/>
  </cols>
  <sheetData>
    <row r="1" spans="3:51" ht="18.75" x14ac:dyDescent="0.3">
      <c r="C1" s="340"/>
      <c r="D1" s="388" t="s">
        <v>304</v>
      </c>
      <c r="E1" s="389"/>
      <c r="F1" s="389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90"/>
      <c r="X1" s="390"/>
      <c r="Y1" s="390"/>
      <c r="Z1" s="390"/>
      <c r="AC1" s="341" t="s">
        <v>376</v>
      </c>
      <c r="AD1" s="342"/>
      <c r="AE1" s="342"/>
      <c r="AF1" s="342"/>
      <c r="AG1" s="342"/>
      <c r="AH1" s="342"/>
      <c r="AI1" s="342"/>
      <c r="AJ1" s="342"/>
      <c r="AK1" s="342"/>
      <c r="AL1" s="342"/>
      <c r="AM1" s="342"/>
      <c r="AN1" s="342"/>
      <c r="AO1" s="342"/>
      <c r="AP1" s="342"/>
      <c r="AQ1" s="342"/>
      <c r="AR1" s="342"/>
      <c r="AS1" s="342"/>
      <c r="AT1" s="342"/>
      <c r="AU1" s="342"/>
      <c r="AV1" s="342"/>
      <c r="AW1" s="342"/>
      <c r="AX1" s="342"/>
      <c r="AY1" s="342"/>
    </row>
    <row r="2" spans="3:51" ht="18.75" x14ac:dyDescent="0.25">
      <c r="C2" s="343"/>
      <c r="D2" s="391" t="s">
        <v>305</v>
      </c>
      <c r="E2" s="392"/>
      <c r="F2" s="392"/>
      <c r="G2" s="393"/>
      <c r="H2" s="393"/>
      <c r="I2" s="393"/>
      <c r="J2" s="393"/>
      <c r="K2" s="393"/>
      <c r="L2" s="393"/>
      <c r="M2" s="393"/>
      <c r="N2" s="393"/>
      <c r="O2" s="393"/>
      <c r="P2" s="393"/>
      <c r="Q2" s="393"/>
      <c r="R2" s="393"/>
      <c r="S2" s="393"/>
      <c r="T2" s="393"/>
      <c r="U2" s="393"/>
      <c r="V2" s="393"/>
      <c r="W2" s="393"/>
      <c r="X2" s="393"/>
      <c r="Y2" s="393"/>
      <c r="Z2" s="393"/>
      <c r="AC2" s="343" t="s">
        <v>305</v>
      </c>
      <c r="AD2" s="344"/>
      <c r="AE2" s="344"/>
      <c r="AF2" s="344"/>
      <c r="AG2" s="344"/>
      <c r="AH2" s="344"/>
      <c r="AI2" s="344"/>
      <c r="AJ2" s="344"/>
      <c r="AK2" s="344"/>
      <c r="AL2" s="344"/>
      <c r="AM2" s="344"/>
      <c r="AN2" s="344"/>
      <c r="AO2" s="344"/>
      <c r="AP2" s="344"/>
      <c r="AQ2" s="344"/>
      <c r="AR2" s="344"/>
      <c r="AS2" s="344"/>
      <c r="AT2" s="344"/>
      <c r="AU2" s="344"/>
      <c r="AV2" s="344"/>
      <c r="AW2" s="344"/>
      <c r="AX2" s="344"/>
      <c r="AY2" s="344"/>
    </row>
    <row r="3" spans="3:51" ht="18.75" x14ac:dyDescent="0.3">
      <c r="C3" s="340"/>
      <c r="D3" s="388" t="s">
        <v>306</v>
      </c>
      <c r="E3" s="394"/>
      <c r="F3" s="394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C3" s="341" t="s">
        <v>377</v>
      </c>
      <c r="AD3" s="345"/>
      <c r="AE3" s="345"/>
      <c r="AF3" s="345"/>
      <c r="AG3" s="345"/>
      <c r="AH3" s="345"/>
      <c r="AI3" s="345"/>
      <c r="AJ3" s="345"/>
      <c r="AK3" s="345"/>
      <c r="AL3" s="345"/>
      <c r="AM3" s="345"/>
      <c r="AN3" s="345"/>
      <c r="AO3" s="345"/>
      <c r="AP3" s="345"/>
      <c r="AQ3" s="345"/>
      <c r="AR3" s="345"/>
      <c r="AS3" s="345"/>
      <c r="AT3" s="345"/>
      <c r="AU3" s="345"/>
      <c r="AV3" s="345"/>
      <c r="AW3" s="345"/>
      <c r="AX3" s="345"/>
      <c r="AY3" s="345"/>
    </row>
    <row r="4" spans="3:51" ht="19.5" thickBot="1" x14ac:dyDescent="0.35">
      <c r="C4" s="340"/>
      <c r="D4" s="396" t="s">
        <v>307</v>
      </c>
      <c r="E4" s="394"/>
      <c r="F4" s="394"/>
      <c r="G4" s="395"/>
      <c r="H4" s="395"/>
      <c r="I4" s="395"/>
      <c r="J4" s="395"/>
      <c r="K4" s="395"/>
      <c r="L4" s="395"/>
      <c r="M4" s="395"/>
      <c r="N4" s="395"/>
      <c r="O4" s="395"/>
      <c r="P4" s="395"/>
      <c r="Q4" s="395"/>
      <c r="R4" s="395"/>
      <c r="S4" s="395"/>
      <c r="T4" s="395"/>
      <c r="U4" s="395"/>
      <c r="V4" s="395"/>
      <c r="W4" s="395"/>
      <c r="X4" s="395"/>
      <c r="Y4" s="395"/>
      <c r="Z4" s="395"/>
      <c r="AC4" s="346" t="s">
        <v>307</v>
      </c>
      <c r="AD4" s="345"/>
      <c r="AE4" s="345"/>
      <c r="AF4" s="345"/>
      <c r="AG4" s="345"/>
      <c r="AH4" s="345"/>
      <c r="AI4" s="345"/>
      <c r="AJ4" s="345"/>
      <c r="AK4" s="345"/>
      <c r="AL4" s="345"/>
      <c r="AM4" s="345"/>
      <c r="AN4" s="345"/>
      <c r="AO4" s="345"/>
      <c r="AP4" s="345"/>
      <c r="AQ4" s="345"/>
      <c r="AR4" s="345"/>
      <c r="AS4" s="345"/>
      <c r="AT4" s="345"/>
      <c r="AU4" s="345"/>
      <c r="AV4" s="345"/>
      <c r="AW4" s="345"/>
      <c r="AX4" s="345"/>
      <c r="AY4" s="345"/>
    </row>
    <row r="5" spans="3:51" ht="22.5" thickTop="1" thickBot="1" x14ac:dyDescent="0.35">
      <c r="C5" s="340"/>
      <c r="D5" s="347" t="s">
        <v>308</v>
      </c>
      <c r="E5" s="348" t="s">
        <v>309</v>
      </c>
      <c r="F5" s="348"/>
      <c r="G5" s="349">
        <v>1999</v>
      </c>
      <c r="H5" s="349">
        <v>2000</v>
      </c>
      <c r="I5" s="349">
        <v>2001</v>
      </c>
      <c r="J5" s="349">
        <v>2002</v>
      </c>
      <c r="K5" s="349">
        <v>2003</v>
      </c>
      <c r="L5" s="349">
        <v>2004</v>
      </c>
      <c r="M5" s="349">
        <v>2005</v>
      </c>
      <c r="N5" s="349">
        <v>2006</v>
      </c>
      <c r="O5" s="349">
        <v>2007</v>
      </c>
      <c r="P5" s="349">
        <v>2008</v>
      </c>
      <c r="Q5" s="349">
        <v>2009</v>
      </c>
      <c r="R5" s="349">
        <v>2010</v>
      </c>
      <c r="S5" s="349">
        <v>2011</v>
      </c>
      <c r="T5" s="349">
        <v>2012</v>
      </c>
      <c r="U5" s="349">
        <v>2013</v>
      </c>
      <c r="V5" s="349">
        <v>2014</v>
      </c>
      <c r="W5" s="349">
        <v>2015</v>
      </c>
      <c r="X5" s="349">
        <v>2016</v>
      </c>
      <c r="Y5" s="349">
        <v>2017</v>
      </c>
      <c r="Z5" s="349">
        <v>2018</v>
      </c>
      <c r="AC5" s="347" t="s">
        <v>308</v>
      </c>
      <c r="AD5" s="348" t="s">
        <v>309</v>
      </c>
      <c r="AE5" s="348"/>
      <c r="AF5" s="349">
        <v>1999</v>
      </c>
      <c r="AG5" s="349">
        <v>2000</v>
      </c>
      <c r="AH5" s="349">
        <v>2001</v>
      </c>
      <c r="AI5" s="349">
        <v>2002</v>
      </c>
      <c r="AJ5" s="349">
        <v>2003</v>
      </c>
      <c r="AK5" s="349">
        <v>2004</v>
      </c>
      <c r="AL5" s="349">
        <v>2005</v>
      </c>
      <c r="AM5" s="349">
        <v>2006</v>
      </c>
      <c r="AN5" s="349">
        <v>2007</v>
      </c>
      <c r="AO5" s="349">
        <v>2008</v>
      </c>
      <c r="AP5" s="349">
        <v>2009</v>
      </c>
      <c r="AQ5" s="349">
        <v>2010</v>
      </c>
      <c r="AR5" s="349">
        <v>2011</v>
      </c>
      <c r="AS5" s="349">
        <v>2012</v>
      </c>
      <c r="AT5" s="349">
        <v>2013</v>
      </c>
      <c r="AU5" s="349">
        <v>2014</v>
      </c>
      <c r="AV5" s="349">
        <v>2015</v>
      </c>
      <c r="AW5" s="349">
        <v>2016</v>
      </c>
      <c r="AX5" s="349">
        <v>2017</v>
      </c>
      <c r="AY5" s="349">
        <v>2018</v>
      </c>
    </row>
    <row r="6" spans="3:51" ht="19.5" thickTop="1" x14ac:dyDescent="0.3">
      <c r="C6" s="340"/>
      <c r="D6" s="397"/>
      <c r="E6" s="398"/>
      <c r="F6" s="398"/>
      <c r="G6" s="398"/>
      <c r="H6" s="398"/>
      <c r="I6" s="398"/>
      <c r="J6" s="398"/>
      <c r="K6" s="398"/>
      <c r="L6" s="398"/>
      <c r="M6" s="398"/>
      <c r="N6" s="398"/>
      <c r="O6" s="398"/>
      <c r="P6" s="398"/>
      <c r="Q6" s="398"/>
      <c r="R6" s="398"/>
      <c r="S6" s="398"/>
      <c r="T6" s="398"/>
      <c r="U6" s="398"/>
      <c r="V6" s="398"/>
      <c r="W6" s="398"/>
      <c r="X6" s="398"/>
      <c r="Y6" s="398"/>
      <c r="Z6" s="398"/>
      <c r="AC6" s="350"/>
      <c r="AD6" s="351"/>
      <c r="AE6" s="351"/>
      <c r="AF6" s="351"/>
      <c r="AG6" s="351"/>
      <c r="AH6" s="351"/>
      <c r="AI6" s="351"/>
      <c r="AJ6" s="351"/>
      <c r="AK6" s="351"/>
      <c r="AL6" s="351"/>
      <c r="AM6" s="351"/>
      <c r="AN6" s="351"/>
      <c r="AO6" s="351"/>
      <c r="AP6" s="351"/>
      <c r="AQ6" s="351"/>
      <c r="AR6" s="351"/>
      <c r="AS6" s="351"/>
      <c r="AT6" s="351"/>
      <c r="AU6" s="351"/>
      <c r="AV6" s="351"/>
      <c r="AW6" s="351"/>
      <c r="AX6" s="351"/>
      <c r="AY6" s="351"/>
    </row>
    <row r="7" spans="3:51" ht="18.75" x14ac:dyDescent="0.3">
      <c r="C7" s="340"/>
      <c r="D7" s="399" t="s">
        <v>244</v>
      </c>
      <c r="E7" s="400"/>
      <c r="F7" s="400">
        <v>0</v>
      </c>
      <c r="G7" s="401">
        <v>1760</v>
      </c>
      <c r="H7" s="401">
        <v>1907</v>
      </c>
      <c r="I7" s="401">
        <v>2069</v>
      </c>
      <c r="J7" s="401">
        <v>2342</v>
      </c>
      <c r="K7" s="401">
        <v>2393</v>
      </c>
      <c r="L7" s="401">
        <v>2572</v>
      </c>
      <c r="M7" s="401">
        <v>2813</v>
      </c>
      <c r="N7" s="401">
        <v>3072</v>
      </c>
      <c r="O7" s="401">
        <v>3307</v>
      </c>
      <c r="P7" s="401">
        <v>3676</v>
      </c>
      <c r="Q7" s="401">
        <v>3906</v>
      </c>
      <c r="R7" s="401">
        <v>4192</v>
      </c>
      <c r="S7" s="401">
        <v>4526</v>
      </c>
      <c r="T7" s="401">
        <v>4917</v>
      </c>
      <c r="U7" s="401">
        <v>5149</v>
      </c>
      <c r="V7" s="401">
        <v>5466</v>
      </c>
      <c r="W7" s="401">
        <v>5951</v>
      </c>
      <c r="X7" s="401">
        <v>6307</v>
      </c>
      <c r="Y7" s="401">
        <v>6693</v>
      </c>
      <c r="Z7" s="401">
        <v>7269</v>
      </c>
      <c r="AC7" s="291" t="s">
        <v>244</v>
      </c>
      <c r="AD7" s="352"/>
      <c r="AE7" s="352"/>
      <c r="AF7" s="380">
        <v>607</v>
      </c>
      <c r="AG7" s="380">
        <v>676</v>
      </c>
      <c r="AH7" s="380">
        <v>742</v>
      </c>
      <c r="AI7" s="380">
        <v>797</v>
      </c>
      <c r="AJ7" s="380">
        <v>993</v>
      </c>
      <c r="AK7" s="380">
        <v>1206</v>
      </c>
      <c r="AL7" s="380">
        <v>1440</v>
      </c>
      <c r="AM7" s="380">
        <v>1762</v>
      </c>
      <c r="AN7" s="380">
        <v>2120</v>
      </c>
      <c r="AO7" s="380">
        <v>2693</v>
      </c>
      <c r="AP7" s="380">
        <v>3097</v>
      </c>
      <c r="AQ7" s="380">
        <v>3411</v>
      </c>
      <c r="AR7" s="380">
        <v>3990</v>
      </c>
      <c r="AS7" s="380">
        <v>4564</v>
      </c>
      <c r="AT7" s="380">
        <v>4929</v>
      </c>
      <c r="AU7" s="380">
        <v>5466</v>
      </c>
      <c r="AV7" s="380">
        <v>5968</v>
      </c>
      <c r="AW7" s="380">
        <v>6672</v>
      </c>
      <c r="AX7" s="380">
        <v>7600</v>
      </c>
      <c r="AY7" s="380">
        <v>8189</v>
      </c>
    </row>
    <row r="8" spans="3:51" ht="18.75" x14ac:dyDescent="0.3">
      <c r="C8" s="340"/>
      <c r="D8" s="397"/>
      <c r="E8" s="398"/>
      <c r="F8" s="398"/>
      <c r="G8" s="402"/>
      <c r="H8" s="402"/>
      <c r="I8" s="402"/>
      <c r="J8" s="402"/>
      <c r="K8" s="402"/>
      <c r="L8" s="402"/>
      <c r="M8" s="402"/>
      <c r="N8" s="402"/>
      <c r="O8" s="402"/>
      <c r="P8" s="402"/>
      <c r="Q8" s="402"/>
      <c r="R8" s="402"/>
      <c r="S8" s="402"/>
      <c r="T8" s="402"/>
      <c r="U8" s="402"/>
      <c r="V8" s="402"/>
      <c r="W8" s="402"/>
      <c r="X8" s="402"/>
      <c r="Y8" s="402"/>
      <c r="Z8" s="402"/>
      <c r="AC8" s="350"/>
      <c r="AD8" s="351"/>
      <c r="AE8" s="351"/>
      <c r="AF8" s="353"/>
      <c r="AG8" s="353"/>
      <c r="AH8" s="353"/>
      <c r="AI8" s="353"/>
      <c r="AJ8" s="353"/>
      <c r="AK8" s="353"/>
      <c r="AL8" s="353"/>
      <c r="AM8" s="353"/>
      <c r="AN8" s="353"/>
      <c r="AO8" s="353"/>
      <c r="AP8" s="353"/>
      <c r="AQ8" s="353"/>
      <c r="AR8" s="353"/>
      <c r="AS8" s="353"/>
      <c r="AT8" s="353"/>
      <c r="AU8" s="353"/>
      <c r="AV8" s="353"/>
      <c r="AW8" s="353"/>
      <c r="AX8" s="353"/>
      <c r="AY8" s="353"/>
    </row>
    <row r="9" spans="3:51" ht="18.75" x14ac:dyDescent="0.3">
      <c r="C9" s="340"/>
      <c r="D9" s="399" t="s">
        <v>245</v>
      </c>
      <c r="E9" s="400" t="s">
        <v>310</v>
      </c>
      <c r="F9" s="400">
        <v>0</v>
      </c>
      <c r="G9" s="401">
        <v>702</v>
      </c>
      <c r="H9" s="401">
        <v>754</v>
      </c>
      <c r="I9" s="401">
        <v>821</v>
      </c>
      <c r="J9" s="401">
        <v>960</v>
      </c>
      <c r="K9" s="401">
        <v>930</v>
      </c>
      <c r="L9" s="401">
        <v>947</v>
      </c>
      <c r="M9" s="401">
        <v>1008</v>
      </c>
      <c r="N9" s="401">
        <v>1036</v>
      </c>
      <c r="O9" s="401">
        <v>1063</v>
      </c>
      <c r="P9" s="401">
        <v>1132</v>
      </c>
      <c r="Q9" s="401">
        <v>1219</v>
      </c>
      <c r="R9" s="401">
        <v>1280</v>
      </c>
      <c r="S9" s="401">
        <v>1336</v>
      </c>
      <c r="T9" s="401">
        <v>1427</v>
      </c>
      <c r="U9" s="401">
        <v>1474</v>
      </c>
      <c r="V9" s="401">
        <v>1572</v>
      </c>
      <c r="W9" s="401">
        <v>1650</v>
      </c>
      <c r="X9" s="401">
        <v>1714</v>
      </c>
      <c r="Y9" s="401">
        <v>1827</v>
      </c>
      <c r="Z9" s="401">
        <v>1934</v>
      </c>
      <c r="AC9" s="291" t="s">
        <v>245</v>
      </c>
      <c r="AD9" s="352" t="s">
        <v>310</v>
      </c>
      <c r="AE9" s="352"/>
      <c r="AF9" s="380">
        <v>227</v>
      </c>
      <c r="AG9" s="380">
        <v>251</v>
      </c>
      <c r="AH9" s="380">
        <v>277</v>
      </c>
      <c r="AI9" s="380">
        <v>282</v>
      </c>
      <c r="AJ9" s="380">
        <v>380</v>
      </c>
      <c r="AK9" s="380">
        <v>465</v>
      </c>
      <c r="AL9" s="380">
        <v>553</v>
      </c>
      <c r="AM9" s="380">
        <v>592</v>
      </c>
      <c r="AN9" s="380">
        <v>635</v>
      </c>
      <c r="AO9" s="380">
        <v>753</v>
      </c>
      <c r="AP9" s="380">
        <v>896</v>
      </c>
      <c r="AQ9" s="380">
        <v>949</v>
      </c>
      <c r="AR9" s="380">
        <v>1112</v>
      </c>
      <c r="AS9" s="380">
        <v>1317</v>
      </c>
      <c r="AT9" s="380">
        <v>1424</v>
      </c>
      <c r="AU9" s="380">
        <v>1572</v>
      </c>
      <c r="AV9" s="380">
        <v>1671</v>
      </c>
      <c r="AW9" s="380">
        <v>1956</v>
      </c>
      <c r="AX9" s="380">
        <v>2352</v>
      </c>
      <c r="AY9" s="380">
        <v>2378</v>
      </c>
    </row>
    <row r="10" spans="3:51" ht="18.75" x14ac:dyDescent="0.3">
      <c r="C10" s="354"/>
      <c r="D10" s="390" t="s">
        <v>311</v>
      </c>
      <c r="E10" s="389" t="s">
        <v>312</v>
      </c>
      <c r="F10" s="389">
        <v>0</v>
      </c>
      <c r="G10" s="403">
        <v>398</v>
      </c>
      <c r="H10" s="403">
        <v>428</v>
      </c>
      <c r="I10" s="403">
        <v>466</v>
      </c>
      <c r="J10" s="403">
        <v>553</v>
      </c>
      <c r="K10" s="403">
        <v>533</v>
      </c>
      <c r="L10" s="403">
        <v>531</v>
      </c>
      <c r="M10" s="403">
        <v>573</v>
      </c>
      <c r="N10" s="403">
        <v>581</v>
      </c>
      <c r="O10" s="403">
        <v>604</v>
      </c>
      <c r="P10" s="403">
        <v>642</v>
      </c>
      <c r="Q10" s="403">
        <v>702</v>
      </c>
      <c r="R10" s="403">
        <v>737</v>
      </c>
      <c r="S10" s="403">
        <v>764</v>
      </c>
      <c r="T10" s="403">
        <v>827</v>
      </c>
      <c r="U10" s="403">
        <v>859</v>
      </c>
      <c r="V10" s="403">
        <v>934</v>
      </c>
      <c r="W10" s="403">
        <v>968</v>
      </c>
      <c r="X10" s="403">
        <v>998</v>
      </c>
      <c r="Y10" s="403">
        <v>1071</v>
      </c>
      <c r="Z10" s="403">
        <v>1118</v>
      </c>
      <c r="AC10" s="294" t="s">
        <v>311</v>
      </c>
      <c r="AD10" s="355" t="s">
        <v>312</v>
      </c>
      <c r="AE10" s="355"/>
      <c r="AF10" s="295">
        <v>194</v>
      </c>
      <c r="AG10" s="295">
        <v>217</v>
      </c>
      <c r="AH10" s="295">
        <v>238</v>
      </c>
      <c r="AI10" s="295">
        <v>238</v>
      </c>
      <c r="AJ10" s="295">
        <v>332</v>
      </c>
      <c r="AK10" s="295">
        <v>396</v>
      </c>
      <c r="AL10" s="295">
        <v>467</v>
      </c>
      <c r="AM10" s="295">
        <v>309</v>
      </c>
      <c r="AN10" s="295">
        <v>353</v>
      </c>
      <c r="AO10" s="295">
        <v>397</v>
      </c>
      <c r="AP10" s="295">
        <v>496</v>
      </c>
      <c r="AQ10" s="295">
        <v>519</v>
      </c>
      <c r="AR10" s="295">
        <v>606</v>
      </c>
      <c r="AS10" s="295">
        <v>740</v>
      </c>
      <c r="AT10" s="295">
        <v>839</v>
      </c>
      <c r="AU10" s="295">
        <v>934</v>
      </c>
      <c r="AV10" s="295">
        <v>992</v>
      </c>
      <c r="AW10" s="295">
        <v>1208</v>
      </c>
      <c r="AX10" s="295">
        <v>1504</v>
      </c>
      <c r="AY10" s="295">
        <v>1342</v>
      </c>
    </row>
    <row r="11" spans="3:51" ht="18.75" x14ac:dyDescent="0.3">
      <c r="C11" s="354"/>
      <c r="D11" s="390" t="s">
        <v>313</v>
      </c>
      <c r="E11" s="389" t="s">
        <v>314</v>
      </c>
      <c r="F11" s="389">
        <v>0</v>
      </c>
      <c r="G11" s="403">
        <v>60</v>
      </c>
      <c r="H11" s="403">
        <v>69</v>
      </c>
      <c r="I11" s="403">
        <v>79</v>
      </c>
      <c r="J11" s="403">
        <v>83</v>
      </c>
      <c r="K11" s="403">
        <v>69</v>
      </c>
      <c r="L11" s="403">
        <v>112</v>
      </c>
      <c r="M11" s="403">
        <v>87</v>
      </c>
      <c r="N11" s="403">
        <v>115</v>
      </c>
      <c r="O11" s="403">
        <v>82</v>
      </c>
      <c r="P11" s="403">
        <v>106</v>
      </c>
      <c r="Q11" s="403">
        <v>90</v>
      </c>
      <c r="R11" s="403">
        <v>102</v>
      </c>
      <c r="S11" s="403">
        <v>105</v>
      </c>
      <c r="T11" s="403">
        <v>114</v>
      </c>
      <c r="U11" s="403">
        <v>109</v>
      </c>
      <c r="V11" s="403">
        <v>107</v>
      </c>
      <c r="W11" s="403">
        <v>122</v>
      </c>
      <c r="X11" s="403">
        <v>125</v>
      </c>
      <c r="Y11" s="403">
        <v>128</v>
      </c>
      <c r="Z11" s="403">
        <v>140</v>
      </c>
      <c r="AC11" s="294" t="s">
        <v>313</v>
      </c>
      <c r="AD11" s="355" t="s">
        <v>314</v>
      </c>
      <c r="AE11" s="355"/>
      <c r="AF11" s="295">
        <v>6</v>
      </c>
      <c r="AG11" s="295">
        <v>7</v>
      </c>
      <c r="AH11" s="295">
        <v>8</v>
      </c>
      <c r="AI11" s="295">
        <v>7</v>
      </c>
      <c r="AJ11" s="295">
        <v>7</v>
      </c>
      <c r="AK11" s="295">
        <v>13</v>
      </c>
      <c r="AL11" s="295">
        <v>18</v>
      </c>
      <c r="AM11" s="295">
        <v>70</v>
      </c>
      <c r="AN11" s="295">
        <v>50</v>
      </c>
      <c r="AO11" s="295">
        <v>67</v>
      </c>
      <c r="AP11" s="295">
        <v>64</v>
      </c>
      <c r="AQ11" s="295">
        <v>79</v>
      </c>
      <c r="AR11" s="295">
        <v>82</v>
      </c>
      <c r="AS11" s="295">
        <v>106</v>
      </c>
      <c r="AT11" s="295">
        <v>83</v>
      </c>
      <c r="AU11" s="295">
        <v>107</v>
      </c>
      <c r="AV11" s="295">
        <v>109</v>
      </c>
      <c r="AW11" s="295">
        <v>129</v>
      </c>
      <c r="AX11" s="295">
        <v>172</v>
      </c>
      <c r="AY11" s="295">
        <v>185</v>
      </c>
    </row>
    <row r="12" spans="3:51" ht="18.75" x14ac:dyDescent="0.3">
      <c r="C12" s="354"/>
      <c r="D12" s="390" t="s">
        <v>315</v>
      </c>
      <c r="E12" s="389" t="s">
        <v>316</v>
      </c>
      <c r="F12" s="389">
        <v>0</v>
      </c>
      <c r="G12" s="403">
        <v>88</v>
      </c>
      <c r="H12" s="403">
        <v>92</v>
      </c>
      <c r="I12" s="403">
        <v>98</v>
      </c>
      <c r="J12" s="403">
        <v>102</v>
      </c>
      <c r="K12" s="403">
        <v>107</v>
      </c>
      <c r="L12" s="403">
        <v>111</v>
      </c>
      <c r="M12" s="403">
        <v>116</v>
      </c>
      <c r="N12" s="403">
        <v>121</v>
      </c>
      <c r="O12" s="403">
        <v>124</v>
      </c>
      <c r="P12" s="403">
        <v>128</v>
      </c>
      <c r="Q12" s="403">
        <v>132</v>
      </c>
      <c r="R12" s="403">
        <v>138</v>
      </c>
      <c r="S12" s="403">
        <v>142</v>
      </c>
      <c r="T12" s="403">
        <v>151</v>
      </c>
      <c r="U12" s="403">
        <v>160</v>
      </c>
      <c r="V12" s="403">
        <v>174</v>
      </c>
      <c r="W12" s="403">
        <v>189</v>
      </c>
      <c r="X12" s="403">
        <v>208</v>
      </c>
      <c r="Y12" s="403">
        <v>231</v>
      </c>
      <c r="Z12" s="403">
        <v>262</v>
      </c>
      <c r="AC12" s="294" t="s">
        <v>315</v>
      </c>
      <c r="AD12" s="355" t="s">
        <v>316</v>
      </c>
      <c r="AE12" s="355"/>
      <c r="AF12" s="295">
        <v>16</v>
      </c>
      <c r="AG12" s="295">
        <v>16</v>
      </c>
      <c r="AH12" s="295">
        <v>18</v>
      </c>
      <c r="AI12" s="295">
        <v>21</v>
      </c>
      <c r="AJ12" s="295">
        <v>22</v>
      </c>
      <c r="AK12" s="295">
        <v>26</v>
      </c>
      <c r="AL12" s="295">
        <v>27</v>
      </c>
      <c r="AM12" s="295">
        <v>68</v>
      </c>
      <c r="AN12" s="295">
        <v>71</v>
      </c>
      <c r="AO12" s="295">
        <v>91</v>
      </c>
      <c r="AP12" s="295">
        <v>108</v>
      </c>
      <c r="AQ12" s="295">
        <v>113</v>
      </c>
      <c r="AR12" s="295">
        <v>127</v>
      </c>
      <c r="AS12" s="295">
        <v>143</v>
      </c>
      <c r="AT12" s="295">
        <v>158</v>
      </c>
      <c r="AU12" s="295">
        <v>174</v>
      </c>
      <c r="AV12" s="295">
        <v>195</v>
      </c>
      <c r="AW12" s="295">
        <v>223</v>
      </c>
      <c r="AX12" s="295">
        <v>260</v>
      </c>
      <c r="AY12" s="295">
        <v>301</v>
      </c>
    </row>
    <row r="13" spans="3:51" ht="18.75" x14ac:dyDescent="0.3">
      <c r="C13" s="354"/>
      <c r="D13" s="390" t="s">
        <v>317</v>
      </c>
      <c r="E13" s="389" t="s">
        <v>318</v>
      </c>
      <c r="F13" s="389">
        <v>0</v>
      </c>
      <c r="G13" s="403">
        <v>153</v>
      </c>
      <c r="H13" s="403">
        <v>161</v>
      </c>
      <c r="I13" s="403">
        <v>173</v>
      </c>
      <c r="J13" s="403">
        <v>190</v>
      </c>
      <c r="K13" s="403">
        <v>207</v>
      </c>
      <c r="L13" s="403">
        <v>225</v>
      </c>
      <c r="M13" s="403">
        <v>244</v>
      </c>
      <c r="N13" s="403">
        <v>264</v>
      </c>
      <c r="O13" s="403">
        <v>272</v>
      </c>
      <c r="P13" s="403">
        <v>282</v>
      </c>
      <c r="Q13" s="403">
        <v>289</v>
      </c>
      <c r="R13" s="403">
        <v>298</v>
      </c>
      <c r="S13" s="403">
        <v>306</v>
      </c>
      <c r="T13" s="403">
        <v>317</v>
      </c>
      <c r="U13" s="403">
        <v>326</v>
      </c>
      <c r="V13" s="403">
        <v>337</v>
      </c>
      <c r="W13" s="403">
        <v>350</v>
      </c>
      <c r="X13" s="403">
        <v>362</v>
      </c>
      <c r="Y13" s="403">
        <v>374</v>
      </c>
      <c r="Z13" s="403">
        <v>390</v>
      </c>
      <c r="AC13" s="294" t="s">
        <v>317</v>
      </c>
      <c r="AD13" s="355" t="s">
        <v>318</v>
      </c>
      <c r="AE13" s="355"/>
      <c r="AF13" s="295">
        <v>8</v>
      </c>
      <c r="AG13" s="295">
        <v>8</v>
      </c>
      <c r="AH13" s="295">
        <v>10</v>
      </c>
      <c r="AI13" s="295">
        <v>13</v>
      </c>
      <c r="AJ13" s="295">
        <v>15</v>
      </c>
      <c r="AK13" s="295">
        <v>26</v>
      </c>
      <c r="AL13" s="295">
        <v>35</v>
      </c>
      <c r="AM13" s="295">
        <v>169</v>
      </c>
      <c r="AN13" s="295">
        <v>174</v>
      </c>
      <c r="AO13" s="295">
        <v>227</v>
      </c>
      <c r="AP13" s="295">
        <v>244</v>
      </c>
      <c r="AQ13" s="295">
        <v>258</v>
      </c>
      <c r="AR13" s="295">
        <v>283</v>
      </c>
      <c r="AS13" s="295">
        <v>312</v>
      </c>
      <c r="AT13" s="295">
        <v>325</v>
      </c>
      <c r="AU13" s="295">
        <v>337</v>
      </c>
      <c r="AV13" s="295">
        <v>354</v>
      </c>
      <c r="AW13" s="295">
        <v>372</v>
      </c>
      <c r="AX13" s="295">
        <v>391</v>
      </c>
      <c r="AY13" s="295">
        <v>520</v>
      </c>
    </row>
    <row r="14" spans="3:51" ht="18.75" x14ac:dyDescent="0.3">
      <c r="C14" s="354"/>
      <c r="D14" s="390" t="s">
        <v>319</v>
      </c>
      <c r="E14" s="389" t="s">
        <v>320</v>
      </c>
      <c r="F14" s="389">
        <v>0</v>
      </c>
      <c r="G14" s="403">
        <v>13</v>
      </c>
      <c r="H14" s="403">
        <v>13</v>
      </c>
      <c r="I14" s="403">
        <v>14</v>
      </c>
      <c r="J14" s="403">
        <v>15</v>
      </c>
      <c r="K14" s="403">
        <v>15</v>
      </c>
      <c r="L14" s="403">
        <v>16</v>
      </c>
      <c r="M14" s="403">
        <v>16</v>
      </c>
      <c r="N14" s="403">
        <v>16</v>
      </c>
      <c r="O14" s="403">
        <v>17</v>
      </c>
      <c r="P14" s="403">
        <v>17</v>
      </c>
      <c r="Q14" s="403">
        <v>18</v>
      </c>
      <c r="R14" s="403">
        <v>18</v>
      </c>
      <c r="S14" s="403">
        <v>19</v>
      </c>
      <c r="T14" s="403">
        <v>18</v>
      </c>
      <c r="U14" s="403">
        <v>19</v>
      </c>
      <c r="V14" s="403">
        <v>20</v>
      </c>
      <c r="W14" s="403">
        <v>21</v>
      </c>
      <c r="X14" s="403">
        <v>21</v>
      </c>
      <c r="Y14" s="403">
        <v>22</v>
      </c>
      <c r="Z14" s="403">
        <v>23</v>
      </c>
      <c r="AC14" s="294" t="s">
        <v>319</v>
      </c>
      <c r="AD14" s="355" t="s">
        <v>320</v>
      </c>
      <c r="AE14" s="355"/>
      <c r="AF14" s="295">
        <v>3</v>
      </c>
      <c r="AG14" s="295">
        <v>3</v>
      </c>
      <c r="AH14" s="295">
        <v>3</v>
      </c>
      <c r="AI14" s="295">
        <v>3</v>
      </c>
      <c r="AJ14" s="295">
        <v>4</v>
      </c>
      <c r="AK14" s="295">
        <v>5</v>
      </c>
      <c r="AL14" s="295">
        <v>5</v>
      </c>
      <c r="AM14" s="295">
        <v>6</v>
      </c>
      <c r="AN14" s="295">
        <v>7</v>
      </c>
      <c r="AO14" s="295">
        <v>9</v>
      </c>
      <c r="AP14" s="295">
        <v>10</v>
      </c>
      <c r="AQ14" s="295">
        <v>12</v>
      </c>
      <c r="AR14" s="295">
        <v>14</v>
      </c>
      <c r="AS14" s="295">
        <v>16</v>
      </c>
      <c r="AT14" s="295">
        <v>19</v>
      </c>
      <c r="AU14" s="295">
        <v>20</v>
      </c>
      <c r="AV14" s="295">
        <v>22</v>
      </c>
      <c r="AW14" s="295">
        <v>23</v>
      </c>
      <c r="AX14" s="295">
        <v>26</v>
      </c>
      <c r="AY14" s="295">
        <v>29</v>
      </c>
    </row>
    <row r="15" spans="3:51" ht="18.75" x14ac:dyDescent="0.3">
      <c r="C15" s="340"/>
      <c r="D15" s="399" t="s">
        <v>321</v>
      </c>
      <c r="E15" s="400" t="s">
        <v>322</v>
      </c>
      <c r="F15" s="400">
        <v>0</v>
      </c>
      <c r="G15" s="401">
        <v>263</v>
      </c>
      <c r="H15" s="401">
        <v>267</v>
      </c>
      <c r="I15" s="401">
        <v>301</v>
      </c>
      <c r="J15" s="401">
        <v>323</v>
      </c>
      <c r="K15" s="401">
        <v>338</v>
      </c>
      <c r="L15" s="401">
        <v>390</v>
      </c>
      <c r="M15" s="401">
        <v>426</v>
      </c>
      <c r="N15" s="401">
        <v>476</v>
      </c>
      <c r="O15" s="401">
        <v>519</v>
      </c>
      <c r="P15" s="401">
        <v>598</v>
      </c>
      <c r="Q15" s="401">
        <v>606</v>
      </c>
      <c r="R15" s="401">
        <v>656</v>
      </c>
      <c r="S15" s="401">
        <v>773</v>
      </c>
      <c r="T15" s="401">
        <v>838</v>
      </c>
      <c r="U15" s="401">
        <v>916</v>
      </c>
      <c r="V15" s="401">
        <v>939</v>
      </c>
      <c r="W15" s="401">
        <v>1023</v>
      </c>
      <c r="X15" s="401">
        <v>1092</v>
      </c>
      <c r="Y15" s="401">
        <v>1141</v>
      </c>
      <c r="Z15" s="401">
        <v>1259</v>
      </c>
      <c r="AC15" s="291" t="s">
        <v>321</v>
      </c>
      <c r="AD15" s="352" t="s">
        <v>322</v>
      </c>
      <c r="AE15" s="352"/>
      <c r="AF15" s="380">
        <v>93</v>
      </c>
      <c r="AG15" s="380">
        <v>97</v>
      </c>
      <c r="AH15" s="380">
        <v>111</v>
      </c>
      <c r="AI15" s="380">
        <v>117</v>
      </c>
      <c r="AJ15" s="380">
        <v>135</v>
      </c>
      <c r="AK15" s="380">
        <v>177</v>
      </c>
      <c r="AL15" s="380">
        <v>214</v>
      </c>
      <c r="AM15" s="380">
        <v>249</v>
      </c>
      <c r="AN15" s="380">
        <v>323</v>
      </c>
      <c r="AO15" s="380">
        <v>418</v>
      </c>
      <c r="AP15" s="380">
        <v>470</v>
      </c>
      <c r="AQ15" s="380">
        <v>539</v>
      </c>
      <c r="AR15" s="380">
        <v>699</v>
      </c>
      <c r="AS15" s="380">
        <v>804</v>
      </c>
      <c r="AT15" s="380">
        <v>848</v>
      </c>
      <c r="AU15" s="380">
        <v>939</v>
      </c>
      <c r="AV15" s="380">
        <v>1013</v>
      </c>
      <c r="AW15" s="380">
        <v>1092</v>
      </c>
      <c r="AX15" s="380">
        <v>1201</v>
      </c>
      <c r="AY15" s="380">
        <v>1329</v>
      </c>
    </row>
    <row r="16" spans="3:51" ht="18.75" x14ac:dyDescent="0.3">
      <c r="C16" s="354"/>
      <c r="D16" s="390" t="s">
        <v>247</v>
      </c>
      <c r="E16" s="389" t="s">
        <v>323</v>
      </c>
      <c r="F16" s="389">
        <v>0</v>
      </c>
      <c r="G16" s="403">
        <v>21</v>
      </c>
      <c r="H16" s="403">
        <v>29</v>
      </c>
      <c r="I16" s="403">
        <v>79</v>
      </c>
      <c r="J16" s="403">
        <v>60</v>
      </c>
      <c r="K16" s="403">
        <v>48</v>
      </c>
      <c r="L16" s="403">
        <v>71</v>
      </c>
      <c r="M16" s="403">
        <v>93</v>
      </c>
      <c r="N16" s="403">
        <v>80</v>
      </c>
      <c r="O16" s="403">
        <v>114</v>
      </c>
      <c r="P16" s="403">
        <v>96</v>
      </c>
      <c r="Q16" s="403">
        <v>79</v>
      </c>
      <c r="R16" s="403">
        <v>71</v>
      </c>
      <c r="S16" s="403">
        <v>106</v>
      </c>
      <c r="T16" s="403">
        <v>98</v>
      </c>
      <c r="U16" s="403">
        <v>118</v>
      </c>
      <c r="V16" s="403">
        <v>147</v>
      </c>
      <c r="W16" s="403">
        <v>140</v>
      </c>
      <c r="X16" s="403">
        <v>154</v>
      </c>
      <c r="Y16" s="403">
        <v>189</v>
      </c>
      <c r="Z16" s="403">
        <v>193</v>
      </c>
      <c r="AC16" s="294" t="s">
        <v>247</v>
      </c>
      <c r="AD16" s="355" t="s">
        <v>323</v>
      </c>
      <c r="AE16" s="355"/>
      <c r="AF16" s="295">
        <v>1</v>
      </c>
      <c r="AG16" s="295">
        <v>1</v>
      </c>
      <c r="AH16" s="295">
        <v>6</v>
      </c>
      <c r="AI16" s="295">
        <v>2</v>
      </c>
      <c r="AJ16" s="295">
        <v>3</v>
      </c>
      <c r="AK16" s="295">
        <v>8</v>
      </c>
      <c r="AL16" s="295">
        <v>10</v>
      </c>
      <c r="AM16" s="295">
        <v>23</v>
      </c>
      <c r="AN16" s="295">
        <v>43</v>
      </c>
      <c r="AO16" s="295">
        <v>51</v>
      </c>
      <c r="AP16" s="295">
        <v>33</v>
      </c>
      <c r="AQ16" s="295">
        <v>45</v>
      </c>
      <c r="AR16" s="295">
        <v>102</v>
      </c>
      <c r="AS16" s="295">
        <v>97</v>
      </c>
      <c r="AT16" s="295">
        <v>124</v>
      </c>
      <c r="AU16" s="295">
        <v>147</v>
      </c>
      <c r="AV16" s="295">
        <v>132</v>
      </c>
      <c r="AW16" s="295">
        <v>137</v>
      </c>
      <c r="AX16" s="295">
        <v>182</v>
      </c>
      <c r="AY16" s="295">
        <v>204</v>
      </c>
    </row>
    <row r="17" spans="3:51" ht="18.75" x14ac:dyDescent="0.3">
      <c r="C17" s="356"/>
      <c r="D17" s="404" t="s">
        <v>248</v>
      </c>
      <c r="E17" s="405" t="s">
        <v>324</v>
      </c>
      <c r="F17" s="405">
        <v>0</v>
      </c>
      <c r="G17" s="406">
        <v>141</v>
      </c>
      <c r="H17" s="406">
        <v>141</v>
      </c>
      <c r="I17" s="406">
        <v>155</v>
      </c>
      <c r="J17" s="406">
        <v>178</v>
      </c>
      <c r="K17" s="406">
        <v>186</v>
      </c>
      <c r="L17" s="406">
        <v>209</v>
      </c>
      <c r="M17" s="406">
        <v>227</v>
      </c>
      <c r="N17" s="406">
        <v>257</v>
      </c>
      <c r="O17" s="406">
        <v>259</v>
      </c>
      <c r="P17" s="406">
        <v>273</v>
      </c>
      <c r="Q17" s="406">
        <v>281</v>
      </c>
      <c r="R17" s="406">
        <v>307</v>
      </c>
      <c r="S17" s="406">
        <v>333</v>
      </c>
      <c r="T17" s="406">
        <v>352</v>
      </c>
      <c r="U17" s="406">
        <v>369</v>
      </c>
      <c r="V17" s="406">
        <v>322</v>
      </c>
      <c r="W17" s="406">
        <v>349</v>
      </c>
      <c r="X17" s="406">
        <v>372</v>
      </c>
      <c r="Y17" s="406">
        <v>396</v>
      </c>
      <c r="Z17" s="406">
        <v>439</v>
      </c>
      <c r="AC17" s="296" t="s">
        <v>248</v>
      </c>
      <c r="AD17" s="357" t="s">
        <v>324</v>
      </c>
      <c r="AE17" s="357"/>
      <c r="AF17" s="381">
        <v>63</v>
      </c>
      <c r="AG17" s="381">
        <v>66</v>
      </c>
      <c r="AH17" s="381">
        <v>68</v>
      </c>
      <c r="AI17" s="381">
        <v>78</v>
      </c>
      <c r="AJ17" s="381">
        <v>88</v>
      </c>
      <c r="AK17" s="381">
        <v>106</v>
      </c>
      <c r="AL17" s="381">
        <v>126</v>
      </c>
      <c r="AM17" s="381">
        <v>129</v>
      </c>
      <c r="AN17" s="381">
        <v>141</v>
      </c>
      <c r="AO17" s="381">
        <v>181</v>
      </c>
      <c r="AP17" s="381">
        <v>225</v>
      </c>
      <c r="AQ17" s="381">
        <v>255</v>
      </c>
      <c r="AR17" s="381">
        <v>288</v>
      </c>
      <c r="AS17" s="381">
        <v>331</v>
      </c>
      <c r="AT17" s="381">
        <v>291</v>
      </c>
      <c r="AU17" s="381">
        <v>322</v>
      </c>
      <c r="AV17" s="381">
        <v>352</v>
      </c>
      <c r="AW17" s="381">
        <v>388</v>
      </c>
      <c r="AX17" s="381">
        <v>450</v>
      </c>
      <c r="AY17" s="381">
        <v>482</v>
      </c>
    </row>
    <row r="18" spans="3:51" x14ac:dyDescent="0.25">
      <c r="C18" s="358"/>
      <c r="D18" s="407" t="s">
        <v>325</v>
      </c>
      <c r="E18" s="408" t="s">
        <v>326</v>
      </c>
      <c r="F18" s="408">
        <v>0</v>
      </c>
      <c r="G18" s="409">
        <v>25</v>
      </c>
      <c r="H18" s="409">
        <v>26</v>
      </c>
      <c r="I18" s="409">
        <v>32</v>
      </c>
      <c r="J18" s="409">
        <v>36</v>
      </c>
      <c r="K18" s="409">
        <v>40</v>
      </c>
      <c r="L18" s="409">
        <v>54</v>
      </c>
      <c r="M18" s="409">
        <v>61</v>
      </c>
      <c r="N18" s="409">
        <v>71</v>
      </c>
      <c r="O18" s="409">
        <v>67</v>
      </c>
      <c r="P18" s="409">
        <v>73</v>
      </c>
      <c r="Q18" s="409">
        <v>77</v>
      </c>
      <c r="R18" s="409">
        <v>84</v>
      </c>
      <c r="S18" s="409">
        <v>88</v>
      </c>
      <c r="T18" s="409">
        <v>89</v>
      </c>
      <c r="U18" s="409">
        <v>96</v>
      </c>
      <c r="V18" s="409">
        <v>101</v>
      </c>
      <c r="W18" s="409">
        <v>102</v>
      </c>
      <c r="X18" s="409">
        <v>110</v>
      </c>
      <c r="Y18" s="409">
        <v>126</v>
      </c>
      <c r="Z18" s="409">
        <v>137</v>
      </c>
      <c r="AC18" s="359" t="s">
        <v>325</v>
      </c>
      <c r="AD18" s="360" t="s">
        <v>326</v>
      </c>
      <c r="AE18" s="360"/>
      <c r="AF18" s="361">
        <v>7</v>
      </c>
      <c r="AG18" s="361">
        <v>8</v>
      </c>
      <c r="AH18" s="361">
        <v>9</v>
      </c>
      <c r="AI18" s="361">
        <v>10</v>
      </c>
      <c r="AJ18" s="361">
        <v>13</v>
      </c>
      <c r="AK18" s="361">
        <v>21</v>
      </c>
      <c r="AL18" s="361">
        <v>28</v>
      </c>
      <c r="AM18" s="361">
        <v>34</v>
      </c>
      <c r="AN18" s="361">
        <v>35</v>
      </c>
      <c r="AO18" s="361">
        <v>46</v>
      </c>
      <c r="AP18" s="361">
        <v>57</v>
      </c>
      <c r="AQ18" s="361">
        <v>66</v>
      </c>
      <c r="AR18" s="361">
        <v>79</v>
      </c>
      <c r="AS18" s="361">
        <v>87</v>
      </c>
      <c r="AT18" s="361">
        <v>92</v>
      </c>
      <c r="AU18" s="361">
        <v>101</v>
      </c>
      <c r="AV18" s="361">
        <v>104</v>
      </c>
      <c r="AW18" s="361">
        <v>119</v>
      </c>
      <c r="AX18" s="361">
        <v>161</v>
      </c>
      <c r="AY18" s="361">
        <v>157</v>
      </c>
    </row>
    <row r="19" spans="3:51" x14ac:dyDescent="0.25">
      <c r="C19" s="358"/>
      <c r="D19" s="407" t="s">
        <v>327</v>
      </c>
      <c r="E19" s="408" t="s">
        <v>328</v>
      </c>
      <c r="F19" s="408">
        <v>0</v>
      </c>
      <c r="G19" s="409">
        <v>58</v>
      </c>
      <c r="H19" s="409">
        <v>53</v>
      </c>
      <c r="I19" s="409">
        <v>53</v>
      </c>
      <c r="J19" s="409">
        <v>64</v>
      </c>
      <c r="K19" s="409">
        <v>58</v>
      </c>
      <c r="L19" s="409">
        <v>59</v>
      </c>
      <c r="M19" s="409">
        <v>66</v>
      </c>
      <c r="N19" s="409">
        <v>71</v>
      </c>
      <c r="O19" s="409">
        <v>70</v>
      </c>
      <c r="P19" s="409">
        <v>72</v>
      </c>
      <c r="Q19" s="409">
        <v>75</v>
      </c>
      <c r="R19" s="409">
        <v>76</v>
      </c>
      <c r="S19" s="409">
        <v>82</v>
      </c>
      <c r="T19" s="409">
        <v>86</v>
      </c>
      <c r="U19" s="409">
        <v>89</v>
      </c>
      <c r="V19" s="409">
        <v>95</v>
      </c>
      <c r="W19" s="409">
        <v>101</v>
      </c>
      <c r="X19" s="409">
        <v>104</v>
      </c>
      <c r="Y19" s="409">
        <v>96</v>
      </c>
      <c r="Z19" s="409">
        <v>104</v>
      </c>
      <c r="AC19" s="359" t="s">
        <v>327</v>
      </c>
      <c r="AD19" s="360" t="s">
        <v>328</v>
      </c>
      <c r="AE19" s="360"/>
      <c r="AF19" s="361">
        <v>19</v>
      </c>
      <c r="AG19" s="361">
        <v>18</v>
      </c>
      <c r="AH19" s="361">
        <v>18</v>
      </c>
      <c r="AI19" s="361">
        <v>23</v>
      </c>
      <c r="AJ19" s="361">
        <v>22</v>
      </c>
      <c r="AK19" s="361">
        <v>23</v>
      </c>
      <c r="AL19" s="361">
        <v>27</v>
      </c>
      <c r="AM19" s="361">
        <v>28</v>
      </c>
      <c r="AN19" s="361">
        <v>31</v>
      </c>
      <c r="AO19" s="361">
        <v>41</v>
      </c>
      <c r="AP19" s="361">
        <v>56</v>
      </c>
      <c r="AQ19" s="361">
        <v>61</v>
      </c>
      <c r="AR19" s="361">
        <v>66</v>
      </c>
      <c r="AS19" s="361">
        <v>76</v>
      </c>
      <c r="AT19" s="361">
        <v>85</v>
      </c>
      <c r="AU19" s="361">
        <v>95</v>
      </c>
      <c r="AV19" s="361">
        <v>102</v>
      </c>
      <c r="AW19" s="361">
        <v>109</v>
      </c>
      <c r="AX19" s="361">
        <v>112</v>
      </c>
      <c r="AY19" s="361">
        <v>121</v>
      </c>
    </row>
    <row r="20" spans="3:51" x14ac:dyDescent="0.25">
      <c r="C20" s="358"/>
      <c r="D20" s="407" t="s">
        <v>329</v>
      </c>
      <c r="E20" s="408" t="s">
        <v>330</v>
      </c>
      <c r="F20" s="408">
        <v>0</v>
      </c>
      <c r="G20" s="409">
        <v>32</v>
      </c>
      <c r="H20" s="409">
        <v>37</v>
      </c>
      <c r="I20" s="409">
        <v>39</v>
      </c>
      <c r="J20" s="409">
        <v>45</v>
      </c>
      <c r="K20" s="409">
        <v>50</v>
      </c>
      <c r="L20" s="409">
        <v>59</v>
      </c>
      <c r="M20" s="409">
        <v>65</v>
      </c>
      <c r="N20" s="409">
        <v>75</v>
      </c>
      <c r="O20" s="409">
        <v>82</v>
      </c>
      <c r="P20" s="409">
        <v>81</v>
      </c>
      <c r="Q20" s="409">
        <v>79</v>
      </c>
      <c r="R20" s="409">
        <v>81</v>
      </c>
      <c r="S20" s="409">
        <v>79</v>
      </c>
      <c r="T20" s="409">
        <v>86</v>
      </c>
      <c r="U20" s="409">
        <v>19</v>
      </c>
      <c r="V20" s="409">
        <v>20</v>
      </c>
      <c r="W20" s="409">
        <v>21</v>
      </c>
      <c r="X20" s="409">
        <v>23</v>
      </c>
      <c r="Y20" s="409">
        <v>28</v>
      </c>
      <c r="Z20" s="409">
        <v>34</v>
      </c>
      <c r="AC20" s="359" t="s">
        <v>329</v>
      </c>
      <c r="AD20" s="360" t="s">
        <v>330</v>
      </c>
      <c r="AE20" s="360"/>
      <c r="AF20" s="361">
        <v>18</v>
      </c>
      <c r="AG20" s="361">
        <v>22</v>
      </c>
      <c r="AH20" s="361">
        <v>20</v>
      </c>
      <c r="AI20" s="361">
        <v>24</v>
      </c>
      <c r="AJ20" s="361">
        <v>28</v>
      </c>
      <c r="AK20" s="361">
        <v>34</v>
      </c>
      <c r="AL20" s="361">
        <v>40</v>
      </c>
      <c r="AM20" s="361">
        <v>46</v>
      </c>
      <c r="AN20" s="361">
        <v>51</v>
      </c>
      <c r="AO20" s="361">
        <v>59</v>
      </c>
      <c r="AP20" s="361">
        <v>58</v>
      </c>
      <c r="AQ20" s="361">
        <v>63</v>
      </c>
      <c r="AR20" s="361">
        <v>76</v>
      </c>
      <c r="AS20" s="361">
        <v>82</v>
      </c>
      <c r="AT20" s="361">
        <v>19</v>
      </c>
      <c r="AU20" s="361">
        <v>20</v>
      </c>
      <c r="AV20" s="361">
        <v>21</v>
      </c>
      <c r="AW20" s="361">
        <v>23</v>
      </c>
      <c r="AX20" s="361">
        <v>28</v>
      </c>
      <c r="AY20" s="361">
        <v>34</v>
      </c>
    </row>
    <row r="21" spans="3:51" x14ac:dyDescent="0.25">
      <c r="C21" s="358"/>
      <c r="D21" s="407" t="s">
        <v>331</v>
      </c>
      <c r="E21" s="408" t="s">
        <v>332</v>
      </c>
      <c r="F21" s="408">
        <v>0</v>
      </c>
      <c r="G21" s="409">
        <v>2</v>
      </c>
      <c r="H21" s="409">
        <v>2</v>
      </c>
      <c r="I21" s="409">
        <v>2</v>
      </c>
      <c r="J21" s="409">
        <v>3</v>
      </c>
      <c r="K21" s="409">
        <v>4</v>
      </c>
      <c r="L21" s="409">
        <v>5</v>
      </c>
      <c r="M21" s="409">
        <v>6</v>
      </c>
      <c r="N21" s="409">
        <v>8</v>
      </c>
      <c r="O21" s="409">
        <v>9</v>
      </c>
      <c r="P21" s="409">
        <v>10</v>
      </c>
      <c r="Q21" s="409">
        <v>10</v>
      </c>
      <c r="R21" s="409">
        <v>11</v>
      </c>
      <c r="S21" s="409">
        <v>10</v>
      </c>
      <c r="T21" s="409">
        <v>11</v>
      </c>
      <c r="U21" s="409">
        <v>12</v>
      </c>
      <c r="V21" s="409">
        <v>14</v>
      </c>
      <c r="W21" s="409">
        <v>15</v>
      </c>
      <c r="X21" s="409">
        <v>17</v>
      </c>
      <c r="Y21" s="409">
        <v>16</v>
      </c>
      <c r="Z21" s="409">
        <v>18</v>
      </c>
      <c r="AC21" s="359" t="s">
        <v>331</v>
      </c>
      <c r="AD21" s="360" t="s">
        <v>332</v>
      </c>
      <c r="AE21" s="360"/>
      <c r="AF21" s="361">
        <v>1</v>
      </c>
      <c r="AG21" s="361">
        <v>1</v>
      </c>
      <c r="AH21" s="361">
        <v>1</v>
      </c>
      <c r="AI21" s="361">
        <v>2</v>
      </c>
      <c r="AJ21" s="361">
        <v>3</v>
      </c>
      <c r="AK21" s="361">
        <v>3</v>
      </c>
      <c r="AL21" s="361">
        <v>5</v>
      </c>
      <c r="AM21" s="361">
        <v>6</v>
      </c>
      <c r="AN21" s="361">
        <v>7</v>
      </c>
      <c r="AO21" s="361">
        <v>8</v>
      </c>
      <c r="AP21" s="361">
        <v>9</v>
      </c>
      <c r="AQ21" s="361">
        <v>10</v>
      </c>
      <c r="AR21" s="361">
        <v>10</v>
      </c>
      <c r="AS21" s="361">
        <v>11</v>
      </c>
      <c r="AT21" s="361">
        <v>13</v>
      </c>
      <c r="AU21" s="361">
        <v>14</v>
      </c>
      <c r="AV21" s="361">
        <v>16</v>
      </c>
      <c r="AW21" s="361">
        <v>18</v>
      </c>
      <c r="AX21" s="361">
        <v>18</v>
      </c>
      <c r="AY21" s="361">
        <v>20</v>
      </c>
    </row>
    <row r="22" spans="3:51" x14ac:dyDescent="0.25">
      <c r="C22" s="358"/>
      <c r="D22" s="407" t="s">
        <v>333</v>
      </c>
      <c r="E22" s="408" t="s">
        <v>334</v>
      </c>
      <c r="F22" s="408">
        <v>0</v>
      </c>
      <c r="G22" s="409">
        <v>13</v>
      </c>
      <c r="H22" s="409">
        <v>13</v>
      </c>
      <c r="I22" s="409">
        <v>14</v>
      </c>
      <c r="J22" s="409">
        <v>16</v>
      </c>
      <c r="K22" s="409">
        <v>19</v>
      </c>
      <c r="L22" s="409">
        <v>21</v>
      </c>
      <c r="M22" s="409">
        <v>23</v>
      </c>
      <c r="N22" s="409">
        <v>27</v>
      </c>
      <c r="O22" s="409">
        <v>27</v>
      </c>
      <c r="P22" s="409">
        <v>28</v>
      </c>
      <c r="Q22" s="409">
        <v>28</v>
      </c>
      <c r="R22" s="409">
        <v>29</v>
      </c>
      <c r="S22" s="409">
        <v>34</v>
      </c>
      <c r="T22" s="409">
        <v>34</v>
      </c>
      <c r="U22" s="409">
        <v>33</v>
      </c>
      <c r="V22" s="409">
        <v>32</v>
      </c>
      <c r="W22" s="409">
        <v>37</v>
      </c>
      <c r="X22" s="409">
        <v>39</v>
      </c>
      <c r="Y22" s="409">
        <v>47</v>
      </c>
      <c r="Z22" s="409">
        <v>48</v>
      </c>
      <c r="AC22" s="359" t="s">
        <v>333</v>
      </c>
      <c r="AD22" s="360" t="s">
        <v>334</v>
      </c>
      <c r="AE22" s="360"/>
      <c r="AF22" s="361">
        <v>6</v>
      </c>
      <c r="AG22" s="361">
        <v>7</v>
      </c>
      <c r="AH22" s="361">
        <v>7</v>
      </c>
      <c r="AI22" s="361">
        <v>8</v>
      </c>
      <c r="AJ22" s="361">
        <v>10</v>
      </c>
      <c r="AK22" s="361">
        <v>12</v>
      </c>
      <c r="AL22" s="361">
        <v>14</v>
      </c>
      <c r="AM22" s="361">
        <v>17</v>
      </c>
      <c r="AN22" s="361">
        <v>18</v>
      </c>
      <c r="AO22" s="361">
        <v>21</v>
      </c>
      <c r="AP22" s="361">
        <v>21</v>
      </c>
      <c r="AQ22" s="361">
        <v>24</v>
      </c>
      <c r="AR22" s="361">
        <v>29</v>
      </c>
      <c r="AS22" s="361">
        <v>32</v>
      </c>
      <c r="AT22" s="361">
        <v>33</v>
      </c>
      <c r="AU22" s="361">
        <v>32</v>
      </c>
      <c r="AV22" s="361">
        <v>36</v>
      </c>
      <c r="AW22" s="361">
        <v>38</v>
      </c>
      <c r="AX22" s="361">
        <v>45</v>
      </c>
      <c r="AY22" s="361">
        <v>48</v>
      </c>
    </row>
    <row r="23" spans="3:51" x14ac:dyDescent="0.25">
      <c r="C23" s="358"/>
      <c r="D23" s="407" t="s">
        <v>335</v>
      </c>
      <c r="E23" s="408" t="s">
        <v>336</v>
      </c>
      <c r="F23" s="408">
        <v>0</v>
      </c>
      <c r="G23" s="409">
        <v>5</v>
      </c>
      <c r="H23" s="409">
        <v>6</v>
      </c>
      <c r="I23" s="409">
        <v>7</v>
      </c>
      <c r="J23" s="409">
        <v>8</v>
      </c>
      <c r="K23" s="409">
        <v>9</v>
      </c>
      <c r="L23" s="409">
        <v>9</v>
      </c>
      <c r="M23" s="409">
        <v>9</v>
      </c>
      <c r="N23" s="409">
        <v>10</v>
      </c>
      <c r="O23" s="409">
        <v>10</v>
      </c>
      <c r="P23" s="409">
        <v>10</v>
      </c>
      <c r="Q23" s="409">
        <v>10</v>
      </c>
      <c r="R23" s="409">
        <v>11</v>
      </c>
      <c r="S23" s="409">
        <v>13</v>
      </c>
      <c r="T23" s="409">
        <v>15</v>
      </c>
      <c r="U23" s="409">
        <v>16</v>
      </c>
      <c r="V23" s="409">
        <v>18</v>
      </c>
      <c r="W23" s="409">
        <v>22</v>
      </c>
      <c r="X23" s="409">
        <v>26</v>
      </c>
      <c r="Y23" s="409">
        <v>29</v>
      </c>
      <c r="Z23" s="409">
        <v>32</v>
      </c>
      <c r="AC23" s="359" t="s">
        <v>335</v>
      </c>
      <c r="AD23" s="360" t="s">
        <v>336</v>
      </c>
      <c r="AE23" s="360"/>
      <c r="AF23" s="361">
        <v>5</v>
      </c>
      <c r="AG23" s="361">
        <v>5</v>
      </c>
      <c r="AH23" s="361">
        <v>5</v>
      </c>
      <c r="AI23" s="361">
        <v>5</v>
      </c>
      <c r="AJ23" s="361">
        <v>5</v>
      </c>
      <c r="AK23" s="361">
        <v>6</v>
      </c>
      <c r="AL23" s="361">
        <v>5</v>
      </c>
      <c r="AM23" s="361">
        <v>6</v>
      </c>
      <c r="AN23" s="361">
        <v>7</v>
      </c>
      <c r="AO23" s="361">
        <v>8</v>
      </c>
      <c r="AP23" s="361">
        <v>9</v>
      </c>
      <c r="AQ23" s="361">
        <v>10</v>
      </c>
      <c r="AR23" s="361">
        <v>12</v>
      </c>
      <c r="AS23" s="361">
        <v>14</v>
      </c>
      <c r="AT23" s="361">
        <v>16</v>
      </c>
      <c r="AU23" s="361">
        <v>18</v>
      </c>
      <c r="AV23" s="361">
        <v>21</v>
      </c>
      <c r="AW23" s="361">
        <v>25</v>
      </c>
      <c r="AX23" s="361">
        <v>29</v>
      </c>
      <c r="AY23" s="361">
        <v>32</v>
      </c>
    </row>
    <row r="24" spans="3:51" x14ac:dyDescent="0.25">
      <c r="C24" s="358"/>
      <c r="D24" s="407" t="s">
        <v>337</v>
      </c>
      <c r="E24" s="408" t="s">
        <v>338</v>
      </c>
      <c r="F24" s="408">
        <v>0</v>
      </c>
      <c r="G24" s="409">
        <v>4</v>
      </c>
      <c r="H24" s="409">
        <v>5</v>
      </c>
      <c r="I24" s="409">
        <v>5</v>
      </c>
      <c r="J24" s="409">
        <v>5</v>
      </c>
      <c r="K24" s="409">
        <v>6</v>
      </c>
      <c r="L24" s="409">
        <v>5</v>
      </c>
      <c r="M24" s="409">
        <v>4</v>
      </c>
      <c r="N24" s="409">
        <v>5</v>
      </c>
      <c r="O24" s="409">
        <v>6</v>
      </c>
      <c r="P24" s="409">
        <v>7</v>
      </c>
      <c r="Q24" s="409">
        <v>7</v>
      </c>
      <c r="R24" s="409">
        <v>10</v>
      </c>
      <c r="S24" s="409">
        <v>13</v>
      </c>
      <c r="T24" s="409">
        <v>16</v>
      </c>
      <c r="U24" s="409">
        <v>14</v>
      </c>
      <c r="V24" s="409">
        <v>18</v>
      </c>
      <c r="W24" s="409">
        <v>25</v>
      </c>
      <c r="X24" s="409">
        <v>29</v>
      </c>
      <c r="Y24" s="409">
        <v>29</v>
      </c>
      <c r="Z24" s="409">
        <v>38</v>
      </c>
      <c r="AC24" s="359" t="s">
        <v>337</v>
      </c>
      <c r="AD24" s="360" t="s">
        <v>338</v>
      </c>
      <c r="AE24" s="360"/>
      <c r="AF24" s="361">
        <v>3</v>
      </c>
      <c r="AG24" s="361">
        <v>3</v>
      </c>
      <c r="AH24" s="361">
        <v>3</v>
      </c>
      <c r="AI24" s="361">
        <v>3</v>
      </c>
      <c r="AJ24" s="361">
        <v>3</v>
      </c>
      <c r="AK24" s="361">
        <v>4</v>
      </c>
      <c r="AL24" s="361">
        <v>3</v>
      </c>
      <c r="AM24" s="361">
        <v>4</v>
      </c>
      <c r="AN24" s="361">
        <v>5</v>
      </c>
      <c r="AO24" s="361">
        <v>6</v>
      </c>
      <c r="AP24" s="361">
        <v>7</v>
      </c>
      <c r="AQ24" s="361">
        <v>9</v>
      </c>
      <c r="AR24" s="361">
        <v>13</v>
      </c>
      <c r="AS24" s="361">
        <v>16</v>
      </c>
      <c r="AT24" s="361">
        <v>14</v>
      </c>
      <c r="AU24" s="361">
        <v>18</v>
      </c>
      <c r="AV24" s="361">
        <v>25</v>
      </c>
      <c r="AW24" s="361">
        <v>30</v>
      </c>
      <c r="AX24" s="361">
        <v>29</v>
      </c>
      <c r="AY24" s="361">
        <v>39</v>
      </c>
    </row>
    <row r="25" spans="3:51" x14ac:dyDescent="0.25">
      <c r="C25" s="358"/>
      <c r="D25" s="407" t="s">
        <v>339</v>
      </c>
      <c r="E25" s="408" t="s">
        <v>340</v>
      </c>
      <c r="F25" s="408">
        <v>0</v>
      </c>
      <c r="G25" s="409">
        <v>6</v>
      </c>
      <c r="H25" s="409">
        <v>6</v>
      </c>
      <c r="I25" s="409">
        <v>6</v>
      </c>
      <c r="J25" s="409">
        <v>6</v>
      </c>
      <c r="K25" s="409">
        <v>7</v>
      </c>
      <c r="L25" s="409">
        <v>7</v>
      </c>
      <c r="M25" s="409">
        <v>5</v>
      </c>
      <c r="N25" s="409">
        <v>7</v>
      </c>
      <c r="O25" s="409">
        <v>8</v>
      </c>
      <c r="P25" s="409">
        <v>9</v>
      </c>
      <c r="Q25" s="409">
        <v>8</v>
      </c>
      <c r="R25" s="409">
        <v>12</v>
      </c>
      <c r="S25" s="409">
        <v>16</v>
      </c>
      <c r="T25" s="409">
        <v>18</v>
      </c>
      <c r="U25" s="409">
        <v>20</v>
      </c>
      <c r="V25" s="409">
        <v>22</v>
      </c>
      <c r="W25" s="409">
        <v>26</v>
      </c>
      <c r="X25" s="409">
        <v>24</v>
      </c>
      <c r="Y25" s="409">
        <v>26</v>
      </c>
      <c r="Z25" s="409">
        <v>27</v>
      </c>
      <c r="AC25" s="359" t="s">
        <v>339</v>
      </c>
      <c r="AD25" s="360" t="s">
        <v>340</v>
      </c>
      <c r="AE25" s="360"/>
      <c r="AF25" s="361">
        <v>4</v>
      </c>
      <c r="AG25" s="361">
        <v>4</v>
      </c>
      <c r="AH25" s="361">
        <v>4</v>
      </c>
      <c r="AI25" s="361">
        <v>4</v>
      </c>
      <c r="AJ25" s="361">
        <v>4</v>
      </c>
      <c r="AK25" s="361">
        <v>4</v>
      </c>
      <c r="AL25" s="361">
        <v>4</v>
      </c>
      <c r="AM25" s="361">
        <v>5</v>
      </c>
      <c r="AN25" s="361">
        <v>6</v>
      </c>
      <c r="AO25" s="361">
        <v>8</v>
      </c>
      <c r="AP25" s="361">
        <v>8</v>
      </c>
      <c r="AQ25" s="361">
        <v>11</v>
      </c>
      <c r="AR25" s="361">
        <v>16</v>
      </c>
      <c r="AS25" s="361">
        <v>18</v>
      </c>
      <c r="AT25" s="361">
        <v>20</v>
      </c>
      <c r="AU25" s="361">
        <v>22</v>
      </c>
      <c r="AV25" s="361">
        <v>26</v>
      </c>
      <c r="AW25" s="361">
        <v>25</v>
      </c>
      <c r="AX25" s="361">
        <v>29</v>
      </c>
      <c r="AY25" s="361">
        <v>31</v>
      </c>
    </row>
    <row r="26" spans="3:51" ht="18.75" x14ac:dyDescent="0.3">
      <c r="C26" s="354"/>
      <c r="D26" s="390" t="s">
        <v>250</v>
      </c>
      <c r="E26" s="389" t="s">
        <v>341</v>
      </c>
      <c r="F26" s="389">
        <v>0</v>
      </c>
      <c r="G26" s="403">
        <v>49</v>
      </c>
      <c r="H26" s="403">
        <v>43</v>
      </c>
      <c r="I26" s="403">
        <v>39</v>
      </c>
      <c r="J26" s="403">
        <v>39</v>
      </c>
      <c r="K26" s="403">
        <v>35</v>
      </c>
      <c r="L26" s="403">
        <v>24</v>
      </c>
      <c r="M26" s="403">
        <v>21</v>
      </c>
      <c r="N26" s="403">
        <v>18</v>
      </c>
      <c r="O26" s="403">
        <v>19</v>
      </c>
      <c r="P26" s="403">
        <v>23</v>
      </c>
      <c r="Q26" s="403">
        <v>26</v>
      </c>
      <c r="R26" s="403">
        <v>30</v>
      </c>
      <c r="S26" s="403">
        <v>34</v>
      </c>
      <c r="T26" s="403">
        <v>40</v>
      </c>
      <c r="U26" s="403">
        <v>43</v>
      </c>
      <c r="V26" s="403">
        <v>47</v>
      </c>
      <c r="W26" s="403">
        <v>51</v>
      </c>
      <c r="X26" s="403">
        <v>58</v>
      </c>
      <c r="Y26" s="403">
        <v>62</v>
      </c>
      <c r="Z26" s="403">
        <v>68</v>
      </c>
      <c r="AC26" s="294" t="s">
        <v>250</v>
      </c>
      <c r="AD26" s="355" t="s">
        <v>341</v>
      </c>
      <c r="AE26" s="355"/>
      <c r="AF26" s="295">
        <v>14</v>
      </c>
      <c r="AG26" s="295">
        <v>12</v>
      </c>
      <c r="AH26" s="295">
        <v>11</v>
      </c>
      <c r="AI26" s="295">
        <v>11</v>
      </c>
      <c r="AJ26" s="295">
        <v>7</v>
      </c>
      <c r="AK26" s="295">
        <v>5</v>
      </c>
      <c r="AL26" s="295">
        <v>10</v>
      </c>
      <c r="AM26" s="295">
        <v>11</v>
      </c>
      <c r="AN26" s="295">
        <v>27</v>
      </c>
      <c r="AO26" s="295">
        <v>18</v>
      </c>
      <c r="AP26" s="295">
        <v>21</v>
      </c>
      <c r="AQ26" s="295">
        <v>25</v>
      </c>
      <c r="AR26" s="295">
        <v>29</v>
      </c>
      <c r="AS26" s="295">
        <v>37</v>
      </c>
      <c r="AT26" s="295">
        <v>43</v>
      </c>
      <c r="AU26" s="295">
        <v>47</v>
      </c>
      <c r="AV26" s="295">
        <v>58</v>
      </c>
      <c r="AW26" s="295">
        <v>81</v>
      </c>
      <c r="AX26" s="295">
        <v>88</v>
      </c>
      <c r="AY26" s="295">
        <v>96</v>
      </c>
    </row>
    <row r="27" spans="3:51" ht="18.75" x14ac:dyDescent="0.3">
      <c r="C27" s="354"/>
      <c r="D27" s="390" t="s">
        <v>251</v>
      </c>
      <c r="E27" s="389" t="s">
        <v>342</v>
      </c>
      <c r="F27" s="389">
        <v>0</v>
      </c>
      <c r="G27" s="403">
        <v>37</v>
      </c>
      <c r="H27" s="403">
        <v>33</v>
      </c>
      <c r="I27" s="403">
        <v>30</v>
      </c>
      <c r="J27" s="403">
        <v>29</v>
      </c>
      <c r="K27" s="403">
        <v>27</v>
      </c>
      <c r="L27" s="403">
        <v>18</v>
      </c>
      <c r="M27" s="403">
        <v>16</v>
      </c>
      <c r="N27" s="403">
        <v>14</v>
      </c>
      <c r="O27" s="403">
        <v>15</v>
      </c>
      <c r="P27" s="403">
        <v>17</v>
      </c>
      <c r="Q27" s="403">
        <v>20</v>
      </c>
      <c r="R27" s="403">
        <v>23</v>
      </c>
      <c r="S27" s="403">
        <v>26</v>
      </c>
      <c r="T27" s="403">
        <v>28</v>
      </c>
      <c r="U27" s="403">
        <v>30</v>
      </c>
      <c r="V27" s="403">
        <v>31</v>
      </c>
      <c r="W27" s="403">
        <v>31</v>
      </c>
      <c r="X27" s="403">
        <v>33</v>
      </c>
      <c r="Y27" s="403">
        <v>33</v>
      </c>
      <c r="Z27" s="403">
        <v>34</v>
      </c>
      <c r="AC27" s="294" t="s">
        <v>251</v>
      </c>
      <c r="AD27" s="355" t="s">
        <v>342</v>
      </c>
      <c r="AE27" s="355"/>
      <c r="AF27" s="295">
        <v>14</v>
      </c>
      <c r="AG27" s="295">
        <v>12</v>
      </c>
      <c r="AH27" s="295">
        <v>11</v>
      </c>
      <c r="AI27" s="295">
        <v>11</v>
      </c>
      <c r="AJ27" s="295">
        <v>7</v>
      </c>
      <c r="AK27" s="295">
        <v>5</v>
      </c>
      <c r="AL27" s="295">
        <v>10</v>
      </c>
      <c r="AM27" s="295">
        <v>10</v>
      </c>
      <c r="AN27" s="295">
        <v>24</v>
      </c>
      <c r="AO27" s="295">
        <v>16</v>
      </c>
      <c r="AP27" s="295">
        <v>19</v>
      </c>
      <c r="AQ27" s="295">
        <v>22</v>
      </c>
      <c r="AR27" s="295">
        <v>26</v>
      </c>
      <c r="AS27" s="295">
        <v>28</v>
      </c>
      <c r="AT27" s="295">
        <v>30</v>
      </c>
      <c r="AU27" s="295">
        <v>31</v>
      </c>
      <c r="AV27" s="295">
        <v>32</v>
      </c>
      <c r="AW27" s="295">
        <v>37</v>
      </c>
      <c r="AX27" s="295">
        <v>38</v>
      </c>
      <c r="AY27" s="295">
        <v>39</v>
      </c>
    </row>
    <row r="28" spans="3:51" ht="18.75" x14ac:dyDescent="0.3">
      <c r="C28" s="354"/>
      <c r="D28" s="390" t="s">
        <v>252</v>
      </c>
      <c r="E28" s="389" t="s">
        <v>343</v>
      </c>
      <c r="F28" s="389">
        <v>0</v>
      </c>
      <c r="G28" s="403">
        <v>75</v>
      </c>
      <c r="H28" s="403">
        <v>77</v>
      </c>
      <c r="I28" s="403">
        <v>85</v>
      </c>
      <c r="J28" s="403">
        <v>87</v>
      </c>
      <c r="K28" s="403">
        <v>95</v>
      </c>
      <c r="L28" s="403">
        <v>114</v>
      </c>
      <c r="M28" s="403">
        <v>124</v>
      </c>
      <c r="N28" s="403">
        <v>140</v>
      </c>
      <c r="O28" s="403">
        <v>161</v>
      </c>
      <c r="P28" s="403">
        <v>206</v>
      </c>
      <c r="Q28" s="403">
        <v>209</v>
      </c>
      <c r="R28" s="403">
        <v>228</v>
      </c>
      <c r="S28" s="403">
        <v>281</v>
      </c>
      <c r="T28" s="403">
        <v>322</v>
      </c>
      <c r="U28" s="403">
        <v>357</v>
      </c>
      <c r="V28" s="403">
        <v>392</v>
      </c>
      <c r="W28" s="403">
        <v>453</v>
      </c>
      <c r="X28" s="403">
        <v>475</v>
      </c>
      <c r="Y28" s="403">
        <v>460</v>
      </c>
      <c r="Z28" s="403">
        <v>525</v>
      </c>
      <c r="AC28" s="294" t="s">
        <v>252</v>
      </c>
      <c r="AD28" s="355" t="s">
        <v>343</v>
      </c>
      <c r="AE28" s="355"/>
      <c r="AF28" s="295">
        <v>30</v>
      </c>
      <c r="AG28" s="295">
        <v>31</v>
      </c>
      <c r="AH28" s="295">
        <v>35</v>
      </c>
      <c r="AI28" s="295">
        <v>36</v>
      </c>
      <c r="AJ28" s="295">
        <v>43</v>
      </c>
      <c r="AK28" s="295">
        <v>58</v>
      </c>
      <c r="AL28" s="295">
        <v>70</v>
      </c>
      <c r="AM28" s="295">
        <v>83</v>
      </c>
      <c r="AN28" s="295">
        <v>105</v>
      </c>
      <c r="AO28" s="295">
        <v>155</v>
      </c>
      <c r="AP28" s="295">
        <v>176</v>
      </c>
      <c r="AQ28" s="295">
        <v>198</v>
      </c>
      <c r="AR28" s="295">
        <v>259</v>
      </c>
      <c r="AS28" s="295">
        <v>313</v>
      </c>
      <c r="AT28" s="295">
        <v>359</v>
      </c>
      <c r="AU28" s="295">
        <v>392</v>
      </c>
      <c r="AV28" s="295">
        <v>440</v>
      </c>
      <c r="AW28" s="295">
        <v>449</v>
      </c>
      <c r="AX28" s="295">
        <v>443</v>
      </c>
      <c r="AY28" s="295">
        <v>508</v>
      </c>
    </row>
    <row r="29" spans="3:51" ht="18.75" x14ac:dyDescent="0.3">
      <c r="C29" s="340"/>
      <c r="D29" s="399" t="s">
        <v>344</v>
      </c>
      <c r="E29" s="400" t="s">
        <v>345</v>
      </c>
      <c r="F29" s="400">
        <v>0</v>
      </c>
      <c r="G29" s="401">
        <v>646</v>
      </c>
      <c r="H29" s="401">
        <v>720</v>
      </c>
      <c r="I29" s="401">
        <v>769</v>
      </c>
      <c r="J29" s="401">
        <v>858</v>
      </c>
      <c r="K29" s="401">
        <v>918</v>
      </c>
      <c r="L29" s="401">
        <v>1012</v>
      </c>
      <c r="M29" s="401">
        <v>1132</v>
      </c>
      <c r="N29" s="401">
        <v>1282</v>
      </c>
      <c r="O29" s="401">
        <v>1439</v>
      </c>
      <c r="P29" s="401">
        <v>1638</v>
      </c>
      <c r="Q29" s="401">
        <v>1740</v>
      </c>
      <c r="R29" s="401">
        <v>1900</v>
      </c>
      <c r="S29" s="401">
        <v>2052</v>
      </c>
      <c r="T29" s="401">
        <v>2290</v>
      </c>
      <c r="U29" s="401">
        <v>2410</v>
      </c>
      <c r="V29" s="401">
        <v>2578</v>
      </c>
      <c r="W29" s="401">
        <v>2847</v>
      </c>
      <c r="X29" s="401">
        <v>3052</v>
      </c>
      <c r="Y29" s="401">
        <v>3294</v>
      </c>
      <c r="Z29" s="401">
        <v>3584</v>
      </c>
      <c r="AC29" s="291" t="s">
        <v>344</v>
      </c>
      <c r="AD29" s="352" t="s">
        <v>345</v>
      </c>
      <c r="AE29" s="352"/>
      <c r="AF29" s="380">
        <v>274</v>
      </c>
      <c r="AG29" s="380">
        <v>317</v>
      </c>
      <c r="AH29" s="380">
        <v>338</v>
      </c>
      <c r="AI29" s="380">
        <v>374</v>
      </c>
      <c r="AJ29" s="380">
        <v>448</v>
      </c>
      <c r="AK29" s="380">
        <v>529</v>
      </c>
      <c r="AL29" s="380">
        <v>634</v>
      </c>
      <c r="AM29" s="380">
        <v>767</v>
      </c>
      <c r="AN29" s="380">
        <v>992</v>
      </c>
      <c r="AO29" s="380">
        <v>1307</v>
      </c>
      <c r="AP29" s="380">
        <v>1483</v>
      </c>
      <c r="AQ29" s="380">
        <v>1657</v>
      </c>
      <c r="AR29" s="380">
        <v>1849</v>
      </c>
      <c r="AS29" s="380">
        <v>2147</v>
      </c>
      <c r="AT29" s="380">
        <v>2353</v>
      </c>
      <c r="AU29" s="380">
        <v>2578</v>
      </c>
      <c r="AV29" s="380">
        <v>2857</v>
      </c>
      <c r="AW29" s="380">
        <v>3156</v>
      </c>
      <c r="AX29" s="380">
        <v>3524</v>
      </c>
      <c r="AY29" s="380">
        <v>3914</v>
      </c>
    </row>
    <row r="30" spans="3:51" ht="18.75" x14ac:dyDescent="0.3">
      <c r="C30" s="340"/>
      <c r="D30" s="399" t="s">
        <v>253</v>
      </c>
      <c r="E30" s="400" t="s">
        <v>346</v>
      </c>
      <c r="F30" s="400">
        <v>0</v>
      </c>
      <c r="G30" s="401">
        <v>126</v>
      </c>
      <c r="H30" s="401">
        <v>144</v>
      </c>
      <c r="I30" s="401">
        <v>156</v>
      </c>
      <c r="J30" s="401">
        <v>179</v>
      </c>
      <c r="K30" s="401">
        <v>184</v>
      </c>
      <c r="L30" s="401">
        <v>210</v>
      </c>
      <c r="M30" s="401">
        <v>240</v>
      </c>
      <c r="N30" s="401">
        <v>290</v>
      </c>
      <c r="O30" s="401">
        <v>333</v>
      </c>
      <c r="P30" s="401">
        <v>401</v>
      </c>
      <c r="Q30" s="401">
        <v>423</v>
      </c>
      <c r="R30" s="401">
        <v>461</v>
      </c>
      <c r="S30" s="401">
        <v>493</v>
      </c>
      <c r="T30" s="401">
        <v>566</v>
      </c>
      <c r="U30" s="401">
        <v>599</v>
      </c>
      <c r="V30" s="401">
        <v>640</v>
      </c>
      <c r="W30" s="401">
        <v>714</v>
      </c>
      <c r="X30" s="401">
        <v>762</v>
      </c>
      <c r="Y30" s="401">
        <v>791</v>
      </c>
      <c r="Z30" s="401">
        <v>917</v>
      </c>
      <c r="AC30" s="291" t="s">
        <v>253</v>
      </c>
      <c r="AD30" s="352" t="s">
        <v>346</v>
      </c>
      <c r="AE30" s="352"/>
      <c r="AF30" s="380">
        <v>52</v>
      </c>
      <c r="AG30" s="380">
        <v>60</v>
      </c>
      <c r="AH30" s="380">
        <v>66</v>
      </c>
      <c r="AI30" s="380">
        <v>77</v>
      </c>
      <c r="AJ30" s="380">
        <v>91</v>
      </c>
      <c r="AK30" s="380">
        <v>113</v>
      </c>
      <c r="AL30" s="380">
        <v>140</v>
      </c>
      <c r="AM30" s="380">
        <v>177</v>
      </c>
      <c r="AN30" s="380">
        <v>222</v>
      </c>
      <c r="AO30" s="380">
        <v>326</v>
      </c>
      <c r="AP30" s="380">
        <v>358</v>
      </c>
      <c r="AQ30" s="380">
        <v>407</v>
      </c>
      <c r="AR30" s="380">
        <v>463</v>
      </c>
      <c r="AS30" s="380">
        <v>553</v>
      </c>
      <c r="AT30" s="380">
        <v>593</v>
      </c>
      <c r="AU30" s="380">
        <v>640</v>
      </c>
      <c r="AV30" s="380">
        <v>699</v>
      </c>
      <c r="AW30" s="380">
        <v>761</v>
      </c>
      <c r="AX30" s="380">
        <v>805</v>
      </c>
      <c r="AY30" s="380">
        <v>963</v>
      </c>
    </row>
    <row r="31" spans="3:51" ht="18.75" x14ac:dyDescent="0.3">
      <c r="C31" s="354"/>
      <c r="D31" s="390" t="s">
        <v>347</v>
      </c>
      <c r="E31" s="389" t="s">
        <v>348</v>
      </c>
      <c r="F31" s="389">
        <v>0</v>
      </c>
      <c r="G31" s="403">
        <v>5</v>
      </c>
      <c r="H31" s="403">
        <v>6</v>
      </c>
      <c r="I31" s="403">
        <v>7</v>
      </c>
      <c r="J31" s="403">
        <v>8</v>
      </c>
      <c r="K31" s="403">
        <v>8</v>
      </c>
      <c r="L31" s="403">
        <v>9</v>
      </c>
      <c r="M31" s="403">
        <v>10</v>
      </c>
      <c r="N31" s="403">
        <v>12</v>
      </c>
      <c r="O31" s="403">
        <v>13</v>
      </c>
      <c r="P31" s="403">
        <v>16</v>
      </c>
      <c r="Q31" s="403">
        <v>16</v>
      </c>
      <c r="R31" s="403">
        <v>18</v>
      </c>
      <c r="S31" s="403">
        <v>19</v>
      </c>
      <c r="T31" s="403">
        <v>21</v>
      </c>
      <c r="U31" s="403">
        <v>22</v>
      </c>
      <c r="V31" s="403">
        <v>23</v>
      </c>
      <c r="W31" s="403">
        <v>24</v>
      </c>
      <c r="X31" s="403">
        <v>26</v>
      </c>
      <c r="Y31" s="403">
        <v>27</v>
      </c>
      <c r="Z31" s="403">
        <v>29</v>
      </c>
      <c r="AC31" s="294" t="s">
        <v>347</v>
      </c>
      <c r="AD31" s="355" t="s">
        <v>348</v>
      </c>
      <c r="AE31" s="355"/>
      <c r="AF31" s="295">
        <v>2</v>
      </c>
      <c r="AG31" s="295">
        <v>2</v>
      </c>
      <c r="AH31" s="295">
        <v>3</v>
      </c>
      <c r="AI31" s="295">
        <v>3</v>
      </c>
      <c r="AJ31" s="295">
        <v>4</v>
      </c>
      <c r="AK31" s="295">
        <v>4</v>
      </c>
      <c r="AL31" s="295">
        <v>6</v>
      </c>
      <c r="AM31" s="295">
        <v>7</v>
      </c>
      <c r="AN31" s="295">
        <v>9</v>
      </c>
      <c r="AO31" s="295">
        <v>13</v>
      </c>
      <c r="AP31" s="295">
        <v>14</v>
      </c>
      <c r="AQ31" s="295">
        <v>16</v>
      </c>
      <c r="AR31" s="295">
        <v>18</v>
      </c>
      <c r="AS31" s="295">
        <v>20</v>
      </c>
      <c r="AT31" s="295">
        <v>22</v>
      </c>
      <c r="AU31" s="295">
        <v>23</v>
      </c>
      <c r="AV31" s="295">
        <v>24</v>
      </c>
      <c r="AW31" s="295">
        <v>28</v>
      </c>
      <c r="AX31" s="295">
        <v>29</v>
      </c>
      <c r="AY31" s="295">
        <v>33</v>
      </c>
    </row>
    <row r="32" spans="3:51" ht="18.75" x14ac:dyDescent="0.3">
      <c r="C32" s="354"/>
      <c r="D32" s="390" t="s">
        <v>349</v>
      </c>
      <c r="E32" s="389" t="s">
        <v>350</v>
      </c>
      <c r="F32" s="389">
        <v>0</v>
      </c>
      <c r="G32" s="403">
        <v>89</v>
      </c>
      <c r="H32" s="403">
        <v>101</v>
      </c>
      <c r="I32" s="403">
        <v>107</v>
      </c>
      <c r="J32" s="403">
        <v>122</v>
      </c>
      <c r="K32" s="403">
        <v>124</v>
      </c>
      <c r="L32" s="403">
        <v>140</v>
      </c>
      <c r="M32" s="403">
        <v>158</v>
      </c>
      <c r="N32" s="403">
        <v>187</v>
      </c>
      <c r="O32" s="403">
        <v>215</v>
      </c>
      <c r="P32" s="403">
        <v>256</v>
      </c>
      <c r="Q32" s="403">
        <v>267</v>
      </c>
      <c r="R32" s="403">
        <v>291</v>
      </c>
      <c r="S32" s="403">
        <v>314</v>
      </c>
      <c r="T32" s="403">
        <v>358</v>
      </c>
      <c r="U32" s="403">
        <v>378</v>
      </c>
      <c r="V32" s="403">
        <v>410</v>
      </c>
      <c r="W32" s="403">
        <v>462</v>
      </c>
      <c r="X32" s="403">
        <v>491</v>
      </c>
      <c r="Y32" s="403">
        <v>491</v>
      </c>
      <c r="Z32" s="403">
        <v>566</v>
      </c>
      <c r="AC32" s="294" t="s">
        <v>349</v>
      </c>
      <c r="AD32" s="355" t="s">
        <v>350</v>
      </c>
      <c r="AE32" s="355"/>
      <c r="AF32" s="295">
        <v>36</v>
      </c>
      <c r="AG32" s="295">
        <v>39</v>
      </c>
      <c r="AH32" s="295">
        <v>43</v>
      </c>
      <c r="AI32" s="295">
        <v>48</v>
      </c>
      <c r="AJ32" s="295">
        <v>58</v>
      </c>
      <c r="AK32" s="295">
        <v>73</v>
      </c>
      <c r="AL32" s="295">
        <v>90</v>
      </c>
      <c r="AM32" s="295">
        <v>111</v>
      </c>
      <c r="AN32" s="295">
        <v>140</v>
      </c>
      <c r="AO32" s="295">
        <v>208</v>
      </c>
      <c r="AP32" s="295">
        <v>227</v>
      </c>
      <c r="AQ32" s="295">
        <v>257</v>
      </c>
      <c r="AR32" s="295">
        <v>293</v>
      </c>
      <c r="AS32" s="295">
        <v>348</v>
      </c>
      <c r="AT32" s="295">
        <v>370</v>
      </c>
      <c r="AU32" s="295">
        <v>410</v>
      </c>
      <c r="AV32" s="295">
        <v>450</v>
      </c>
      <c r="AW32" s="295">
        <v>476</v>
      </c>
      <c r="AX32" s="295">
        <v>489</v>
      </c>
      <c r="AY32" s="295">
        <v>566</v>
      </c>
    </row>
    <row r="33" spans="3:51" ht="18.75" x14ac:dyDescent="0.3">
      <c r="C33" s="354"/>
      <c r="D33" s="390" t="s">
        <v>351</v>
      </c>
      <c r="E33" s="389" t="s">
        <v>352</v>
      </c>
      <c r="F33" s="389">
        <v>0</v>
      </c>
      <c r="G33" s="403">
        <v>32</v>
      </c>
      <c r="H33" s="403">
        <v>37</v>
      </c>
      <c r="I33" s="403">
        <v>42</v>
      </c>
      <c r="J33" s="403">
        <v>49</v>
      </c>
      <c r="K33" s="403">
        <v>52</v>
      </c>
      <c r="L33" s="403">
        <v>62</v>
      </c>
      <c r="M33" s="403">
        <v>72</v>
      </c>
      <c r="N33" s="403">
        <v>89</v>
      </c>
      <c r="O33" s="403">
        <v>102</v>
      </c>
      <c r="P33" s="403">
        <v>126</v>
      </c>
      <c r="Q33" s="403">
        <v>138</v>
      </c>
      <c r="R33" s="403">
        <v>150</v>
      </c>
      <c r="S33" s="403">
        <v>157</v>
      </c>
      <c r="T33" s="403">
        <v>186</v>
      </c>
      <c r="U33" s="403">
        <v>199</v>
      </c>
      <c r="V33" s="403">
        <v>207</v>
      </c>
      <c r="W33" s="403">
        <v>227</v>
      </c>
      <c r="X33" s="403">
        <v>245</v>
      </c>
      <c r="Y33" s="403">
        <v>273</v>
      </c>
      <c r="Z33" s="403">
        <v>322</v>
      </c>
      <c r="AC33" s="294" t="s">
        <v>351</v>
      </c>
      <c r="AD33" s="355" t="s">
        <v>352</v>
      </c>
      <c r="AE33" s="355"/>
      <c r="AF33" s="295">
        <v>15</v>
      </c>
      <c r="AG33" s="295">
        <v>18</v>
      </c>
      <c r="AH33" s="295">
        <v>21</v>
      </c>
      <c r="AI33" s="295">
        <v>26</v>
      </c>
      <c r="AJ33" s="295">
        <v>29</v>
      </c>
      <c r="AK33" s="295">
        <v>36</v>
      </c>
      <c r="AL33" s="295">
        <v>44</v>
      </c>
      <c r="AM33" s="295">
        <v>57</v>
      </c>
      <c r="AN33" s="295">
        <v>72</v>
      </c>
      <c r="AO33" s="295">
        <v>98</v>
      </c>
      <c r="AP33" s="295">
        <v>112</v>
      </c>
      <c r="AQ33" s="295">
        <v>130</v>
      </c>
      <c r="AR33" s="295">
        <v>147</v>
      </c>
      <c r="AS33" s="295">
        <v>182</v>
      </c>
      <c r="AT33" s="295">
        <v>201</v>
      </c>
      <c r="AU33" s="295">
        <v>207</v>
      </c>
      <c r="AV33" s="295">
        <v>225</v>
      </c>
      <c r="AW33" s="295">
        <v>257</v>
      </c>
      <c r="AX33" s="295">
        <v>287</v>
      </c>
      <c r="AY33" s="295">
        <v>364</v>
      </c>
    </row>
    <row r="34" spans="3:51" ht="18.75" x14ac:dyDescent="0.3">
      <c r="C34" s="340"/>
      <c r="D34" s="399" t="s">
        <v>255</v>
      </c>
      <c r="E34" s="400" t="s">
        <v>353</v>
      </c>
      <c r="F34" s="400">
        <v>0</v>
      </c>
      <c r="G34" s="401">
        <v>607</v>
      </c>
      <c r="H34" s="401">
        <v>681</v>
      </c>
      <c r="I34" s="401">
        <v>714</v>
      </c>
      <c r="J34" s="401">
        <v>773</v>
      </c>
      <c r="K34" s="401">
        <v>847</v>
      </c>
      <c r="L34" s="401">
        <v>904</v>
      </c>
      <c r="M34" s="401">
        <v>1005</v>
      </c>
      <c r="N34" s="401">
        <v>1016</v>
      </c>
      <c r="O34" s="401">
        <v>1126</v>
      </c>
      <c r="P34" s="401">
        <v>1237</v>
      </c>
      <c r="Q34" s="401">
        <v>1321</v>
      </c>
      <c r="R34" s="401">
        <v>1443</v>
      </c>
      <c r="S34" s="401">
        <v>1569</v>
      </c>
      <c r="T34" s="401">
        <v>1725</v>
      </c>
      <c r="U34" s="401">
        <v>1811</v>
      </c>
      <c r="V34" s="401">
        <v>1938</v>
      </c>
      <c r="W34" s="401">
        <v>2134</v>
      </c>
      <c r="X34" s="401">
        <v>2290</v>
      </c>
      <c r="Y34" s="401">
        <v>2503</v>
      </c>
      <c r="Z34" s="401">
        <v>2667</v>
      </c>
      <c r="AC34" s="291" t="s">
        <v>255</v>
      </c>
      <c r="AD34" s="352" t="s">
        <v>353</v>
      </c>
      <c r="AE34" s="352"/>
      <c r="AF34" s="380">
        <v>214</v>
      </c>
      <c r="AG34" s="380">
        <v>247</v>
      </c>
      <c r="AH34" s="380">
        <v>264</v>
      </c>
      <c r="AI34" s="380">
        <v>292</v>
      </c>
      <c r="AJ34" s="380">
        <v>350</v>
      </c>
      <c r="AK34" s="380">
        <v>412</v>
      </c>
      <c r="AL34" s="380">
        <v>495</v>
      </c>
      <c r="AM34" s="380">
        <v>598</v>
      </c>
      <c r="AN34" s="380">
        <v>784</v>
      </c>
      <c r="AO34" s="380">
        <v>983</v>
      </c>
      <c r="AP34" s="380">
        <v>1132</v>
      </c>
      <c r="AQ34" s="380">
        <v>1256</v>
      </c>
      <c r="AR34" s="380">
        <v>1388</v>
      </c>
      <c r="AS34" s="380">
        <v>1588</v>
      </c>
      <c r="AT34" s="380">
        <v>1760</v>
      </c>
      <c r="AU34" s="380">
        <v>1938</v>
      </c>
      <c r="AV34" s="380">
        <v>2158</v>
      </c>
      <c r="AW34" s="380">
        <v>2394</v>
      </c>
      <c r="AX34" s="380">
        <v>2719</v>
      </c>
      <c r="AY34" s="380">
        <v>2952</v>
      </c>
    </row>
    <row r="35" spans="3:51" ht="18.75" x14ac:dyDescent="0.3">
      <c r="C35" s="354"/>
      <c r="D35" s="390" t="s">
        <v>354</v>
      </c>
      <c r="E35" s="389" t="s">
        <v>355</v>
      </c>
      <c r="F35" s="389">
        <v>0</v>
      </c>
      <c r="G35" s="403">
        <v>14</v>
      </c>
      <c r="H35" s="403">
        <v>14</v>
      </c>
      <c r="I35" s="403">
        <v>15</v>
      </c>
      <c r="J35" s="403">
        <v>21</v>
      </c>
      <c r="K35" s="403">
        <v>32</v>
      </c>
      <c r="L35" s="403">
        <v>40</v>
      </c>
      <c r="M35" s="403">
        <v>55</v>
      </c>
      <c r="N35" s="403">
        <v>68</v>
      </c>
      <c r="O35" s="403">
        <v>70</v>
      </c>
      <c r="P35" s="403">
        <v>74</v>
      </c>
      <c r="Q35" s="403">
        <v>70</v>
      </c>
      <c r="R35" s="403">
        <v>75</v>
      </c>
      <c r="S35" s="403">
        <v>78</v>
      </c>
      <c r="T35" s="403">
        <v>82</v>
      </c>
      <c r="U35" s="403">
        <v>85</v>
      </c>
      <c r="V35" s="403">
        <v>96</v>
      </c>
      <c r="W35" s="403">
        <v>105</v>
      </c>
      <c r="X35" s="403">
        <v>116</v>
      </c>
      <c r="Y35" s="403">
        <v>128</v>
      </c>
      <c r="Z35" s="403">
        <v>140</v>
      </c>
      <c r="AC35" s="294" t="s">
        <v>354</v>
      </c>
      <c r="AD35" s="355" t="s">
        <v>355</v>
      </c>
      <c r="AE35" s="355"/>
      <c r="AF35" s="295">
        <v>6</v>
      </c>
      <c r="AG35" s="295">
        <v>7</v>
      </c>
      <c r="AH35" s="295">
        <v>7</v>
      </c>
      <c r="AI35" s="295">
        <v>10</v>
      </c>
      <c r="AJ35" s="295">
        <v>15</v>
      </c>
      <c r="AK35" s="295">
        <v>20</v>
      </c>
      <c r="AL35" s="295">
        <v>31</v>
      </c>
      <c r="AM35" s="295">
        <v>39</v>
      </c>
      <c r="AN35" s="295">
        <v>47</v>
      </c>
      <c r="AO35" s="295">
        <v>57</v>
      </c>
      <c r="AP35" s="295">
        <v>60</v>
      </c>
      <c r="AQ35" s="295">
        <v>68</v>
      </c>
      <c r="AR35" s="295">
        <v>73</v>
      </c>
      <c r="AS35" s="295">
        <v>77</v>
      </c>
      <c r="AT35" s="295">
        <v>80</v>
      </c>
      <c r="AU35" s="295">
        <v>96</v>
      </c>
      <c r="AV35" s="295">
        <v>107</v>
      </c>
      <c r="AW35" s="295">
        <v>124</v>
      </c>
      <c r="AX35" s="295">
        <v>138</v>
      </c>
      <c r="AY35" s="295">
        <v>152</v>
      </c>
    </row>
    <row r="36" spans="3:51" ht="18.75" x14ac:dyDescent="0.3">
      <c r="C36" s="354"/>
      <c r="D36" s="390" t="s">
        <v>356</v>
      </c>
      <c r="E36" s="389" t="s">
        <v>357</v>
      </c>
      <c r="F36" s="389">
        <v>0</v>
      </c>
      <c r="G36" s="403">
        <v>12</v>
      </c>
      <c r="H36" s="403">
        <v>13</v>
      </c>
      <c r="I36" s="403">
        <v>15</v>
      </c>
      <c r="J36" s="403">
        <v>18</v>
      </c>
      <c r="K36" s="403">
        <v>19</v>
      </c>
      <c r="L36" s="403">
        <v>23</v>
      </c>
      <c r="M36" s="403">
        <v>27</v>
      </c>
      <c r="N36" s="403">
        <v>33</v>
      </c>
      <c r="O36" s="403">
        <v>37</v>
      </c>
      <c r="P36" s="403">
        <v>46</v>
      </c>
      <c r="Q36" s="403">
        <v>50</v>
      </c>
      <c r="R36" s="403">
        <v>55</v>
      </c>
      <c r="S36" s="403">
        <v>57</v>
      </c>
      <c r="T36" s="403">
        <v>75</v>
      </c>
      <c r="U36" s="403">
        <v>75</v>
      </c>
      <c r="V36" s="403">
        <v>80</v>
      </c>
      <c r="W36" s="403">
        <v>94</v>
      </c>
      <c r="X36" s="403">
        <v>102</v>
      </c>
      <c r="Y36" s="403">
        <v>115</v>
      </c>
      <c r="Z36" s="403">
        <v>136</v>
      </c>
      <c r="AC36" s="294" t="s">
        <v>356</v>
      </c>
      <c r="AD36" s="355" t="s">
        <v>357</v>
      </c>
      <c r="AE36" s="355"/>
      <c r="AF36" s="295">
        <v>6</v>
      </c>
      <c r="AG36" s="295">
        <v>7</v>
      </c>
      <c r="AH36" s="295">
        <v>9</v>
      </c>
      <c r="AI36" s="295">
        <v>11</v>
      </c>
      <c r="AJ36" s="295">
        <v>12</v>
      </c>
      <c r="AK36" s="295">
        <v>15</v>
      </c>
      <c r="AL36" s="295">
        <v>18</v>
      </c>
      <c r="AM36" s="295">
        <v>23</v>
      </c>
      <c r="AN36" s="295">
        <v>29</v>
      </c>
      <c r="AO36" s="295">
        <v>40</v>
      </c>
      <c r="AP36" s="295">
        <v>46</v>
      </c>
      <c r="AQ36" s="295">
        <v>52</v>
      </c>
      <c r="AR36" s="295">
        <v>58</v>
      </c>
      <c r="AS36" s="295">
        <v>73</v>
      </c>
      <c r="AT36" s="295">
        <v>72</v>
      </c>
      <c r="AU36" s="295">
        <v>80</v>
      </c>
      <c r="AV36" s="295">
        <v>92</v>
      </c>
      <c r="AW36" s="295">
        <v>93</v>
      </c>
      <c r="AX36" s="295">
        <v>96</v>
      </c>
      <c r="AY36" s="295">
        <v>108</v>
      </c>
    </row>
    <row r="37" spans="3:51" ht="18.75" x14ac:dyDescent="0.3">
      <c r="C37" s="354"/>
      <c r="D37" s="390" t="s">
        <v>358</v>
      </c>
      <c r="E37" s="389" t="s">
        <v>359</v>
      </c>
      <c r="F37" s="389">
        <v>0</v>
      </c>
      <c r="G37" s="403">
        <v>43</v>
      </c>
      <c r="H37" s="403">
        <v>52</v>
      </c>
      <c r="I37" s="403">
        <v>54</v>
      </c>
      <c r="J37" s="403">
        <v>53</v>
      </c>
      <c r="K37" s="403">
        <v>64</v>
      </c>
      <c r="L37" s="403">
        <v>69</v>
      </c>
      <c r="M37" s="403">
        <v>70</v>
      </c>
      <c r="N37" s="403">
        <v>77</v>
      </c>
      <c r="O37" s="403">
        <v>86</v>
      </c>
      <c r="P37" s="403">
        <v>87</v>
      </c>
      <c r="Q37" s="403">
        <v>84</v>
      </c>
      <c r="R37" s="403">
        <v>103</v>
      </c>
      <c r="S37" s="403">
        <v>124</v>
      </c>
      <c r="T37" s="403">
        <v>140</v>
      </c>
      <c r="U37" s="403">
        <v>154</v>
      </c>
      <c r="V37" s="403">
        <v>159</v>
      </c>
      <c r="W37" s="403">
        <v>179</v>
      </c>
      <c r="X37" s="403">
        <v>185</v>
      </c>
      <c r="Y37" s="403">
        <v>198</v>
      </c>
      <c r="Z37" s="403">
        <v>218</v>
      </c>
      <c r="AC37" s="294" t="s">
        <v>358</v>
      </c>
      <c r="AD37" s="355" t="s">
        <v>359</v>
      </c>
      <c r="AE37" s="355"/>
      <c r="AF37" s="295">
        <v>18</v>
      </c>
      <c r="AG37" s="295">
        <v>23</v>
      </c>
      <c r="AH37" s="295">
        <v>22</v>
      </c>
      <c r="AI37" s="295">
        <v>22</v>
      </c>
      <c r="AJ37" s="295">
        <v>30</v>
      </c>
      <c r="AK37" s="295">
        <v>37</v>
      </c>
      <c r="AL37" s="295">
        <v>41</v>
      </c>
      <c r="AM37" s="295">
        <v>49</v>
      </c>
      <c r="AN37" s="295">
        <v>59</v>
      </c>
      <c r="AO37" s="295">
        <v>65</v>
      </c>
      <c r="AP37" s="295">
        <v>65</v>
      </c>
      <c r="AQ37" s="295">
        <v>82</v>
      </c>
      <c r="AR37" s="295">
        <v>103</v>
      </c>
      <c r="AS37" s="295">
        <v>132</v>
      </c>
      <c r="AT37" s="295">
        <v>157</v>
      </c>
      <c r="AU37" s="295">
        <v>159</v>
      </c>
      <c r="AV37" s="295">
        <v>175</v>
      </c>
      <c r="AW37" s="295">
        <v>180</v>
      </c>
      <c r="AX37" s="295">
        <v>217</v>
      </c>
      <c r="AY37" s="295">
        <v>238</v>
      </c>
    </row>
    <row r="38" spans="3:51" ht="18.75" x14ac:dyDescent="0.3">
      <c r="C38" s="354"/>
      <c r="D38" s="390" t="s">
        <v>360</v>
      </c>
      <c r="E38" s="389" t="s">
        <v>361</v>
      </c>
      <c r="F38" s="389">
        <v>0</v>
      </c>
      <c r="G38" s="403">
        <v>224</v>
      </c>
      <c r="H38" s="403">
        <v>231</v>
      </c>
      <c r="I38" s="403">
        <v>239</v>
      </c>
      <c r="J38" s="403">
        <v>250</v>
      </c>
      <c r="K38" s="403">
        <v>264</v>
      </c>
      <c r="L38" s="403">
        <v>271</v>
      </c>
      <c r="M38" s="403">
        <v>293</v>
      </c>
      <c r="N38" s="403">
        <v>305</v>
      </c>
      <c r="O38" s="403">
        <v>338</v>
      </c>
      <c r="P38" s="403">
        <v>390</v>
      </c>
      <c r="Q38" s="403">
        <v>422</v>
      </c>
      <c r="R38" s="403">
        <v>427</v>
      </c>
      <c r="S38" s="403">
        <v>426</v>
      </c>
      <c r="T38" s="403">
        <v>425</v>
      </c>
      <c r="U38" s="403">
        <v>428</v>
      </c>
      <c r="V38" s="403">
        <v>452</v>
      </c>
      <c r="W38" s="403">
        <v>472</v>
      </c>
      <c r="X38" s="403">
        <v>501</v>
      </c>
      <c r="Y38" s="403">
        <v>526</v>
      </c>
      <c r="Z38" s="403">
        <v>554</v>
      </c>
      <c r="AC38" s="294" t="s">
        <v>360</v>
      </c>
      <c r="AD38" s="355" t="s">
        <v>361</v>
      </c>
      <c r="AE38" s="355"/>
      <c r="AF38" s="295">
        <v>87</v>
      </c>
      <c r="AG38" s="295">
        <v>92</v>
      </c>
      <c r="AH38" s="295">
        <v>96</v>
      </c>
      <c r="AI38" s="295">
        <v>100</v>
      </c>
      <c r="AJ38" s="295">
        <v>117</v>
      </c>
      <c r="AK38" s="295">
        <v>125</v>
      </c>
      <c r="AL38" s="295">
        <v>139</v>
      </c>
      <c r="AM38" s="295">
        <v>151</v>
      </c>
      <c r="AN38" s="295">
        <v>230</v>
      </c>
      <c r="AO38" s="295">
        <v>316</v>
      </c>
      <c r="AP38" s="295">
        <v>384</v>
      </c>
      <c r="AQ38" s="295">
        <v>401</v>
      </c>
      <c r="AR38" s="295">
        <v>422</v>
      </c>
      <c r="AS38" s="295">
        <v>418</v>
      </c>
      <c r="AT38" s="295">
        <v>415</v>
      </c>
      <c r="AU38" s="295">
        <v>452</v>
      </c>
      <c r="AV38" s="295">
        <v>486</v>
      </c>
      <c r="AW38" s="295">
        <v>551</v>
      </c>
      <c r="AX38" s="295">
        <v>608</v>
      </c>
      <c r="AY38" s="295">
        <v>670</v>
      </c>
    </row>
    <row r="39" spans="3:51" ht="18.75" x14ac:dyDescent="0.3">
      <c r="C39" s="354"/>
      <c r="D39" s="390" t="s">
        <v>362</v>
      </c>
      <c r="E39" s="389" t="s">
        <v>363</v>
      </c>
      <c r="F39" s="389">
        <v>0</v>
      </c>
      <c r="G39" s="403">
        <v>74</v>
      </c>
      <c r="H39" s="403">
        <v>77</v>
      </c>
      <c r="I39" s="403">
        <v>79</v>
      </c>
      <c r="J39" s="403">
        <v>83</v>
      </c>
      <c r="K39" s="403">
        <v>88</v>
      </c>
      <c r="L39" s="403">
        <v>90</v>
      </c>
      <c r="M39" s="403">
        <v>97</v>
      </c>
      <c r="N39" s="403">
        <v>101</v>
      </c>
      <c r="O39" s="403">
        <v>112</v>
      </c>
      <c r="P39" s="403">
        <v>130</v>
      </c>
      <c r="Q39" s="403">
        <v>140</v>
      </c>
      <c r="R39" s="403">
        <v>142</v>
      </c>
      <c r="S39" s="403">
        <v>141</v>
      </c>
      <c r="T39" s="403">
        <v>150</v>
      </c>
      <c r="U39" s="403">
        <v>156</v>
      </c>
      <c r="V39" s="403">
        <v>144</v>
      </c>
      <c r="W39" s="403">
        <v>165</v>
      </c>
      <c r="X39" s="403">
        <v>175</v>
      </c>
      <c r="Y39" s="403">
        <v>205</v>
      </c>
      <c r="Z39" s="403">
        <v>217</v>
      </c>
      <c r="AC39" s="294" t="s">
        <v>362</v>
      </c>
      <c r="AD39" s="355" t="s">
        <v>363</v>
      </c>
      <c r="AE39" s="355"/>
      <c r="AF39" s="295">
        <v>26</v>
      </c>
      <c r="AG39" s="295">
        <v>27</v>
      </c>
      <c r="AH39" s="295">
        <v>29</v>
      </c>
      <c r="AI39" s="295">
        <v>30</v>
      </c>
      <c r="AJ39" s="295">
        <v>35</v>
      </c>
      <c r="AK39" s="295">
        <v>37</v>
      </c>
      <c r="AL39" s="295">
        <v>41</v>
      </c>
      <c r="AM39" s="295">
        <v>45</v>
      </c>
      <c r="AN39" s="295">
        <v>68</v>
      </c>
      <c r="AO39" s="295">
        <v>94</v>
      </c>
      <c r="AP39" s="295">
        <v>114</v>
      </c>
      <c r="AQ39" s="295">
        <v>119</v>
      </c>
      <c r="AR39" s="295">
        <v>126</v>
      </c>
      <c r="AS39" s="295">
        <v>141</v>
      </c>
      <c r="AT39" s="295">
        <v>153</v>
      </c>
      <c r="AU39" s="295">
        <v>144</v>
      </c>
      <c r="AV39" s="295">
        <v>169</v>
      </c>
      <c r="AW39" s="295">
        <v>190</v>
      </c>
      <c r="AX39" s="295">
        <v>233</v>
      </c>
      <c r="AY39" s="295">
        <v>250</v>
      </c>
    </row>
    <row r="40" spans="3:51" ht="18.75" x14ac:dyDescent="0.3">
      <c r="C40" s="354"/>
      <c r="D40" s="390" t="s">
        <v>364</v>
      </c>
      <c r="E40" s="389" t="s">
        <v>365</v>
      </c>
      <c r="F40" s="389">
        <v>0</v>
      </c>
      <c r="G40" s="403">
        <v>84</v>
      </c>
      <c r="H40" s="403">
        <v>87</v>
      </c>
      <c r="I40" s="403">
        <v>90</v>
      </c>
      <c r="J40" s="403">
        <v>94</v>
      </c>
      <c r="K40" s="403">
        <v>99</v>
      </c>
      <c r="L40" s="403">
        <v>102</v>
      </c>
      <c r="M40" s="403">
        <v>110</v>
      </c>
      <c r="N40" s="403">
        <v>114</v>
      </c>
      <c r="O40" s="403">
        <v>127</v>
      </c>
      <c r="P40" s="403">
        <v>146</v>
      </c>
      <c r="Q40" s="403">
        <v>158</v>
      </c>
      <c r="R40" s="403">
        <v>160</v>
      </c>
      <c r="S40" s="403">
        <v>160</v>
      </c>
      <c r="T40" s="403">
        <v>170</v>
      </c>
      <c r="U40" s="403">
        <v>176</v>
      </c>
      <c r="V40" s="403">
        <v>202</v>
      </c>
      <c r="W40" s="403">
        <v>235</v>
      </c>
      <c r="X40" s="403">
        <v>258</v>
      </c>
      <c r="Y40" s="403">
        <v>325</v>
      </c>
      <c r="Z40" s="403">
        <v>316</v>
      </c>
      <c r="AC40" s="294" t="s">
        <v>364</v>
      </c>
      <c r="AD40" s="355" t="s">
        <v>365</v>
      </c>
      <c r="AE40" s="355"/>
      <c r="AF40" s="295">
        <v>29</v>
      </c>
      <c r="AG40" s="295">
        <v>31</v>
      </c>
      <c r="AH40" s="295">
        <v>32</v>
      </c>
      <c r="AI40" s="295">
        <v>33</v>
      </c>
      <c r="AJ40" s="295">
        <v>39</v>
      </c>
      <c r="AK40" s="295">
        <v>42</v>
      </c>
      <c r="AL40" s="295">
        <v>47</v>
      </c>
      <c r="AM40" s="295">
        <v>51</v>
      </c>
      <c r="AN40" s="295">
        <v>77</v>
      </c>
      <c r="AO40" s="295">
        <v>106</v>
      </c>
      <c r="AP40" s="295">
        <v>129</v>
      </c>
      <c r="AQ40" s="295">
        <v>134</v>
      </c>
      <c r="AR40" s="295">
        <v>142</v>
      </c>
      <c r="AS40" s="295">
        <v>160</v>
      </c>
      <c r="AT40" s="295">
        <v>173</v>
      </c>
      <c r="AU40" s="295">
        <v>202</v>
      </c>
      <c r="AV40" s="295">
        <v>241</v>
      </c>
      <c r="AW40" s="295">
        <v>279</v>
      </c>
      <c r="AX40" s="295">
        <v>369</v>
      </c>
      <c r="AY40" s="295">
        <v>364</v>
      </c>
    </row>
    <row r="41" spans="3:51" ht="18.75" x14ac:dyDescent="0.3">
      <c r="C41" s="354"/>
      <c r="D41" s="390" t="s">
        <v>366</v>
      </c>
      <c r="E41" s="389" t="s">
        <v>367</v>
      </c>
      <c r="F41" s="389">
        <v>0</v>
      </c>
      <c r="G41" s="403">
        <v>89</v>
      </c>
      <c r="H41" s="403">
        <v>94</v>
      </c>
      <c r="I41" s="403">
        <v>98</v>
      </c>
      <c r="J41" s="403">
        <v>98</v>
      </c>
      <c r="K41" s="403">
        <v>104</v>
      </c>
      <c r="L41" s="403">
        <v>104</v>
      </c>
      <c r="M41" s="403">
        <v>107</v>
      </c>
      <c r="N41" s="403">
        <v>117</v>
      </c>
      <c r="O41" s="403">
        <v>124</v>
      </c>
      <c r="P41" s="403">
        <v>130</v>
      </c>
      <c r="Q41" s="403">
        <v>140</v>
      </c>
      <c r="R41" s="403">
        <v>160</v>
      </c>
      <c r="S41" s="403">
        <v>183</v>
      </c>
      <c r="T41" s="403">
        <v>223</v>
      </c>
      <c r="U41" s="403">
        <v>244</v>
      </c>
      <c r="V41" s="403">
        <v>260</v>
      </c>
      <c r="W41" s="403">
        <v>275</v>
      </c>
      <c r="X41" s="403">
        <v>306</v>
      </c>
      <c r="Y41" s="403">
        <v>319</v>
      </c>
      <c r="Z41" s="403">
        <v>348</v>
      </c>
      <c r="AC41" s="294" t="s">
        <v>366</v>
      </c>
      <c r="AD41" s="355" t="s">
        <v>367</v>
      </c>
      <c r="AE41" s="355"/>
      <c r="AF41" s="295">
        <v>42</v>
      </c>
      <c r="AG41" s="295">
        <v>46</v>
      </c>
      <c r="AH41" s="295">
        <v>48</v>
      </c>
      <c r="AI41" s="295">
        <v>49</v>
      </c>
      <c r="AJ41" s="295">
        <v>56</v>
      </c>
      <c r="AK41" s="295">
        <v>60</v>
      </c>
      <c r="AL41" s="295">
        <v>66</v>
      </c>
      <c r="AM41" s="295">
        <v>76</v>
      </c>
      <c r="AN41" s="295">
        <v>86</v>
      </c>
      <c r="AO41" s="295">
        <v>100</v>
      </c>
      <c r="AP41" s="295">
        <v>116</v>
      </c>
      <c r="AQ41" s="295">
        <v>137</v>
      </c>
      <c r="AR41" s="295">
        <v>165</v>
      </c>
      <c r="AS41" s="295">
        <v>210</v>
      </c>
      <c r="AT41" s="295">
        <v>238</v>
      </c>
      <c r="AU41" s="295">
        <v>260</v>
      </c>
      <c r="AV41" s="295">
        <v>282</v>
      </c>
      <c r="AW41" s="295">
        <v>329</v>
      </c>
      <c r="AX41" s="295">
        <v>355</v>
      </c>
      <c r="AY41" s="295">
        <v>396</v>
      </c>
    </row>
    <row r="42" spans="3:51" ht="18.75" x14ac:dyDescent="0.3">
      <c r="C42" s="354"/>
      <c r="D42" s="390" t="s">
        <v>368</v>
      </c>
      <c r="E42" s="389" t="s">
        <v>369</v>
      </c>
      <c r="F42" s="389">
        <v>0</v>
      </c>
      <c r="G42" s="403">
        <v>28</v>
      </c>
      <c r="H42" s="403">
        <v>33</v>
      </c>
      <c r="I42" s="403">
        <v>37</v>
      </c>
      <c r="J42" s="403">
        <v>51</v>
      </c>
      <c r="K42" s="403">
        <v>49</v>
      </c>
      <c r="L42" s="403">
        <v>58</v>
      </c>
      <c r="M42" s="403">
        <v>69</v>
      </c>
      <c r="N42" s="403">
        <v>74</v>
      </c>
      <c r="O42" s="403">
        <v>84</v>
      </c>
      <c r="P42" s="403">
        <v>90</v>
      </c>
      <c r="Q42" s="403">
        <v>104</v>
      </c>
      <c r="R42" s="403">
        <v>113</v>
      </c>
      <c r="S42" s="403">
        <v>134</v>
      </c>
      <c r="T42" s="403">
        <v>143</v>
      </c>
      <c r="U42" s="403">
        <v>149</v>
      </c>
      <c r="V42" s="403">
        <v>154</v>
      </c>
      <c r="W42" s="403">
        <v>157</v>
      </c>
      <c r="X42" s="403">
        <v>163</v>
      </c>
      <c r="Y42" s="403">
        <v>166</v>
      </c>
      <c r="Z42" s="403">
        <v>172</v>
      </c>
      <c r="AC42" s="294" t="s">
        <v>368</v>
      </c>
      <c r="AD42" s="355" t="s">
        <v>369</v>
      </c>
      <c r="AE42" s="355"/>
      <c r="AF42" s="295">
        <v>6</v>
      </c>
      <c r="AG42" s="295">
        <v>10</v>
      </c>
      <c r="AH42" s="295">
        <v>10</v>
      </c>
      <c r="AI42" s="295">
        <v>13</v>
      </c>
      <c r="AJ42" s="295">
        <v>14</v>
      </c>
      <c r="AK42" s="295">
        <v>17</v>
      </c>
      <c r="AL42" s="295">
        <v>23</v>
      </c>
      <c r="AM42" s="295">
        <v>30</v>
      </c>
      <c r="AN42" s="295">
        <v>38</v>
      </c>
      <c r="AO42" s="295">
        <v>44</v>
      </c>
      <c r="AP42" s="295">
        <v>56</v>
      </c>
      <c r="AQ42" s="295">
        <v>68</v>
      </c>
      <c r="AR42" s="295">
        <v>85</v>
      </c>
      <c r="AS42" s="295">
        <v>104</v>
      </c>
      <c r="AT42" s="295">
        <v>140</v>
      </c>
      <c r="AU42" s="295">
        <v>154</v>
      </c>
      <c r="AV42" s="295">
        <v>157</v>
      </c>
      <c r="AW42" s="295">
        <v>166</v>
      </c>
      <c r="AX42" s="295">
        <v>168</v>
      </c>
      <c r="AY42" s="295">
        <v>177</v>
      </c>
    </row>
    <row r="43" spans="3:51" ht="18.75" x14ac:dyDescent="0.3">
      <c r="C43" s="354"/>
      <c r="D43" s="390" t="s">
        <v>370</v>
      </c>
      <c r="E43" s="389" t="s">
        <v>371</v>
      </c>
      <c r="F43" s="389">
        <v>0</v>
      </c>
      <c r="G43" s="403">
        <v>31</v>
      </c>
      <c r="H43" s="403">
        <v>32</v>
      </c>
      <c r="I43" s="403">
        <v>37</v>
      </c>
      <c r="J43" s="403">
        <v>40</v>
      </c>
      <c r="K43" s="403">
        <v>48</v>
      </c>
      <c r="L43" s="403">
        <v>52</v>
      </c>
      <c r="M43" s="403">
        <v>50</v>
      </c>
      <c r="N43" s="403">
        <v>54</v>
      </c>
      <c r="O43" s="403">
        <v>62</v>
      </c>
      <c r="P43" s="403">
        <v>69</v>
      </c>
      <c r="Q43" s="403">
        <v>80</v>
      </c>
      <c r="R43" s="403">
        <v>92</v>
      </c>
      <c r="S43" s="403">
        <v>94</v>
      </c>
      <c r="T43" s="403">
        <v>116</v>
      </c>
      <c r="U43" s="403">
        <v>123</v>
      </c>
      <c r="V43" s="403">
        <v>133</v>
      </c>
      <c r="W43" s="403">
        <v>146</v>
      </c>
      <c r="X43" s="403">
        <v>155</v>
      </c>
      <c r="Y43" s="403">
        <v>165</v>
      </c>
      <c r="Z43" s="403">
        <v>165</v>
      </c>
      <c r="AC43" s="294" t="s">
        <v>370</v>
      </c>
      <c r="AD43" s="355" t="s">
        <v>371</v>
      </c>
      <c r="AE43" s="355"/>
      <c r="AF43" s="295">
        <v>16</v>
      </c>
      <c r="AG43" s="295">
        <v>17</v>
      </c>
      <c r="AH43" s="295">
        <v>19</v>
      </c>
      <c r="AI43" s="295">
        <v>21</v>
      </c>
      <c r="AJ43" s="295">
        <v>28</v>
      </c>
      <c r="AK43" s="295">
        <v>31</v>
      </c>
      <c r="AL43" s="295">
        <v>31</v>
      </c>
      <c r="AM43" s="295">
        <v>33</v>
      </c>
      <c r="AN43" s="295">
        <v>44</v>
      </c>
      <c r="AO43" s="295">
        <v>54</v>
      </c>
      <c r="AP43" s="295">
        <v>66</v>
      </c>
      <c r="AQ43" s="295">
        <v>78</v>
      </c>
      <c r="AR43" s="295">
        <v>80</v>
      </c>
      <c r="AS43" s="295">
        <v>102</v>
      </c>
      <c r="AT43" s="295">
        <v>117</v>
      </c>
      <c r="AU43" s="295">
        <v>133</v>
      </c>
      <c r="AV43" s="295">
        <v>137</v>
      </c>
      <c r="AW43" s="295">
        <v>140</v>
      </c>
      <c r="AX43" s="295">
        <v>152</v>
      </c>
      <c r="AY43" s="295">
        <v>156</v>
      </c>
    </row>
    <row r="44" spans="3:51" ht="18.75" x14ac:dyDescent="0.3">
      <c r="C44" s="354"/>
      <c r="D44" s="390" t="s">
        <v>372</v>
      </c>
      <c r="E44" s="389" t="s">
        <v>373</v>
      </c>
      <c r="F44" s="389">
        <v>0</v>
      </c>
      <c r="G44" s="403">
        <v>9</v>
      </c>
      <c r="H44" s="403">
        <v>48</v>
      </c>
      <c r="I44" s="403">
        <v>51</v>
      </c>
      <c r="J44" s="403">
        <v>64</v>
      </c>
      <c r="K44" s="403">
        <v>82</v>
      </c>
      <c r="L44" s="403">
        <v>95</v>
      </c>
      <c r="M44" s="403">
        <v>127</v>
      </c>
      <c r="N44" s="403">
        <v>152</v>
      </c>
      <c r="O44" s="403">
        <v>173</v>
      </c>
      <c r="P44" s="403">
        <v>177</v>
      </c>
      <c r="Q44" s="403">
        <v>167</v>
      </c>
      <c r="R44" s="403">
        <v>179</v>
      </c>
      <c r="S44" s="403">
        <v>178</v>
      </c>
      <c r="T44" s="403">
        <v>197</v>
      </c>
      <c r="U44" s="403">
        <v>221</v>
      </c>
      <c r="V44" s="403">
        <v>257</v>
      </c>
      <c r="W44" s="403">
        <v>306</v>
      </c>
      <c r="X44" s="403">
        <v>328</v>
      </c>
      <c r="Y44" s="403">
        <v>356</v>
      </c>
      <c r="Z44" s="403">
        <v>400</v>
      </c>
      <c r="AC44" s="294" t="s">
        <v>372</v>
      </c>
      <c r="AD44" s="355" t="s">
        <v>373</v>
      </c>
      <c r="AE44" s="355"/>
      <c r="AF44" s="295">
        <v>5</v>
      </c>
      <c r="AG44" s="295">
        <v>27</v>
      </c>
      <c r="AH44" s="295">
        <v>28</v>
      </c>
      <c r="AI44" s="295">
        <v>34</v>
      </c>
      <c r="AJ44" s="295">
        <v>47</v>
      </c>
      <c r="AK44" s="295">
        <v>58</v>
      </c>
      <c r="AL44" s="295">
        <v>83</v>
      </c>
      <c r="AM44" s="295">
        <v>105</v>
      </c>
      <c r="AN44" s="295">
        <v>123</v>
      </c>
      <c r="AO44" s="295">
        <v>138</v>
      </c>
      <c r="AP44" s="295">
        <v>141</v>
      </c>
      <c r="AQ44" s="295">
        <v>153</v>
      </c>
      <c r="AR44" s="295">
        <v>161</v>
      </c>
      <c r="AS44" s="295">
        <v>185</v>
      </c>
      <c r="AT44" s="295">
        <v>214</v>
      </c>
      <c r="AU44" s="295">
        <v>257</v>
      </c>
      <c r="AV44" s="295">
        <v>313</v>
      </c>
      <c r="AW44" s="295">
        <v>342</v>
      </c>
      <c r="AX44" s="295">
        <v>382</v>
      </c>
      <c r="AY44" s="295">
        <v>441</v>
      </c>
    </row>
    <row r="45" spans="3:51" ht="18.75" x14ac:dyDescent="0.3">
      <c r="C45" s="340"/>
      <c r="D45" s="410"/>
      <c r="E45" s="394"/>
      <c r="F45" s="394"/>
      <c r="G45" s="411"/>
      <c r="H45" s="411"/>
      <c r="I45" s="411"/>
      <c r="J45" s="411"/>
      <c r="K45" s="411"/>
      <c r="L45" s="411"/>
      <c r="M45" s="411"/>
      <c r="N45" s="411"/>
      <c r="O45" s="411"/>
      <c r="P45" s="411"/>
      <c r="Q45" s="411"/>
      <c r="R45" s="411"/>
      <c r="S45" s="411"/>
      <c r="T45" s="411"/>
      <c r="U45" s="411"/>
      <c r="V45" s="411"/>
      <c r="W45" s="411"/>
      <c r="X45" s="411"/>
      <c r="Y45" s="411"/>
      <c r="Z45" s="411"/>
      <c r="AC45" s="340"/>
      <c r="AD45" s="345"/>
      <c r="AE45" s="345"/>
      <c r="AF45" s="382"/>
      <c r="AG45" s="382"/>
      <c r="AH45" s="382"/>
      <c r="AI45" s="382"/>
      <c r="AJ45" s="382"/>
      <c r="AK45" s="382"/>
      <c r="AL45" s="382"/>
      <c r="AM45" s="382"/>
      <c r="AN45" s="382"/>
      <c r="AO45" s="382"/>
      <c r="AP45" s="382"/>
      <c r="AQ45" s="382"/>
      <c r="AR45" s="382"/>
      <c r="AS45" s="382"/>
      <c r="AT45" s="382"/>
      <c r="AU45" s="382"/>
      <c r="AV45" s="382"/>
      <c r="AW45" s="382"/>
      <c r="AX45" s="382"/>
      <c r="AY45" s="382"/>
    </row>
    <row r="46" spans="3:51" ht="18.75" x14ac:dyDescent="0.3">
      <c r="C46" s="340"/>
      <c r="D46" s="399" t="s">
        <v>257</v>
      </c>
      <c r="E46" s="400"/>
      <c r="F46" s="400">
        <v>0</v>
      </c>
      <c r="G46" s="401">
        <v>168</v>
      </c>
      <c r="H46" s="401">
        <v>182</v>
      </c>
      <c r="I46" s="401">
        <v>197</v>
      </c>
      <c r="J46" s="401">
        <v>217</v>
      </c>
      <c r="K46" s="401">
        <v>216</v>
      </c>
      <c r="L46" s="401">
        <v>226</v>
      </c>
      <c r="M46" s="401">
        <v>240</v>
      </c>
      <c r="N46" s="401">
        <v>261</v>
      </c>
      <c r="O46" s="401">
        <v>272</v>
      </c>
      <c r="P46" s="401">
        <v>304</v>
      </c>
      <c r="Q46" s="401">
        <v>333</v>
      </c>
      <c r="R46" s="401">
        <v>349</v>
      </c>
      <c r="S46" s="401">
        <v>354</v>
      </c>
      <c r="T46" s="401">
        <v>361</v>
      </c>
      <c r="U46" s="401">
        <v>349</v>
      </c>
      <c r="V46" s="401">
        <v>377</v>
      </c>
      <c r="W46" s="401">
        <v>430</v>
      </c>
      <c r="X46" s="401">
        <v>449</v>
      </c>
      <c r="Y46" s="401">
        <v>431</v>
      </c>
      <c r="Z46" s="401">
        <v>492</v>
      </c>
      <c r="AC46" s="291" t="s">
        <v>257</v>
      </c>
      <c r="AD46" s="352"/>
      <c r="AE46" s="352"/>
      <c r="AF46" s="380">
        <v>47</v>
      </c>
      <c r="AG46" s="380">
        <v>49</v>
      </c>
      <c r="AH46" s="380">
        <v>57</v>
      </c>
      <c r="AI46" s="380">
        <v>66</v>
      </c>
      <c r="AJ46" s="380">
        <v>81</v>
      </c>
      <c r="AK46" s="380">
        <v>98</v>
      </c>
      <c r="AL46" s="380">
        <v>112</v>
      </c>
      <c r="AM46" s="380">
        <v>129</v>
      </c>
      <c r="AN46" s="380">
        <v>157</v>
      </c>
      <c r="AO46" s="380">
        <v>215</v>
      </c>
      <c r="AP46" s="380">
        <v>239</v>
      </c>
      <c r="AQ46" s="380">
        <v>266</v>
      </c>
      <c r="AR46" s="380">
        <v>328</v>
      </c>
      <c r="AS46" s="380">
        <v>301</v>
      </c>
      <c r="AT46" s="380">
        <v>304</v>
      </c>
      <c r="AU46" s="380">
        <v>377</v>
      </c>
      <c r="AV46" s="380">
        <v>427</v>
      </c>
      <c r="AW46" s="380">
        <v>469</v>
      </c>
      <c r="AX46" s="380">
        <v>524</v>
      </c>
      <c r="AY46" s="380">
        <v>568</v>
      </c>
    </row>
    <row r="47" spans="3:51" ht="19.5" thickBot="1" x14ac:dyDescent="0.35">
      <c r="C47" s="340"/>
      <c r="D47" s="362"/>
      <c r="E47" s="363"/>
      <c r="F47" s="363"/>
      <c r="G47" s="362"/>
      <c r="H47" s="362"/>
      <c r="I47" s="362"/>
      <c r="J47" s="362"/>
      <c r="K47" s="362"/>
      <c r="L47" s="362"/>
      <c r="M47" s="362"/>
      <c r="N47" s="362"/>
      <c r="O47" s="362"/>
      <c r="P47" s="362"/>
      <c r="Q47" s="362"/>
      <c r="R47" s="362"/>
      <c r="S47" s="362"/>
      <c r="T47" s="362"/>
      <c r="U47" s="362"/>
      <c r="V47" s="362"/>
      <c r="W47" s="362"/>
      <c r="X47" s="362"/>
      <c r="Y47" s="362"/>
      <c r="Z47" s="362"/>
      <c r="AC47" s="362"/>
      <c r="AD47" s="363"/>
      <c r="AE47" s="363"/>
      <c r="AF47" s="363"/>
      <c r="AG47" s="363"/>
      <c r="AH47" s="363"/>
      <c r="AI47" s="363"/>
      <c r="AJ47" s="363"/>
      <c r="AK47" s="363"/>
      <c r="AL47" s="363"/>
      <c r="AM47" s="363"/>
      <c r="AN47" s="363"/>
      <c r="AO47" s="363"/>
      <c r="AP47" s="363"/>
      <c r="AQ47" s="363"/>
      <c r="AR47" s="363"/>
      <c r="AS47" s="363"/>
      <c r="AT47" s="363"/>
      <c r="AU47" s="363"/>
      <c r="AV47" s="363"/>
      <c r="AW47" s="363"/>
      <c r="AX47" s="363"/>
      <c r="AY47" s="363"/>
    </row>
    <row r="48" spans="3:51" ht="15.75" thickTop="1" x14ac:dyDescent="0.25">
      <c r="C48" s="364"/>
      <c r="D48" s="412" t="s">
        <v>374</v>
      </c>
      <c r="E48" s="366"/>
      <c r="F48" s="367"/>
      <c r="G48" s="367"/>
      <c r="H48" s="367"/>
      <c r="I48" s="367"/>
      <c r="J48" s="367"/>
      <c r="K48" s="367"/>
      <c r="L48" s="367"/>
      <c r="M48" s="367"/>
      <c r="N48" s="367"/>
      <c r="O48" s="367"/>
      <c r="P48" s="367"/>
      <c r="Q48" s="367"/>
      <c r="R48" s="367"/>
      <c r="S48" s="367"/>
      <c r="T48" s="367"/>
      <c r="U48" s="367"/>
      <c r="V48" s="367"/>
      <c r="W48" s="367"/>
      <c r="X48" s="367"/>
      <c r="Y48" s="367"/>
      <c r="Z48" s="367"/>
      <c r="AC48" s="365" t="s">
        <v>374</v>
      </c>
      <c r="AD48" s="366"/>
      <c r="AE48" s="367"/>
      <c r="AF48" s="367"/>
      <c r="AG48" s="367"/>
      <c r="AH48" s="367"/>
      <c r="AI48" s="367"/>
      <c r="AJ48" s="367"/>
      <c r="AK48" s="367"/>
      <c r="AL48" s="367"/>
      <c r="AM48" s="367"/>
      <c r="AN48" s="367"/>
      <c r="AO48" s="367"/>
      <c r="AP48" s="367"/>
      <c r="AQ48" s="367"/>
      <c r="AR48" s="367"/>
      <c r="AS48" s="367"/>
      <c r="AT48" s="367"/>
      <c r="AU48" s="367"/>
      <c r="AV48" s="367"/>
      <c r="AW48" s="367"/>
      <c r="AX48" s="367"/>
      <c r="AY48" s="367"/>
    </row>
    <row r="49" spans="3:51" x14ac:dyDescent="0.25">
      <c r="C49" s="364"/>
      <c r="D49" s="368">
        <v>43174</v>
      </c>
      <c r="E49" s="366"/>
      <c r="F49" s="367"/>
      <c r="G49" s="367"/>
      <c r="H49" s="367"/>
      <c r="I49" s="367"/>
      <c r="J49" s="367"/>
      <c r="K49" s="367"/>
      <c r="L49" s="367"/>
      <c r="M49" s="367"/>
      <c r="N49" s="367"/>
      <c r="O49" s="367"/>
      <c r="P49" s="367"/>
      <c r="Q49" s="367"/>
      <c r="R49" s="367"/>
      <c r="S49" s="367"/>
      <c r="T49" s="367"/>
      <c r="U49" s="367"/>
      <c r="V49" s="367"/>
      <c r="W49" s="367"/>
      <c r="X49" s="367"/>
      <c r="Y49" s="367"/>
      <c r="AC49" s="368">
        <f ca="1">TODAY()</f>
        <v>43965</v>
      </c>
      <c r="AD49" s="366"/>
      <c r="AE49" s="367"/>
      <c r="AF49" s="367"/>
      <c r="AG49" s="367"/>
      <c r="AH49" s="367"/>
      <c r="AI49" s="367"/>
      <c r="AJ49" s="367"/>
      <c r="AK49" s="367"/>
      <c r="AL49" s="367"/>
      <c r="AM49" s="367"/>
      <c r="AN49" s="367"/>
      <c r="AO49" s="367"/>
      <c r="AP49" s="367"/>
      <c r="AQ49" s="367"/>
      <c r="AR49" s="367"/>
      <c r="AS49" s="367"/>
      <c r="AT49" s="367"/>
      <c r="AU49" s="367"/>
      <c r="AV49" s="367"/>
      <c r="AW49" s="367"/>
      <c r="AX49" s="367"/>
      <c r="AY49" s="367"/>
    </row>
    <row r="55" spans="3:51" x14ac:dyDescent="0.25">
      <c r="D55" s="369" t="s">
        <v>375</v>
      </c>
      <c r="E55" s="369"/>
      <c r="F55" s="369"/>
      <c r="G55" s="369">
        <f>G9</f>
        <v>702</v>
      </c>
      <c r="H55" s="369">
        <f t="shared" ref="H55:Y55" si="0">H9</f>
        <v>754</v>
      </c>
      <c r="I55" s="369">
        <f t="shared" si="0"/>
        <v>821</v>
      </c>
      <c r="J55" s="369">
        <f t="shared" si="0"/>
        <v>960</v>
      </c>
      <c r="K55" s="369">
        <f t="shared" si="0"/>
        <v>930</v>
      </c>
      <c r="L55" s="369">
        <f t="shared" si="0"/>
        <v>947</v>
      </c>
      <c r="M55" s="369">
        <f t="shared" si="0"/>
        <v>1008</v>
      </c>
      <c r="N55" s="369">
        <f t="shared" si="0"/>
        <v>1036</v>
      </c>
      <c r="O55" s="369">
        <f t="shared" si="0"/>
        <v>1063</v>
      </c>
      <c r="P55" s="369">
        <f t="shared" si="0"/>
        <v>1132</v>
      </c>
      <c r="Q55" s="369">
        <f t="shared" si="0"/>
        <v>1219</v>
      </c>
      <c r="R55" s="369">
        <f t="shared" si="0"/>
        <v>1280</v>
      </c>
      <c r="S55" s="369">
        <f t="shared" si="0"/>
        <v>1336</v>
      </c>
      <c r="T55" s="369">
        <f t="shared" si="0"/>
        <v>1427</v>
      </c>
      <c r="U55" s="369">
        <f t="shared" si="0"/>
        <v>1474</v>
      </c>
      <c r="V55" s="369">
        <f t="shared" si="0"/>
        <v>1572</v>
      </c>
      <c r="W55" s="369">
        <f t="shared" si="0"/>
        <v>1650</v>
      </c>
      <c r="X55" s="369">
        <f t="shared" si="0"/>
        <v>1714</v>
      </c>
      <c r="Y55" s="369">
        <f t="shared" si="0"/>
        <v>1827</v>
      </c>
      <c r="Z55" s="369">
        <f t="shared" ref="Z55" si="1">Z9</f>
        <v>1934</v>
      </c>
    </row>
    <row r="56" spans="3:51" x14ac:dyDescent="0.25">
      <c r="D56" s="369" t="s">
        <v>247</v>
      </c>
      <c r="E56" s="369"/>
      <c r="F56" s="369"/>
      <c r="G56" s="369">
        <f>G16</f>
        <v>21</v>
      </c>
      <c r="H56" s="369">
        <f t="shared" ref="H56:Y56" si="2">H16</f>
        <v>29</v>
      </c>
      <c r="I56" s="369">
        <f t="shared" si="2"/>
        <v>79</v>
      </c>
      <c r="J56" s="369">
        <f t="shared" si="2"/>
        <v>60</v>
      </c>
      <c r="K56" s="369">
        <f t="shared" si="2"/>
        <v>48</v>
      </c>
      <c r="L56" s="369">
        <f t="shared" si="2"/>
        <v>71</v>
      </c>
      <c r="M56" s="369">
        <f t="shared" si="2"/>
        <v>93</v>
      </c>
      <c r="N56" s="369">
        <f t="shared" si="2"/>
        <v>80</v>
      </c>
      <c r="O56" s="369">
        <f t="shared" si="2"/>
        <v>114</v>
      </c>
      <c r="P56" s="369">
        <f t="shared" si="2"/>
        <v>96</v>
      </c>
      <c r="Q56" s="369">
        <f t="shared" si="2"/>
        <v>79</v>
      </c>
      <c r="R56" s="369">
        <f t="shared" si="2"/>
        <v>71</v>
      </c>
      <c r="S56" s="369">
        <f t="shared" si="2"/>
        <v>106</v>
      </c>
      <c r="T56" s="369">
        <f t="shared" si="2"/>
        <v>98</v>
      </c>
      <c r="U56" s="369">
        <f t="shared" si="2"/>
        <v>118</v>
      </c>
      <c r="V56" s="369">
        <f t="shared" si="2"/>
        <v>147</v>
      </c>
      <c r="W56" s="369">
        <f t="shared" si="2"/>
        <v>140</v>
      </c>
      <c r="X56" s="369">
        <f t="shared" si="2"/>
        <v>154</v>
      </c>
      <c r="Y56" s="369">
        <f t="shared" si="2"/>
        <v>189</v>
      </c>
      <c r="Z56" s="369">
        <f t="shared" ref="Z56" si="3">Z16</f>
        <v>193</v>
      </c>
    </row>
    <row r="57" spans="3:51" x14ac:dyDescent="0.25">
      <c r="D57" s="369" t="s">
        <v>301</v>
      </c>
      <c r="E57" s="369"/>
      <c r="F57" s="369"/>
      <c r="G57" s="369">
        <f>G17</f>
        <v>141</v>
      </c>
      <c r="H57" s="369">
        <f t="shared" ref="H57:Y57" si="4">H17</f>
        <v>141</v>
      </c>
      <c r="I57" s="369">
        <f t="shared" si="4"/>
        <v>155</v>
      </c>
      <c r="J57" s="369">
        <f t="shared" si="4"/>
        <v>178</v>
      </c>
      <c r="K57" s="369">
        <f t="shared" si="4"/>
        <v>186</v>
      </c>
      <c r="L57" s="369">
        <f t="shared" si="4"/>
        <v>209</v>
      </c>
      <c r="M57" s="369">
        <f t="shared" si="4"/>
        <v>227</v>
      </c>
      <c r="N57" s="369">
        <f t="shared" si="4"/>
        <v>257</v>
      </c>
      <c r="O57" s="369">
        <f t="shared" si="4"/>
        <v>259</v>
      </c>
      <c r="P57" s="369">
        <f t="shared" si="4"/>
        <v>273</v>
      </c>
      <c r="Q57" s="369">
        <f t="shared" si="4"/>
        <v>281</v>
      </c>
      <c r="R57" s="369">
        <f t="shared" si="4"/>
        <v>307</v>
      </c>
      <c r="S57" s="369">
        <f t="shared" si="4"/>
        <v>333</v>
      </c>
      <c r="T57" s="369">
        <f t="shared" si="4"/>
        <v>352</v>
      </c>
      <c r="U57" s="369">
        <f t="shared" si="4"/>
        <v>369</v>
      </c>
      <c r="V57" s="369">
        <f t="shared" si="4"/>
        <v>322</v>
      </c>
      <c r="W57" s="369">
        <f t="shared" si="4"/>
        <v>349</v>
      </c>
      <c r="X57" s="369">
        <f t="shared" si="4"/>
        <v>372</v>
      </c>
      <c r="Y57" s="369">
        <f t="shared" si="4"/>
        <v>396</v>
      </c>
      <c r="Z57" s="369">
        <f t="shared" ref="Z57" si="5">Z17</f>
        <v>439</v>
      </c>
    </row>
    <row r="58" spans="3:51" x14ac:dyDescent="0.25">
      <c r="D58" s="369" t="s">
        <v>250</v>
      </c>
      <c r="E58" s="369"/>
      <c r="F58" s="369"/>
      <c r="G58" s="369">
        <f>G26</f>
        <v>49</v>
      </c>
      <c r="H58" s="369">
        <f t="shared" ref="H58:Y58" si="6">H26</f>
        <v>43</v>
      </c>
      <c r="I58" s="369">
        <f t="shared" si="6"/>
        <v>39</v>
      </c>
      <c r="J58" s="369">
        <f t="shared" si="6"/>
        <v>39</v>
      </c>
      <c r="K58" s="369">
        <f t="shared" si="6"/>
        <v>35</v>
      </c>
      <c r="L58" s="369">
        <f t="shared" si="6"/>
        <v>24</v>
      </c>
      <c r="M58" s="369">
        <f t="shared" si="6"/>
        <v>21</v>
      </c>
      <c r="N58" s="369">
        <f t="shared" si="6"/>
        <v>18</v>
      </c>
      <c r="O58" s="369">
        <f t="shared" si="6"/>
        <v>19</v>
      </c>
      <c r="P58" s="369">
        <f t="shared" si="6"/>
        <v>23</v>
      </c>
      <c r="Q58" s="369">
        <f t="shared" si="6"/>
        <v>26</v>
      </c>
      <c r="R58" s="369">
        <f t="shared" si="6"/>
        <v>30</v>
      </c>
      <c r="S58" s="369">
        <f t="shared" si="6"/>
        <v>34</v>
      </c>
      <c r="T58" s="369">
        <f t="shared" si="6"/>
        <v>40</v>
      </c>
      <c r="U58" s="369">
        <f t="shared" si="6"/>
        <v>43</v>
      </c>
      <c r="V58" s="369">
        <f t="shared" si="6"/>
        <v>47</v>
      </c>
      <c r="W58" s="369">
        <f t="shared" si="6"/>
        <v>51</v>
      </c>
      <c r="X58" s="369">
        <f t="shared" si="6"/>
        <v>58</v>
      </c>
      <c r="Y58" s="369">
        <f t="shared" si="6"/>
        <v>62</v>
      </c>
      <c r="Z58" s="369">
        <f t="shared" ref="Z58" si="7">Z26</f>
        <v>68</v>
      </c>
    </row>
    <row r="59" spans="3:51" x14ac:dyDescent="0.25">
      <c r="D59" s="369" t="s">
        <v>251</v>
      </c>
      <c r="E59" s="369"/>
      <c r="F59" s="369"/>
      <c r="G59" s="369">
        <f>G27</f>
        <v>37</v>
      </c>
      <c r="H59" s="369">
        <f t="shared" ref="H59:Y59" si="8">H27</f>
        <v>33</v>
      </c>
      <c r="I59" s="369">
        <f t="shared" si="8"/>
        <v>30</v>
      </c>
      <c r="J59" s="369">
        <f t="shared" si="8"/>
        <v>29</v>
      </c>
      <c r="K59" s="369">
        <f t="shared" si="8"/>
        <v>27</v>
      </c>
      <c r="L59" s="369">
        <f t="shared" si="8"/>
        <v>18</v>
      </c>
      <c r="M59" s="369">
        <f t="shared" si="8"/>
        <v>16</v>
      </c>
      <c r="N59" s="369">
        <f t="shared" si="8"/>
        <v>14</v>
      </c>
      <c r="O59" s="369">
        <f t="shared" si="8"/>
        <v>15</v>
      </c>
      <c r="P59" s="369">
        <f t="shared" si="8"/>
        <v>17</v>
      </c>
      <c r="Q59" s="369">
        <f t="shared" si="8"/>
        <v>20</v>
      </c>
      <c r="R59" s="369">
        <f t="shared" si="8"/>
        <v>23</v>
      </c>
      <c r="S59" s="369">
        <f t="shared" si="8"/>
        <v>26</v>
      </c>
      <c r="T59" s="369">
        <f t="shared" si="8"/>
        <v>28</v>
      </c>
      <c r="U59" s="369">
        <f t="shared" si="8"/>
        <v>30</v>
      </c>
      <c r="V59" s="369">
        <f t="shared" si="8"/>
        <v>31</v>
      </c>
      <c r="W59" s="369">
        <f t="shared" si="8"/>
        <v>31</v>
      </c>
      <c r="X59" s="369">
        <f t="shared" si="8"/>
        <v>33</v>
      </c>
      <c r="Y59" s="369">
        <f t="shared" si="8"/>
        <v>33</v>
      </c>
      <c r="Z59" s="369">
        <f t="shared" ref="Z59" si="9">Z27</f>
        <v>34</v>
      </c>
    </row>
    <row r="60" spans="3:51" x14ac:dyDescent="0.25">
      <c r="D60" s="369" t="s">
        <v>252</v>
      </c>
      <c r="E60" s="369"/>
      <c r="F60" s="369"/>
      <c r="G60" s="369">
        <f>G28</f>
        <v>75</v>
      </c>
      <c r="H60" s="369">
        <f t="shared" ref="H60:Y60" si="10">H28</f>
        <v>77</v>
      </c>
      <c r="I60" s="369">
        <f t="shared" si="10"/>
        <v>85</v>
      </c>
      <c r="J60" s="369">
        <f t="shared" si="10"/>
        <v>87</v>
      </c>
      <c r="K60" s="369">
        <f t="shared" si="10"/>
        <v>95</v>
      </c>
      <c r="L60" s="369">
        <f t="shared" si="10"/>
        <v>114</v>
      </c>
      <c r="M60" s="369">
        <f t="shared" si="10"/>
        <v>124</v>
      </c>
      <c r="N60" s="369">
        <f t="shared" si="10"/>
        <v>140</v>
      </c>
      <c r="O60" s="369">
        <f t="shared" si="10"/>
        <v>161</v>
      </c>
      <c r="P60" s="369">
        <f t="shared" si="10"/>
        <v>206</v>
      </c>
      <c r="Q60" s="369">
        <f t="shared" si="10"/>
        <v>209</v>
      </c>
      <c r="R60" s="369">
        <f t="shared" si="10"/>
        <v>228</v>
      </c>
      <c r="S60" s="369">
        <f t="shared" si="10"/>
        <v>281</v>
      </c>
      <c r="T60" s="369">
        <f t="shared" si="10"/>
        <v>322</v>
      </c>
      <c r="U60" s="369">
        <f t="shared" si="10"/>
        <v>357</v>
      </c>
      <c r="V60" s="369">
        <f t="shared" si="10"/>
        <v>392</v>
      </c>
      <c r="W60" s="369">
        <f t="shared" si="10"/>
        <v>453</v>
      </c>
      <c r="X60" s="369">
        <f t="shared" si="10"/>
        <v>475</v>
      </c>
      <c r="Y60" s="369">
        <f t="shared" si="10"/>
        <v>460</v>
      </c>
      <c r="Z60" s="369">
        <f t="shared" ref="Z60" si="11">Z28</f>
        <v>525</v>
      </c>
    </row>
    <row r="61" spans="3:51" x14ac:dyDescent="0.25">
      <c r="D61" s="369" t="s">
        <v>254</v>
      </c>
      <c r="E61" s="369"/>
      <c r="F61" s="369"/>
      <c r="G61" s="369">
        <f t="shared" ref="G61:Z61" si="12">G30</f>
        <v>126</v>
      </c>
      <c r="H61" s="369">
        <f t="shared" si="12"/>
        <v>144</v>
      </c>
      <c r="I61" s="369">
        <f t="shared" si="12"/>
        <v>156</v>
      </c>
      <c r="J61" s="369">
        <f t="shared" si="12"/>
        <v>179</v>
      </c>
      <c r="K61" s="369">
        <f t="shared" si="12"/>
        <v>184</v>
      </c>
      <c r="L61" s="369">
        <f t="shared" si="12"/>
        <v>210</v>
      </c>
      <c r="M61" s="369">
        <f t="shared" si="12"/>
        <v>240</v>
      </c>
      <c r="N61" s="369">
        <f t="shared" si="12"/>
        <v>290</v>
      </c>
      <c r="O61" s="369">
        <f t="shared" si="12"/>
        <v>333</v>
      </c>
      <c r="P61" s="369">
        <f t="shared" si="12"/>
        <v>401</v>
      </c>
      <c r="Q61" s="369">
        <f t="shared" si="12"/>
        <v>423</v>
      </c>
      <c r="R61" s="369">
        <f t="shared" si="12"/>
        <v>461</v>
      </c>
      <c r="S61" s="369">
        <f t="shared" si="12"/>
        <v>493</v>
      </c>
      <c r="T61" s="369">
        <f t="shared" si="12"/>
        <v>566</v>
      </c>
      <c r="U61" s="369">
        <f t="shared" si="12"/>
        <v>599</v>
      </c>
      <c r="V61" s="369">
        <f t="shared" si="12"/>
        <v>640</v>
      </c>
      <c r="W61" s="369">
        <f t="shared" si="12"/>
        <v>714</v>
      </c>
      <c r="X61" s="369">
        <f t="shared" si="12"/>
        <v>762</v>
      </c>
      <c r="Y61" s="369">
        <f t="shared" si="12"/>
        <v>791</v>
      </c>
      <c r="Z61" s="369">
        <f t="shared" si="12"/>
        <v>917</v>
      </c>
    </row>
    <row r="62" spans="3:51" x14ac:dyDescent="0.25">
      <c r="D62" s="369" t="s">
        <v>256</v>
      </c>
      <c r="E62" s="369"/>
      <c r="F62" s="369"/>
      <c r="G62" s="369">
        <f t="shared" ref="G62:Z62" si="13">G34</f>
        <v>607</v>
      </c>
      <c r="H62" s="369">
        <f t="shared" si="13"/>
        <v>681</v>
      </c>
      <c r="I62" s="369">
        <f t="shared" si="13"/>
        <v>714</v>
      </c>
      <c r="J62" s="369">
        <f t="shared" si="13"/>
        <v>773</v>
      </c>
      <c r="K62" s="369">
        <f t="shared" si="13"/>
        <v>847</v>
      </c>
      <c r="L62" s="369">
        <f t="shared" si="13"/>
        <v>904</v>
      </c>
      <c r="M62" s="369">
        <f t="shared" si="13"/>
        <v>1005</v>
      </c>
      <c r="N62" s="369">
        <f t="shared" si="13"/>
        <v>1016</v>
      </c>
      <c r="O62" s="369">
        <f t="shared" si="13"/>
        <v>1126</v>
      </c>
      <c r="P62" s="369">
        <f t="shared" si="13"/>
        <v>1237</v>
      </c>
      <c r="Q62" s="369">
        <f t="shared" si="13"/>
        <v>1321</v>
      </c>
      <c r="R62" s="369">
        <f t="shared" si="13"/>
        <v>1443</v>
      </c>
      <c r="S62" s="369">
        <f t="shared" si="13"/>
        <v>1569</v>
      </c>
      <c r="T62" s="369">
        <f t="shared" si="13"/>
        <v>1725</v>
      </c>
      <c r="U62" s="369">
        <f t="shared" si="13"/>
        <v>1811</v>
      </c>
      <c r="V62" s="369">
        <f t="shared" si="13"/>
        <v>1938</v>
      </c>
      <c r="W62" s="369">
        <f t="shared" si="13"/>
        <v>2134</v>
      </c>
      <c r="X62" s="369">
        <f t="shared" si="13"/>
        <v>2290</v>
      </c>
      <c r="Y62" s="369">
        <f t="shared" si="13"/>
        <v>2503</v>
      </c>
      <c r="Z62" s="369">
        <f t="shared" si="13"/>
        <v>2667</v>
      </c>
    </row>
    <row r="63" spans="3:51" x14ac:dyDescent="0.25">
      <c r="D63" s="369" t="s">
        <v>258</v>
      </c>
      <c r="E63" s="369"/>
      <c r="F63" s="369"/>
      <c r="G63" s="369">
        <f t="shared" ref="G63:Z63" si="14">G46</f>
        <v>168</v>
      </c>
      <c r="H63" s="369">
        <f t="shared" si="14"/>
        <v>182</v>
      </c>
      <c r="I63" s="369">
        <f t="shared" si="14"/>
        <v>197</v>
      </c>
      <c r="J63" s="369">
        <f t="shared" si="14"/>
        <v>217</v>
      </c>
      <c r="K63" s="369">
        <f t="shared" si="14"/>
        <v>216</v>
      </c>
      <c r="L63" s="369">
        <f t="shared" si="14"/>
        <v>226</v>
      </c>
      <c r="M63" s="369">
        <f t="shared" si="14"/>
        <v>240</v>
      </c>
      <c r="N63" s="369">
        <f t="shared" si="14"/>
        <v>261</v>
      </c>
      <c r="O63" s="369">
        <f t="shared" si="14"/>
        <v>272</v>
      </c>
      <c r="P63" s="369">
        <f t="shared" si="14"/>
        <v>304</v>
      </c>
      <c r="Q63" s="369">
        <f t="shared" si="14"/>
        <v>333</v>
      </c>
      <c r="R63" s="369">
        <f t="shared" si="14"/>
        <v>349</v>
      </c>
      <c r="S63" s="369">
        <f t="shared" si="14"/>
        <v>354</v>
      </c>
      <c r="T63" s="369">
        <f t="shared" si="14"/>
        <v>361</v>
      </c>
      <c r="U63" s="369">
        <f t="shared" si="14"/>
        <v>349</v>
      </c>
      <c r="V63" s="369">
        <f t="shared" si="14"/>
        <v>377</v>
      </c>
      <c r="W63" s="369">
        <f t="shared" si="14"/>
        <v>430</v>
      </c>
      <c r="X63" s="369">
        <f t="shared" si="14"/>
        <v>449</v>
      </c>
      <c r="Y63" s="369">
        <f t="shared" si="14"/>
        <v>431</v>
      </c>
      <c r="Z63" s="369">
        <f t="shared" si="14"/>
        <v>492</v>
      </c>
    </row>
    <row r="64" spans="3:51" x14ac:dyDescent="0.25">
      <c r="G64" s="369">
        <f t="shared" ref="G64:Z64" si="15">SUM(G55:G63)-G7</f>
        <v>166</v>
      </c>
      <c r="H64" s="369">
        <f t="shared" si="15"/>
        <v>177</v>
      </c>
      <c r="I64" s="369">
        <f t="shared" si="15"/>
        <v>207</v>
      </c>
      <c r="J64" s="369">
        <f t="shared" si="15"/>
        <v>180</v>
      </c>
      <c r="K64" s="369">
        <f t="shared" si="15"/>
        <v>175</v>
      </c>
      <c r="L64" s="369">
        <f t="shared" si="15"/>
        <v>151</v>
      </c>
      <c r="M64" s="369">
        <f t="shared" si="15"/>
        <v>161</v>
      </c>
      <c r="N64" s="369">
        <f t="shared" si="15"/>
        <v>40</v>
      </c>
      <c r="O64" s="369">
        <f t="shared" si="15"/>
        <v>55</v>
      </c>
      <c r="P64" s="369">
        <f t="shared" si="15"/>
        <v>13</v>
      </c>
      <c r="Q64" s="369">
        <f t="shared" si="15"/>
        <v>5</v>
      </c>
      <c r="R64" s="369">
        <f t="shared" si="15"/>
        <v>0</v>
      </c>
      <c r="S64" s="369">
        <f t="shared" si="15"/>
        <v>6</v>
      </c>
      <c r="T64" s="369">
        <f t="shared" si="15"/>
        <v>2</v>
      </c>
      <c r="U64" s="369">
        <f t="shared" si="15"/>
        <v>1</v>
      </c>
      <c r="V64" s="369">
        <f t="shared" si="15"/>
        <v>0</v>
      </c>
      <c r="W64" s="369">
        <f t="shared" si="15"/>
        <v>1</v>
      </c>
      <c r="X64" s="369">
        <f t="shared" si="15"/>
        <v>0</v>
      </c>
      <c r="Y64" s="369">
        <f t="shared" si="15"/>
        <v>-1</v>
      </c>
      <c r="Z64" s="369">
        <f t="shared" si="15"/>
        <v>0</v>
      </c>
    </row>
    <row r="66" spans="6:26" ht="15.75" thickBot="1" x14ac:dyDescent="0.3"/>
    <row r="67" spans="6:26" x14ac:dyDescent="0.25">
      <c r="F67" s="371"/>
      <c r="G67" s="372">
        <f>G5</f>
        <v>1999</v>
      </c>
      <c r="H67" s="372">
        <f t="shared" ref="H67:Y67" si="16">H5</f>
        <v>2000</v>
      </c>
      <c r="I67" s="372">
        <f t="shared" si="16"/>
        <v>2001</v>
      </c>
      <c r="J67" s="372">
        <f t="shared" si="16"/>
        <v>2002</v>
      </c>
      <c r="K67" s="372">
        <f t="shared" si="16"/>
        <v>2003</v>
      </c>
      <c r="L67" s="372">
        <f t="shared" si="16"/>
        <v>2004</v>
      </c>
      <c r="M67" s="372">
        <f t="shared" si="16"/>
        <v>2005</v>
      </c>
      <c r="N67" s="372">
        <f t="shared" si="16"/>
        <v>2006</v>
      </c>
      <c r="O67" s="372">
        <f t="shared" si="16"/>
        <v>2007</v>
      </c>
      <c r="P67" s="372">
        <f t="shared" si="16"/>
        <v>2008</v>
      </c>
      <c r="Q67" s="372">
        <f t="shared" si="16"/>
        <v>2009</v>
      </c>
      <c r="R67" s="372">
        <f t="shared" si="16"/>
        <v>2010</v>
      </c>
      <c r="S67" s="372">
        <f t="shared" si="16"/>
        <v>2011</v>
      </c>
      <c r="T67" s="372">
        <f t="shared" si="16"/>
        <v>2012</v>
      </c>
      <c r="U67" s="372">
        <f t="shared" si="16"/>
        <v>2013</v>
      </c>
      <c r="V67" s="372">
        <f t="shared" si="16"/>
        <v>2014</v>
      </c>
      <c r="W67" s="372">
        <f t="shared" si="16"/>
        <v>2015</v>
      </c>
      <c r="X67" s="372">
        <f t="shared" si="16"/>
        <v>2016</v>
      </c>
      <c r="Y67" s="372">
        <f t="shared" si="16"/>
        <v>2017</v>
      </c>
      <c r="Z67" s="373">
        <f t="shared" ref="Z67" si="17">Z5</f>
        <v>2018</v>
      </c>
    </row>
    <row r="68" spans="6:26" x14ac:dyDescent="0.25">
      <c r="F68" s="374" t="s">
        <v>375</v>
      </c>
      <c r="G68" s="376">
        <f>G55/G$7</f>
        <v>0.39886363636363636</v>
      </c>
      <c r="H68" s="376">
        <f t="shared" ref="H68:Y76" si="18">H55/H$7</f>
        <v>0.39538542212899841</v>
      </c>
      <c r="I68" s="376">
        <f t="shared" si="18"/>
        <v>0.39681005316578055</v>
      </c>
      <c r="J68" s="376">
        <f t="shared" si="18"/>
        <v>0.40990606319385142</v>
      </c>
      <c r="K68" s="376">
        <f t="shared" si="18"/>
        <v>0.38863351441704974</v>
      </c>
      <c r="L68" s="376">
        <f t="shared" si="18"/>
        <v>0.36819595645412129</v>
      </c>
      <c r="M68" s="376">
        <f t="shared" si="18"/>
        <v>0.35833629576964093</v>
      </c>
      <c r="N68" s="376">
        <f t="shared" si="18"/>
        <v>0.33723958333333331</v>
      </c>
      <c r="O68" s="376">
        <f t="shared" si="18"/>
        <v>0.32143937103114606</v>
      </c>
      <c r="P68" s="376">
        <f t="shared" si="18"/>
        <v>0.30794341675734493</v>
      </c>
      <c r="Q68" s="376">
        <f t="shared" si="18"/>
        <v>0.31208397337429594</v>
      </c>
      <c r="R68" s="376">
        <f t="shared" si="18"/>
        <v>0.30534351145038169</v>
      </c>
      <c r="S68" s="376">
        <f t="shared" si="18"/>
        <v>0.29518338488731771</v>
      </c>
      <c r="T68" s="376">
        <f t="shared" si="18"/>
        <v>0.29021761236526339</v>
      </c>
      <c r="U68" s="376">
        <f t="shared" si="18"/>
        <v>0.28626917848125849</v>
      </c>
      <c r="V68" s="376">
        <f t="shared" si="18"/>
        <v>0.28759604829857299</v>
      </c>
      <c r="W68" s="376">
        <f t="shared" si="18"/>
        <v>0.27726432532347506</v>
      </c>
      <c r="X68" s="376">
        <f t="shared" si="18"/>
        <v>0.27176153480260029</v>
      </c>
      <c r="Y68" s="376">
        <f t="shared" si="18"/>
        <v>0.27297176154190944</v>
      </c>
      <c r="Z68" s="377">
        <f t="shared" ref="Z68" si="19">Z55/Z$7</f>
        <v>0.26606135644517814</v>
      </c>
    </row>
    <row r="69" spans="6:26" x14ac:dyDescent="0.25">
      <c r="F69" s="374" t="s">
        <v>247</v>
      </c>
      <c r="G69" s="376">
        <f t="shared" ref="G69:V76" si="20">G56/G$7</f>
        <v>1.1931818181818182E-2</v>
      </c>
      <c r="H69" s="376">
        <f t="shared" si="20"/>
        <v>1.5207131620346093E-2</v>
      </c>
      <c r="I69" s="376">
        <f t="shared" si="20"/>
        <v>3.8182696955050749E-2</v>
      </c>
      <c r="J69" s="376">
        <f t="shared" si="20"/>
        <v>2.5619128949615714E-2</v>
      </c>
      <c r="K69" s="376">
        <f t="shared" si="20"/>
        <v>2.0058503969912243E-2</v>
      </c>
      <c r="L69" s="376">
        <f t="shared" si="20"/>
        <v>2.76049766718507E-2</v>
      </c>
      <c r="M69" s="376">
        <f t="shared" si="20"/>
        <v>3.3060789193032347E-2</v>
      </c>
      <c r="N69" s="376">
        <f t="shared" si="20"/>
        <v>2.6041666666666668E-2</v>
      </c>
      <c r="O69" s="376">
        <f t="shared" si="20"/>
        <v>3.4472331418203807E-2</v>
      </c>
      <c r="P69" s="376">
        <f t="shared" si="20"/>
        <v>2.6115342763873776E-2</v>
      </c>
      <c r="Q69" s="376">
        <f t="shared" si="20"/>
        <v>2.0225294418842805E-2</v>
      </c>
      <c r="R69" s="376">
        <f t="shared" si="20"/>
        <v>1.6937022900763359E-2</v>
      </c>
      <c r="S69" s="376">
        <f t="shared" si="20"/>
        <v>2.3420238621299161E-2</v>
      </c>
      <c r="T69" s="376">
        <f t="shared" si="20"/>
        <v>1.9930852145617246E-2</v>
      </c>
      <c r="U69" s="376">
        <f t="shared" si="20"/>
        <v>2.2917071275975916E-2</v>
      </c>
      <c r="V69" s="376">
        <f t="shared" si="20"/>
        <v>2.6893523600439079E-2</v>
      </c>
      <c r="W69" s="376">
        <f t="shared" si="18"/>
        <v>2.3525457906234247E-2</v>
      </c>
      <c r="X69" s="376">
        <f t="shared" si="18"/>
        <v>2.4417314095449501E-2</v>
      </c>
      <c r="Y69" s="376">
        <f t="shared" si="18"/>
        <v>2.8238458090542359E-2</v>
      </c>
      <c r="Z69" s="377">
        <f t="shared" ref="Z69" si="21">Z56/Z$7</f>
        <v>2.6551107442564316E-2</v>
      </c>
    </row>
    <row r="70" spans="6:26" x14ac:dyDescent="0.25">
      <c r="F70" s="374" t="s">
        <v>301</v>
      </c>
      <c r="G70" s="376">
        <f t="shared" si="20"/>
        <v>8.0113636363636359E-2</v>
      </c>
      <c r="H70" s="376">
        <f t="shared" si="18"/>
        <v>7.3938122705820661E-2</v>
      </c>
      <c r="I70" s="376">
        <f t="shared" si="18"/>
        <v>7.4915418076365398E-2</v>
      </c>
      <c r="J70" s="376">
        <f t="shared" si="18"/>
        <v>7.6003415883859948E-2</v>
      </c>
      <c r="K70" s="376">
        <f t="shared" si="18"/>
        <v>7.7726702883409951E-2</v>
      </c>
      <c r="L70" s="376">
        <f t="shared" si="18"/>
        <v>8.1259720062208399E-2</v>
      </c>
      <c r="M70" s="376">
        <f t="shared" si="18"/>
        <v>8.0696765019552086E-2</v>
      </c>
      <c r="N70" s="376">
        <f t="shared" si="18"/>
        <v>8.3658854166666671E-2</v>
      </c>
      <c r="O70" s="376">
        <f t="shared" si="18"/>
        <v>7.8318717871182345E-2</v>
      </c>
      <c r="P70" s="376">
        <f t="shared" si="18"/>
        <v>7.4265505984766056E-2</v>
      </c>
      <c r="Q70" s="376">
        <f t="shared" si="18"/>
        <v>7.1940604198668712E-2</v>
      </c>
      <c r="R70" s="376">
        <f t="shared" si="18"/>
        <v>7.3234732824427481E-2</v>
      </c>
      <c r="S70" s="376">
        <f t="shared" si="18"/>
        <v>7.3574900574458688E-2</v>
      </c>
      <c r="T70" s="376">
        <f t="shared" si="18"/>
        <v>7.1588366890380312E-2</v>
      </c>
      <c r="U70" s="376">
        <f t="shared" si="18"/>
        <v>7.1664400854534863E-2</v>
      </c>
      <c r="V70" s="376">
        <f t="shared" si="18"/>
        <v>5.8909623124771313E-2</v>
      </c>
      <c r="W70" s="376">
        <f t="shared" si="18"/>
        <v>5.8645605780541087E-2</v>
      </c>
      <c r="X70" s="376">
        <f t="shared" si="18"/>
        <v>5.8982083399397492E-2</v>
      </c>
      <c r="Y70" s="376">
        <f t="shared" si="18"/>
        <v>5.9166293142088752E-2</v>
      </c>
      <c r="Z70" s="377">
        <f t="shared" ref="Z70" si="22">Z57/Z$7</f>
        <v>6.0393451643967533E-2</v>
      </c>
    </row>
    <row r="71" spans="6:26" x14ac:dyDescent="0.25">
      <c r="F71" s="374" t="s">
        <v>250</v>
      </c>
      <c r="G71" s="376">
        <f t="shared" si="20"/>
        <v>2.784090909090909E-2</v>
      </c>
      <c r="H71" s="376">
        <f t="shared" si="18"/>
        <v>2.2548505506030415E-2</v>
      </c>
      <c r="I71" s="376">
        <f t="shared" si="18"/>
        <v>1.8849685838569358E-2</v>
      </c>
      <c r="J71" s="376">
        <f t="shared" si="18"/>
        <v>1.6652433817250213E-2</v>
      </c>
      <c r="K71" s="376">
        <f t="shared" si="18"/>
        <v>1.4625992478061012E-2</v>
      </c>
      <c r="L71" s="376">
        <f t="shared" si="18"/>
        <v>9.3312597200622092E-3</v>
      </c>
      <c r="M71" s="376">
        <f t="shared" si="18"/>
        <v>7.4653394952008531E-3</v>
      </c>
      <c r="N71" s="376">
        <f t="shared" si="18"/>
        <v>5.859375E-3</v>
      </c>
      <c r="O71" s="376">
        <f t="shared" si="18"/>
        <v>5.7453885697006353E-3</v>
      </c>
      <c r="P71" s="376">
        <f t="shared" si="18"/>
        <v>6.2568008705114258E-3</v>
      </c>
      <c r="Q71" s="376">
        <f t="shared" si="18"/>
        <v>6.6564260112647209E-3</v>
      </c>
      <c r="R71" s="376">
        <f t="shared" si="18"/>
        <v>7.1564885496183204E-3</v>
      </c>
      <c r="S71" s="376">
        <f t="shared" si="18"/>
        <v>7.5121520106053909E-3</v>
      </c>
      <c r="T71" s="376">
        <f t="shared" si="18"/>
        <v>8.1350416920886719E-3</v>
      </c>
      <c r="U71" s="376">
        <f t="shared" si="18"/>
        <v>8.3511361429403769E-3</v>
      </c>
      <c r="V71" s="376">
        <f t="shared" si="18"/>
        <v>8.598609586534944E-3</v>
      </c>
      <c r="W71" s="376">
        <f t="shared" si="18"/>
        <v>8.5699882372710472E-3</v>
      </c>
      <c r="X71" s="376">
        <f t="shared" si="18"/>
        <v>9.1961312827017593E-3</v>
      </c>
      <c r="Y71" s="376">
        <f t="shared" si="18"/>
        <v>9.263409532347229E-3</v>
      </c>
      <c r="Z71" s="377">
        <f t="shared" ref="Z71" si="23">Z58/Z$7</f>
        <v>9.3547943320951982E-3</v>
      </c>
    </row>
    <row r="72" spans="6:26" x14ac:dyDescent="0.25">
      <c r="F72" s="374" t="s">
        <v>251</v>
      </c>
      <c r="G72" s="376">
        <f t="shared" si="20"/>
        <v>2.1022727272727273E-2</v>
      </c>
      <c r="H72" s="376">
        <f t="shared" si="18"/>
        <v>1.7304667016255899E-2</v>
      </c>
      <c r="I72" s="376">
        <f t="shared" si="18"/>
        <v>1.4499758337361043E-2</v>
      </c>
      <c r="J72" s="376">
        <f t="shared" si="18"/>
        <v>1.2382578992314262E-2</v>
      </c>
      <c r="K72" s="376">
        <f t="shared" si="18"/>
        <v>1.1282908483075638E-2</v>
      </c>
      <c r="L72" s="376">
        <f t="shared" si="18"/>
        <v>6.9984447900466561E-3</v>
      </c>
      <c r="M72" s="376">
        <f t="shared" si="18"/>
        <v>5.6878777106292213E-3</v>
      </c>
      <c r="N72" s="376">
        <f t="shared" si="18"/>
        <v>4.557291666666667E-3</v>
      </c>
      <c r="O72" s="376">
        <f t="shared" si="18"/>
        <v>4.5358330813426067E-3</v>
      </c>
      <c r="P72" s="376">
        <f t="shared" si="18"/>
        <v>4.6245919477693144E-3</v>
      </c>
      <c r="Q72" s="376">
        <f t="shared" si="18"/>
        <v>5.1203277009728623E-3</v>
      </c>
      <c r="R72" s="376">
        <f t="shared" si="18"/>
        <v>5.4866412213740454E-3</v>
      </c>
      <c r="S72" s="376">
        <f t="shared" si="18"/>
        <v>5.7445868316394165E-3</v>
      </c>
      <c r="T72" s="376">
        <f t="shared" si="18"/>
        <v>5.69452918446207E-3</v>
      </c>
      <c r="U72" s="376">
        <f t="shared" si="18"/>
        <v>5.8263740532142165E-3</v>
      </c>
      <c r="V72" s="376">
        <f t="shared" si="18"/>
        <v>5.6714233443102818E-3</v>
      </c>
      <c r="W72" s="376">
        <f t="shared" si="18"/>
        <v>5.20920853638044E-3</v>
      </c>
      <c r="X72" s="376">
        <f t="shared" si="18"/>
        <v>5.2322815918820357E-3</v>
      </c>
      <c r="Y72" s="376">
        <f t="shared" si="18"/>
        <v>4.9305244285073957E-3</v>
      </c>
      <c r="Z72" s="377">
        <f t="shared" ref="Z72" si="24">Z59/Z$7</f>
        <v>4.6773971660475991E-3</v>
      </c>
    </row>
    <row r="73" spans="6:26" x14ac:dyDescent="0.25">
      <c r="F73" s="374" t="s">
        <v>252</v>
      </c>
      <c r="G73" s="376">
        <f t="shared" si="20"/>
        <v>4.261363636363636E-2</v>
      </c>
      <c r="H73" s="376">
        <f t="shared" si="18"/>
        <v>4.0377556371263765E-2</v>
      </c>
      <c r="I73" s="376">
        <f t="shared" si="18"/>
        <v>4.1082648622522956E-2</v>
      </c>
      <c r="J73" s="376">
        <f t="shared" si="18"/>
        <v>3.7147736976942784E-2</v>
      </c>
      <c r="K73" s="376">
        <f t="shared" si="18"/>
        <v>3.9699122440451318E-2</v>
      </c>
      <c r="L73" s="376">
        <f t="shared" si="18"/>
        <v>4.432348367029549E-2</v>
      </c>
      <c r="M73" s="376">
        <f t="shared" si="18"/>
        <v>4.408105225737647E-2</v>
      </c>
      <c r="N73" s="376">
        <f t="shared" si="18"/>
        <v>4.5572916666666664E-2</v>
      </c>
      <c r="O73" s="376">
        <f t="shared" si="18"/>
        <v>4.8684608406410645E-2</v>
      </c>
      <c r="P73" s="376">
        <f t="shared" si="18"/>
        <v>5.6039173014145807E-2</v>
      </c>
      <c r="Q73" s="376">
        <f t="shared" si="18"/>
        <v>5.3507424475166411E-2</v>
      </c>
      <c r="R73" s="376">
        <f t="shared" si="18"/>
        <v>5.4389312977099237E-2</v>
      </c>
      <c r="S73" s="376">
        <f t="shared" si="18"/>
        <v>6.2085726911179848E-2</v>
      </c>
      <c r="T73" s="376">
        <f t="shared" si="18"/>
        <v>6.5487085621313806E-2</v>
      </c>
      <c r="U73" s="376">
        <f t="shared" si="18"/>
        <v>6.9333851233249172E-2</v>
      </c>
      <c r="V73" s="376">
        <f t="shared" si="18"/>
        <v>7.1716062934504207E-2</v>
      </c>
      <c r="W73" s="376">
        <f t="shared" si="18"/>
        <v>7.6121660225172236E-2</v>
      </c>
      <c r="X73" s="376">
        <f t="shared" si="18"/>
        <v>7.5313144125574757E-2</v>
      </c>
      <c r="Y73" s="376">
        <f t="shared" si="18"/>
        <v>6.8728522336769765E-2</v>
      </c>
      <c r="Z73" s="377">
        <f t="shared" ref="Z73" si="25">Z60/Z$7</f>
        <v>7.222451506397029E-2</v>
      </c>
    </row>
    <row r="74" spans="6:26" x14ac:dyDescent="0.25">
      <c r="F74" s="374" t="s">
        <v>254</v>
      </c>
      <c r="G74" s="376">
        <f t="shared" si="20"/>
        <v>7.1590909090909094E-2</v>
      </c>
      <c r="H74" s="376">
        <f t="shared" si="18"/>
        <v>7.5511274252753016E-2</v>
      </c>
      <c r="I74" s="376">
        <f t="shared" si="18"/>
        <v>7.5398743354277431E-2</v>
      </c>
      <c r="J74" s="376">
        <f t="shared" si="18"/>
        <v>7.643040136635354E-2</v>
      </c>
      <c r="K74" s="376">
        <f t="shared" si="18"/>
        <v>7.6890931884663602E-2</v>
      </c>
      <c r="L74" s="376">
        <f t="shared" si="18"/>
        <v>8.164852255054432E-2</v>
      </c>
      <c r="M74" s="376">
        <f t="shared" si="18"/>
        <v>8.5318165659438325E-2</v>
      </c>
      <c r="N74" s="376">
        <f t="shared" si="18"/>
        <v>9.4401041666666671E-2</v>
      </c>
      <c r="O74" s="376">
        <f t="shared" si="18"/>
        <v>0.10069549440580587</v>
      </c>
      <c r="P74" s="376">
        <f t="shared" si="18"/>
        <v>0.10908596300326442</v>
      </c>
      <c r="Q74" s="376">
        <f t="shared" si="18"/>
        <v>0.10829493087557604</v>
      </c>
      <c r="R74" s="376">
        <f t="shared" si="18"/>
        <v>0.10997137404580153</v>
      </c>
      <c r="S74" s="376">
        <f t="shared" si="18"/>
        <v>0.10892620415377817</v>
      </c>
      <c r="T74" s="376">
        <f t="shared" si="18"/>
        <v>0.11511083994305471</v>
      </c>
      <c r="U74" s="376">
        <f t="shared" si="18"/>
        <v>0.11633326859584385</v>
      </c>
      <c r="V74" s="376">
        <f t="shared" si="18"/>
        <v>0.11708744968898646</v>
      </c>
      <c r="W74" s="376">
        <f t="shared" si="18"/>
        <v>0.11997983532179465</v>
      </c>
      <c r="X74" s="376">
        <f t="shared" si="18"/>
        <v>0.12081813857618519</v>
      </c>
      <c r="Y74" s="376">
        <f t="shared" si="18"/>
        <v>0.1181831764530106</v>
      </c>
      <c r="Z74" s="377">
        <f t="shared" ref="Z74" si="26">Z61/Z$7</f>
        <v>0.12615215297840143</v>
      </c>
    </row>
    <row r="75" spans="6:26" x14ac:dyDescent="0.25">
      <c r="F75" s="374" t="s">
        <v>256</v>
      </c>
      <c r="G75" s="376">
        <f t="shared" si="20"/>
        <v>0.34488636363636366</v>
      </c>
      <c r="H75" s="376">
        <f t="shared" si="18"/>
        <v>0.35710540115364447</v>
      </c>
      <c r="I75" s="376">
        <f t="shared" si="18"/>
        <v>0.34509424842919284</v>
      </c>
      <c r="J75" s="376">
        <f t="shared" si="18"/>
        <v>0.3300597779675491</v>
      </c>
      <c r="K75" s="376">
        <f t="shared" si="18"/>
        <v>0.35394901796907646</v>
      </c>
      <c r="L75" s="376">
        <f t="shared" si="18"/>
        <v>0.35147744945567649</v>
      </c>
      <c r="M75" s="376">
        <f t="shared" si="18"/>
        <v>0.35726981869889796</v>
      </c>
      <c r="N75" s="376">
        <f t="shared" si="18"/>
        <v>0.33072916666666669</v>
      </c>
      <c r="O75" s="376">
        <f t="shared" si="18"/>
        <v>0.34048986997278502</v>
      </c>
      <c r="P75" s="376">
        <f t="shared" si="18"/>
        <v>0.33650707290533188</v>
      </c>
      <c r="Q75" s="376">
        <f t="shared" si="18"/>
        <v>0.33819764464925756</v>
      </c>
      <c r="R75" s="376">
        <f t="shared" si="18"/>
        <v>0.34422709923664124</v>
      </c>
      <c r="S75" s="376">
        <f t="shared" si="18"/>
        <v>0.3466637207247017</v>
      </c>
      <c r="T75" s="376">
        <f t="shared" si="18"/>
        <v>0.350823672971324</v>
      </c>
      <c r="U75" s="376">
        <f t="shared" si="18"/>
        <v>0.3517187803456982</v>
      </c>
      <c r="V75" s="376">
        <f t="shared" si="18"/>
        <v>0.35455543358946212</v>
      </c>
      <c r="W75" s="376">
        <f t="shared" si="18"/>
        <v>0.35859519408502771</v>
      </c>
      <c r="X75" s="376">
        <f t="shared" si="18"/>
        <v>0.36308863167908673</v>
      </c>
      <c r="Y75" s="376">
        <f t="shared" si="18"/>
        <v>0.37397280741072764</v>
      </c>
      <c r="Z75" s="377">
        <f t="shared" ref="Z75" si="27">Z62/Z$7</f>
        <v>0.36690053652496907</v>
      </c>
    </row>
    <row r="76" spans="6:26" ht="15.75" thickBot="1" x14ac:dyDescent="0.3">
      <c r="F76" s="375" t="s">
        <v>258</v>
      </c>
      <c r="G76" s="378">
        <f t="shared" si="20"/>
        <v>9.5454545454545459E-2</v>
      </c>
      <c r="H76" s="378">
        <f t="shared" si="18"/>
        <v>9.5437860513896175E-2</v>
      </c>
      <c r="I76" s="378">
        <f t="shared" si="18"/>
        <v>9.5215079748670856E-2</v>
      </c>
      <c r="J76" s="378">
        <f t="shared" si="18"/>
        <v>9.2655849701110168E-2</v>
      </c>
      <c r="K76" s="378">
        <f t="shared" si="18"/>
        <v>9.0263267864605104E-2</v>
      </c>
      <c r="L76" s="378">
        <f t="shared" si="18"/>
        <v>8.7869362363919123E-2</v>
      </c>
      <c r="M76" s="378">
        <f t="shared" si="18"/>
        <v>8.5318165659438325E-2</v>
      </c>
      <c r="N76" s="378">
        <f t="shared" si="18"/>
        <v>8.49609375E-2</v>
      </c>
      <c r="O76" s="378">
        <f t="shared" si="18"/>
        <v>8.2249773208345936E-2</v>
      </c>
      <c r="P76" s="378">
        <f t="shared" si="18"/>
        <v>8.2698585418933629E-2</v>
      </c>
      <c r="Q76" s="378">
        <f t="shared" si="18"/>
        <v>8.5253456221198162E-2</v>
      </c>
      <c r="R76" s="378">
        <f t="shared" si="18"/>
        <v>8.3253816793893126E-2</v>
      </c>
      <c r="S76" s="378">
        <f t="shared" si="18"/>
        <v>7.8214759169244363E-2</v>
      </c>
      <c r="T76" s="378">
        <f t="shared" si="18"/>
        <v>7.3418751271100258E-2</v>
      </c>
      <c r="U76" s="378">
        <f t="shared" si="18"/>
        <v>6.7780151485725387E-2</v>
      </c>
      <c r="V76" s="378">
        <f t="shared" si="18"/>
        <v>6.8971825832418593E-2</v>
      </c>
      <c r="W76" s="378">
        <f t="shared" si="18"/>
        <v>7.2256763569148036E-2</v>
      </c>
      <c r="X76" s="378">
        <f t="shared" si="18"/>
        <v>7.1190740447122244E-2</v>
      </c>
      <c r="Y76" s="378">
        <f t="shared" si="18"/>
        <v>6.4395637232929931E-2</v>
      </c>
      <c r="Z76" s="379">
        <f t="shared" ref="Z76" si="28">Z63/Z$7</f>
        <v>6.7684688402806434E-2</v>
      </c>
    </row>
  </sheetData>
  <conditionalFormatting sqref="AF10:AX14">
    <cfRule type="cellIs" dxfId="17" priority="18" operator="lessThan">
      <formula>0</formula>
    </cfRule>
  </conditionalFormatting>
  <conditionalFormatting sqref="AF16:AX16 AF18:AX28">
    <cfRule type="cellIs" dxfId="16" priority="17" operator="lessThan">
      <formula>0</formula>
    </cfRule>
  </conditionalFormatting>
  <conditionalFormatting sqref="AF31:AX33">
    <cfRule type="cellIs" dxfId="15" priority="16" operator="lessThan">
      <formula>0</formula>
    </cfRule>
  </conditionalFormatting>
  <conditionalFormatting sqref="AF35:AX44">
    <cfRule type="cellIs" dxfId="14" priority="15" operator="lessThan">
      <formula>0</formula>
    </cfRule>
  </conditionalFormatting>
  <conditionalFormatting sqref="AY10:AY14">
    <cfRule type="cellIs" dxfId="13" priority="14" operator="lessThan">
      <formula>0</formula>
    </cfRule>
  </conditionalFormatting>
  <conditionalFormatting sqref="AY16 AY18:AY28">
    <cfRule type="cellIs" dxfId="12" priority="13" operator="lessThan">
      <formula>0</formula>
    </cfRule>
  </conditionalFormatting>
  <conditionalFormatting sqref="AY31:AY33">
    <cfRule type="cellIs" dxfId="11" priority="12" operator="lessThan">
      <formula>0</formula>
    </cfRule>
  </conditionalFormatting>
  <conditionalFormatting sqref="AY35:AY44">
    <cfRule type="cellIs" dxfId="10" priority="11" operator="lessThan">
      <formula>0</formula>
    </cfRule>
  </conditionalFormatting>
  <conditionalFormatting sqref="G45:Z45 G7:Z8 G10:Z14 G18:Z28">
    <cfRule type="cellIs" dxfId="9" priority="10" operator="lessThan">
      <formula>0</formula>
    </cfRule>
  </conditionalFormatting>
  <conditionalFormatting sqref="G15:Z15">
    <cfRule type="cellIs" dxfId="8" priority="9" operator="lessThan">
      <formula>0</formula>
    </cfRule>
  </conditionalFormatting>
  <conditionalFormatting sqref="G29:Z30">
    <cfRule type="cellIs" dxfId="7" priority="8" operator="lessThan">
      <formula>0</formula>
    </cfRule>
  </conditionalFormatting>
  <conditionalFormatting sqref="G17:Z17">
    <cfRule type="cellIs" dxfId="6" priority="7" operator="lessThan">
      <formula>0</formula>
    </cfRule>
  </conditionalFormatting>
  <conditionalFormatting sqref="G34:Z34">
    <cfRule type="cellIs" dxfId="5" priority="6" operator="lessThan">
      <formula>0</formula>
    </cfRule>
  </conditionalFormatting>
  <conditionalFormatting sqref="G46:Z46">
    <cfRule type="cellIs" dxfId="4" priority="5" operator="lessThan">
      <formula>0</formula>
    </cfRule>
  </conditionalFormatting>
  <conditionalFormatting sqref="G9:Z9">
    <cfRule type="cellIs" dxfId="3" priority="4" operator="lessThan">
      <formula>0</formula>
    </cfRule>
  </conditionalFormatting>
  <conditionalFormatting sqref="G16:Z16">
    <cfRule type="cellIs" dxfId="2" priority="3" operator="lessThan">
      <formula>0</formula>
    </cfRule>
  </conditionalFormatting>
  <conditionalFormatting sqref="G31:Z33">
    <cfRule type="cellIs" dxfId="1" priority="2" operator="lessThan">
      <formula>0</formula>
    </cfRule>
  </conditionalFormatting>
  <conditionalFormatting sqref="G35:Z44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S20"/>
  <sheetViews>
    <sheetView zoomScaleNormal="100" workbookViewId="0"/>
  </sheetViews>
  <sheetFormatPr defaultColWidth="8.7109375" defaultRowHeight="12.75" x14ac:dyDescent="0.2"/>
  <cols>
    <col min="1" max="1" width="11.7109375" style="2" customWidth="1"/>
    <col min="2" max="2" width="17.28515625" style="2" customWidth="1"/>
    <col min="3" max="4" width="9.5703125" style="2" customWidth="1"/>
    <col min="5" max="5" width="10.28515625" style="2" bestFit="1" customWidth="1"/>
    <col min="6" max="6" width="9.5703125" style="2" customWidth="1"/>
    <col min="7" max="7" width="10.5703125" style="2" bestFit="1" customWidth="1"/>
    <col min="8" max="8" width="2.7109375" style="2" customWidth="1"/>
    <col min="9" max="9" width="13.7109375" style="2" customWidth="1"/>
    <col min="10" max="15" width="8.7109375" style="2"/>
    <col min="16" max="16" width="2.7109375" style="2" customWidth="1"/>
    <col min="17" max="17" width="10.28515625" style="2" customWidth="1"/>
    <col min="18" max="21" width="12" style="2" bestFit="1" customWidth="1"/>
    <col min="22" max="22" width="11" style="2" bestFit="1" customWidth="1"/>
    <col min="23" max="23" width="11" style="2" customWidth="1"/>
    <col min="24" max="24" width="2.7109375" style="2" customWidth="1"/>
    <col min="25" max="30" width="8.7109375" style="2"/>
    <col min="31" max="31" width="2.7109375" style="2" customWidth="1"/>
    <col min="32" max="40" width="8.7109375" style="2"/>
    <col min="41" max="41" width="43.5703125" style="2" customWidth="1"/>
    <col min="42" max="42" width="16.7109375" style="2" bestFit="1" customWidth="1"/>
    <col min="43" max="16384" width="8.7109375" style="2"/>
  </cols>
  <sheetData>
    <row r="1" spans="1:45" x14ac:dyDescent="0.2">
      <c r="AN1" s="306"/>
      <c r="AR1" s="307" t="s">
        <v>274</v>
      </c>
    </row>
    <row r="2" spans="1:45" ht="13.5" thickBot="1" x14ac:dyDescent="0.25">
      <c r="AN2" s="308" t="s">
        <v>275</v>
      </c>
      <c r="AO2" s="4" t="s">
        <v>276</v>
      </c>
      <c r="AP2" s="4" t="s">
        <v>277</v>
      </c>
      <c r="AR2" s="309">
        <f>ROUNDUP(1/AR8,0)</f>
        <v>10</v>
      </c>
    </row>
    <row r="3" spans="1:45" ht="15.75" thickBot="1" x14ac:dyDescent="0.25">
      <c r="A3" s="21" t="s">
        <v>42</v>
      </c>
      <c r="I3" s="21" t="s">
        <v>41</v>
      </c>
      <c r="Q3" s="21" t="s">
        <v>137</v>
      </c>
      <c r="Y3" s="1" t="s">
        <v>150</v>
      </c>
      <c r="AF3" s="1" t="s">
        <v>158</v>
      </c>
      <c r="AN3" s="310">
        <v>1</v>
      </c>
      <c r="AO3" s="311" t="s">
        <v>278</v>
      </c>
      <c r="AP3" s="312">
        <v>0</v>
      </c>
      <c r="AQ3" s="313">
        <v>0</v>
      </c>
      <c r="AR3" s="314">
        <v>0</v>
      </c>
    </row>
    <row r="4" spans="1:45" ht="38.25" x14ac:dyDescent="0.2">
      <c r="A4" s="13"/>
      <c r="B4" s="11"/>
      <c r="C4" s="11">
        <v>2012</v>
      </c>
      <c r="D4" s="11">
        <v>2013</v>
      </c>
      <c r="E4" s="11">
        <v>2014</v>
      </c>
      <c r="F4" s="11">
        <v>2015</v>
      </c>
      <c r="G4" s="12">
        <v>2016</v>
      </c>
      <c r="I4" s="23"/>
      <c r="J4" s="24">
        <v>2012</v>
      </c>
      <c r="K4" s="24">
        <v>2013</v>
      </c>
      <c r="L4" s="24">
        <v>2014</v>
      </c>
      <c r="M4" s="24">
        <v>2015</v>
      </c>
      <c r="N4" s="24">
        <v>2016</v>
      </c>
      <c r="O4" s="25">
        <v>2017</v>
      </c>
      <c r="Q4" s="13" t="s">
        <v>135</v>
      </c>
      <c r="R4" s="11">
        <v>2012</v>
      </c>
      <c r="S4" s="11">
        <v>2013</v>
      </c>
      <c r="T4" s="11">
        <v>2014</v>
      </c>
      <c r="U4" s="11">
        <v>2015</v>
      </c>
      <c r="V4" s="11">
        <v>2016</v>
      </c>
      <c r="W4" s="20">
        <v>2017</v>
      </c>
      <c r="Y4" s="13">
        <v>2012</v>
      </c>
      <c r="Z4" s="11">
        <v>2013</v>
      </c>
      <c r="AA4" s="11">
        <v>2014</v>
      </c>
      <c r="AB4" s="11">
        <v>2015</v>
      </c>
      <c r="AC4" s="11">
        <v>2016</v>
      </c>
      <c r="AD4" s="12">
        <v>2017</v>
      </c>
      <c r="AF4" s="13">
        <v>2012</v>
      </c>
      <c r="AG4" s="11">
        <v>2013</v>
      </c>
      <c r="AH4" s="11">
        <v>2014</v>
      </c>
      <c r="AI4" s="11">
        <v>2015</v>
      </c>
      <c r="AJ4" s="11">
        <v>2016</v>
      </c>
      <c r="AK4" s="12">
        <v>2017</v>
      </c>
      <c r="AN4" s="308">
        <v>2</v>
      </c>
      <c r="AO4" s="315" t="s">
        <v>279</v>
      </c>
      <c r="AP4" s="316" t="s">
        <v>280</v>
      </c>
      <c r="AQ4" s="314">
        <v>0.05</v>
      </c>
      <c r="AR4" s="317">
        <v>0.55000000000000004</v>
      </c>
      <c r="AS4" s="314">
        <f>SUM(AR4:AR7)</f>
        <v>1</v>
      </c>
    </row>
    <row r="5" spans="1:45" ht="39" thickBot="1" x14ac:dyDescent="0.25">
      <c r="A5" s="14" t="s">
        <v>31</v>
      </c>
      <c r="B5" s="4" t="s">
        <v>4</v>
      </c>
      <c r="C5" s="5">
        <v>3670.5237149999998</v>
      </c>
      <c r="D5" s="5">
        <v>6112.1432199999999</v>
      </c>
      <c r="E5" s="5">
        <v>7137.4682799999991</v>
      </c>
      <c r="F5" s="5">
        <v>4714.1223749999999</v>
      </c>
      <c r="G5" s="16">
        <v>2024</v>
      </c>
      <c r="I5" s="26" t="s">
        <v>5</v>
      </c>
      <c r="J5" s="227">
        <v>4636.6403</v>
      </c>
      <c r="K5" s="227">
        <v>4895.2674999999999</v>
      </c>
      <c r="L5" s="227">
        <v>5953.7963200000004</v>
      </c>
      <c r="M5" s="227">
        <v>3845.6560999999997</v>
      </c>
      <c r="N5" s="227">
        <v>3549.9150499999996</v>
      </c>
      <c r="O5" s="228">
        <v>4759.62129</v>
      </c>
      <c r="Q5" s="6" t="s">
        <v>5</v>
      </c>
      <c r="R5" s="51">
        <v>52896906.278810807</v>
      </c>
      <c r="S5" s="51">
        <v>61074478.995494433</v>
      </c>
      <c r="T5" s="51">
        <v>71945617.235595345</v>
      </c>
      <c r="U5" s="51">
        <v>34263243.884650901</v>
      </c>
      <c r="V5" s="51">
        <v>34807903.9408326</v>
      </c>
      <c r="W5" s="51">
        <v>50154997.697784781</v>
      </c>
      <c r="Y5" s="260">
        <v>0.113</v>
      </c>
      <c r="Z5" s="261">
        <f>AB5</f>
        <v>0.105</v>
      </c>
      <c r="AA5" s="261">
        <v>0.107</v>
      </c>
      <c r="AB5" s="261">
        <v>0.105</v>
      </c>
      <c r="AC5" s="261">
        <v>0.105</v>
      </c>
      <c r="AD5" s="262">
        <v>0.10100000000000001</v>
      </c>
      <c r="AF5" s="91">
        <v>614.29514240306696</v>
      </c>
      <c r="AG5" s="92">
        <v>646.63597455067304</v>
      </c>
      <c r="AH5" s="92">
        <v>681.86171894726601</v>
      </c>
      <c r="AI5" s="92">
        <v>720.97510889672799</v>
      </c>
      <c r="AJ5" s="92">
        <v>788</v>
      </c>
      <c r="AK5" s="301">
        <v>832</v>
      </c>
      <c r="AN5" s="310">
        <v>3</v>
      </c>
      <c r="AO5" s="315" t="s">
        <v>281</v>
      </c>
      <c r="AP5" s="316" t="s">
        <v>282</v>
      </c>
      <c r="AQ5" s="314">
        <v>0.1</v>
      </c>
      <c r="AR5" s="318">
        <v>0.35</v>
      </c>
    </row>
    <row r="6" spans="1:45" ht="15" x14ac:dyDescent="0.2">
      <c r="A6" s="14"/>
      <c r="B6" s="4" t="s">
        <v>7</v>
      </c>
      <c r="C6" s="5">
        <v>4580.5478200000007</v>
      </c>
      <c r="D6" s="5">
        <v>4794.5472300000001</v>
      </c>
      <c r="E6" s="5">
        <v>5905.1960600000002</v>
      </c>
      <c r="F6" s="5">
        <v>3205.1769709999999</v>
      </c>
      <c r="G6" s="16">
        <v>3288</v>
      </c>
      <c r="I6" s="26" t="s">
        <v>39</v>
      </c>
      <c r="J6" s="227">
        <v>1144.6847</v>
      </c>
      <c r="K6" s="227">
        <v>2466.02367</v>
      </c>
      <c r="L6" s="227">
        <v>2302.5188700000003</v>
      </c>
      <c r="M6" s="227">
        <v>1651.71126</v>
      </c>
      <c r="N6" s="227">
        <v>1269.9392000000003</v>
      </c>
      <c r="O6" s="228">
        <v>1725.1819999999998</v>
      </c>
      <c r="Q6" s="6" t="s">
        <v>8</v>
      </c>
      <c r="R6" s="51">
        <v>56911604.897326812</v>
      </c>
      <c r="S6" s="51">
        <v>134571613.69195047</v>
      </c>
      <c r="T6" s="51">
        <v>104780330.6200574</v>
      </c>
      <c r="U6" s="51">
        <v>66200323.020744219</v>
      </c>
      <c r="V6" s="51">
        <v>39742506.761242941</v>
      </c>
      <c r="W6" s="51">
        <v>62209186.39337974</v>
      </c>
      <c r="Y6" s="50" t="s">
        <v>164</v>
      </c>
      <c r="AF6" s="2" t="s">
        <v>149</v>
      </c>
      <c r="AN6" s="308">
        <v>4</v>
      </c>
      <c r="AO6" s="3" t="s">
        <v>283</v>
      </c>
      <c r="AP6" s="312">
        <v>0.5</v>
      </c>
      <c r="AQ6" s="314">
        <v>0.5</v>
      </c>
      <c r="AR6" s="328">
        <v>0.05</v>
      </c>
    </row>
    <row r="7" spans="1:45" ht="15.75" thickBot="1" x14ac:dyDescent="0.25">
      <c r="A7" s="14" t="s">
        <v>8</v>
      </c>
      <c r="B7" s="4" t="s">
        <v>4</v>
      </c>
      <c r="C7" s="5">
        <v>967.88760500000001</v>
      </c>
      <c r="D7" s="5">
        <v>1924.3862000000001</v>
      </c>
      <c r="E7" s="5">
        <v>2097.5134899999998</v>
      </c>
      <c r="F7" s="5">
        <v>1332</v>
      </c>
      <c r="G7" s="16">
        <v>2553.6</v>
      </c>
      <c r="I7" s="27" t="s">
        <v>40</v>
      </c>
      <c r="J7" s="229">
        <v>1750.5664999999999</v>
      </c>
      <c r="K7" s="229">
        <v>2217.9280400000002</v>
      </c>
      <c r="L7" s="229">
        <v>2214.4936500000003</v>
      </c>
      <c r="M7" s="229">
        <v>1784.40112</v>
      </c>
      <c r="N7" s="229">
        <v>1715.9599499999999</v>
      </c>
      <c r="O7" s="230">
        <v>1523.6765399999999</v>
      </c>
      <c r="Q7" s="6" t="s">
        <v>9</v>
      </c>
      <c r="R7" s="51">
        <v>26262461.961048033</v>
      </c>
      <c r="S7" s="51">
        <v>30053782.262286339</v>
      </c>
      <c r="T7" s="51">
        <v>26592317.725234501</v>
      </c>
      <c r="U7" s="51">
        <v>17343128.689238563</v>
      </c>
      <c r="V7" s="51">
        <v>11873682.575518906</v>
      </c>
      <c r="W7" s="51">
        <v>12604563.298578391</v>
      </c>
      <c r="Y7" s="2" t="s">
        <v>300</v>
      </c>
      <c r="AN7" s="308">
        <v>5</v>
      </c>
      <c r="AO7" s="3" t="s">
        <v>284</v>
      </c>
      <c r="AP7" s="312">
        <v>0.25</v>
      </c>
      <c r="AQ7" s="314">
        <v>0.25</v>
      </c>
      <c r="AR7" s="329">
        <v>0.05</v>
      </c>
    </row>
    <row r="8" spans="1:45" ht="13.5" thickBot="1" x14ac:dyDescent="0.25">
      <c r="A8" s="14"/>
      <c r="B8" s="4" t="s">
        <v>7</v>
      </c>
      <c r="C8" s="5">
        <v>942.24769999999978</v>
      </c>
      <c r="D8" s="5">
        <v>2046.7614699999997</v>
      </c>
      <c r="E8" s="5">
        <v>2284.9070299999998</v>
      </c>
      <c r="F8" s="5">
        <v>1590</v>
      </c>
      <c r="G8" s="16">
        <v>1176</v>
      </c>
      <c r="I8" s="1" t="s">
        <v>218</v>
      </c>
      <c r="Q8" s="48" t="s">
        <v>136</v>
      </c>
      <c r="R8" s="52">
        <f t="shared" ref="R8:V8" si="0">SUM(R5:R7)</f>
        <v>136070973.13718566</v>
      </c>
      <c r="S8" s="52">
        <f t="shared" si="0"/>
        <v>225699874.94973123</v>
      </c>
      <c r="T8" s="52">
        <f t="shared" si="0"/>
        <v>203318265.58088726</v>
      </c>
      <c r="U8" s="52">
        <f t="shared" si="0"/>
        <v>117806695.59463368</v>
      </c>
      <c r="V8" s="52">
        <f t="shared" si="0"/>
        <v>86424093.277594447</v>
      </c>
      <c r="W8" s="53">
        <f>SUM(W5:W7)</f>
        <v>124968747.38974293</v>
      </c>
      <c r="AF8" s="300"/>
      <c r="AG8" s="300"/>
      <c r="AH8" s="300"/>
      <c r="AI8" s="300"/>
      <c r="AJ8" s="300"/>
      <c r="AK8" s="300"/>
      <c r="AN8" s="319"/>
      <c r="AO8" s="40"/>
      <c r="AP8" s="320"/>
      <c r="AR8" s="321">
        <f>SUMPRODUCT(AQ3:AQ7,AR3:AR7)</f>
        <v>9.9999999999999992E-2</v>
      </c>
    </row>
    <row r="9" spans="1:45" x14ac:dyDescent="0.2">
      <c r="A9" s="14" t="s">
        <v>9</v>
      </c>
      <c r="B9" s="4" t="s">
        <v>4</v>
      </c>
      <c r="C9" s="5">
        <v>1771.2721999999999</v>
      </c>
      <c r="D9" s="5">
        <v>2264.212</v>
      </c>
      <c r="E9" s="5">
        <v>2534.8689800000002</v>
      </c>
      <c r="F9" s="5">
        <v>2169.4109399999998</v>
      </c>
      <c r="G9" s="16">
        <v>1498</v>
      </c>
      <c r="Q9" s="1" t="s">
        <v>218</v>
      </c>
      <c r="AN9" s="306"/>
    </row>
    <row r="10" spans="1:45" ht="13.5" thickBot="1" x14ac:dyDescent="0.25">
      <c r="A10" s="17"/>
      <c r="B10" s="15" t="s">
        <v>7</v>
      </c>
      <c r="C10" s="18">
        <v>1584.7620099999999</v>
      </c>
      <c r="D10" s="18">
        <v>2269.9647599999998</v>
      </c>
      <c r="E10" s="18">
        <v>2058.8780800000004</v>
      </c>
      <c r="F10" s="18">
        <v>1323</v>
      </c>
      <c r="G10" s="19">
        <v>1639</v>
      </c>
      <c r="V10" s="49"/>
      <c r="W10" s="49"/>
      <c r="AN10" s="306"/>
      <c r="AO10" s="1" t="s">
        <v>285</v>
      </c>
    </row>
    <row r="11" spans="1:45" ht="51" x14ac:dyDescent="0.2">
      <c r="A11" s="1" t="s">
        <v>25</v>
      </c>
      <c r="AN11" s="306"/>
      <c r="AO11" s="322" t="s">
        <v>286</v>
      </c>
    </row>
    <row r="12" spans="1:45" x14ac:dyDescent="0.2">
      <c r="AN12" s="306"/>
    </row>
    <row r="13" spans="1:45" x14ac:dyDescent="0.2">
      <c r="AN13" s="306"/>
      <c r="AO13" s="323" t="s">
        <v>287</v>
      </c>
      <c r="AP13" s="324" t="s">
        <v>288</v>
      </c>
    </row>
    <row r="14" spans="1:45" x14ac:dyDescent="0.2">
      <c r="AN14" s="306"/>
      <c r="AO14" s="325" t="s">
        <v>289</v>
      </c>
      <c r="AP14" s="326">
        <v>0.5</v>
      </c>
    </row>
    <row r="15" spans="1:45" ht="38.25" x14ac:dyDescent="0.2">
      <c r="AN15" s="306"/>
      <c r="AO15" s="327" t="s">
        <v>290</v>
      </c>
      <c r="AP15" s="326">
        <v>0.5</v>
      </c>
    </row>
    <row r="16" spans="1:45" x14ac:dyDescent="0.2">
      <c r="AN16" s="306"/>
      <c r="AO16" s="325" t="s">
        <v>291</v>
      </c>
      <c r="AP16" s="326">
        <v>0.5</v>
      </c>
    </row>
    <row r="17" spans="10:42" x14ac:dyDescent="0.2">
      <c r="AN17" s="306"/>
    </row>
    <row r="18" spans="10:42" x14ac:dyDescent="0.2">
      <c r="AN18" s="306"/>
      <c r="AO18" s="1" t="s">
        <v>292</v>
      </c>
      <c r="AP18" s="2" t="s">
        <v>10</v>
      </c>
    </row>
    <row r="19" spans="10:42" x14ac:dyDescent="0.2">
      <c r="J19" s="231"/>
      <c r="K19" s="231"/>
      <c r="L19" s="231"/>
      <c r="M19" s="231"/>
      <c r="N19" s="231"/>
      <c r="O19" s="231"/>
      <c r="R19" s="232"/>
      <c r="S19" s="232"/>
      <c r="T19" s="232"/>
      <c r="U19" s="232"/>
      <c r="V19" s="232"/>
      <c r="AN19" s="306"/>
    </row>
    <row r="20" spans="10:42" x14ac:dyDescent="0.2">
      <c r="J20" s="231"/>
      <c r="K20" s="231"/>
      <c r="L20" s="231"/>
      <c r="M20" s="231"/>
      <c r="N20" s="231"/>
      <c r="O20" s="231"/>
      <c r="R20" s="232"/>
      <c r="S20" s="232"/>
      <c r="T20" s="232"/>
      <c r="U20" s="232"/>
      <c r="V20" s="232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AF165"/>
  <sheetViews>
    <sheetView zoomScale="70" zoomScaleNormal="70" workbookViewId="0"/>
  </sheetViews>
  <sheetFormatPr defaultColWidth="8.7109375" defaultRowHeight="18.75" outlineLevelRow="1" x14ac:dyDescent="0.3"/>
  <cols>
    <col min="1" max="1" width="15.7109375" style="267" customWidth="1"/>
    <col min="2" max="2" width="44" style="155" customWidth="1"/>
    <col min="3" max="3" width="23.28515625" style="155" customWidth="1"/>
    <col min="4" max="4" width="17.7109375" style="155" bestFit="1" customWidth="1"/>
    <col min="5" max="5" width="21.28515625" style="155" customWidth="1"/>
    <col min="6" max="6" width="11.85546875" style="155" bestFit="1" customWidth="1"/>
    <col min="7" max="7" width="2.7109375" style="155" customWidth="1"/>
    <col min="8" max="8" width="47" style="155" customWidth="1"/>
    <col min="9" max="9" width="22.42578125" style="155" customWidth="1"/>
    <col min="10" max="10" width="17.7109375" style="155" bestFit="1" customWidth="1"/>
    <col min="11" max="11" width="17.7109375" style="155" customWidth="1"/>
    <col min="12" max="12" width="11.85546875" style="155" bestFit="1" customWidth="1"/>
    <col min="13" max="13" width="14.7109375" style="271" bestFit="1" customWidth="1"/>
    <col min="14" max="14" width="3.7109375" style="155" customWidth="1"/>
    <col min="15" max="15" width="25.42578125" style="155" customWidth="1"/>
    <col min="16" max="16" width="22.42578125" style="155" customWidth="1"/>
    <col min="17" max="17" width="17.5703125" style="155" customWidth="1"/>
    <col min="18" max="18" width="20.7109375" style="155" customWidth="1"/>
    <col min="19" max="19" width="11.85546875" style="155" bestFit="1" customWidth="1"/>
    <col min="20" max="20" width="35.7109375" style="155" customWidth="1"/>
    <col min="21" max="21" width="16.28515625" style="155" bestFit="1" customWidth="1"/>
    <col min="22" max="22" width="3.7109375" style="155" customWidth="1"/>
    <col min="23" max="23" width="18.28515625" style="155" bestFit="1" customWidth="1"/>
    <col min="24" max="24" width="15.5703125" style="155" bestFit="1" customWidth="1"/>
    <col min="25" max="25" width="8.7109375" style="155"/>
    <col min="26" max="26" width="35.42578125" style="155" bestFit="1" customWidth="1"/>
    <col min="27" max="27" width="8.7109375" style="155"/>
    <col min="28" max="28" width="23.140625" style="155" bestFit="1" customWidth="1"/>
    <col min="29" max="31" width="16.28515625" style="155" bestFit="1" customWidth="1"/>
    <col min="32" max="32" width="16.5703125" style="155" bestFit="1" customWidth="1"/>
    <col min="33" max="16384" width="8.7109375" style="155"/>
  </cols>
  <sheetData>
    <row r="1" spans="1:32" ht="26.25" x14ac:dyDescent="0.4">
      <c r="A1" s="233" t="s">
        <v>226</v>
      </c>
    </row>
    <row r="2" spans="1:32" ht="19.5" thickBot="1" x14ac:dyDescent="0.35">
      <c r="A2" s="267" t="s">
        <v>228</v>
      </c>
    </row>
    <row r="3" spans="1:32" outlineLevel="1" x14ac:dyDescent="0.3">
      <c r="B3" s="29" t="s">
        <v>82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272"/>
      <c r="N3" s="156"/>
      <c r="O3" s="156"/>
      <c r="P3" s="156"/>
      <c r="Q3" s="156"/>
      <c r="R3" s="156"/>
      <c r="S3" s="157"/>
    </row>
    <row r="4" spans="1:32" ht="19.5" outlineLevel="1" thickBot="1" x14ac:dyDescent="0.35">
      <c r="B4" s="158" t="s">
        <v>78</v>
      </c>
      <c r="C4" s="159"/>
      <c r="D4" s="159"/>
      <c r="E4" s="159"/>
      <c r="F4" s="160"/>
      <c r="G4" s="160"/>
      <c r="H4" s="159" t="s">
        <v>80</v>
      </c>
      <c r="I4" s="159"/>
      <c r="J4" s="160"/>
      <c r="K4" s="160"/>
      <c r="L4" s="161"/>
      <c r="M4" s="273"/>
      <c r="N4" s="161"/>
      <c r="O4" s="162" t="s">
        <v>104</v>
      </c>
      <c r="P4" s="163"/>
      <c r="Q4" s="163"/>
      <c r="R4" s="163"/>
      <c r="S4" s="164"/>
    </row>
    <row r="5" spans="1:32" ht="19.5" outlineLevel="1" thickBot="1" x14ac:dyDescent="0.35">
      <c r="A5" s="268"/>
      <c r="B5" s="158" t="s">
        <v>79</v>
      </c>
      <c r="C5" s="159"/>
      <c r="D5" s="159"/>
      <c r="E5" s="159"/>
      <c r="F5" s="160"/>
      <c r="G5" s="160"/>
      <c r="H5" s="159" t="s">
        <v>81</v>
      </c>
      <c r="I5" s="159"/>
      <c r="J5" s="160"/>
      <c r="K5" s="160"/>
      <c r="L5" s="160"/>
      <c r="M5" s="273"/>
      <c r="N5" s="161"/>
      <c r="O5" s="162" t="s">
        <v>105</v>
      </c>
      <c r="P5" s="163"/>
      <c r="Q5" s="163"/>
      <c r="R5" s="163"/>
      <c r="S5" s="164"/>
      <c r="W5" s="426" t="s">
        <v>187</v>
      </c>
      <c r="X5" s="427"/>
      <c r="Y5" s="427"/>
      <c r="Z5" s="427"/>
      <c r="AA5" s="428"/>
      <c r="AB5" s="426" t="s">
        <v>183</v>
      </c>
      <c r="AC5" s="427"/>
      <c r="AD5" s="427"/>
      <c r="AE5" s="427"/>
      <c r="AF5" s="428"/>
    </row>
    <row r="6" spans="1:32" s="218" customFormat="1" ht="56.25" outlineLevel="1" x14ac:dyDescent="0.3">
      <c r="A6" s="269"/>
      <c r="B6" s="166" t="s">
        <v>43</v>
      </c>
      <c r="C6" s="241" t="s">
        <v>44</v>
      </c>
      <c r="D6" s="240" t="s">
        <v>45</v>
      </c>
      <c r="E6" s="240" t="s">
        <v>179</v>
      </c>
      <c r="F6" s="241" t="s">
        <v>46</v>
      </c>
      <c r="G6" s="242"/>
      <c r="H6" s="241" t="s">
        <v>47</v>
      </c>
      <c r="I6" s="241" t="s">
        <v>44</v>
      </c>
      <c r="J6" s="240" t="s">
        <v>45</v>
      </c>
      <c r="K6" s="240" t="s">
        <v>179</v>
      </c>
      <c r="L6" s="241" t="s">
        <v>46</v>
      </c>
      <c r="M6" s="274" t="s">
        <v>144</v>
      </c>
      <c r="N6" s="243"/>
      <c r="O6" s="241" t="s">
        <v>86</v>
      </c>
      <c r="P6" s="241" t="s">
        <v>44</v>
      </c>
      <c r="Q6" s="240" t="s">
        <v>45</v>
      </c>
      <c r="R6" s="240" t="s">
        <v>179</v>
      </c>
      <c r="S6" s="244" t="s">
        <v>46</v>
      </c>
      <c r="T6" s="217"/>
      <c r="U6" s="245" t="s">
        <v>148</v>
      </c>
      <c r="W6" s="429">
        <v>2015</v>
      </c>
      <c r="X6" s="430"/>
      <c r="Y6" s="430"/>
      <c r="Z6" s="430"/>
      <c r="AA6" s="430"/>
      <c r="AB6" s="219">
        <v>2012</v>
      </c>
      <c r="AC6" s="220">
        <v>2013</v>
      </c>
      <c r="AD6" s="220">
        <v>2014</v>
      </c>
      <c r="AE6" s="220">
        <v>2015</v>
      </c>
      <c r="AF6" s="221">
        <v>2016</v>
      </c>
    </row>
    <row r="7" spans="1:32" outlineLevel="1" x14ac:dyDescent="0.3">
      <c r="A7" s="268"/>
      <c r="B7" s="167" t="s">
        <v>48</v>
      </c>
      <c r="C7" s="168">
        <v>55.4</v>
      </c>
      <c r="D7" s="168">
        <v>51.741566902965403</v>
      </c>
      <c r="E7" s="168">
        <f>D7*1000/'Basic data - source records'!$AI$5</f>
        <v>71.76609325964516</v>
      </c>
      <c r="F7" s="169">
        <f>D7/$D$21</f>
        <v>0.59645928307409068</v>
      </c>
      <c r="G7" s="160"/>
      <c r="H7" s="160" t="s">
        <v>49</v>
      </c>
      <c r="I7" s="168">
        <v>52.5</v>
      </c>
      <c r="J7" s="168">
        <v>49.529887491081276</v>
      </c>
      <c r="K7" s="168">
        <f>J7*1000/'Basic data - source records'!$AI$5</f>
        <v>68.698470834692714</v>
      </c>
      <c r="L7" s="169">
        <f t="shared" ref="L7:L19" si="0">J7/$J$21</f>
        <v>0.5593355956273135</v>
      </c>
      <c r="M7" s="275">
        <f>J7/$D$21</f>
        <v>0.57096379085453586</v>
      </c>
      <c r="N7" s="161"/>
      <c r="O7" s="170" t="s">
        <v>87</v>
      </c>
      <c r="P7" s="199">
        <v>223.99999999999997</v>
      </c>
      <c r="Q7" s="199">
        <v>221.04983431759868</v>
      </c>
      <c r="R7" s="199">
        <f>Q7*1000/'Basic data - source records'!$AI$5</f>
        <v>306.59842703288348</v>
      </c>
      <c r="S7" s="172">
        <f>Q7/$Q$21</f>
        <v>0.24523724320954007</v>
      </c>
      <c r="T7" s="173" t="s">
        <v>145</v>
      </c>
      <c r="U7" s="174">
        <f>M7+M8+M9+M10+M11</f>
        <v>0.84574059246218036</v>
      </c>
      <c r="W7" s="201" t="s">
        <v>184</v>
      </c>
      <c r="X7" s="203">
        <f>'MRA - Cassiterite - Tin'!R7</f>
        <v>33014920.092808302</v>
      </c>
      <c r="Y7" s="204">
        <f>X7/$X$10</f>
        <v>0.31334202765238378</v>
      </c>
      <c r="Z7" s="202" t="s">
        <v>180</v>
      </c>
      <c r="AA7" s="205">
        <f>Y7*R7</f>
        <v>96.070172801515142</v>
      </c>
      <c r="AB7" s="206">
        <f>$AA7*'Basic data - source records'!Y$5*1000000</f>
        <v>10855929.52657121</v>
      </c>
      <c r="AC7" s="207">
        <f>$AA7*'Basic data - source records'!Z$5*1000000</f>
        <v>10087368.14415909</v>
      </c>
      <c r="AD7" s="207">
        <f>$AA7*'Basic data - source records'!AA$5*1000000</f>
        <v>10279508.48976212</v>
      </c>
      <c r="AE7" s="207">
        <f>$AA7*'Basic data - source records'!AB$5*1000000</f>
        <v>10087368.14415909</v>
      </c>
      <c r="AF7" s="208">
        <f>$AA7*'Basic data - source records'!AC$5*1000000</f>
        <v>10087368.14415909</v>
      </c>
    </row>
    <row r="8" spans="1:32" ht="37.5" outlineLevel="1" x14ac:dyDescent="0.3">
      <c r="A8" s="268"/>
      <c r="B8" s="167" t="s">
        <v>50</v>
      </c>
      <c r="C8" s="168">
        <v>49</v>
      </c>
      <c r="D8" s="168">
        <v>33.041978702797543</v>
      </c>
      <c r="E8" s="168">
        <f>D8*1000/'Basic data - source records'!$AI$5</f>
        <v>45.829569280637195</v>
      </c>
      <c r="F8" s="169">
        <f t="shared" ref="F8:F21" si="1">D8/$D$21</f>
        <v>0.38089675493168113</v>
      </c>
      <c r="G8" s="160"/>
      <c r="H8" s="160" t="s">
        <v>51</v>
      </c>
      <c r="I8" s="168">
        <v>21.9</v>
      </c>
      <c r="J8" s="168">
        <v>21.934295007257646</v>
      </c>
      <c r="K8" s="168">
        <f>J8*1000/'Basic data - source records'!$AI$5</f>
        <v>30.423096077231566</v>
      </c>
      <c r="L8" s="169">
        <f t="shared" si="0"/>
        <v>0.24770159158465374</v>
      </c>
      <c r="M8" s="275">
        <f t="shared" ref="M8:M21" si="2">J8/$D$21</f>
        <v>0.25285113416259331</v>
      </c>
      <c r="N8" s="161"/>
      <c r="O8" s="175" t="s">
        <v>88</v>
      </c>
      <c r="P8" s="168">
        <v>222.39999999999998</v>
      </c>
      <c r="Q8" s="168">
        <v>219.5057906704408</v>
      </c>
      <c r="R8" s="168">
        <f>Q8*1000/'Basic data - source records'!$AI$5</f>
        <v>304.45682238092724</v>
      </c>
      <c r="S8" s="172">
        <f t="shared" ref="S8:S21" si="3">Q8/$Q$21</f>
        <v>0.24352424935639763</v>
      </c>
      <c r="T8" s="177" t="s">
        <v>146</v>
      </c>
      <c r="U8" s="174">
        <f>SUM(L12:L17)+L19</f>
        <v>0.15447009389077546</v>
      </c>
      <c r="W8" s="201" t="s">
        <v>185</v>
      </c>
      <c r="X8" s="203">
        <f>'MRA - Coltan - Tantalum'!R7</f>
        <v>56344093.333333328</v>
      </c>
      <c r="Y8" s="204">
        <f t="shared" ref="Y8:Y9" si="4">X8/$X$10</f>
        <v>0.53475738852833499</v>
      </c>
      <c r="Z8" s="202" t="s">
        <v>181</v>
      </c>
      <c r="AA8" s="205">
        <f>Y8*R7</f>
        <v>163.95577416700004</v>
      </c>
      <c r="AB8" s="206">
        <f>$AA8*'Basic data - source records'!Y$5*1000000</f>
        <v>18527002.480871003</v>
      </c>
      <c r="AC8" s="207">
        <f>$AA8*'Basic data - source records'!Z$5*1000000</f>
        <v>17215356.287535004</v>
      </c>
      <c r="AD8" s="207">
        <f>$AA8*'Basic data - source records'!AA$5*1000000</f>
        <v>17543267.835869003</v>
      </c>
      <c r="AE8" s="207">
        <f>$AA8*'Basic data - source records'!AB$5*1000000</f>
        <v>17215356.287535004</v>
      </c>
      <c r="AF8" s="208">
        <f>$AA8*'Basic data - source records'!AC$5*1000000</f>
        <v>17215356.287535004</v>
      </c>
    </row>
    <row r="9" spans="1:32" ht="19.5" outlineLevel="1" thickBot="1" x14ac:dyDescent="0.35">
      <c r="A9" s="268"/>
      <c r="B9" s="167" t="s">
        <v>52</v>
      </c>
      <c r="C9" s="168"/>
      <c r="D9" s="168">
        <v>0</v>
      </c>
      <c r="E9" s="168">
        <f>D9*1000/'Basic data - source records'!$AI$5</f>
        <v>0</v>
      </c>
      <c r="F9" s="169">
        <f t="shared" si="1"/>
        <v>0</v>
      </c>
      <c r="G9" s="160"/>
      <c r="H9" s="160" t="s">
        <v>53</v>
      </c>
      <c r="I9" s="168">
        <v>11.1</v>
      </c>
      <c r="J9" s="168">
        <v>1.9020047490137959</v>
      </c>
      <c r="K9" s="168">
        <f>J9*1000/'Basic data - source records'!$AI$5</f>
        <v>2.6381004358449189</v>
      </c>
      <c r="L9" s="169">
        <f t="shared" si="0"/>
        <v>2.1479131350079828E-2</v>
      </c>
      <c r="M9" s="275">
        <f t="shared" si="2"/>
        <v>2.1925667445051148E-2</v>
      </c>
      <c r="N9" s="161"/>
      <c r="O9" s="178" t="s">
        <v>89</v>
      </c>
      <c r="P9" s="168">
        <v>2.5</v>
      </c>
      <c r="Q9" s="168">
        <v>0.92147253301225129</v>
      </c>
      <c r="R9" s="168">
        <f>Q9*1000/'Basic data - source records'!$AI$5</f>
        <v>1.2780920196015291</v>
      </c>
      <c r="S9" s="172">
        <f t="shared" si="3"/>
        <v>1.0223006245937967E-3</v>
      </c>
      <c r="T9" s="179" t="s">
        <v>147</v>
      </c>
      <c r="U9" s="180">
        <f>L18</f>
        <v>1.7013587547177543E-2</v>
      </c>
      <c r="W9" s="201" t="s">
        <v>186</v>
      </c>
      <c r="X9" s="203">
        <f>'MRA - Wolfram - Tungsten'!R7</f>
        <v>16004829.209849996</v>
      </c>
      <c r="Y9" s="204">
        <f t="shared" si="4"/>
        <v>0.15190058381928115</v>
      </c>
      <c r="Z9" s="202" t="s">
        <v>182</v>
      </c>
      <c r="AA9" s="205">
        <f>Y9*R7</f>
        <v>46.572480064368271</v>
      </c>
      <c r="AB9" s="206">
        <f>$AA9*'Basic data - source records'!Y$5*1000000</f>
        <v>5262690.2472736146</v>
      </c>
      <c r="AC9" s="207">
        <f>$AA9*'Basic data - source records'!Z$5*1000000</f>
        <v>4890110.4067586688</v>
      </c>
      <c r="AD9" s="207">
        <f>$AA9*'Basic data - source records'!AA$5*1000000</f>
        <v>4983255.3668874046</v>
      </c>
      <c r="AE9" s="207">
        <f>$AA9*'Basic data - source records'!AB$5*1000000</f>
        <v>4890110.4067586688</v>
      </c>
      <c r="AF9" s="208">
        <f>$AA9*'Basic data - source records'!AC$5*1000000</f>
        <v>4890110.4067586688</v>
      </c>
    </row>
    <row r="10" spans="1:32" ht="19.5" outlineLevel="1" thickBot="1" x14ac:dyDescent="0.35">
      <c r="A10" s="268"/>
      <c r="B10" s="167" t="s">
        <v>54</v>
      </c>
      <c r="C10" s="168"/>
      <c r="D10" s="168">
        <v>0</v>
      </c>
      <c r="E10" s="168">
        <f>D10*1000/'Basic data - source records'!$AI$5</f>
        <v>0</v>
      </c>
      <c r="F10" s="169">
        <f t="shared" si="1"/>
        <v>0</v>
      </c>
      <c r="G10" s="160"/>
      <c r="H10" s="160" t="s">
        <v>55</v>
      </c>
      <c r="I10" s="168"/>
      <c r="J10" s="168">
        <v>0</v>
      </c>
      <c r="K10" s="168">
        <f>J10*1000/'Basic data - source records'!$AI$5</f>
        <v>0</v>
      </c>
      <c r="L10" s="169">
        <f t="shared" si="0"/>
        <v>0</v>
      </c>
      <c r="M10" s="275">
        <f t="shared" si="2"/>
        <v>0</v>
      </c>
      <c r="N10" s="161"/>
      <c r="O10" s="175" t="s">
        <v>90</v>
      </c>
      <c r="P10" s="168">
        <v>3.7</v>
      </c>
      <c r="Q10" s="168">
        <v>3.2818850209139727</v>
      </c>
      <c r="R10" s="168">
        <f>Q10*1000/'Basic data - source records'!$AI$5</f>
        <v>4.5520087731406935</v>
      </c>
      <c r="S10" s="172">
        <f t="shared" si="3"/>
        <v>3.6409908993790627E-3</v>
      </c>
      <c r="T10" s="155" t="s">
        <v>293</v>
      </c>
      <c r="U10" s="331">
        <f>M7/U7</f>
        <v>0.67510510426406911</v>
      </c>
      <c r="W10" s="209"/>
      <c r="X10" s="210">
        <f>SUM(X7:X9)</f>
        <v>105363842.63599163</v>
      </c>
      <c r="Y10" s="287">
        <f>SUM(Y7:Y9)</f>
        <v>0.99999999999999989</v>
      </c>
      <c r="Z10" s="211"/>
      <c r="AA10" s="212">
        <f>SUM(AA7:AA9)</f>
        <v>306.59842703288348</v>
      </c>
      <c r="AB10" s="280">
        <f t="shared" ref="AB10:AD10" si="5">SUM(AB7:AB9)</f>
        <v>34645622.25471583</v>
      </c>
      <c r="AC10" s="281">
        <f t="shared" si="5"/>
        <v>32192834.838452764</v>
      </c>
      <c r="AD10" s="281">
        <f t="shared" si="5"/>
        <v>32806031.692518529</v>
      </c>
      <c r="AE10" s="281">
        <f>SUM(AE7:AE9)</f>
        <v>32192834.838452764</v>
      </c>
      <c r="AF10" s="282">
        <f>SUM(AF7:AF9)</f>
        <v>32192834.838452764</v>
      </c>
    </row>
    <row r="11" spans="1:32" outlineLevel="1" x14ac:dyDescent="0.3">
      <c r="A11" s="268"/>
      <c r="B11" s="167" t="s">
        <v>56</v>
      </c>
      <c r="C11" s="168"/>
      <c r="D11" s="168">
        <v>0</v>
      </c>
      <c r="E11" s="168">
        <f>D11*1000/'Basic data - source records'!$AI$5</f>
        <v>0</v>
      </c>
      <c r="F11" s="169">
        <f t="shared" si="1"/>
        <v>0</v>
      </c>
      <c r="G11" s="160"/>
      <c r="H11" s="160" t="s">
        <v>57</v>
      </c>
      <c r="I11" s="168"/>
      <c r="J11" s="168">
        <v>0</v>
      </c>
      <c r="K11" s="168">
        <f>J11*1000/'Basic data - source records'!$AI$5</f>
        <v>0</v>
      </c>
      <c r="L11" s="169">
        <f t="shared" si="0"/>
        <v>0</v>
      </c>
      <c r="M11" s="275">
        <f t="shared" si="2"/>
        <v>0</v>
      </c>
      <c r="N11" s="161"/>
      <c r="O11" s="175" t="s">
        <v>91</v>
      </c>
      <c r="P11" s="168">
        <v>215.2</v>
      </c>
      <c r="Q11" s="168">
        <v>214.54443201164361</v>
      </c>
      <c r="R11" s="168">
        <f>Q11*1000/'Basic data - source records'!$AI$5</f>
        <v>297.57536614537241</v>
      </c>
      <c r="S11" s="172">
        <f t="shared" si="3"/>
        <v>0.23802001578023005</v>
      </c>
      <c r="X11" s="200"/>
    </row>
    <row r="12" spans="1:32" outlineLevel="1" x14ac:dyDescent="0.3">
      <c r="A12" s="268"/>
      <c r="B12" s="167" t="s">
        <v>58</v>
      </c>
      <c r="C12" s="168"/>
      <c r="D12" s="168">
        <v>0</v>
      </c>
      <c r="E12" s="168">
        <f>D12*1000/'Basic data - source records'!$AI$5</f>
        <v>0</v>
      </c>
      <c r="F12" s="169">
        <f t="shared" si="1"/>
        <v>0</v>
      </c>
      <c r="G12" s="160"/>
      <c r="H12" s="160" t="s">
        <v>59</v>
      </c>
      <c r="I12" s="168">
        <v>0.04</v>
      </c>
      <c r="J12" s="168">
        <v>0</v>
      </c>
      <c r="K12" s="168">
        <f>J12*1000/'Basic data - source records'!$AI$5</f>
        <v>0</v>
      </c>
      <c r="L12" s="169">
        <f t="shared" si="0"/>
        <v>0</v>
      </c>
      <c r="M12" s="275">
        <f t="shared" si="2"/>
        <v>0</v>
      </c>
      <c r="N12" s="161"/>
      <c r="O12" s="175" t="s">
        <v>92</v>
      </c>
      <c r="P12" s="168">
        <v>1</v>
      </c>
      <c r="Q12" s="168">
        <v>0.75800683893748189</v>
      </c>
      <c r="R12" s="168">
        <f>Q12*1000/'Basic data - source records'!$AI$5</f>
        <v>1.0513633960226751</v>
      </c>
      <c r="S12" s="172">
        <f t="shared" si="3"/>
        <v>8.4094841368630841E-4</v>
      </c>
      <c r="X12" s="200"/>
      <c r="AA12" s="286">
        <f>AA10-R7</f>
        <v>0</v>
      </c>
    </row>
    <row r="13" spans="1:32" outlineLevel="1" x14ac:dyDescent="0.3">
      <c r="A13" s="268"/>
      <c r="B13" s="167" t="s">
        <v>60</v>
      </c>
      <c r="C13" s="168"/>
      <c r="D13" s="168">
        <v>0</v>
      </c>
      <c r="E13" s="168">
        <f>D13*1000/'Basic data - source records'!$AI$5</f>
        <v>0</v>
      </c>
      <c r="F13" s="169">
        <f t="shared" si="1"/>
        <v>0</v>
      </c>
      <c r="G13" s="160"/>
      <c r="H13" s="160" t="s">
        <v>61</v>
      </c>
      <c r="I13" s="168">
        <v>0.2</v>
      </c>
      <c r="J13" s="168">
        <v>0.15731335798016829</v>
      </c>
      <c r="K13" s="168">
        <f>J13*1000/'Basic data - source records'!$AI$5</f>
        <v>0.21819526921102314</v>
      </c>
      <c r="L13" s="169">
        <f t="shared" si="0"/>
        <v>1.7765225249464689E-3</v>
      </c>
      <c r="M13" s="275">
        <f t="shared" si="2"/>
        <v>1.8134551838137577E-3</v>
      </c>
      <c r="N13" s="161"/>
      <c r="O13" s="175" t="s">
        <v>93</v>
      </c>
      <c r="P13" s="168">
        <v>0.1</v>
      </c>
      <c r="Q13" s="168">
        <v>0.12786336172713797</v>
      </c>
      <c r="R13" s="168">
        <f>Q13*1000/'Basic data - source records'!$AI$5</f>
        <v>0.17734781707346436</v>
      </c>
      <c r="S13" s="172">
        <f t="shared" si="3"/>
        <v>1.4185424944682297E-4</v>
      </c>
      <c r="X13" s="200"/>
    </row>
    <row r="14" spans="1:32" outlineLevel="1" x14ac:dyDescent="0.3">
      <c r="A14" s="268"/>
      <c r="B14" s="167" t="s">
        <v>62</v>
      </c>
      <c r="C14" s="168"/>
      <c r="D14" s="168">
        <v>0</v>
      </c>
      <c r="E14" s="168">
        <f>D14*1000/'Basic data - source records'!$AI$5</f>
        <v>0</v>
      </c>
      <c r="F14" s="169">
        <f t="shared" si="1"/>
        <v>0</v>
      </c>
      <c r="G14" s="160"/>
      <c r="H14" s="160" t="s">
        <v>63</v>
      </c>
      <c r="I14" s="168">
        <v>5.5</v>
      </c>
      <c r="J14" s="168">
        <v>3.27087710503928</v>
      </c>
      <c r="K14" s="168">
        <f>J14*1000/'Basic data - source records'!$AI$5</f>
        <v>4.5367406789459617</v>
      </c>
      <c r="L14" s="169">
        <f t="shared" si="0"/>
        <v>3.6937656967226611E-2</v>
      </c>
      <c r="M14" s="275">
        <f t="shared" si="2"/>
        <v>3.7705564981322083E-2</v>
      </c>
      <c r="N14" s="161"/>
      <c r="O14" s="175" t="s">
        <v>94</v>
      </c>
      <c r="P14" s="168">
        <v>1.5</v>
      </c>
      <c r="Q14" s="168">
        <v>1.4161802158729933</v>
      </c>
      <c r="R14" s="168">
        <f>Q14*1000/'Basic data - source records'!$AI$5</f>
        <v>1.9642567384054392</v>
      </c>
      <c r="S14" s="172">
        <f t="shared" si="3"/>
        <v>1.5711395265268209E-3</v>
      </c>
      <c r="X14" s="200"/>
    </row>
    <row r="15" spans="1:32" outlineLevel="1" x14ac:dyDescent="0.3">
      <c r="A15" s="268"/>
      <c r="B15" s="167" t="s">
        <v>64</v>
      </c>
      <c r="C15" s="168"/>
      <c r="D15" s="168">
        <v>0</v>
      </c>
      <c r="E15" s="168">
        <f>D15*1000/'Basic data - source records'!$AI$5</f>
        <v>0</v>
      </c>
      <c r="F15" s="169">
        <f t="shared" si="1"/>
        <v>0</v>
      </c>
      <c r="G15" s="160"/>
      <c r="H15" s="160" t="s">
        <v>65</v>
      </c>
      <c r="I15" s="168">
        <v>7.9</v>
      </c>
      <c r="J15" s="168">
        <v>4.5679972012689918</v>
      </c>
      <c r="K15" s="168">
        <f>J15*1000/'Basic data - source records'!$AI$5</f>
        <v>6.3358597889172179</v>
      </c>
      <c r="L15" s="169">
        <f t="shared" si="0"/>
        <v>5.1585892171787648E-2</v>
      </c>
      <c r="M15" s="275">
        <f t="shared" si="2"/>
        <v>5.2658326734925424E-2</v>
      </c>
      <c r="N15" s="161"/>
      <c r="O15" s="170"/>
      <c r="P15" s="181"/>
      <c r="Q15" s="181"/>
      <c r="R15" s="168"/>
      <c r="S15" s="172"/>
      <c r="X15" s="200"/>
    </row>
    <row r="16" spans="1:32" outlineLevel="1" x14ac:dyDescent="0.3">
      <c r="A16" s="268"/>
      <c r="B16" s="167" t="s">
        <v>66</v>
      </c>
      <c r="C16" s="168"/>
      <c r="D16" s="168">
        <v>0</v>
      </c>
      <c r="E16" s="168">
        <f>D16*1000/'Basic data - source records'!$AI$5</f>
        <v>0</v>
      </c>
      <c r="F16" s="169">
        <f t="shared" si="1"/>
        <v>0</v>
      </c>
      <c r="G16" s="160"/>
      <c r="H16" s="160" t="s">
        <v>67</v>
      </c>
      <c r="I16" s="168">
        <v>0.4</v>
      </c>
      <c r="J16" s="168">
        <v>0.3300717264954931</v>
      </c>
      <c r="K16" s="168">
        <f>J16*1000/'Basic data - source records'!$AI$5</f>
        <v>0.45781292921552497</v>
      </c>
      <c r="L16" s="169">
        <f t="shared" si="0"/>
        <v>3.7274638625483772E-3</v>
      </c>
      <c r="M16" s="275">
        <f t="shared" si="2"/>
        <v>3.804955225220401E-3</v>
      </c>
      <c r="N16" s="161"/>
      <c r="O16" s="170" t="s">
        <v>95</v>
      </c>
      <c r="P16" s="199">
        <v>686.5</v>
      </c>
      <c r="Q16" s="199">
        <v>680.32155374977276</v>
      </c>
      <c r="R16" s="199">
        <f>Q16*1000/'Basic data - source records'!$AI$5</f>
        <v>943.61309475834003</v>
      </c>
      <c r="S16" s="172">
        <f t="shared" si="3"/>
        <v>0.75476275679046001</v>
      </c>
      <c r="X16" s="200"/>
    </row>
    <row r="17" spans="1:32" outlineLevel="1" x14ac:dyDescent="0.3">
      <c r="A17" s="268"/>
      <c r="B17" s="167" t="s">
        <v>68</v>
      </c>
      <c r="C17" s="168"/>
      <c r="D17" s="168">
        <v>0</v>
      </c>
      <c r="E17" s="168">
        <f>D17*1000/'Basic data - source records'!$AI$5</f>
        <v>0</v>
      </c>
      <c r="F17" s="169">
        <f t="shared" si="1"/>
        <v>0</v>
      </c>
      <c r="G17" s="160"/>
      <c r="H17" s="160" t="s">
        <v>69</v>
      </c>
      <c r="I17" s="168">
        <v>1.24</v>
      </c>
      <c r="J17" s="168">
        <v>0.53157189825967666</v>
      </c>
      <c r="K17" s="168">
        <f>J17*1000/'Basic data - source records'!$AI$5</f>
        <v>0.73729577027023097</v>
      </c>
      <c r="L17" s="169">
        <f t="shared" si="0"/>
        <v>6.0029832368457712E-3</v>
      </c>
      <c r="M17" s="275">
        <f t="shared" si="2"/>
        <v>6.1277810533435714E-3</v>
      </c>
      <c r="N17" s="161"/>
      <c r="O17" s="182" t="s">
        <v>96</v>
      </c>
      <c r="P17" s="168">
        <v>407.5</v>
      </c>
      <c r="Q17" s="168">
        <v>404.52807857297898</v>
      </c>
      <c r="R17" s="168">
        <f>Q17*1000/'Basic data - source records'!$AI$5</f>
        <v>561.08466655944335</v>
      </c>
      <c r="S17" s="172">
        <f t="shared" si="3"/>
        <v>0.44879178985293378</v>
      </c>
      <c r="X17" s="200"/>
    </row>
    <row r="18" spans="1:32" outlineLevel="1" x14ac:dyDescent="0.3">
      <c r="A18" s="268"/>
      <c r="B18" s="167" t="s">
        <v>70</v>
      </c>
      <c r="C18" s="168">
        <v>0.01</v>
      </c>
      <c r="D18" s="168">
        <v>4.1725365519738079E-2</v>
      </c>
      <c r="E18" s="168">
        <f>D18*1000/'Basic data - source records'!$AI$5</f>
        <v>5.7873517413920585E-2</v>
      </c>
      <c r="F18" s="169">
        <f t="shared" si="1"/>
        <v>4.80995901237019E-4</v>
      </c>
      <c r="G18" s="160"/>
      <c r="H18" s="160" t="s">
        <v>71</v>
      </c>
      <c r="I18" s="168">
        <v>1.8</v>
      </c>
      <c r="J18" s="168">
        <v>1.5065750930553066</v>
      </c>
      <c r="K18" s="168">
        <f>J18*1000/'Basic data - source records'!$AI$5</f>
        <v>2.0896353764011946</v>
      </c>
      <c r="L18" s="169">
        <f t="shared" si="0"/>
        <v>1.7013587547177543E-2</v>
      </c>
      <c r="M18" s="275">
        <f t="shared" si="2"/>
        <v>1.7367288114530383E-2</v>
      </c>
      <c r="N18" s="161"/>
      <c r="O18" s="182" t="s">
        <v>97</v>
      </c>
      <c r="P18" s="168">
        <v>109.8</v>
      </c>
      <c r="Q18" s="168">
        <v>106.82738046737528</v>
      </c>
      <c r="R18" s="168">
        <f>Q18*1000/'Basic data - source records'!$AI$5</f>
        <v>148.17069153864111</v>
      </c>
      <c r="S18" s="172">
        <f t="shared" si="3"/>
        <v>0.11851649817332637</v>
      </c>
      <c r="X18" s="200"/>
    </row>
    <row r="19" spans="1:32" outlineLevel="1" x14ac:dyDescent="0.3">
      <c r="A19" s="268"/>
      <c r="B19" s="167" t="s">
        <v>72</v>
      </c>
      <c r="C19" s="168">
        <v>0.7</v>
      </c>
      <c r="D19" s="168">
        <v>0.70322522560055145</v>
      </c>
      <c r="E19" s="168">
        <f>D19*1000/'Basic data - source records'!$AI$5</f>
        <v>0.97538072663376918</v>
      </c>
      <c r="F19" s="169">
        <f t="shared" si="1"/>
        <v>8.1065425538413959E-3</v>
      </c>
      <c r="G19" s="160"/>
      <c r="H19" s="160" t="s">
        <v>73</v>
      </c>
      <c r="I19" s="168">
        <v>5.6</v>
      </c>
      <c r="J19" s="168">
        <v>4.8206945029116568</v>
      </c>
      <c r="K19" s="168">
        <f>J19*1000/'Basic data - source records'!$AI$5</f>
        <v>6.6863535833969685</v>
      </c>
      <c r="L19" s="169">
        <f t="shared" si="0"/>
        <v>5.4439575127420571E-2</v>
      </c>
      <c r="M19" s="275">
        <f t="shared" si="2"/>
        <v>5.5571335760245512E-2</v>
      </c>
      <c r="N19" s="161"/>
      <c r="O19" s="182" t="s">
        <v>98</v>
      </c>
      <c r="P19" s="168">
        <v>169.2</v>
      </c>
      <c r="Q19" s="168">
        <v>168.96610333458531</v>
      </c>
      <c r="R19" s="168">
        <f>Q19*1000/'Basic data - source records'!$AI$5</f>
        <v>234.35774862345201</v>
      </c>
      <c r="S19" s="172">
        <f t="shared" si="3"/>
        <v>0.18745447833313769</v>
      </c>
      <c r="X19" s="200"/>
    </row>
    <row r="20" spans="1:32" outlineLevel="1" x14ac:dyDescent="0.3">
      <c r="A20" s="268"/>
      <c r="B20" s="167" t="s">
        <v>74</v>
      </c>
      <c r="C20" s="168">
        <v>1.3</v>
      </c>
      <c r="D20" s="168">
        <v>1.2193646735094772</v>
      </c>
      <c r="E20" s="168">
        <f>D20*1000/'Basic data - source records'!$AI$5</f>
        <v>1.6912715272173677</v>
      </c>
      <c r="F20" s="169">
        <f t="shared" si="1"/>
        <v>1.4056423539149768E-2</v>
      </c>
      <c r="G20" s="160"/>
      <c r="H20" s="161"/>
      <c r="I20" s="161"/>
      <c r="J20" s="161"/>
      <c r="K20" s="168">
        <f>J20*1000/'Basic data - source records'!$AI$5</f>
        <v>0</v>
      </c>
      <c r="L20" s="161"/>
      <c r="M20" s="275"/>
      <c r="N20" s="161"/>
      <c r="O20" s="161"/>
      <c r="P20" s="161"/>
      <c r="Q20" s="161"/>
      <c r="R20" s="168"/>
      <c r="S20" s="183"/>
      <c r="X20" s="200"/>
    </row>
    <row r="21" spans="1:32" s="254" customFormat="1" ht="19.5" outlineLevel="1" thickBot="1" x14ac:dyDescent="0.35">
      <c r="A21" s="270"/>
      <c r="B21" s="246" t="s">
        <v>76</v>
      </c>
      <c r="C21" s="247">
        <f>SUM(C7:C20)</f>
        <v>106.41000000000001</v>
      </c>
      <c r="D21" s="247">
        <f t="shared" ref="D21:E21" si="6">SUM(D7:D20)</f>
        <v>86.747860870392714</v>
      </c>
      <c r="E21" s="247">
        <f t="shared" si="6"/>
        <v>120.32018831154741</v>
      </c>
      <c r="F21" s="248">
        <f t="shared" si="1"/>
        <v>1</v>
      </c>
      <c r="G21" s="249"/>
      <c r="H21" s="250" t="s">
        <v>75</v>
      </c>
      <c r="I21" s="247">
        <f>SUM(I7:I19)</f>
        <v>108.18</v>
      </c>
      <c r="J21" s="247">
        <f t="shared" ref="J21:K21" si="7">SUM(J7:J19)</f>
        <v>88.551288132363283</v>
      </c>
      <c r="K21" s="247">
        <f t="shared" si="7"/>
        <v>122.82156074412731</v>
      </c>
      <c r="L21" s="248">
        <f>J21/$J$21</f>
        <v>1</v>
      </c>
      <c r="M21" s="276">
        <f t="shared" si="2"/>
        <v>1.0207892995155814</v>
      </c>
      <c r="N21" s="251"/>
      <c r="O21" s="250" t="s">
        <v>99</v>
      </c>
      <c r="P21" s="252">
        <f>P16+P7</f>
        <v>910.5</v>
      </c>
      <c r="Q21" s="252">
        <f t="shared" ref="Q21:R21" si="8">Q16+Q7</f>
        <v>901.37138806737141</v>
      </c>
      <c r="R21" s="252">
        <f t="shared" si="8"/>
        <v>1250.2115217912235</v>
      </c>
      <c r="S21" s="253">
        <f t="shared" si="3"/>
        <v>1</v>
      </c>
      <c r="X21" s="255"/>
    </row>
    <row r="22" spans="1:32" outlineLevel="1" x14ac:dyDescent="0.3">
      <c r="A22" s="268"/>
      <c r="B22" s="186" t="s">
        <v>77</v>
      </c>
      <c r="C22" s="175"/>
      <c r="D22" s="168"/>
      <c r="E22" s="168"/>
      <c r="F22" s="160"/>
      <c r="G22" s="160"/>
      <c r="H22" s="175" t="s">
        <v>77</v>
      </c>
      <c r="I22" s="160"/>
      <c r="J22" s="168"/>
      <c r="K22" s="168"/>
      <c r="L22" s="169"/>
      <c r="M22" s="273"/>
      <c r="N22" s="161"/>
      <c r="O22" s="175" t="s">
        <v>77</v>
      </c>
      <c r="P22" s="175"/>
      <c r="Q22" s="175"/>
      <c r="R22" s="175"/>
      <c r="S22" s="172"/>
      <c r="X22" s="200"/>
    </row>
    <row r="23" spans="1:32" outlineLevel="1" x14ac:dyDescent="0.3">
      <c r="A23" s="268"/>
      <c r="B23" s="167" t="s">
        <v>165</v>
      </c>
      <c r="C23" s="160"/>
      <c r="D23" s="160"/>
      <c r="E23" s="168"/>
      <c r="F23" s="160"/>
      <c r="G23" s="160"/>
      <c r="H23" s="160"/>
      <c r="I23" s="160"/>
      <c r="J23" s="160"/>
      <c r="K23" s="160"/>
      <c r="L23" s="160"/>
      <c r="M23" s="273"/>
      <c r="N23" s="161"/>
      <c r="O23" s="161"/>
      <c r="P23" s="161"/>
      <c r="Q23" s="161"/>
      <c r="R23" s="161"/>
      <c r="S23" s="183"/>
      <c r="X23" s="200"/>
    </row>
    <row r="24" spans="1:32" ht="19.5" outlineLevel="1" thickBot="1" x14ac:dyDescent="0.35">
      <c r="A24" s="268"/>
      <c r="B24" s="187" t="s">
        <v>83</v>
      </c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277"/>
      <c r="N24" s="189"/>
      <c r="O24" s="189"/>
      <c r="P24" s="189"/>
      <c r="Q24" s="189"/>
      <c r="R24" s="189"/>
      <c r="S24" s="190"/>
      <c r="X24" s="200"/>
    </row>
    <row r="25" spans="1:32" x14ac:dyDescent="0.3">
      <c r="A25" s="268"/>
      <c r="B25" s="165"/>
      <c r="C25" s="165"/>
      <c r="D25" s="191"/>
      <c r="E25" s="191"/>
      <c r="F25" s="165"/>
      <c r="G25" s="165"/>
      <c r="H25" s="165"/>
      <c r="I25" s="165"/>
      <c r="J25" s="165"/>
      <c r="K25" s="165"/>
      <c r="L25" s="165"/>
      <c r="X25" s="200"/>
    </row>
    <row r="26" spans="1:32" ht="19.5" thickBot="1" x14ac:dyDescent="0.35">
      <c r="A26" s="267" t="s">
        <v>229</v>
      </c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X26" s="200"/>
    </row>
    <row r="27" spans="1:32" outlineLevel="1" x14ac:dyDescent="0.3">
      <c r="B27" s="29" t="s">
        <v>106</v>
      </c>
      <c r="C27" s="192"/>
      <c r="D27" s="192"/>
      <c r="E27" s="192"/>
      <c r="F27" s="192"/>
      <c r="G27" s="156"/>
      <c r="H27" s="192"/>
      <c r="I27" s="192"/>
      <c r="J27" s="192"/>
      <c r="K27" s="192"/>
      <c r="L27" s="192"/>
      <c r="M27" s="272"/>
      <c r="N27" s="156"/>
      <c r="O27" s="193"/>
      <c r="P27" s="194"/>
      <c r="Q27" s="194"/>
      <c r="R27" s="194"/>
      <c r="S27" s="195"/>
      <c r="X27" s="200"/>
    </row>
    <row r="28" spans="1:32" ht="19.5" outlineLevel="1" thickBot="1" x14ac:dyDescent="0.35">
      <c r="B28" s="158" t="s">
        <v>102</v>
      </c>
      <c r="C28" s="159"/>
      <c r="D28" s="159"/>
      <c r="E28" s="159"/>
      <c r="F28" s="160"/>
      <c r="G28" s="160"/>
      <c r="H28" s="159" t="s">
        <v>103</v>
      </c>
      <c r="I28" s="159"/>
      <c r="J28" s="160"/>
      <c r="K28" s="160"/>
      <c r="L28" s="161"/>
      <c r="M28" s="273"/>
      <c r="N28" s="161"/>
      <c r="O28" s="162" t="s">
        <v>104</v>
      </c>
      <c r="P28" s="163"/>
      <c r="Q28" s="163"/>
      <c r="R28" s="163"/>
      <c r="S28" s="164"/>
      <c r="X28" s="200"/>
    </row>
    <row r="29" spans="1:32" ht="19.5" outlineLevel="1" thickBot="1" x14ac:dyDescent="0.35">
      <c r="B29" s="158" t="s">
        <v>79</v>
      </c>
      <c r="C29" s="159"/>
      <c r="D29" s="159"/>
      <c r="E29" s="159"/>
      <c r="F29" s="160"/>
      <c r="G29" s="160"/>
      <c r="H29" s="159" t="s">
        <v>81</v>
      </c>
      <c r="I29" s="159"/>
      <c r="J29" s="160"/>
      <c r="K29" s="160"/>
      <c r="L29" s="160"/>
      <c r="M29" s="273"/>
      <c r="N29" s="161"/>
      <c r="O29" s="162" t="s">
        <v>105</v>
      </c>
      <c r="P29" s="163"/>
      <c r="Q29" s="163"/>
      <c r="R29" s="163"/>
      <c r="S29" s="164"/>
      <c r="W29" s="426" t="s">
        <v>187</v>
      </c>
      <c r="X29" s="427"/>
      <c r="Y29" s="427"/>
      <c r="Z29" s="427"/>
      <c r="AA29" s="428"/>
      <c r="AB29" s="426" t="s">
        <v>183</v>
      </c>
      <c r="AC29" s="427"/>
      <c r="AD29" s="427"/>
      <c r="AE29" s="427"/>
      <c r="AF29" s="428"/>
    </row>
    <row r="30" spans="1:32" s="218" customFormat="1" ht="75" outlineLevel="1" x14ac:dyDescent="0.3">
      <c r="A30" s="269"/>
      <c r="B30" s="166" t="s">
        <v>43</v>
      </c>
      <c r="C30" s="241" t="s">
        <v>84</v>
      </c>
      <c r="D30" s="240" t="s">
        <v>85</v>
      </c>
      <c r="E30" s="240" t="s">
        <v>194</v>
      </c>
      <c r="F30" s="241" t="s">
        <v>46</v>
      </c>
      <c r="G30" s="242"/>
      <c r="H30" s="241" t="s">
        <v>47</v>
      </c>
      <c r="I30" s="241" t="s">
        <v>84</v>
      </c>
      <c r="J30" s="240" t="s">
        <v>85</v>
      </c>
      <c r="K30" s="240" t="s">
        <v>179</v>
      </c>
      <c r="L30" s="241" t="s">
        <v>46</v>
      </c>
      <c r="M30" s="274" t="s">
        <v>144</v>
      </c>
      <c r="N30" s="243"/>
      <c r="O30" s="241" t="s">
        <v>86</v>
      </c>
      <c r="P30" s="241" t="s">
        <v>84</v>
      </c>
      <c r="Q30" s="240" t="s">
        <v>85</v>
      </c>
      <c r="R30" s="240" t="s">
        <v>194</v>
      </c>
      <c r="S30" s="244" t="s">
        <v>46</v>
      </c>
      <c r="T30" s="217"/>
      <c r="U30" s="245" t="s">
        <v>148</v>
      </c>
      <c r="W30" s="429"/>
      <c r="X30" s="430">
        <v>2015</v>
      </c>
      <c r="Y30" s="430"/>
      <c r="Z30" s="430"/>
      <c r="AA30" s="430"/>
      <c r="AB30" s="219">
        <v>2012</v>
      </c>
      <c r="AC30" s="220">
        <v>2013</v>
      </c>
      <c r="AD30" s="220">
        <v>2014</v>
      </c>
      <c r="AE30" s="220">
        <v>2015</v>
      </c>
      <c r="AF30" s="221">
        <v>2016</v>
      </c>
    </row>
    <row r="31" spans="1:32" outlineLevel="1" x14ac:dyDescent="0.3">
      <c r="B31" s="167" t="s">
        <v>48</v>
      </c>
      <c r="C31" s="168">
        <v>1828.4</v>
      </c>
      <c r="D31" s="168">
        <v>4.1450487993790466</v>
      </c>
      <c r="E31" s="168">
        <f>D31*1000/'Basic data - source records'!$AI$5</f>
        <v>5.7492259416861238</v>
      </c>
      <c r="F31" s="169">
        <f>D31/$D$45</f>
        <v>1</v>
      </c>
      <c r="G31" s="160"/>
      <c r="H31" s="160" t="s">
        <v>49</v>
      </c>
      <c r="I31" s="168">
        <v>1600.6</v>
      </c>
      <c r="J31" s="168">
        <v>3.5425314323936368</v>
      </c>
      <c r="K31" s="168">
        <f>J31*1000/'Basic data - source records'!$AI$5</f>
        <v>4.9135280659197722</v>
      </c>
      <c r="L31" s="169">
        <f t="shared" ref="L31:L43" si="9">J31/$J$45</f>
        <v>0.8285781983631455</v>
      </c>
      <c r="M31" s="275">
        <f>J31/$D$45</f>
        <v>0.8546416710279332</v>
      </c>
      <c r="N31" s="161"/>
      <c r="O31" s="170" t="s">
        <v>87</v>
      </c>
      <c r="P31" s="199">
        <v>765.99999999999989</v>
      </c>
      <c r="Q31" s="199">
        <v>0.10629210678015497</v>
      </c>
      <c r="R31" s="285">
        <f>Q31*1000/'Basic data - source records'!$AI$5</f>
        <v>0.14742826134845133</v>
      </c>
      <c r="S31" s="172">
        <f t="shared" ref="S31:S38" si="10">Q31/$Q$45</f>
        <v>0.14311391523037989</v>
      </c>
      <c r="T31" s="173" t="s">
        <v>153</v>
      </c>
      <c r="U31" s="174">
        <f>M31</f>
        <v>0.8546416710279332</v>
      </c>
      <c r="W31" s="201" t="s">
        <v>184</v>
      </c>
      <c r="X31" s="203">
        <f>'MRA - Cassiterite - Tin'!R19</f>
        <v>34263243.884650901</v>
      </c>
      <c r="Y31" s="204">
        <f>X31/$X$34</f>
        <v>0.29084292460378336</v>
      </c>
      <c r="Z31" s="202" t="s">
        <v>180</v>
      </c>
      <c r="AA31" s="283">
        <f>Y31*R31</f>
        <v>4.28784666998345E-2</v>
      </c>
      <c r="AB31" s="206">
        <f>$AA31*'Basic data - source records'!Y$5*1000000</f>
        <v>4845.2667370812987</v>
      </c>
      <c r="AC31" s="207">
        <f>$AA31*'Basic data - source records'!Z$5*1000000</f>
        <v>4502.2390034826221</v>
      </c>
      <c r="AD31" s="207">
        <f>$AA31*'Basic data - source records'!AA$5*1000000</f>
        <v>4587.9959368822911</v>
      </c>
      <c r="AE31" s="207">
        <f>$AA31*'Basic data - source records'!AB$5*1000000</f>
        <v>4502.2390034826221</v>
      </c>
      <c r="AF31" s="208">
        <f>$AA31*'Basic data - source records'!AC$5*1000000</f>
        <v>4502.2390034826221</v>
      </c>
    </row>
    <row r="32" spans="1:32" outlineLevel="1" x14ac:dyDescent="0.3">
      <c r="B32" s="167" t="s">
        <v>50</v>
      </c>
      <c r="C32" s="168">
        <v>4.8</v>
      </c>
      <c r="D32" s="168">
        <v>0</v>
      </c>
      <c r="E32" s="168">
        <f>D32*1000/'Basic data - source records'!$AI$5</f>
        <v>0</v>
      </c>
      <c r="F32" s="169">
        <f t="shared" ref="F32:F45" si="11">D32/$D$45</f>
        <v>0</v>
      </c>
      <c r="G32" s="160"/>
      <c r="H32" s="160" t="s">
        <v>51</v>
      </c>
      <c r="I32" s="168">
        <v>3.5</v>
      </c>
      <c r="J32" s="168">
        <v>0</v>
      </c>
      <c r="K32" s="168">
        <f>J32*1000/'Basic data - source records'!$AI$5</f>
        <v>0</v>
      </c>
      <c r="L32" s="169">
        <f t="shared" si="9"/>
        <v>0</v>
      </c>
      <c r="M32" s="275">
        <f t="shared" ref="M32:M45" si="12">J32/$D$45</f>
        <v>0</v>
      </c>
      <c r="N32" s="161"/>
      <c r="O32" s="175" t="s">
        <v>88</v>
      </c>
      <c r="P32" s="168">
        <v>739.9</v>
      </c>
      <c r="Q32" s="168">
        <v>0.10629210678015497</v>
      </c>
      <c r="R32" s="168">
        <f>Q32*1000/'Basic data - source records'!$AI$5</f>
        <v>0.14742826134845133</v>
      </c>
      <c r="S32" s="172">
        <f t="shared" si="10"/>
        <v>0.14311391523037989</v>
      </c>
      <c r="T32" s="173" t="s">
        <v>145</v>
      </c>
      <c r="U32" s="174">
        <f>M32+M33+M34+M35</f>
        <v>0</v>
      </c>
      <c r="W32" s="201" t="s">
        <v>185</v>
      </c>
      <c r="X32" s="203">
        <f>'MRA - Coltan - Tantalum'!R19</f>
        <v>66200323.020744219</v>
      </c>
      <c r="Y32" s="204">
        <f t="shared" ref="Y32:Y33" si="13">X32/$X$34</f>
        <v>0.56194024190726699</v>
      </c>
      <c r="Z32" s="202" t="s">
        <v>181</v>
      </c>
      <c r="AA32" s="283">
        <f>Y32*R31</f>
        <v>8.2845872846116525E-2</v>
      </c>
      <c r="AB32" s="206">
        <f>$AA32*'Basic data - source records'!Y$5*1000000</f>
        <v>9361.5836316111672</v>
      </c>
      <c r="AC32" s="207">
        <f>$AA32*'Basic data - source records'!Z$5*1000000</f>
        <v>8698.8166488422357</v>
      </c>
      <c r="AD32" s="207">
        <f>$AA32*'Basic data - source records'!AA$5*1000000</f>
        <v>8864.5083945344686</v>
      </c>
      <c r="AE32" s="207">
        <f>$AA32*'Basic data - source records'!AB$5*1000000</f>
        <v>8698.8166488422357</v>
      </c>
      <c r="AF32" s="208">
        <f>$AA32*'Basic data - source records'!AC$5*1000000</f>
        <v>8698.8166488422357</v>
      </c>
    </row>
    <row r="33" spans="2:32" ht="37.5" outlineLevel="1" x14ac:dyDescent="0.3">
      <c r="B33" s="167" t="s">
        <v>52</v>
      </c>
      <c r="C33" s="168">
        <v>0.8</v>
      </c>
      <c r="D33" s="168">
        <v>0</v>
      </c>
      <c r="E33" s="168">
        <f>D33*1000/'Basic data - source records'!$AI$5</f>
        <v>0</v>
      </c>
      <c r="F33" s="169">
        <f t="shared" si="11"/>
        <v>0</v>
      </c>
      <c r="G33" s="160"/>
      <c r="H33" s="160" t="s">
        <v>53</v>
      </c>
      <c r="I33" s="168">
        <v>0</v>
      </c>
      <c r="J33" s="168">
        <v>0</v>
      </c>
      <c r="K33" s="168">
        <f>J33*1000/'Basic data - source records'!$AI$5</f>
        <v>0</v>
      </c>
      <c r="L33" s="169">
        <f t="shared" si="9"/>
        <v>0</v>
      </c>
      <c r="M33" s="275">
        <f t="shared" si="12"/>
        <v>0</v>
      </c>
      <c r="N33" s="161"/>
      <c r="O33" s="178" t="s">
        <v>89</v>
      </c>
      <c r="P33" s="168">
        <v>369.6</v>
      </c>
      <c r="Q33" s="168">
        <v>0</v>
      </c>
      <c r="R33" s="168">
        <f>Q33*1000/'Basic data - source records'!$AI$5</f>
        <v>0</v>
      </c>
      <c r="S33" s="172">
        <f t="shared" si="10"/>
        <v>0</v>
      </c>
      <c r="T33" s="177" t="s">
        <v>146</v>
      </c>
      <c r="U33" s="174">
        <f>SUM(L36:L41)+L43</f>
        <v>0.16225412345649445</v>
      </c>
      <c r="W33" s="201" t="s">
        <v>186</v>
      </c>
      <c r="X33" s="203">
        <f>'MRA - Wolfram - Tungsten'!R19</f>
        <v>17343128.689238563</v>
      </c>
      <c r="Y33" s="204">
        <f t="shared" si="13"/>
        <v>0.14721683348894962</v>
      </c>
      <c r="Z33" s="202" t="s">
        <v>182</v>
      </c>
      <c r="AA33" s="283">
        <f>Y33*R31</f>
        <v>2.1703921802500307E-2</v>
      </c>
      <c r="AB33" s="206">
        <f>$AA33*'Basic data - source records'!Y$5*1000000</f>
        <v>2452.5431636825347</v>
      </c>
      <c r="AC33" s="207">
        <f>$AA33*'Basic data - source records'!Z$5*1000000</f>
        <v>2278.9117892625322</v>
      </c>
      <c r="AD33" s="207">
        <f>$AA33*'Basic data - source records'!AA$5*1000000</f>
        <v>2322.3196328675331</v>
      </c>
      <c r="AE33" s="207">
        <f>$AA33*'Basic data - source records'!AB$5*1000000</f>
        <v>2278.9117892625322</v>
      </c>
      <c r="AF33" s="208">
        <f>$AA33*'Basic data - source records'!AC$5*1000000</f>
        <v>2278.9117892625322</v>
      </c>
    </row>
    <row r="34" spans="2:32" ht="19.5" outlineLevel="1" thickBot="1" x14ac:dyDescent="0.35">
      <c r="B34" s="167" t="s">
        <v>54</v>
      </c>
      <c r="C34" s="168">
        <v>0</v>
      </c>
      <c r="D34" s="168">
        <v>0</v>
      </c>
      <c r="E34" s="168">
        <f>D34*1000/'Basic data - source records'!$AI$5</f>
        <v>0</v>
      </c>
      <c r="F34" s="169">
        <f t="shared" si="11"/>
        <v>0</v>
      </c>
      <c r="G34" s="160"/>
      <c r="H34" s="160" t="s">
        <v>55</v>
      </c>
      <c r="I34" s="168">
        <v>3.8</v>
      </c>
      <c r="J34" s="168">
        <v>0</v>
      </c>
      <c r="K34" s="168">
        <f>J34*1000/'Basic data - source records'!$AI$5</f>
        <v>0</v>
      </c>
      <c r="L34" s="169">
        <f t="shared" si="9"/>
        <v>0</v>
      </c>
      <c r="M34" s="275">
        <f t="shared" si="12"/>
        <v>0</v>
      </c>
      <c r="N34" s="161"/>
      <c r="O34" s="175" t="s">
        <v>90</v>
      </c>
      <c r="P34" s="168">
        <v>102.5</v>
      </c>
      <c r="Q34" s="168">
        <v>0</v>
      </c>
      <c r="R34" s="168">
        <f>Q34*1000/'Basic data - source records'!$AI$5</f>
        <v>0</v>
      </c>
      <c r="S34" s="172">
        <f t="shared" si="10"/>
        <v>0</v>
      </c>
      <c r="T34" s="179" t="s">
        <v>147</v>
      </c>
      <c r="U34" s="180">
        <f>L42</f>
        <v>9.16767818036009E-3</v>
      </c>
      <c r="W34" s="209"/>
      <c r="X34" s="210">
        <f>SUM(X31:X33)</f>
        <v>117806695.59463368</v>
      </c>
      <c r="Y34" s="287">
        <f>SUM(Y31:Y33)</f>
        <v>1</v>
      </c>
      <c r="Z34" s="211"/>
      <c r="AA34" s="284">
        <f>SUM(AA31:AA33)</f>
        <v>0.14742826134845133</v>
      </c>
      <c r="AB34" s="280">
        <f t="shared" ref="AB34:AD34" si="14">SUM(AB31:AB33)</f>
        <v>16659.393532375001</v>
      </c>
      <c r="AC34" s="281">
        <f t="shared" si="14"/>
        <v>15479.967441587391</v>
      </c>
      <c r="AD34" s="281">
        <f t="shared" si="14"/>
        <v>15774.823964284293</v>
      </c>
      <c r="AE34" s="281">
        <f>SUM(AE31:AE33)</f>
        <v>15479.967441587391</v>
      </c>
      <c r="AF34" s="282">
        <f>SUM(AF31:AF33)</f>
        <v>15479.967441587391</v>
      </c>
    </row>
    <row r="35" spans="2:32" outlineLevel="1" x14ac:dyDescent="0.3">
      <c r="B35" s="167" t="s">
        <v>56</v>
      </c>
      <c r="C35" s="168">
        <v>4.7</v>
      </c>
      <c r="D35" s="168">
        <v>0</v>
      </c>
      <c r="E35" s="168">
        <f>D35*1000/'Basic data - source records'!$AI$5</f>
        <v>0</v>
      </c>
      <c r="F35" s="169">
        <f t="shared" si="11"/>
        <v>0</v>
      </c>
      <c r="G35" s="160"/>
      <c r="H35" s="160" t="s">
        <v>57</v>
      </c>
      <c r="I35" s="168">
        <v>0.2</v>
      </c>
      <c r="J35" s="168">
        <v>0</v>
      </c>
      <c r="K35" s="168">
        <f>J35*1000/'Basic data - source records'!$AI$5</f>
        <v>0</v>
      </c>
      <c r="L35" s="169">
        <f t="shared" si="9"/>
        <v>0</v>
      </c>
      <c r="M35" s="275">
        <f t="shared" si="12"/>
        <v>0</v>
      </c>
      <c r="N35" s="161"/>
      <c r="O35" s="175" t="s">
        <v>91</v>
      </c>
      <c r="P35" s="168">
        <v>255</v>
      </c>
      <c r="Q35" s="168">
        <v>0.1018621263911326</v>
      </c>
      <c r="R35" s="168">
        <f>Q35*1000/'Basic data - source records'!$AI$5</f>
        <v>0.14128383231843758</v>
      </c>
      <c r="S35" s="172">
        <f t="shared" si="10"/>
        <v>0.13714929699980813</v>
      </c>
      <c r="X35" s="200"/>
    </row>
    <row r="36" spans="2:32" outlineLevel="1" x14ac:dyDescent="0.3">
      <c r="B36" s="167" t="s">
        <v>58</v>
      </c>
      <c r="C36" s="168">
        <v>0.01</v>
      </c>
      <c r="D36" s="168">
        <v>0</v>
      </c>
      <c r="E36" s="168">
        <f>D36*1000/'Basic data - source records'!$AI$5</f>
        <v>0</v>
      </c>
      <c r="F36" s="169">
        <f t="shared" si="11"/>
        <v>0</v>
      </c>
      <c r="G36" s="160"/>
      <c r="H36" s="160" t="s">
        <v>59</v>
      </c>
      <c r="I36" s="168">
        <v>0.4</v>
      </c>
      <c r="J36" s="168">
        <v>0</v>
      </c>
      <c r="K36" s="168">
        <f>J36*1000/'Basic data - source records'!$AI$5</f>
        <v>0</v>
      </c>
      <c r="L36" s="169">
        <f t="shared" si="9"/>
        <v>0</v>
      </c>
      <c r="M36" s="275">
        <f t="shared" si="12"/>
        <v>0</v>
      </c>
      <c r="N36" s="161"/>
      <c r="O36" s="175" t="s">
        <v>92</v>
      </c>
      <c r="P36" s="168">
        <v>12.8</v>
      </c>
      <c r="Q36" s="168">
        <v>4.4299822342509267E-3</v>
      </c>
      <c r="R36" s="168">
        <f>Q36*1000/'Basic data - source records'!$AI$5</f>
        <v>6.1444315893650009E-3</v>
      </c>
      <c r="S36" s="172">
        <f t="shared" si="10"/>
        <v>5.9646207150260769E-3</v>
      </c>
      <c r="X36" s="200"/>
      <c r="AA36" s="286">
        <f>AA34-R31</f>
        <v>0</v>
      </c>
    </row>
    <row r="37" spans="2:32" outlineLevel="1" x14ac:dyDescent="0.3">
      <c r="B37" s="167" t="s">
        <v>60</v>
      </c>
      <c r="C37" s="168">
        <v>4.2</v>
      </c>
      <c r="D37" s="168">
        <v>0</v>
      </c>
      <c r="E37" s="168">
        <f>D37*1000/'Basic data - source records'!$AI$5</f>
        <v>0</v>
      </c>
      <c r="F37" s="169">
        <f t="shared" si="11"/>
        <v>0</v>
      </c>
      <c r="G37" s="160"/>
      <c r="H37" s="160" t="s">
        <v>61</v>
      </c>
      <c r="I37" s="168">
        <v>14.3</v>
      </c>
      <c r="J37" s="168">
        <v>4.141479891196917E-2</v>
      </c>
      <c r="K37" s="168">
        <f>J37*1000/'Basic data - source records'!$AI$5</f>
        <v>5.7442758287930579E-2</v>
      </c>
      <c r="L37" s="169">
        <f t="shared" si="9"/>
        <v>9.6866887769193229E-3</v>
      </c>
      <c r="M37" s="275">
        <f t="shared" si="12"/>
        <v>9.9913899489369965E-3</v>
      </c>
      <c r="N37" s="161"/>
      <c r="O37" s="175" t="s">
        <v>93</v>
      </c>
      <c r="P37" s="168">
        <v>11.3</v>
      </c>
      <c r="Q37" s="168">
        <v>0</v>
      </c>
      <c r="R37" s="168">
        <f>Q37*1000/'Basic data - source records'!$AI$5</f>
        <v>0</v>
      </c>
      <c r="S37" s="172">
        <f t="shared" si="10"/>
        <v>0</v>
      </c>
      <c r="X37" s="200"/>
    </row>
    <row r="38" spans="2:32" outlineLevel="1" x14ac:dyDescent="0.3">
      <c r="B38" s="167" t="s">
        <v>62</v>
      </c>
      <c r="C38" s="168">
        <v>0.3</v>
      </c>
      <c r="D38" s="168">
        <v>0</v>
      </c>
      <c r="E38" s="168">
        <f>D38*1000/'Basic data - source records'!$AI$5</f>
        <v>0</v>
      </c>
      <c r="F38" s="169">
        <f t="shared" si="11"/>
        <v>0</v>
      </c>
      <c r="G38" s="160"/>
      <c r="H38" s="160" t="s">
        <v>63</v>
      </c>
      <c r="I38" s="168">
        <v>94.4</v>
      </c>
      <c r="J38" s="168">
        <v>0.25337192262494357</v>
      </c>
      <c r="K38" s="168">
        <f>J38*1000/'Basic data - source records'!$AI$5</f>
        <v>0.3514295008223875</v>
      </c>
      <c r="L38" s="169">
        <f t="shared" si="9"/>
        <v>5.9262269134625491E-2</v>
      </c>
      <c r="M38" s="275">
        <f t="shared" si="12"/>
        <v>6.1126402821337161E-2</v>
      </c>
      <c r="N38" s="161"/>
      <c r="O38" s="175" t="s">
        <v>94</v>
      </c>
      <c r="P38" s="168">
        <v>14.8</v>
      </c>
      <c r="Q38" s="168">
        <v>0</v>
      </c>
      <c r="R38" s="168">
        <f>Q38*1000/'Basic data - source records'!$AI$5</f>
        <v>0</v>
      </c>
      <c r="S38" s="172">
        <f t="shared" si="10"/>
        <v>0</v>
      </c>
      <c r="X38" s="200"/>
    </row>
    <row r="39" spans="2:32" outlineLevel="1" x14ac:dyDescent="0.3">
      <c r="B39" s="167" t="s">
        <v>64</v>
      </c>
      <c r="C39" s="168">
        <v>0.1</v>
      </c>
      <c r="D39" s="168">
        <v>0</v>
      </c>
      <c r="E39" s="168">
        <f>D39*1000/'Basic data - source records'!$AI$5</f>
        <v>0</v>
      </c>
      <c r="F39" s="169">
        <f t="shared" si="11"/>
        <v>0</v>
      </c>
      <c r="G39" s="160"/>
      <c r="H39" s="160" t="s">
        <v>65</v>
      </c>
      <c r="I39" s="168">
        <v>32.700000000000003</v>
      </c>
      <c r="J39" s="168">
        <v>0.12958660398751154</v>
      </c>
      <c r="K39" s="168"/>
      <c r="L39" s="169">
        <f t="shared" si="9"/>
        <v>3.0309578591775712E-2</v>
      </c>
      <c r="M39" s="275">
        <f t="shared" si="12"/>
        <v>3.1262986338526193E-2</v>
      </c>
      <c r="N39" s="161"/>
      <c r="O39" s="170"/>
      <c r="P39" s="168"/>
      <c r="Q39" s="168"/>
      <c r="R39" s="168"/>
      <c r="S39" s="172"/>
      <c r="X39" s="200"/>
    </row>
    <row r="40" spans="2:32" outlineLevel="1" x14ac:dyDescent="0.3">
      <c r="B40" s="167" t="s">
        <v>66</v>
      </c>
      <c r="C40" s="168">
        <v>0.04</v>
      </c>
      <c r="D40" s="168">
        <v>0</v>
      </c>
      <c r="E40" s="168">
        <f>D40*1000/'Basic data - source records'!$AI$5</f>
        <v>0</v>
      </c>
      <c r="F40" s="169">
        <f t="shared" si="11"/>
        <v>0</v>
      </c>
      <c r="G40" s="160"/>
      <c r="H40" s="160" t="s">
        <v>67</v>
      </c>
      <c r="I40" s="168">
        <v>15.8</v>
      </c>
      <c r="J40" s="168">
        <v>0</v>
      </c>
      <c r="K40" s="168">
        <f>J40*1000/'Basic data - source records'!$AI$5</f>
        <v>0</v>
      </c>
      <c r="L40" s="169">
        <f t="shared" si="9"/>
        <v>0</v>
      </c>
      <c r="M40" s="275">
        <f t="shared" si="12"/>
        <v>0</v>
      </c>
      <c r="N40" s="161"/>
      <c r="O40" s="170" t="s">
        <v>95</v>
      </c>
      <c r="P40" s="199">
        <v>5391.3</v>
      </c>
      <c r="Q40" s="199">
        <v>0.63641768918237995</v>
      </c>
      <c r="R40" s="199">
        <f>Q40*1000/'Basic data - source records'!$AI$5</f>
        <v>0.88271797643091732</v>
      </c>
      <c r="S40" s="172">
        <f>Q40/$Q$45</f>
        <v>0.85688608476962003</v>
      </c>
      <c r="X40" s="200"/>
    </row>
    <row r="41" spans="2:32" outlineLevel="1" x14ac:dyDescent="0.3">
      <c r="B41" s="167" t="s">
        <v>68</v>
      </c>
      <c r="C41" s="168">
        <v>0.2</v>
      </c>
      <c r="D41" s="168">
        <v>0</v>
      </c>
      <c r="E41" s="168">
        <f>D41*1000/'Basic data - source records'!$AI$5</f>
        <v>0</v>
      </c>
      <c r="F41" s="169">
        <f t="shared" si="11"/>
        <v>0</v>
      </c>
      <c r="G41" s="160"/>
      <c r="H41" s="160" t="s">
        <v>69</v>
      </c>
      <c r="I41" s="168">
        <v>4.4000000000000004</v>
      </c>
      <c r="J41" s="168">
        <v>0.18852928045022871</v>
      </c>
      <c r="K41" s="168">
        <f>J41*1000/'Basic data - source records'!$AI$5</f>
        <v>0.26149207944047553</v>
      </c>
      <c r="L41" s="169">
        <f t="shared" si="9"/>
        <v>4.4095939447628567E-2</v>
      </c>
      <c r="M41" s="275">
        <f t="shared" si="12"/>
        <v>4.5483006250365866E-2</v>
      </c>
      <c r="N41" s="161"/>
      <c r="O41" s="182" t="s">
        <v>96</v>
      </c>
      <c r="P41" s="168">
        <v>4635.6000000000004</v>
      </c>
      <c r="Q41" s="168">
        <v>9.0210599778857536E-2</v>
      </c>
      <c r="R41" s="168">
        <f>Q41*1000/'Basic data - source records'!$AI$5</f>
        <v>0.1251230433140782</v>
      </c>
      <c r="S41" s="172">
        <f>Q41/$Q$45</f>
        <v>0.12146143792535638</v>
      </c>
      <c r="X41" s="200"/>
    </row>
    <row r="42" spans="2:32" outlineLevel="1" x14ac:dyDescent="0.3">
      <c r="B42" s="167" t="s">
        <v>70</v>
      </c>
      <c r="C42" s="168">
        <v>2.2000000000000002</v>
      </c>
      <c r="D42" s="168">
        <v>0</v>
      </c>
      <c r="E42" s="168">
        <f>D42*1000/'Basic data - source records'!$AI$5</f>
        <v>0</v>
      </c>
      <c r="F42" s="169">
        <f t="shared" si="11"/>
        <v>0</v>
      </c>
      <c r="G42" s="160"/>
      <c r="H42" s="160" t="s">
        <v>71</v>
      </c>
      <c r="I42" s="168">
        <v>12.3</v>
      </c>
      <c r="J42" s="168">
        <v>3.9195803341377733E-2</v>
      </c>
      <c r="K42" s="168">
        <f>J42*1000/'Basic data - source records'!$AI$5</f>
        <v>5.436498827450105E-2</v>
      </c>
      <c r="L42" s="169">
        <f t="shared" si="9"/>
        <v>9.16767818036009E-3</v>
      </c>
      <c r="M42" s="275">
        <f t="shared" si="12"/>
        <v>9.4560535324094384E-3</v>
      </c>
      <c r="N42" s="161"/>
      <c r="O42" s="182" t="s">
        <v>97</v>
      </c>
      <c r="P42" s="168">
        <v>564.20000000000005</v>
      </c>
      <c r="Q42" s="168">
        <v>0.53239052416341759</v>
      </c>
      <c r="R42" s="168">
        <f>Q42*1000/'Basic data - source records'!$AI$5</f>
        <v>0.73843121294174507</v>
      </c>
      <c r="S42" s="172">
        <f>Q42/$Q$45</f>
        <v>0.71682173448843722</v>
      </c>
      <c r="X42" s="200"/>
    </row>
    <row r="43" spans="2:32" outlineLevel="1" x14ac:dyDescent="0.3">
      <c r="B43" s="167" t="s">
        <v>72</v>
      </c>
      <c r="C43" s="168">
        <v>0.4</v>
      </c>
      <c r="D43" s="168">
        <v>0</v>
      </c>
      <c r="E43" s="168">
        <f>D43*1000/'Basic data - source records'!$AI$5</f>
        <v>0</v>
      </c>
      <c r="F43" s="169">
        <f t="shared" si="11"/>
        <v>0</v>
      </c>
      <c r="G43" s="160"/>
      <c r="H43" s="160" t="s">
        <v>73</v>
      </c>
      <c r="I43" s="168">
        <v>25.3</v>
      </c>
      <c r="J43" s="168">
        <v>8.0804196250660557E-2</v>
      </c>
      <c r="K43" s="168">
        <f>J43*1000/'Basic data - source records'!$AI$5</f>
        <v>0.11207626345701609</v>
      </c>
      <c r="L43" s="169">
        <f t="shared" si="9"/>
        <v>1.889964750554534E-2</v>
      </c>
      <c r="M43" s="275">
        <f t="shared" si="12"/>
        <v>1.949414835906528E-2</v>
      </c>
      <c r="N43" s="161"/>
      <c r="O43" s="182" t="s">
        <v>98</v>
      </c>
      <c r="P43" s="168">
        <v>191.5</v>
      </c>
      <c r="Q43" s="168">
        <v>1.3816584768773545E-2</v>
      </c>
      <c r="R43" s="168">
        <f>Q43*1000/'Basic data - source records'!$AI$5</f>
        <v>1.916374726156132E-2</v>
      </c>
      <c r="S43" s="172">
        <f>Q43/$Q$45</f>
        <v>1.8602938649634432E-2</v>
      </c>
      <c r="X43" s="200"/>
    </row>
    <row r="44" spans="2:32" outlineLevel="1" x14ac:dyDescent="0.3">
      <c r="B44" s="167" t="s">
        <v>74</v>
      </c>
      <c r="C44" s="168">
        <v>20.5</v>
      </c>
      <c r="D44" s="168">
        <v>0</v>
      </c>
      <c r="E44" s="168">
        <f>D44*1000/'Basic data - source records'!$AI$5</f>
        <v>0</v>
      </c>
      <c r="F44" s="169">
        <f t="shared" si="11"/>
        <v>0</v>
      </c>
      <c r="G44" s="160"/>
      <c r="H44" s="161"/>
      <c r="I44" s="168"/>
      <c r="J44" s="168"/>
      <c r="K44" s="168"/>
      <c r="L44" s="169"/>
      <c r="M44" s="275"/>
      <c r="N44" s="161"/>
      <c r="O44" s="161"/>
      <c r="P44" s="168"/>
      <c r="Q44" s="168"/>
      <c r="R44" s="168"/>
      <c r="S44" s="172"/>
    </row>
    <row r="45" spans="2:32" ht="19.5" outlineLevel="1" thickBot="1" x14ac:dyDescent="0.35">
      <c r="B45" s="234" t="s">
        <v>76</v>
      </c>
      <c r="C45" s="235">
        <f>SUM(C31:C44)</f>
        <v>1866.65</v>
      </c>
      <c r="D45" s="235">
        <f t="shared" ref="D45:E45" si="15">SUM(D31:D44)</f>
        <v>4.1450487993790466</v>
      </c>
      <c r="E45" s="235">
        <f t="shared" si="15"/>
        <v>5.7492259416861238</v>
      </c>
      <c r="F45" s="236">
        <f t="shared" si="11"/>
        <v>1</v>
      </c>
      <c r="G45" s="188"/>
      <c r="H45" s="184" t="s">
        <v>75</v>
      </c>
      <c r="I45" s="235">
        <f>SUM(I31:I43)</f>
        <v>1807.7</v>
      </c>
      <c r="J45" s="235">
        <f t="shared" ref="J45:K45" si="16">SUM(J31:J43)</f>
        <v>4.2754340379603279</v>
      </c>
      <c r="K45" s="235">
        <f t="shared" si="16"/>
        <v>5.7503336562020824</v>
      </c>
      <c r="L45" s="236">
        <f>J45/$J$45</f>
        <v>1</v>
      </c>
      <c r="M45" s="278">
        <f t="shared" si="12"/>
        <v>1.0314556582785741</v>
      </c>
      <c r="N45" s="189"/>
      <c r="O45" s="184" t="s">
        <v>99</v>
      </c>
      <c r="P45" s="235">
        <f>P40+P31</f>
        <v>6157.3</v>
      </c>
      <c r="Q45" s="235">
        <f t="shared" ref="Q45:R45" si="17">Q40+Q31</f>
        <v>0.74270979596253495</v>
      </c>
      <c r="R45" s="235">
        <f t="shared" si="17"/>
        <v>1.0301462377793686</v>
      </c>
      <c r="S45" s="239">
        <f>Q45/$Q$45</f>
        <v>1</v>
      </c>
    </row>
    <row r="46" spans="2:32" outlineLevel="1" x14ac:dyDescent="0.3">
      <c r="B46" s="186" t="s">
        <v>77</v>
      </c>
      <c r="C46" s="175"/>
      <c r="D46" s="175"/>
      <c r="E46" s="175"/>
      <c r="F46" s="160"/>
      <c r="G46" s="160"/>
      <c r="H46" s="175" t="s">
        <v>77</v>
      </c>
      <c r="I46" s="160"/>
      <c r="J46" s="168"/>
      <c r="K46" s="168"/>
      <c r="L46" s="169"/>
      <c r="M46" s="273"/>
      <c r="N46" s="161"/>
      <c r="O46" s="175" t="s">
        <v>77</v>
      </c>
      <c r="P46" s="175"/>
      <c r="Q46" s="175"/>
      <c r="R46" s="175"/>
      <c r="S46" s="172"/>
    </row>
    <row r="47" spans="2:32" outlineLevel="1" x14ac:dyDescent="0.3">
      <c r="B47" s="167" t="s">
        <v>83</v>
      </c>
      <c r="C47" s="160"/>
      <c r="D47" s="160"/>
      <c r="E47" s="160"/>
      <c r="F47" s="160"/>
      <c r="G47" s="160"/>
      <c r="H47" s="160"/>
      <c r="I47" s="160"/>
      <c r="J47" s="160"/>
      <c r="K47" s="160"/>
      <c r="L47" s="160"/>
      <c r="M47" s="273"/>
      <c r="N47" s="161"/>
      <c r="O47" s="161"/>
      <c r="P47" s="161"/>
      <c r="Q47" s="161"/>
      <c r="R47" s="161"/>
      <c r="S47" s="183"/>
    </row>
    <row r="48" spans="2:32" ht="19.5" outlineLevel="1" thickBot="1" x14ac:dyDescent="0.35">
      <c r="B48" s="187"/>
      <c r="C48" s="188"/>
      <c r="D48" s="188"/>
      <c r="E48" s="188"/>
      <c r="F48" s="188"/>
      <c r="G48" s="188"/>
      <c r="H48" s="188"/>
      <c r="I48" s="188"/>
      <c r="J48" s="188"/>
      <c r="K48" s="188"/>
      <c r="L48" s="188"/>
      <c r="M48" s="277"/>
      <c r="N48" s="189"/>
      <c r="O48" s="189"/>
      <c r="P48" s="189"/>
      <c r="Q48" s="189"/>
      <c r="R48" s="189"/>
      <c r="S48" s="190"/>
    </row>
    <row r="49" spans="1:28" outlineLevel="1" x14ac:dyDescent="0.3">
      <c r="D49" s="197"/>
      <c r="E49" s="197"/>
    </row>
    <row r="60" spans="1:28" ht="26.25" x14ac:dyDescent="0.4">
      <c r="A60" s="233" t="s">
        <v>220</v>
      </c>
    </row>
    <row r="61" spans="1:28" ht="19.5" thickBot="1" x14ac:dyDescent="0.35">
      <c r="A61" s="267" t="s">
        <v>231</v>
      </c>
    </row>
    <row r="62" spans="1:28" outlineLevel="1" x14ac:dyDescent="0.3">
      <c r="A62" s="267" t="s">
        <v>231</v>
      </c>
      <c r="B62" s="29" t="s">
        <v>82</v>
      </c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272"/>
      <c r="N62" s="156"/>
      <c r="O62" s="156"/>
      <c r="P62" s="156"/>
      <c r="Q62" s="156"/>
      <c r="R62" s="156"/>
      <c r="S62" s="157"/>
    </row>
    <row r="63" spans="1:28" ht="19.5" outlineLevel="1" thickBot="1" x14ac:dyDescent="0.35">
      <c r="B63" s="158" t="s">
        <v>78</v>
      </c>
      <c r="C63" s="159"/>
      <c r="D63" s="159"/>
      <c r="E63" s="159"/>
      <c r="F63" s="160"/>
      <c r="G63" s="160"/>
      <c r="H63" s="159" t="s">
        <v>80</v>
      </c>
      <c r="I63" s="159"/>
      <c r="J63" s="160"/>
      <c r="K63" s="160"/>
      <c r="L63" s="161"/>
      <c r="M63" s="273"/>
      <c r="N63" s="161"/>
      <c r="O63" s="162" t="s">
        <v>104</v>
      </c>
      <c r="P63" s="163"/>
      <c r="Q63" s="163"/>
      <c r="R63" s="163"/>
      <c r="S63" s="164"/>
    </row>
    <row r="64" spans="1:28" ht="38.25" outlineLevel="1" thickBot="1" x14ac:dyDescent="0.35">
      <c r="A64" s="268"/>
      <c r="B64" s="158" t="s">
        <v>79</v>
      </c>
      <c r="C64" s="159"/>
      <c r="D64" s="159"/>
      <c r="E64" s="159"/>
      <c r="F64" s="160"/>
      <c r="G64" s="160"/>
      <c r="H64" s="159" t="s">
        <v>81</v>
      </c>
      <c r="I64" s="159"/>
      <c r="J64" s="160"/>
      <c r="K64" s="160"/>
      <c r="L64" s="160"/>
      <c r="M64" s="273"/>
      <c r="N64" s="161"/>
      <c r="O64" s="162" t="s">
        <v>105</v>
      </c>
      <c r="P64" s="163"/>
      <c r="Q64" s="163"/>
      <c r="R64" s="163"/>
      <c r="S64" s="164"/>
      <c r="W64" s="426" t="s">
        <v>187</v>
      </c>
      <c r="X64" s="427"/>
      <c r="Y64" s="427"/>
      <c r="Z64" s="427"/>
      <c r="AA64" s="428"/>
      <c r="AB64" s="256" t="s">
        <v>183</v>
      </c>
    </row>
    <row r="65" spans="1:32" s="218" customFormat="1" ht="56.25" outlineLevel="1" x14ac:dyDescent="0.3">
      <c r="A65" s="269"/>
      <c r="B65" s="166" t="s">
        <v>43</v>
      </c>
      <c r="C65" s="241" t="s">
        <v>44</v>
      </c>
      <c r="D65" s="240" t="s">
        <v>45</v>
      </c>
      <c r="E65" s="240" t="s">
        <v>179</v>
      </c>
      <c r="F65" s="241" t="s">
        <v>46</v>
      </c>
      <c r="G65" s="242"/>
      <c r="H65" s="241" t="s">
        <v>47</v>
      </c>
      <c r="I65" s="241" t="s">
        <v>44</v>
      </c>
      <c r="J65" s="240" t="s">
        <v>45</v>
      </c>
      <c r="K65" s="240" t="s">
        <v>179</v>
      </c>
      <c r="L65" s="241" t="s">
        <v>46</v>
      </c>
      <c r="M65" s="274" t="s">
        <v>144</v>
      </c>
      <c r="N65" s="243"/>
      <c r="O65" s="241" t="s">
        <v>86</v>
      </c>
      <c r="P65" s="241" t="s">
        <v>44</v>
      </c>
      <c r="Q65" s="240" t="s">
        <v>45</v>
      </c>
      <c r="R65" s="240" t="s">
        <v>179</v>
      </c>
      <c r="S65" s="244" t="s">
        <v>46</v>
      </c>
      <c r="T65" s="217"/>
      <c r="U65" s="245" t="s">
        <v>148</v>
      </c>
      <c r="W65" s="429">
        <v>2016</v>
      </c>
      <c r="X65" s="430"/>
      <c r="Y65" s="430"/>
      <c r="Z65" s="430"/>
      <c r="AA65" s="430"/>
      <c r="AB65" s="257">
        <v>2016</v>
      </c>
      <c r="AC65" s="155"/>
      <c r="AD65" s="155"/>
      <c r="AE65" s="155"/>
      <c r="AF65" s="155"/>
    </row>
    <row r="66" spans="1:32" outlineLevel="1" x14ac:dyDescent="0.3">
      <c r="A66" s="268"/>
      <c r="B66" s="167" t="s">
        <v>48</v>
      </c>
      <c r="C66" s="263"/>
      <c r="D66" s="263"/>
      <c r="E66" s="168">
        <f>D66*1000/'Basic data - source records'!$AJ$5</f>
        <v>0</v>
      </c>
      <c r="F66" s="169" t="e">
        <f>D66/$D$80</f>
        <v>#DIV/0!</v>
      </c>
      <c r="G66" s="160"/>
      <c r="H66" s="160" t="s">
        <v>49</v>
      </c>
      <c r="I66" s="263"/>
      <c r="J66" s="263"/>
      <c r="K66" s="168">
        <f>J66*1000/'Basic data - source records'!$AJ$5</f>
        <v>0</v>
      </c>
      <c r="L66" s="169" t="e">
        <f>J66/$J$80</f>
        <v>#DIV/0!</v>
      </c>
      <c r="M66" s="275" t="e">
        <f>J66/$D$80</f>
        <v>#DIV/0!</v>
      </c>
      <c r="N66" s="161"/>
      <c r="O66" s="170" t="s">
        <v>87</v>
      </c>
      <c r="P66" s="171"/>
      <c r="Q66" s="171"/>
      <c r="R66" s="199">
        <f>Q66*1000/'Basic data - source records'!$AJ$5</f>
        <v>0</v>
      </c>
      <c r="S66" s="172">
        <f t="shared" ref="S66:S73" si="18">Q66/$Q$45</f>
        <v>0</v>
      </c>
      <c r="T66" s="173" t="s">
        <v>145</v>
      </c>
      <c r="U66" s="174" t="e">
        <f>M66+M67+M68+M69+M70</f>
        <v>#DIV/0!</v>
      </c>
      <c r="W66" s="201" t="s">
        <v>184</v>
      </c>
      <c r="X66" s="203">
        <f>'MRA - Cassiterite - Tin'!R66</f>
        <v>0</v>
      </c>
      <c r="Y66" s="204">
        <f>X66/$X$10</f>
        <v>0</v>
      </c>
      <c r="Z66" s="202" t="s">
        <v>180</v>
      </c>
      <c r="AA66" s="205">
        <f>Y66*R66</f>
        <v>0</v>
      </c>
      <c r="AB66" s="258">
        <f>$AA66*'Basic data - source records'!AC$5*1000000</f>
        <v>0</v>
      </c>
    </row>
    <row r="67" spans="1:32" ht="37.5" outlineLevel="1" x14ac:dyDescent="0.3">
      <c r="A67" s="268"/>
      <c r="B67" s="167" t="s">
        <v>50</v>
      </c>
      <c r="C67" s="263"/>
      <c r="D67" s="263"/>
      <c r="E67" s="168">
        <f>D67*1000/'Basic data - source records'!$AJ$5</f>
        <v>0</v>
      </c>
      <c r="F67" s="169" t="e">
        <f t="shared" ref="F67:F80" si="19">D67/$D$80</f>
        <v>#DIV/0!</v>
      </c>
      <c r="G67" s="160"/>
      <c r="H67" s="160" t="s">
        <v>51</v>
      </c>
      <c r="I67" s="263"/>
      <c r="J67" s="263"/>
      <c r="K67" s="168">
        <f>J67*1000/'Basic data - source records'!$AJ$5</f>
        <v>0</v>
      </c>
      <c r="L67" s="169" t="e">
        <f t="shared" ref="L67:L80" si="20">J67/$J$80</f>
        <v>#DIV/0!</v>
      </c>
      <c r="M67" s="275" t="e">
        <f t="shared" ref="M67:M80" si="21">J67/$D$80</f>
        <v>#DIV/0!</v>
      </c>
      <c r="N67" s="161"/>
      <c r="O67" s="175" t="s">
        <v>88</v>
      </c>
      <c r="P67" s="176"/>
      <c r="Q67" s="176"/>
      <c r="R67" s="199">
        <f>Q67*1000/'Basic data - source records'!$AJ$5</f>
        <v>0</v>
      </c>
      <c r="S67" s="172">
        <f t="shared" si="18"/>
        <v>0</v>
      </c>
      <c r="T67" s="177" t="s">
        <v>146</v>
      </c>
      <c r="U67" s="174" t="e">
        <f>SUM(L71:L76)+L78</f>
        <v>#DIV/0!</v>
      </c>
      <c r="W67" s="201" t="s">
        <v>185</v>
      </c>
      <c r="X67" s="203">
        <f>'MRA - Coltan - Tantalum'!R66</f>
        <v>0</v>
      </c>
      <c r="Y67" s="204">
        <f t="shared" ref="Y67:Y68" si="22">X67/$X$10</f>
        <v>0</v>
      </c>
      <c r="Z67" s="202" t="s">
        <v>181</v>
      </c>
      <c r="AA67" s="205">
        <f>Y67*R66</f>
        <v>0</v>
      </c>
      <c r="AB67" s="258">
        <f>$AA67*'Basic data - source records'!AC$5*1000000</f>
        <v>0</v>
      </c>
    </row>
    <row r="68" spans="1:32" ht="19.5" outlineLevel="1" thickBot="1" x14ac:dyDescent="0.35">
      <c r="A68" s="268"/>
      <c r="B68" s="167" t="s">
        <v>52</v>
      </c>
      <c r="C68" s="263"/>
      <c r="D68" s="263"/>
      <c r="E68" s="168">
        <f>D68*1000/'Basic data - source records'!$AJ$5</f>
        <v>0</v>
      </c>
      <c r="F68" s="169" t="e">
        <f t="shared" si="19"/>
        <v>#DIV/0!</v>
      </c>
      <c r="G68" s="160"/>
      <c r="H68" s="160" t="s">
        <v>53</v>
      </c>
      <c r="I68" s="263"/>
      <c r="J68" s="263"/>
      <c r="K68" s="168">
        <f>J68*1000/'Basic data - source records'!$AJ$5</f>
        <v>0</v>
      </c>
      <c r="L68" s="169" t="e">
        <f t="shared" si="20"/>
        <v>#DIV/0!</v>
      </c>
      <c r="M68" s="275" t="e">
        <f t="shared" si="21"/>
        <v>#DIV/0!</v>
      </c>
      <c r="N68" s="161"/>
      <c r="O68" s="178" t="s">
        <v>89</v>
      </c>
      <c r="P68" s="176"/>
      <c r="Q68" s="176"/>
      <c r="R68" s="199">
        <f>Q68*1000/'Basic data - source records'!$AJ$5</f>
        <v>0</v>
      </c>
      <c r="S68" s="172">
        <f t="shared" si="18"/>
        <v>0</v>
      </c>
      <c r="T68" s="179" t="s">
        <v>147</v>
      </c>
      <c r="U68" s="180" t="e">
        <f>L77</f>
        <v>#DIV/0!</v>
      </c>
      <c r="W68" s="201" t="s">
        <v>186</v>
      </c>
      <c r="X68" s="203">
        <f>'MRA - Wolfram - Tungsten'!R66</f>
        <v>0</v>
      </c>
      <c r="Y68" s="204">
        <f t="shared" si="22"/>
        <v>0</v>
      </c>
      <c r="Z68" s="202" t="s">
        <v>182</v>
      </c>
      <c r="AA68" s="205">
        <f>Y68*R66</f>
        <v>0</v>
      </c>
      <c r="AB68" s="258">
        <f>$AA68*'Basic data - source records'!AC$5*1000000</f>
        <v>0</v>
      </c>
    </row>
    <row r="69" spans="1:32" ht="19.5" outlineLevel="1" thickBot="1" x14ac:dyDescent="0.35">
      <c r="A69" s="268"/>
      <c r="B69" s="167" t="s">
        <v>54</v>
      </c>
      <c r="C69" s="263"/>
      <c r="D69" s="263"/>
      <c r="E69" s="168">
        <f>D69*1000/'Basic data - source records'!$AJ$5</f>
        <v>0</v>
      </c>
      <c r="F69" s="169" t="e">
        <f t="shared" si="19"/>
        <v>#DIV/0!</v>
      </c>
      <c r="G69" s="160"/>
      <c r="H69" s="160" t="s">
        <v>55</v>
      </c>
      <c r="I69" s="263"/>
      <c r="J69" s="263"/>
      <c r="K69" s="168">
        <f>J69*1000/'Basic data - source records'!$AJ$5</f>
        <v>0</v>
      </c>
      <c r="L69" s="169" t="e">
        <f t="shared" si="20"/>
        <v>#DIV/0!</v>
      </c>
      <c r="M69" s="275" t="e">
        <f t="shared" si="21"/>
        <v>#DIV/0!</v>
      </c>
      <c r="N69" s="161"/>
      <c r="O69" s="175" t="s">
        <v>90</v>
      </c>
      <c r="P69" s="176"/>
      <c r="Q69" s="176"/>
      <c r="R69" s="199">
        <f>Q69*1000/'Basic data - source records'!$AJ$5</f>
        <v>0</v>
      </c>
      <c r="S69" s="172">
        <f t="shared" si="18"/>
        <v>0</v>
      </c>
      <c r="W69" s="209"/>
      <c r="X69" s="210">
        <f>SUM(X66:X68)</f>
        <v>0</v>
      </c>
      <c r="Y69" s="211"/>
      <c r="Z69" s="211"/>
      <c r="AA69" s="212">
        <f>SUM(AA66:AA68)</f>
        <v>0</v>
      </c>
      <c r="AB69" s="259">
        <f t="shared" ref="AB69" si="23">SUM(AB66:AB68)</f>
        <v>0</v>
      </c>
    </row>
    <row r="70" spans="1:32" outlineLevel="1" x14ac:dyDescent="0.3">
      <c r="A70" s="268"/>
      <c r="B70" s="167" t="s">
        <v>56</v>
      </c>
      <c r="C70" s="263"/>
      <c r="D70" s="263"/>
      <c r="E70" s="168">
        <f>D70*1000/'Basic data - source records'!$AJ$5</f>
        <v>0</v>
      </c>
      <c r="F70" s="169" t="e">
        <f t="shared" si="19"/>
        <v>#DIV/0!</v>
      </c>
      <c r="G70" s="160"/>
      <c r="H70" s="160" t="s">
        <v>57</v>
      </c>
      <c r="I70" s="263"/>
      <c r="J70" s="263"/>
      <c r="K70" s="168">
        <f>J70*1000/'Basic data - source records'!$AJ$5</f>
        <v>0</v>
      </c>
      <c r="L70" s="169" t="e">
        <f t="shared" si="20"/>
        <v>#DIV/0!</v>
      </c>
      <c r="M70" s="275" t="e">
        <f t="shared" si="21"/>
        <v>#DIV/0!</v>
      </c>
      <c r="N70" s="161"/>
      <c r="O70" s="175" t="s">
        <v>91</v>
      </c>
      <c r="P70" s="176"/>
      <c r="Q70" s="176"/>
      <c r="R70" s="199">
        <f>Q70*1000/'Basic data - source records'!$AJ$5</f>
        <v>0</v>
      </c>
      <c r="S70" s="172">
        <f t="shared" si="18"/>
        <v>0</v>
      </c>
      <c r="X70" s="200"/>
    </row>
    <row r="71" spans="1:32" outlineLevel="1" x14ac:dyDescent="0.3">
      <c r="A71" s="268"/>
      <c r="B71" s="167" t="s">
        <v>58</v>
      </c>
      <c r="C71" s="263"/>
      <c r="D71" s="263"/>
      <c r="E71" s="168">
        <f>D71*1000/'Basic data - source records'!$AJ$5</f>
        <v>0</v>
      </c>
      <c r="F71" s="169" t="e">
        <f t="shared" si="19"/>
        <v>#DIV/0!</v>
      </c>
      <c r="G71" s="160"/>
      <c r="H71" s="160" t="s">
        <v>59</v>
      </c>
      <c r="I71" s="263"/>
      <c r="J71" s="263"/>
      <c r="K71" s="168">
        <f>J71*1000/'Basic data - source records'!$AJ$5</f>
        <v>0</v>
      </c>
      <c r="L71" s="169" t="e">
        <f t="shared" si="20"/>
        <v>#DIV/0!</v>
      </c>
      <c r="M71" s="275" t="e">
        <f t="shared" si="21"/>
        <v>#DIV/0!</v>
      </c>
      <c r="N71" s="161"/>
      <c r="O71" s="175" t="s">
        <v>92</v>
      </c>
      <c r="P71" s="176"/>
      <c r="Q71" s="176"/>
      <c r="R71" s="199">
        <f>Q71*1000/'Basic data - source records'!$AJ$5</f>
        <v>0</v>
      </c>
      <c r="S71" s="172">
        <f t="shared" si="18"/>
        <v>0</v>
      </c>
      <c r="X71" s="200"/>
    </row>
    <row r="72" spans="1:32" outlineLevel="1" x14ac:dyDescent="0.3">
      <c r="A72" s="268"/>
      <c r="B72" s="167" t="s">
        <v>60</v>
      </c>
      <c r="C72" s="263"/>
      <c r="D72" s="263"/>
      <c r="E72" s="168">
        <f>D72*1000/'Basic data - source records'!$AJ$5</f>
        <v>0</v>
      </c>
      <c r="F72" s="169" t="e">
        <f t="shared" si="19"/>
        <v>#DIV/0!</v>
      </c>
      <c r="G72" s="160"/>
      <c r="H72" s="160" t="s">
        <v>61</v>
      </c>
      <c r="I72" s="263"/>
      <c r="J72" s="263"/>
      <c r="K72" s="168">
        <f>J72*1000/'Basic data - source records'!$AJ$5</f>
        <v>0</v>
      </c>
      <c r="L72" s="169" t="e">
        <f t="shared" si="20"/>
        <v>#DIV/0!</v>
      </c>
      <c r="M72" s="275" t="e">
        <f t="shared" si="21"/>
        <v>#DIV/0!</v>
      </c>
      <c r="N72" s="161"/>
      <c r="O72" s="175" t="s">
        <v>93</v>
      </c>
      <c r="P72" s="176"/>
      <c r="Q72" s="176"/>
      <c r="R72" s="199">
        <f>Q72*1000/'Basic data - source records'!$AJ$5</f>
        <v>0</v>
      </c>
      <c r="S72" s="172">
        <f t="shared" si="18"/>
        <v>0</v>
      </c>
      <c r="X72" s="200"/>
    </row>
    <row r="73" spans="1:32" outlineLevel="1" x14ac:dyDescent="0.3">
      <c r="A73" s="268"/>
      <c r="B73" s="167" t="s">
        <v>62</v>
      </c>
      <c r="C73" s="263"/>
      <c r="D73" s="263"/>
      <c r="E73" s="168">
        <f>D73*1000/'Basic data - source records'!$AJ$5</f>
        <v>0</v>
      </c>
      <c r="F73" s="169" t="e">
        <f t="shared" si="19"/>
        <v>#DIV/0!</v>
      </c>
      <c r="G73" s="160"/>
      <c r="H73" s="160" t="s">
        <v>63</v>
      </c>
      <c r="I73" s="263"/>
      <c r="J73" s="263"/>
      <c r="K73" s="168">
        <f>J73*1000/'Basic data - source records'!$AJ$5</f>
        <v>0</v>
      </c>
      <c r="L73" s="169" t="e">
        <f t="shared" si="20"/>
        <v>#DIV/0!</v>
      </c>
      <c r="M73" s="275" t="e">
        <f t="shared" si="21"/>
        <v>#DIV/0!</v>
      </c>
      <c r="N73" s="161"/>
      <c r="O73" s="175" t="s">
        <v>94</v>
      </c>
      <c r="P73" s="176"/>
      <c r="Q73" s="176"/>
      <c r="R73" s="199">
        <f>Q73*1000/'Basic data - source records'!$AJ$5</f>
        <v>0</v>
      </c>
      <c r="S73" s="172">
        <f t="shared" si="18"/>
        <v>0</v>
      </c>
      <c r="X73" s="200"/>
    </row>
    <row r="74" spans="1:32" outlineLevel="1" x14ac:dyDescent="0.3">
      <c r="A74" s="268"/>
      <c r="B74" s="167" t="s">
        <v>64</v>
      </c>
      <c r="C74" s="263"/>
      <c r="D74" s="263"/>
      <c r="E74" s="168">
        <f>D74*1000/'Basic data - source records'!$AJ$5</f>
        <v>0</v>
      </c>
      <c r="F74" s="169" t="e">
        <f t="shared" si="19"/>
        <v>#DIV/0!</v>
      </c>
      <c r="G74" s="160"/>
      <c r="H74" s="160" t="s">
        <v>65</v>
      </c>
      <c r="I74" s="263"/>
      <c r="J74" s="263"/>
      <c r="K74" s="168">
        <f>J74*1000/'Basic data - source records'!$AJ$5</f>
        <v>0</v>
      </c>
      <c r="L74" s="169" t="e">
        <f t="shared" si="20"/>
        <v>#DIV/0!</v>
      </c>
      <c r="M74" s="275" t="e">
        <f t="shared" si="21"/>
        <v>#DIV/0!</v>
      </c>
      <c r="N74" s="161"/>
      <c r="O74" s="170"/>
      <c r="P74" s="181"/>
      <c r="Q74" s="181"/>
      <c r="R74" s="168"/>
      <c r="S74" s="172"/>
      <c r="X74" s="200"/>
    </row>
    <row r="75" spans="1:32" outlineLevel="1" x14ac:dyDescent="0.3">
      <c r="A75" s="268"/>
      <c r="B75" s="167" t="s">
        <v>66</v>
      </c>
      <c r="C75" s="263"/>
      <c r="D75" s="263"/>
      <c r="E75" s="168">
        <f>D75*1000/'Basic data - source records'!$AJ$5</f>
        <v>0</v>
      </c>
      <c r="F75" s="169" t="e">
        <f t="shared" si="19"/>
        <v>#DIV/0!</v>
      </c>
      <c r="G75" s="160"/>
      <c r="H75" s="160" t="s">
        <v>67</v>
      </c>
      <c r="I75" s="263"/>
      <c r="J75" s="263"/>
      <c r="K75" s="168">
        <f>J75*1000/'Basic data - source records'!$AJ$5</f>
        <v>0</v>
      </c>
      <c r="L75" s="169" t="e">
        <f t="shared" si="20"/>
        <v>#DIV/0!</v>
      </c>
      <c r="M75" s="275" t="e">
        <f t="shared" si="21"/>
        <v>#DIV/0!</v>
      </c>
      <c r="N75" s="161"/>
      <c r="O75" s="170" t="s">
        <v>95</v>
      </c>
      <c r="P75" s="171"/>
      <c r="Q75" s="171"/>
      <c r="R75" s="199">
        <f>Q75*1000/'Basic data - source records'!$AJ$5</f>
        <v>0</v>
      </c>
      <c r="S75" s="172">
        <f>Q75/$Q$45</f>
        <v>0</v>
      </c>
      <c r="X75" s="200"/>
    </row>
    <row r="76" spans="1:32" outlineLevel="1" x14ac:dyDescent="0.3">
      <c r="A76" s="268"/>
      <c r="B76" s="167" t="s">
        <v>68</v>
      </c>
      <c r="C76" s="263"/>
      <c r="D76" s="263"/>
      <c r="E76" s="168">
        <f>D76*1000/'Basic data - source records'!$AJ$5</f>
        <v>0</v>
      </c>
      <c r="F76" s="169" t="e">
        <f t="shared" si="19"/>
        <v>#DIV/0!</v>
      </c>
      <c r="G76" s="160"/>
      <c r="H76" s="160" t="s">
        <v>69</v>
      </c>
      <c r="I76" s="263"/>
      <c r="J76" s="263"/>
      <c r="K76" s="168">
        <f>J76*1000/'Basic data - source records'!$AJ$5</f>
        <v>0</v>
      </c>
      <c r="L76" s="169" t="e">
        <f t="shared" si="20"/>
        <v>#DIV/0!</v>
      </c>
      <c r="M76" s="275" t="e">
        <f t="shared" si="21"/>
        <v>#DIV/0!</v>
      </c>
      <c r="N76" s="161"/>
      <c r="O76" s="182" t="s">
        <v>96</v>
      </c>
      <c r="P76" s="176"/>
      <c r="Q76" s="176"/>
      <c r="R76" s="168">
        <f>Q76*1000/'Basic data - source records'!$AJ$5</f>
        <v>0</v>
      </c>
      <c r="S76" s="172">
        <f>Q76/$Q$45</f>
        <v>0</v>
      </c>
      <c r="X76" s="200"/>
    </row>
    <row r="77" spans="1:32" outlineLevel="1" x14ac:dyDescent="0.3">
      <c r="A77" s="268"/>
      <c r="B77" s="167" t="s">
        <v>70</v>
      </c>
      <c r="C77" s="263"/>
      <c r="D77" s="263"/>
      <c r="E77" s="168">
        <f>D77*1000/'Basic data - source records'!$AJ$5</f>
        <v>0</v>
      </c>
      <c r="F77" s="169" t="e">
        <f t="shared" si="19"/>
        <v>#DIV/0!</v>
      </c>
      <c r="G77" s="160"/>
      <c r="H77" s="160" t="s">
        <v>71</v>
      </c>
      <c r="I77" s="263"/>
      <c r="J77" s="263"/>
      <c r="K77" s="168">
        <f>J77*1000/'Basic data - source records'!$AJ$5</f>
        <v>0</v>
      </c>
      <c r="L77" s="169" t="e">
        <f t="shared" si="20"/>
        <v>#DIV/0!</v>
      </c>
      <c r="M77" s="275" t="e">
        <f t="shared" si="21"/>
        <v>#DIV/0!</v>
      </c>
      <c r="N77" s="161"/>
      <c r="O77" s="182" t="s">
        <v>97</v>
      </c>
      <c r="P77" s="176"/>
      <c r="Q77" s="176"/>
      <c r="R77" s="168">
        <f>Q77*1000/'Basic data - source records'!$AJ$5</f>
        <v>0</v>
      </c>
      <c r="S77" s="172">
        <f>Q77/$Q$45</f>
        <v>0</v>
      </c>
      <c r="X77" s="200"/>
    </row>
    <row r="78" spans="1:32" outlineLevel="1" x14ac:dyDescent="0.3">
      <c r="A78" s="268"/>
      <c r="B78" s="167" t="s">
        <v>72</v>
      </c>
      <c r="C78" s="263"/>
      <c r="D78" s="263"/>
      <c r="E78" s="168">
        <f>D78*1000/'Basic data - source records'!$AJ$5</f>
        <v>0</v>
      </c>
      <c r="F78" s="169" t="e">
        <f t="shared" si="19"/>
        <v>#DIV/0!</v>
      </c>
      <c r="G78" s="160"/>
      <c r="H78" s="160" t="s">
        <v>73</v>
      </c>
      <c r="I78" s="263"/>
      <c r="J78" s="263"/>
      <c r="K78" s="168">
        <f>J78*1000/'Basic data - source records'!$AJ$5</f>
        <v>0</v>
      </c>
      <c r="L78" s="169" t="e">
        <f t="shared" si="20"/>
        <v>#DIV/0!</v>
      </c>
      <c r="M78" s="275" t="e">
        <f t="shared" si="21"/>
        <v>#DIV/0!</v>
      </c>
      <c r="N78" s="161"/>
      <c r="O78" s="182" t="s">
        <v>98</v>
      </c>
      <c r="P78" s="176"/>
      <c r="Q78" s="176"/>
      <c r="R78" s="168">
        <f>Q78*1000/'Basic data - source records'!$AJ$5</f>
        <v>0</v>
      </c>
      <c r="S78" s="172">
        <f>Q78/$Q$45</f>
        <v>0</v>
      </c>
      <c r="X78" s="200"/>
    </row>
    <row r="79" spans="1:32" outlineLevel="1" x14ac:dyDescent="0.3">
      <c r="A79" s="268"/>
      <c r="B79" s="167" t="s">
        <v>74</v>
      </c>
      <c r="C79" s="264"/>
      <c r="D79" s="264"/>
      <c r="E79" s="168">
        <f>D79*1000/'Basic data - source records'!$AJ$5</f>
        <v>0</v>
      </c>
      <c r="F79" s="169" t="e">
        <f t="shared" si="19"/>
        <v>#DIV/0!</v>
      </c>
      <c r="G79" s="160"/>
      <c r="H79" s="161"/>
      <c r="I79" s="264"/>
      <c r="J79" s="264"/>
      <c r="K79" s="168"/>
      <c r="L79" s="169"/>
      <c r="M79" s="275"/>
      <c r="N79" s="161"/>
      <c r="O79" s="161"/>
      <c r="P79" s="161"/>
      <c r="Q79" s="161"/>
      <c r="R79" s="168"/>
      <c r="S79" s="183"/>
      <c r="X79" s="200"/>
    </row>
    <row r="80" spans="1:32" ht="19.5" outlineLevel="1" thickBot="1" x14ac:dyDescent="0.35">
      <c r="A80" s="268"/>
      <c r="B80" s="234" t="s">
        <v>223</v>
      </c>
      <c r="C80" s="265"/>
      <c r="D80" s="265"/>
      <c r="E80" s="235">
        <f>D80*1000/'Basic data - source records'!$AJ$5</f>
        <v>0</v>
      </c>
      <c r="F80" s="236" t="e">
        <f t="shared" si="19"/>
        <v>#DIV/0!</v>
      </c>
      <c r="G80" s="188"/>
      <c r="H80" s="184" t="s">
        <v>224</v>
      </c>
      <c r="I80" s="265"/>
      <c r="J80" s="265"/>
      <c r="K80" s="235">
        <f>J80*1000/'Basic data - source records'!$AJ$5</f>
        <v>0</v>
      </c>
      <c r="L80" s="238" t="e">
        <f t="shared" si="20"/>
        <v>#DIV/0!</v>
      </c>
      <c r="M80" s="279" t="e">
        <f t="shared" si="21"/>
        <v>#DIV/0!</v>
      </c>
      <c r="N80" s="189"/>
      <c r="O80" s="184" t="s">
        <v>99</v>
      </c>
      <c r="P80" s="185"/>
      <c r="Q80" s="185"/>
      <c r="R80" s="235">
        <f>Q80*1000/'Basic data - source records'!$AJ$5</f>
        <v>0</v>
      </c>
      <c r="S80" s="237">
        <f>Q80/$Q$45</f>
        <v>0</v>
      </c>
      <c r="X80" s="200"/>
    </row>
    <row r="81" spans="1:28" outlineLevel="1" x14ac:dyDescent="0.3">
      <c r="A81" s="268"/>
      <c r="B81" s="186" t="s">
        <v>221</v>
      </c>
      <c r="C81" s="175"/>
      <c r="D81" s="168"/>
      <c r="E81" s="168"/>
      <c r="F81" s="160"/>
      <c r="G81" s="160"/>
      <c r="H81" s="175" t="s">
        <v>221</v>
      </c>
      <c r="I81" s="160"/>
      <c r="J81" s="168"/>
      <c r="K81" s="168"/>
      <c r="L81" s="169"/>
      <c r="M81" s="273"/>
      <c r="N81" s="161"/>
      <c r="O81" s="175" t="s">
        <v>221</v>
      </c>
      <c r="P81" s="175"/>
      <c r="Q81" s="175"/>
      <c r="R81" s="175"/>
      <c r="S81" s="172"/>
      <c r="X81" s="200"/>
    </row>
    <row r="82" spans="1:28" outlineLevel="1" x14ac:dyDescent="0.3">
      <c r="A82" s="268"/>
      <c r="B82" s="167" t="s">
        <v>165</v>
      </c>
      <c r="C82" s="160"/>
      <c r="D82" s="160"/>
      <c r="E82" s="168"/>
      <c r="F82" s="160"/>
      <c r="G82" s="160"/>
      <c r="H82" s="160"/>
      <c r="I82" s="160"/>
      <c r="J82" s="160"/>
      <c r="K82" s="160"/>
      <c r="L82" s="160"/>
      <c r="M82" s="273"/>
      <c r="N82" s="161"/>
      <c r="O82" s="161"/>
      <c r="P82" s="161"/>
      <c r="Q82" s="161"/>
      <c r="R82" s="161"/>
      <c r="S82" s="183"/>
      <c r="X82" s="200"/>
    </row>
    <row r="83" spans="1:28" ht="19.5" outlineLevel="1" thickBot="1" x14ac:dyDescent="0.35">
      <c r="A83" s="268"/>
      <c r="B83" s="187" t="s">
        <v>83</v>
      </c>
      <c r="C83" s="188"/>
      <c r="D83" s="188"/>
      <c r="E83" s="188"/>
      <c r="F83" s="188"/>
      <c r="G83" s="188"/>
      <c r="H83" s="188"/>
      <c r="I83" s="188"/>
      <c r="J83" s="188"/>
      <c r="K83" s="188"/>
      <c r="L83" s="188"/>
      <c r="M83" s="277"/>
      <c r="N83" s="189"/>
      <c r="O83" s="189"/>
      <c r="P83" s="189"/>
      <c r="Q83" s="189"/>
      <c r="R83" s="189"/>
      <c r="S83" s="190"/>
      <c r="X83" s="200"/>
    </row>
    <row r="84" spans="1:28" x14ac:dyDescent="0.3">
      <c r="A84" s="268"/>
      <c r="B84" s="165"/>
      <c r="C84" s="165"/>
      <c r="D84" s="191"/>
      <c r="E84" s="191"/>
      <c r="F84" s="165"/>
      <c r="G84" s="165"/>
      <c r="H84" s="165"/>
      <c r="I84" s="165"/>
      <c r="J84" s="165"/>
      <c r="K84" s="165"/>
      <c r="L84" s="165"/>
      <c r="X84" s="200"/>
    </row>
    <row r="85" spans="1:28" ht="19.5" thickBot="1" x14ac:dyDescent="0.35">
      <c r="A85" s="267" t="s">
        <v>230</v>
      </c>
      <c r="B85" s="165"/>
      <c r="C85" s="165"/>
      <c r="D85" s="165"/>
      <c r="E85" s="165"/>
      <c r="F85" s="165"/>
      <c r="G85" s="165"/>
      <c r="H85" s="165"/>
      <c r="I85" s="165"/>
      <c r="J85" s="165"/>
      <c r="K85" s="165"/>
      <c r="L85" s="165"/>
      <c r="X85" s="200"/>
    </row>
    <row r="86" spans="1:28" outlineLevel="1" x14ac:dyDescent="0.3">
      <c r="B86" s="29" t="s">
        <v>106</v>
      </c>
      <c r="C86" s="192"/>
      <c r="D86" s="192"/>
      <c r="E86" s="192"/>
      <c r="F86" s="192"/>
      <c r="G86" s="156"/>
      <c r="H86" s="192"/>
      <c r="I86" s="192"/>
      <c r="J86" s="192"/>
      <c r="K86" s="192"/>
      <c r="L86" s="192"/>
      <c r="M86" s="272"/>
      <c r="N86" s="156"/>
      <c r="O86" s="193"/>
      <c r="P86" s="194"/>
      <c r="Q86" s="194"/>
      <c r="R86" s="194"/>
      <c r="S86" s="195"/>
      <c r="X86" s="200"/>
    </row>
    <row r="87" spans="1:28" ht="19.5" outlineLevel="1" thickBot="1" x14ac:dyDescent="0.35">
      <c r="B87" s="158" t="s">
        <v>102</v>
      </c>
      <c r="C87" s="159"/>
      <c r="D87" s="159"/>
      <c r="E87" s="159"/>
      <c r="F87" s="160"/>
      <c r="G87" s="160"/>
      <c r="H87" s="159" t="s">
        <v>103</v>
      </c>
      <c r="I87" s="159"/>
      <c r="J87" s="160"/>
      <c r="K87" s="160"/>
      <c r="L87" s="161"/>
      <c r="M87" s="273"/>
      <c r="N87" s="161"/>
      <c r="O87" s="162" t="s">
        <v>104</v>
      </c>
      <c r="P87" s="163"/>
      <c r="Q87" s="163"/>
      <c r="R87" s="163"/>
      <c r="S87" s="164"/>
      <c r="X87" s="200"/>
    </row>
    <row r="88" spans="1:28" ht="38.25" outlineLevel="1" thickBot="1" x14ac:dyDescent="0.35">
      <c r="B88" s="158" t="s">
        <v>79</v>
      </c>
      <c r="C88" s="159"/>
      <c r="D88" s="159"/>
      <c r="E88" s="159"/>
      <c r="F88" s="160"/>
      <c r="G88" s="160"/>
      <c r="H88" s="159" t="s">
        <v>81</v>
      </c>
      <c r="I88" s="159"/>
      <c r="J88" s="160"/>
      <c r="K88" s="160"/>
      <c r="L88" s="160"/>
      <c r="M88" s="273"/>
      <c r="N88" s="161"/>
      <c r="O88" s="162" t="s">
        <v>105</v>
      </c>
      <c r="P88" s="163"/>
      <c r="Q88" s="163"/>
      <c r="R88" s="163"/>
      <c r="S88" s="164"/>
      <c r="W88" s="426" t="s">
        <v>187</v>
      </c>
      <c r="X88" s="427"/>
      <c r="Y88" s="427"/>
      <c r="Z88" s="427"/>
      <c r="AA88" s="427"/>
      <c r="AB88" s="256" t="s">
        <v>183</v>
      </c>
    </row>
    <row r="89" spans="1:28" ht="75" outlineLevel="1" x14ac:dyDescent="0.3">
      <c r="B89" s="166" t="s">
        <v>43</v>
      </c>
      <c r="C89" s="241" t="s">
        <v>84</v>
      </c>
      <c r="D89" s="240" t="s">
        <v>85</v>
      </c>
      <c r="E89" s="240" t="s">
        <v>194</v>
      </c>
      <c r="F89" s="241" t="s">
        <v>46</v>
      </c>
      <c r="G89" s="242"/>
      <c r="H89" s="241" t="s">
        <v>47</v>
      </c>
      <c r="I89" s="241" t="s">
        <v>84</v>
      </c>
      <c r="J89" s="240" t="s">
        <v>85</v>
      </c>
      <c r="K89" s="240" t="s">
        <v>179</v>
      </c>
      <c r="L89" s="241" t="s">
        <v>46</v>
      </c>
      <c r="M89" s="274" t="s">
        <v>144</v>
      </c>
      <c r="N89" s="243"/>
      <c r="O89" s="241" t="s">
        <v>86</v>
      </c>
      <c r="P89" s="241" t="s">
        <v>84</v>
      </c>
      <c r="Q89" s="240" t="s">
        <v>85</v>
      </c>
      <c r="R89" s="240" t="s">
        <v>194</v>
      </c>
      <c r="S89" s="244" t="s">
        <v>46</v>
      </c>
      <c r="T89" s="217"/>
      <c r="U89" s="245" t="s">
        <v>148</v>
      </c>
      <c r="V89" s="218"/>
      <c r="W89" s="429"/>
      <c r="X89" s="430">
        <v>2015</v>
      </c>
      <c r="Y89" s="430"/>
      <c r="Z89" s="430"/>
      <c r="AA89" s="430"/>
      <c r="AB89" s="257">
        <v>2016</v>
      </c>
    </row>
    <row r="90" spans="1:28" outlineLevel="1" x14ac:dyDescent="0.3">
      <c r="B90" s="167" t="s">
        <v>48</v>
      </c>
      <c r="C90" s="263"/>
      <c r="D90" s="263"/>
      <c r="E90" s="168">
        <f>D90*1000/'Basic data - source records'!$AJ$5</f>
        <v>0</v>
      </c>
      <c r="F90" s="169" t="e">
        <f>D90/$D$104</f>
        <v>#DIV/0!</v>
      </c>
      <c r="G90" s="160"/>
      <c r="H90" s="160" t="s">
        <v>49</v>
      </c>
      <c r="I90" s="266"/>
      <c r="J90" s="266"/>
      <c r="K90" s="168">
        <f>J90*1000/'Basic data - source records'!$AJ$5</f>
        <v>0</v>
      </c>
      <c r="L90" s="169" t="e">
        <f>J90/$J$104</f>
        <v>#DIV/0!</v>
      </c>
      <c r="M90" s="275" t="e">
        <f>J90/$D$104</f>
        <v>#DIV/0!</v>
      </c>
      <c r="N90" s="161"/>
      <c r="O90" s="170" t="s">
        <v>87</v>
      </c>
      <c r="P90" s="196"/>
      <c r="Q90" s="196"/>
      <c r="R90" s="199">
        <f>Q90*1000/'Basic data - source records'!$AJ$5</f>
        <v>0</v>
      </c>
      <c r="S90" s="172">
        <f t="shared" ref="S90:S97" si="24">Q90/$Q$45</f>
        <v>0</v>
      </c>
      <c r="T90" s="173" t="s">
        <v>153</v>
      </c>
      <c r="U90" s="174" t="e">
        <f>M90</f>
        <v>#DIV/0!</v>
      </c>
      <c r="W90" s="201" t="s">
        <v>184</v>
      </c>
      <c r="X90" s="203">
        <f>'MRA - Cassiterite - Tin'!R78</f>
        <v>0</v>
      </c>
      <c r="Y90" s="204">
        <f>X90/$X$10</f>
        <v>0</v>
      </c>
      <c r="Z90" s="202" t="s">
        <v>180</v>
      </c>
      <c r="AA90" s="205">
        <f>Y90*R90</f>
        <v>0</v>
      </c>
      <c r="AB90" s="258">
        <f>$AA90*'Basic data - source records'!AC$5*1000000</f>
        <v>0</v>
      </c>
    </row>
    <row r="91" spans="1:28" outlineLevel="1" x14ac:dyDescent="0.3">
      <c r="B91" s="167" t="s">
        <v>50</v>
      </c>
      <c r="C91" s="263"/>
      <c r="D91" s="263"/>
      <c r="E91" s="168">
        <f>D91*1000/'Basic data - source records'!$AJ$5</f>
        <v>0</v>
      </c>
      <c r="F91" s="169" t="e">
        <f t="shared" ref="F91:F104" si="25">D91/$D$104</f>
        <v>#DIV/0!</v>
      </c>
      <c r="G91" s="160"/>
      <c r="H91" s="160" t="s">
        <v>51</v>
      </c>
      <c r="I91" s="263"/>
      <c r="J91" s="263"/>
      <c r="K91" s="168">
        <f>J91*1000/'Basic data - source records'!$AJ$5</f>
        <v>0</v>
      </c>
      <c r="L91" s="169" t="e">
        <f t="shared" ref="L91:L104" si="26">J91/$J$104</f>
        <v>#DIV/0!</v>
      </c>
      <c r="M91" s="275" t="e">
        <f t="shared" ref="M91:M104" si="27">J91/$D$104</f>
        <v>#DIV/0!</v>
      </c>
      <c r="N91" s="161"/>
      <c r="O91" s="175" t="s">
        <v>88</v>
      </c>
      <c r="P91" s="181"/>
      <c r="Q91" s="181"/>
      <c r="R91" s="168">
        <f>Q91*1000/'Basic data - source records'!$AJ$5</f>
        <v>0</v>
      </c>
      <c r="S91" s="172">
        <f t="shared" si="24"/>
        <v>0</v>
      </c>
      <c r="T91" s="173" t="s">
        <v>145</v>
      </c>
      <c r="U91" s="174" t="e">
        <f>M91+M92+M93+M94</f>
        <v>#DIV/0!</v>
      </c>
      <c r="W91" s="201" t="s">
        <v>185</v>
      </c>
      <c r="X91" s="203">
        <f>'MRA - Coltan - Tantalum'!R78</f>
        <v>0</v>
      </c>
      <c r="Y91" s="204">
        <f t="shared" ref="Y91:Y92" si="28">X91/$X$10</f>
        <v>0</v>
      </c>
      <c r="Z91" s="202" t="s">
        <v>181</v>
      </c>
      <c r="AA91" s="205">
        <f>Y91*R90</f>
        <v>0</v>
      </c>
      <c r="AB91" s="258">
        <f>$AA91*'Basic data - source records'!AC$5*1000000</f>
        <v>0</v>
      </c>
    </row>
    <row r="92" spans="1:28" ht="37.5" outlineLevel="1" x14ac:dyDescent="0.3">
      <c r="B92" s="167" t="s">
        <v>52</v>
      </c>
      <c r="C92" s="263"/>
      <c r="D92" s="263"/>
      <c r="E92" s="168">
        <f>D92*1000/'Basic data - source records'!$AJ$5</f>
        <v>0</v>
      </c>
      <c r="F92" s="169" t="e">
        <f t="shared" si="25"/>
        <v>#DIV/0!</v>
      </c>
      <c r="G92" s="160"/>
      <c r="H92" s="160" t="s">
        <v>53</v>
      </c>
      <c r="I92" s="263"/>
      <c r="J92" s="263"/>
      <c r="K92" s="168">
        <f>J92*1000/'Basic data - source records'!$AJ$5</f>
        <v>0</v>
      </c>
      <c r="L92" s="169" t="e">
        <f t="shared" si="26"/>
        <v>#DIV/0!</v>
      </c>
      <c r="M92" s="275" t="e">
        <f t="shared" si="27"/>
        <v>#DIV/0!</v>
      </c>
      <c r="N92" s="161"/>
      <c r="O92" s="178" t="s">
        <v>89</v>
      </c>
      <c r="P92" s="181"/>
      <c r="Q92" s="181"/>
      <c r="R92" s="168">
        <f>Q92*1000/'Basic data - source records'!$AJ$5</f>
        <v>0</v>
      </c>
      <c r="S92" s="172">
        <f t="shared" si="24"/>
        <v>0</v>
      </c>
      <c r="T92" s="177" t="s">
        <v>146</v>
      </c>
      <c r="U92" s="174" t="e">
        <f>SUM(L95:L100)+L102</f>
        <v>#DIV/0!</v>
      </c>
      <c r="W92" s="201" t="s">
        <v>186</v>
      </c>
      <c r="X92" s="203">
        <f>'MRA - Wolfram - Tungsten'!R78</f>
        <v>0</v>
      </c>
      <c r="Y92" s="204">
        <f t="shared" si="28"/>
        <v>0</v>
      </c>
      <c r="Z92" s="202" t="s">
        <v>182</v>
      </c>
      <c r="AA92" s="205">
        <f>Y92*R90</f>
        <v>0</v>
      </c>
      <c r="AB92" s="258">
        <f>$AA92*'Basic data - source records'!AC$5*1000000</f>
        <v>0</v>
      </c>
    </row>
    <row r="93" spans="1:28" ht="19.5" outlineLevel="1" thickBot="1" x14ac:dyDescent="0.35">
      <c r="B93" s="167" t="s">
        <v>54</v>
      </c>
      <c r="C93" s="263"/>
      <c r="D93" s="263"/>
      <c r="E93" s="168">
        <f>D93*1000/'Basic data - source records'!$AJ$5</f>
        <v>0</v>
      </c>
      <c r="F93" s="169" t="e">
        <f t="shared" si="25"/>
        <v>#DIV/0!</v>
      </c>
      <c r="G93" s="160"/>
      <c r="H93" s="160" t="s">
        <v>55</v>
      </c>
      <c r="I93" s="263"/>
      <c r="J93" s="263"/>
      <c r="K93" s="168">
        <f>J93*1000/'Basic data - source records'!$AJ$5</f>
        <v>0</v>
      </c>
      <c r="L93" s="169" t="e">
        <f t="shared" si="26"/>
        <v>#DIV/0!</v>
      </c>
      <c r="M93" s="275" t="e">
        <f t="shared" si="27"/>
        <v>#DIV/0!</v>
      </c>
      <c r="N93" s="161"/>
      <c r="O93" s="175" t="s">
        <v>90</v>
      </c>
      <c r="P93" s="181"/>
      <c r="Q93" s="181"/>
      <c r="R93" s="168">
        <f>Q93*1000/'Basic data - source records'!$AJ$5</f>
        <v>0</v>
      </c>
      <c r="S93" s="172">
        <f t="shared" si="24"/>
        <v>0</v>
      </c>
      <c r="T93" s="179" t="s">
        <v>147</v>
      </c>
      <c r="U93" s="180" t="e">
        <f>L101</f>
        <v>#DIV/0!</v>
      </c>
      <c r="W93" s="209"/>
      <c r="X93" s="210">
        <f>SUM(X90:X92)</f>
        <v>0</v>
      </c>
      <c r="Y93" s="211"/>
      <c r="Z93" s="211"/>
      <c r="AA93" s="212">
        <f>SUM(AA90:AA92)</f>
        <v>0</v>
      </c>
      <c r="AB93" s="259">
        <f>SUM(AB90:AB92)</f>
        <v>0</v>
      </c>
    </row>
    <row r="94" spans="1:28" outlineLevel="1" x14ac:dyDescent="0.3">
      <c r="B94" s="167" t="s">
        <v>56</v>
      </c>
      <c r="C94" s="263"/>
      <c r="D94" s="263"/>
      <c r="E94" s="168">
        <f>D94*1000/'Basic data - source records'!$AJ$5</f>
        <v>0</v>
      </c>
      <c r="F94" s="169" t="e">
        <f t="shared" si="25"/>
        <v>#DIV/0!</v>
      </c>
      <c r="G94" s="160"/>
      <c r="H94" s="160" t="s">
        <v>57</v>
      </c>
      <c r="I94" s="263"/>
      <c r="J94" s="263"/>
      <c r="K94" s="168">
        <f>J94*1000/'Basic data - source records'!$AJ$5</f>
        <v>0</v>
      </c>
      <c r="L94" s="169" t="e">
        <f t="shared" si="26"/>
        <v>#DIV/0!</v>
      </c>
      <c r="M94" s="275" t="e">
        <f t="shared" si="27"/>
        <v>#DIV/0!</v>
      </c>
      <c r="N94" s="161"/>
      <c r="O94" s="175" t="s">
        <v>91</v>
      </c>
      <c r="P94" s="181"/>
      <c r="Q94" s="181"/>
      <c r="R94" s="168">
        <f>Q94*1000/'Basic data - source records'!$AJ$5</f>
        <v>0</v>
      </c>
      <c r="S94" s="172">
        <f t="shared" si="24"/>
        <v>0</v>
      </c>
      <c r="X94" s="200"/>
    </row>
    <row r="95" spans="1:28" outlineLevel="1" x14ac:dyDescent="0.3">
      <c r="B95" s="167" t="s">
        <v>58</v>
      </c>
      <c r="C95" s="263"/>
      <c r="D95" s="263"/>
      <c r="E95" s="168">
        <f>D95*1000/'Basic data - source records'!$AJ$5</f>
        <v>0</v>
      </c>
      <c r="F95" s="169" t="e">
        <f t="shared" si="25"/>
        <v>#DIV/0!</v>
      </c>
      <c r="G95" s="160"/>
      <c r="H95" s="160" t="s">
        <v>59</v>
      </c>
      <c r="I95" s="263"/>
      <c r="J95" s="263"/>
      <c r="K95" s="168">
        <f>J95*1000/'Basic data - source records'!$AJ$5</f>
        <v>0</v>
      </c>
      <c r="L95" s="169" t="e">
        <f t="shared" si="26"/>
        <v>#DIV/0!</v>
      </c>
      <c r="M95" s="275" t="e">
        <f t="shared" si="27"/>
        <v>#DIV/0!</v>
      </c>
      <c r="N95" s="161"/>
      <c r="O95" s="175" t="s">
        <v>92</v>
      </c>
      <c r="P95" s="181"/>
      <c r="Q95" s="181"/>
      <c r="R95" s="168">
        <f>Q95*1000/'Basic data - source records'!$AJ$5</f>
        <v>0</v>
      </c>
      <c r="S95" s="172">
        <f t="shared" si="24"/>
        <v>0</v>
      </c>
      <c r="X95" s="200"/>
    </row>
    <row r="96" spans="1:28" outlineLevel="1" x14ac:dyDescent="0.3">
      <c r="B96" s="167" t="s">
        <v>60</v>
      </c>
      <c r="C96" s="263"/>
      <c r="D96" s="263"/>
      <c r="E96" s="168">
        <f>D96*1000/'Basic data - source records'!$AJ$5</f>
        <v>0</v>
      </c>
      <c r="F96" s="169" t="e">
        <f t="shared" si="25"/>
        <v>#DIV/0!</v>
      </c>
      <c r="G96" s="160"/>
      <c r="H96" s="160" t="s">
        <v>61</v>
      </c>
      <c r="I96" s="263"/>
      <c r="J96" s="263"/>
      <c r="K96" s="168">
        <f>J96*1000/'Basic data - source records'!$AJ$5</f>
        <v>0</v>
      </c>
      <c r="L96" s="169" t="e">
        <f t="shared" si="26"/>
        <v>#DIV/0!</v>
      </c>
      <c r="M96" s="275" t="e">
        <f t="shared" si="27"/>
        <v>#DIV/0!</v>
      </c>
      <c r="N96" s="161"/>
      <c r="O96" s="175" t="s">
        <v>93</v>
      </c>
      <c r="P96" s="181"/>
      <c r="Q96" s="181"/>
      <c r="R96" s="168">
        <f>Q96*1000/'Basic data - source records'!$AJ$5</f>
        <v>0</v>
      </c>
      <c r="S96" s="172">
        <f t="shared" si="24"/>
        <v>0</v>
      </c>
      <c r="X96" s="200"/>
    </row>
    <row r="97" spans="2:24" outlineLevel="1" x14ac:dyDescent="0.3">
      <c r="B97" s="167" t="s">
        <v>62</v>
      </c>
      <c r="C97" s="263"/>
      <c r="D97" s="263"/>
      <c r="E97" s="168">
        <f>D97*1000/'Basic data - source records'!$AJ$5</f>
        <v>0</v>
      </c>
      <c r="F97" s="169" t="e">
        <f t="shared" si="25"/>
        <v>#DIV/0!</v>
      </c>
      <c r="G97" s="160"/>
      <c r="H97" s="160" t="s">
        <v>63</v>
      </c>
      <c r="I97" s="263"/>
      <c r="J97" s="263"/>
      <c r="K97" s="168">
        <f>J97*1000/'Basic data - source records'!$AJ$5</f>
        <v>0</v>
      </c>
      <c r="L97" s="169" t="e">
        <f t="shared" si="26"/>
        <v>#DIV/0!</v>
      </c>
      <c r="M97" s="275" t="e">
        <f t="shared" si="27"/>
        <v>#DIV/0!</v>
      </c>
      <c r="N97" s="161"/>
      <c r="O97" s="175" t="s">
        <v>94</v>
      </c>
      <c r="P97" s="181"/>
      <c r="Q97" s="181"/>
      <c r="R97" s="168">
        <f>Q97*1000/'Basic data - source records'!$AJ$5</f>
        <v>0</v>
      </c>
      <c r="S97" s="172">
        <f t="shared" si="24"/>
        <v>0</v>
      </c>
      <c r="X97" s="200"/>
    </row>
    <row r="98" spans="2:24" outlineLevel="1" x14ac:dyDescent="0.3">
      <c r="B98" s="167" t="s">
        <v>64</v>
      </c>
      <c r="C98" s="263"/>
      <c r="D98" s="263"/>
      <c r="E98" s="168">
        <f>D98*1000/'Basic data - source records'!$AJ$5</f>
        <v>0</v>
      </c>
      <c r="F98" s="169" t="e">
        <f t="shared" si="25"/>
        <v>#DIV/0!</v>
      </c>
      <c r="G98" s="160"/>
      <c r="H98" s="160" t="s">
        <v>65</v>
      </c>
      <c r="I98" s="263"/>
      <c r="J98" s="263"/>
      <c r="K98" s="168">
        <f>J98*1000/'Basic data - source records'!$AJ$5</f>
        <v>0</v>
      </c>
      <c r="L98" s="169" t="e">
        <f t="shared" si="26"/>
        <v>#DIV/0!</v>
      </c>
      <c r="M98" s="275" t="e">
        <f t="shared" si="27"/>
        <v>#DIV/0!</v>
      </c>
      <c r="N98" s="161"/>
      <c r="O98" s="170"/>
      <c r="P98" s="181"/>
      <c r="Q98" s="181"/>
      <c r="R98" s="168"/>
      <c r="S98" s="172"/>
      <c r="X98" s="200"/>
    </row>
    <row r="99" spans="2:24" outlineLevel="1" x14ac:dyDescent="0.3">
      <c r="B99" s="167" t="s">
        <v>66</v>
      </c>
      <c r="C99" s="263"/>
      <c r="D99" s="263"/>
      <c r="E99" s="168">
        <f>D99*1000/'Basic data - source records'!$AJ$5</f>
        <v>0</v>
      </c>
      <c r="F99" s="169" t="e">
        <f t="shared" si="25"/>
        <v>#DIV/0!</v>
      </c>
      <c r="G99" s="160"/>
      <c r="H99" s="160" t="s">
        <v>67</v>
      </c>
      <c r="I99" s="263"/>
      <c r="J99" s="263"/>
      <c r="K99" s="168">
        <f>J99*1000/'Basic data - source records'!$AJ$5</f>
        <v>0</v>
      </c>
      <c r="L99" s="169" t="e">
        <f t="shared" si="26"/>
        <v>#DIV/0!</v>
      </c>
      <c r="M99" s="275" t="e">
        <f t="shared" si="27"/>
        <v>#DIV/0!</v>
      </c>
      <c r="N99" s="161"/>
      <c r="O99" s="170" t="s">
        <v>95</v>
      </c>
      <c r="P99" s="196"/>
      <c r="Q99" s="196"/>
      <c r="R99" s="199">
        <f>Q99*1000/'Basic data - source records'!$AJ$5</f>
        <v>0</v>
      </c>
      <c r="S99" s="172">
        <f>Q99/$Q$45</f>
        <v>0</v>
      </c>
      <c r="X99" s="200"/>
    </row>
    <row r="100" spans="2:24" outlineLevel="1" x14ac:dyDescent="0.3">
      <c r="B100" s="167" t="s">
        <v>68</v>
      </c>
      <c r="C100" s="263"/>
      <c r="D100" s="263"/>
      <c r="E100" s="168">
        <f>D100*1000/'Basic data - source records'!$AJ$5</f>
        <v>0</v>
      </c>
      <c r="F100" s="169" t="e">
        <f t="shared" si="25"/>
        <v>#DIV/0!</v>
      </c>
      <c r="G100" s="160"/>
      <c r="H100" s="160" t="s">
        <v>69</v>
      </c>
      <c r="I100" s="263"/>
      <c r="J100" s="263"/>
      <c r="K100" s="168">
        <f>J100*1000/'Basic data - source records'!$AJ$5</f>
        <v>0</v>
      </c>
      <c r="L100" s="169" t="e">
        <f t="shared" si="26"/>
        <v>#DIV/0!</v>
      </c>
      <c r="M100" s="275" t="e">
        <f t="shared" si="27"/>
        <v>#DIV/0!</v>
      </c>
      <c r="N100" s="161"/>
      <c r="O100" s="182" t="s">
        <v>96</v>
      </c>
      <c r="P100" s="181"/>
      <c r="Q100" s="181"/>
      <c r="R100" s="168">
        <f>Q100*1000/'Basic data - source records'!$AJ$5</f>
        <v>0</v>
      </c>
      <c r="S100" s="172">
        <f>Q100/$Q$45</f>
        <v>0</v>
      </c>
      <c r="X100" s="200"/>
    </row>
    <row r="101" spans="2:24" outlineLevel="1" x14ac:dyDescent="0.3">
      <c r="B101" s="167" t="s">
        <v>70</v>
      </c>
      <c r="C101" s="263"/>
      <c r="D101" s="263"/>
      <c r="E101" s="168">
        <f>D101*1000/'Basic data - source records'!$AJ$5</f>
        <v>0</v>
      </c>
      <c r="F101" s="169" t="e">
        <f t="shared" si="25"/>
        <v>#DIV/0!</v>
      </c>
      <c r="G101" s="160"/>
      <c r="H101" s="160" t="s">
        <v>71</v>
      </c>
      <c r="I101" s="263"/>
      <c r="J101" s="263"/>
      <c r="K101" s="168">
        <f>J101*1000/'Basic data - source records'!$AJ$5</f>
        <v>0</v>
      </c>
      <c r="L101" s="169" t="e">
        <f t="shared" si="26"/>
        <v>#DIV/0!</v>
      </c>
      <c r="M101" s="275" t="e">
        <f t="shared" si="27"/>
        <v>#DIV/0!</v>
      </c>
      <c r="N101" s="161"/>
      <c r="O101" s="182" t="s">
        <v>97</v>
      </c>
      <c r="P101" s="181"/>
      <c r="Q101" s="181"/>
      <c r="R101" s="168">
        <f>Q101*1000/'Basic data - source records'!$AJ$5</f>
        <v>0</v>
      </c>
      <c r="S101" s="172">
        <f>Q101/$Q$45</f>
        <v>0</v>
      </c>
      <c r="X101" s="200"/>
    </row>
    <row r="102" spans="2:24" outlineLevel="1" x14ac:dyDescent="0.3">
      <c r="B102" s="167" t="s">
        <v>72</v>
      </c>
      <c r="C102" s="263"/>
      <c r="D102" s="263"/>
      <c r="E102" s="168">
        <f>D102*1000/'Basic data - source records'!$AJ$5</f>
        <v>0</v>
      </c>
      <c r="F102" s="169" t="e">
        <f t="shared" si="25"/>
        <v>#DIV/0!</v>
      </c>
      <c r="G102" s="160"/>
      <c r="H102" s="160" t="s">
        <v>73</v>
      </c>
      <c r="I102" s="263"/>
      <c r="J102" s="263"/>
      <c r="K102" s="168">
        <f>J102*1000/'Basic data - source records'!$AJ$5</f>
        <v>0</v>
      </c>
      <c r="L102" s="169" t="e">
        <f t="shared" si="26"/>
        <v>#DIV/0!</v>
      </c>
      <c r="M102" s="275" t="e">
        <f t="shared" si="27"/>
        <v>#DIV/0!</v>
      </c>
      <c r="N102" s="161"/>
      <c r="O102" s="182" t="s">
        <v>98</v>
      </c>
      <c r="P102" s="181"/>
      <c r="Q102" s="181"/>
      <c r="R102" s="168">
        <f>Q102*1000/'Basic data - source records'!$AJ$5</f>
        <v>0</v>
      </c>
      <c r="S102" s="172">
        <f>Q102/$Q$45</f>
        <v>0</v>
      </c>
      <c r="X102" s="200"/>
    </row>
    <row r="103" spans="2:24" outlineLevel="1" x14ac:dyDescent="0.3">
      <c r="B103" s="167" t="s">
        <v>74</v>
      </c>
      <c r="C103" s="264"/>
      <c r="D103" s="264"/>
      <c r="E103" s="168">
        <f>D103*1000/'Basic data - source records'!$AJ$5</f>
        <v>0</v>
      </c>
      <c r="F103" s="169" t="e">
        <f t="shared" si="25"/>
        <v>#DIV/0!</v>
      </c>
      <c r="G103" s="160"/>
      <c r="H103" s="161"/>
      <c r="I103" s="264"/>
      <c r="J103" s="264"/>
      <c r="K103" s="168"/>
      <c r="L103" s="169"/>
      <c r="M103" s="275"/>
      <c r="N103" s="161"/>
      <c r="O103" s="161"/>
      <c r="P103" s="161"/>
      <c r="Q103" s="161"/>
      <c r="R103" s="168"/>
      <c r="S103" s="172"/>
    </row>
    <row r="104" spans="2:24" ht="19.5" outlineLevel="1" thickBot="1" x14ac:dyDescent="0.35">
      <c r="B104" s="234" t="s">
        <v>223</v>
      </c>
      <c r="C104" s="265"/>
      <c r="D104" s="265"/>
      <c r="E104" s="235">
        <f>D104*1000/'Basic data - source records'!$AJ$5</f>
        <v>0</v>
      </c>
      <c r="F104" s="236" t="e">
        <f t="shared" si="25"/>
        <v>#DIV/0!</v>
      </c>
      <c r="G104" s="188"/>
      <c r="H104" s="184" t="s">
        <v>224</v>
      </c>
      <c r="I104" s="265"/>
      <c r="J104" s="265"/>
      <c r="K104" s="235">
        <f>J104*1000/'Basic data - source records'!$AJ$5</f>
        <v>0</v>
      </c>
      <c r="L104" s="236" t="e">
        <f t="shared" si="26"/>
        <v>#DIV/0!</v>
      </c>
      <c r="M104" s="278" t="e">
        <f t="shared" si="27"/>
        <v>#DIV/0!</v>
      </c>
      <c r="N104" s="189"/>
      <c r="O104" s="184" t="s">
        <v>99</v>
      </c>
      <c r="P104" s="235"/>
      <c r="Q104" s="235"/>
      <c r="R104" s="235">
        <f>Q104*1000/'Basic data - source records'!$AJ$5</f>
        <v>0</v>
      </c>
      <c r="S104" s="239">
        <f>Q104/$Q$45</f>
        <v>0</v>
      </c>
    </row>
    <row r="105" spans="2:24" outlineLevel="1" x14ac:dyDescent="0.3">
      <c r="B105" s="186" t="s">
        <v>221</v>
      </c>
      <c r="C105" s="175"/>
      <c r="D105" s="175"/>
      <c r="E105" s="175"/>
      <c r="F105" s="160"/>
      <c r="G105" s="160"/>
      <c r="H105" s="175" t="s">
        <v>221</v>
      </c>
      <c r="I105" s="160"/>
      <c r="J105" s="168"/>
      <c r="K105" s="168"/>
      <c r="L105" s="169"/>
      <c r="M105" s="273"/>
      <c r="N105" s="161"/>
      <c r="O105" s="175" t="s">
        <v>221</v>
      </c>
      <c r="P105" s="175"/>
      <c r="Q105" s="175"/>
      <c r="R105" s="175"/>
      <c r="S105" s="172"/>
    </row>
    <row r="106" spans="2:24" outlineLevel="1" x14ac:dyDescent="0.3">
      <c r="B106" s="167" t="s">
        <v>83</v>
      </c>
      <c r="C106" s="160"/>
      <c r="D106" s="160"/>
      <c r="E106" s="160"/>
      <c r="F106" s="160"/>
      <c r="G106" s="160"/>
      <c r="H106" s="160"/>
      <c r="I106" s="160"/>
      <c r="J106" s="160"/>
      <c r="K106" s="160"/>
      <c r="L106" s="160"/>
      <c r="M106" s="273"/>
      <c r="N106" s="161"/>
      <c r="O106" s="161"/>
      <c r="P106" s="161"/>
      <c r="Q106" s="161"/>
      <c r="R106" s="161"/>
      <c r="S106" s="183"/>
    </row>
    <row r="107" spans="2:24" ht="19.5" outlineLevel="1" thickBot="1" x14ac:dyDescent="0.35">
      <c r="B107" s="187"/>
      <c r="C107" s="188"/>
      <c r="D107" s="188"/>
      <c r="E107" s="188"/>
      <c r="F107" s="188"/>
      <c r="G107" s="188"/>
      <c r="H107" s="188"/>
      <c r="I107" s="188"/>
      <c r="J107" s="188"/>
      <c r="K107" s="188"/>
      <c r="L107" s="188"/>
      <c r="M107" s="277"/>
      <c r="N107" s="189"/>
      <c r="O107" s="189"/>
      <c r="P107" s="189"/>
      <c r="Q107" s="189"/>
      <c r="R107" s="189"/>
      <c r="S107" s="190"/>
    </row>
    <row r="118" spans="1:28" ht="26.25" x14ac:dyDescent="0.4">
      <c r="A118" s="233" t="s">
        <v>222</v>
      </c>
    </row>
    <row r="119" spans="1:28" ht="19.5" thickBot="1" x14ac:dyDescent="0.35"/>
    <row r="120" spans="1:28" x14ac:dyDescent="0.3">
      <c r="B120" s="29" t="s">
        <v>82</v>
      </c>
      <c r="C120" s="156"/>
      <c r="D120" s="156"/>
      <c r="E120" s="156"/>
      <c r="F120" s="156"/>
      <c r="G120" s="156"/>
      <c r="H120" s="156"/>
      <c r="I120" s="156"/>
      <c r="J120" s="156"/>
      <c r="K120" s="156"/>
      <c r="L120" s="156"/>
      <c r="M120" s="272"/>
      <c r="N120" s="156"/>
      <c r="O120" s="156"/>
      <c r="P120" s="156"/>
      <c r="Q120" s="156"/>
      <c r="R120" s="156"/>
      <c r="S120" s="157"/>
    </row>
    <row r="121" spans="1:28" ht="19.5" thickBot="1" x14ac:dyDescent="0.35">
      <c r="B121" s="158" t="s">
        <v>78</v>
      </c>
      <c r="C121" s="159"/>
      <c r="D121" s="159"/>
      <c r="E121" s="159"/>
      <c r="F121" s="160"/>
      <c r="G121" s="160"/>
      <c r="H121" s="159" t="s">
        <v>80</v>
      </c>
      <c r="I121" s="159"/>
      <c r="J121" s="160"/>
      <c r="K121" s="160"/>
      <c r="L121" s="161"/>
      <c r="M121" s="273"/>
      <c r="N121" s="161"/>
      <c r="O121" s="162" t="s">
        <v>104</v>
      </c>
      <c r="P121" s="163"/>
      <c r="Q121" s="163"/>
      <c r="R121" s="163"/>
      <c r="S121" s="164"/>
    </row>
    <row r="122" spans="1:28" ht="38.25" thickBot="1" x14ac:dyDescent="0.35">
      <c r="B122" s="158" t="s">
        <v>79</v>
      </c>
      <c r="C122" s="159"/>
      <c r="D122" s="159"/>
      <c r="E122" s="159"/>
      <c r="F122" s="160"/>
      <c r="G122" s="160"/>
      <c r="H122" s="159" t="s">
        <v>81</v>
      </c>
      <c r="I122" s="159"/>
      <c r="J122" s="160"/>
      <c r="K122" s="160"/>
      <c r="L122" s="160"/>
      <c r="M122" s="273"/>
      <c r="N122" s="161"/>
      <c r="O122" s="162" t="s">
        <v>105</v>
      </c>
      <c r="P122" s="163"/>
      <c r="Q122" s="163"/>
      <c r="R122" s="163"/>
      <c r="S122" s="164"/>
      <c r="W122" s="426" t="s">
        <v>187</v>
      </c>
      <c r="X122" s="427"/>
      <c r="Y122" s="427"/>
      <c r="Z122" s="427"/>
      <c r="AA122" s="428"/>
      <c r="AB122" s="256" t="s">
        <v>183</v>
      </c>
    </row>
    <row r="123" spans="1:28" ht="56.25" x14ac:dyDescent="0.3">
      <c r="B123" s="166" t="s">
        <v>43</v>
      </c>
      <c r="C123" s="241" t="s">
        <v>44</v>
      </c>
      <c r="D123" s="240" t="s">
        <v>45</v>
      </c>
      <c r="E123" s="240" t="s">
        <v>179</v>
      </c>
      <c r="F123" s="241" t="s">
        <v>46</v>
      </c>
      <c r="G123" s="242"/>
      <c r="H123" s="241" t="s">
        <v>47</v>
      </c>
      <c r="I123" s="241" t="s">
        <v>44</v>
      </c>
      <c r="J123" s="240" t="s">
        <v>45</v>
      </c>
      <c r="K123" s="240" t="s">
        <v>179</v>
      </c>
      <c r="L123" s="241" t="s">
        <v>46</v>
      </c>
      <c r="M123" s="274" t="s">
        <v>144</v>
      </c>
      <c r="N123" s="243"/>
      <c r="O123" s="241" t="s">
        <v>86</v>
      </c>
      <c r="P123" s="241" t="s">
        <v>44</v>
      </c>
      <c r="Q123" s="240" t="s">
        <v>45</v>
      </c>
      <c r="R123" s="240" t="s">
        <v>179</v>
      </c>
      <c r="S123" s="244" t="s">
        <v>46</v>
      </c>
      <c r="T123" s="217"/>
      <c r="U123" s="245" t="s">
        <v>148</v>
      </c>
      <c r="V123" s="218"/>
      <c r="W123" s="429">
        <v>2017</v>
      </c>
      <c r="X123" s="430"/>
      <c r="Y123" s="430"/>
      <c r="Z123" s="430"/>
      <c r="AA123" s="430"/>
      <c r="AB123" s="257">
        <v>2017</v>
      </c>
    </row>
    <row r="124" spans="1:28" x14ac:dyDescent="0.3">
      <c r="B124" s="167" t="s">
        <v>48</v>
      </c>
      <c r="C124" s="168"/>
      <c r="D124" s="168"/>
      <c r="E124" s="168">
        <f>D124*1000/'Basic data - source records'!$AI$5</f>
        <v>0</v>
      </c>
      <c r="F124" s="169">
        <f>D124/$D$21</f>
        <v>0</v>
      </c>
      <c r="G124" s="160"/>
      <c r="H124" s="160" t="s">
        <v>49</v>
      </c>
      <c r="I124" s="168"/>
      <c r="J124" s="168"/>
      <c r="K124" s="168">
        <f>J124*1000/'Basic data - source records'!$AI$5</f>
        <v>0</v>
      </c>
      <c r="L124" s="169">
        <f t="shared" ref="L124:L136" si="29">J124/$J$21</f>
        <v>0</v>
      </c>
      <c r="M124" s="275">
        <f>J124/$D$21</f>
        <v>0</v>
      </c>
      <c r="N124" s="161"/>
      <c r="O124" s="170" t="s">
        <v>87</v>
      </c>
      <c r="P124" s="171"/>
      <c r="Q124" s="171"/>
      <c r="R124" s="199">
        <f>Q124*1000/'Basic data - source records'!$AI$5</f>
        <v>0</v>
      </c>
      <c r="S124" s="172">
        <f t="shared" ref="S124:S131" si="30">Q124/$Q$45</f>
        <v>0</v>
      </c>
      <c r="T124" s="173" t="s">
        <v>145</v>
      </c>
      <c r="U124" s="174">
        <f>M124+M125+M126+M127+M128</f>
        <v>0</v>
      </c>
      <c r="W124" s="201" t="s">
        <v>184</v>
      </c>
      <c r="X124" s="203">
        <f>'MRA - Cassiterite - Tin'!R124</f>
        <v>0</v>
      </c>
      <c r="Y124" s="204">
        <f>X124/$X$10</f>
        <v>0</v>
      </c>
      <c r="Z124" s="202" t="s">
        <v>180</v>
      </c>
      <c r="AA124" s="205">
        <f>Y124*R124</f>
        <v>0</v>
      </c>
      <c r="AB124" s="258">
        <f>$AA124*'Basic data - source records'!AD$5*1000000</f>
        <v>0</v>
      </c>
    </row>
    <row r="125" spans="1:28" ht="37.5" x14ac:dyDescent="0.3">
      <c r="B125" s="167" t="s">
        <v>50</v>
      </c>
      <c r="C125" s="168"/>
      <c r="D125" s="168"/>
      <c r="E125" s="168">
        <f>D125*1000/'Basic data - source records'!$AI$5</f>
        <v>0</v>
      </c>
      <c r="F125" s="169">
        <f t="shared" ref="F125:F138" si="31">D125/$D$21</f>
        <v>0</v>
      </c>
      <c r="G125" s="160"/>
      <c r="H125" s="160" t="s">
        <v>51</v>
      </c>
      <c r="I125" s="168"/>
      <c r="J125" s="168"/>
      <c r="K125" s="168">
        <f>J125*1000/'Basic data - source records'!$AI$5</f>
        <v>0</v>
      </c>
      <c r="L125" s="169">
        <f t="shared" si="29"/>
        <v>0</v>
      </c>
      <c r="M125" s="275">
        <f t="shared" ref="M125:M136" si="32">J125/$D$21</f>
        <v>0</v>
      </c>
      <c r="N125" s="161"/>
      <c r="O125" s="175" t="s">
        <v>88</v>
      </c>
      <c r="P125" s="176"/>
      <c r="Q125" s="176"/>
      <c r="R125" s="168">
        <f>Q125*1000/'Basic data - source records'!$AI$5</f>
        <v>0</v>
      </c>
      <c r="S125" s="172">
        <f t="shared" si="30"/>
        <v>0</v>
      </c>
      <c r="T125" s="177" t="s">
        <v>146</v>
      </c>
      <c r="U125" s="174">
        <f>SUM(L129:L134)+L136</f>
        <v>0</v>
      </c>
      <c r="W125" s="201" t="s">
        <v>185</v>
      </c>
      <c r="X125" s="203">
        <f>'MRA - Coltan - Tantalum'!R124</f>
        <v>0</v>
      </c>
      <c r="Y125" s="204">
        <f t="shared" ref="Y125:Y126" si="33">X125/$X$10</f>
        <v>0</v>
      </c>
      <c r="Z125" s="202" t="s">
        <v>181</v>
      </c>
      <c r="AA125" s="205">
        <f>Y125*R124</f>
        <v>0</v>
      </c>
      <c r="AB125" s="258">
        <f>$AA125*'Basic data - source records'!AD$5*1000000</f>
        <v>0</v>
      </c>
    </row>
    <row r="126" spans="1:28" ht="19.5" thickBot="1" x14ac:dyDescent="0.35">
      <c r="B126" s="167" t="s">
        <v>52</v>
      </c>
      <c r="C126" s="168"/>
      <c r="D126" s="168"/>
      <c r="E126" s="168">
        <f>D126*1000/'Basic data - source records'!$AI$5</f>
        <v>0</v>
      </c>
      <c r="F126" s="169">
        <f t="shared" si="31"/>
        <v>0</v>
      </c>
      <c r="G126" s="160"/>
      <c r="H126" s="160" t="s">
        <v>53</v>
      </c>
      <c r="I126" s="168"/>
      <c r="J126" s="168"/>
      <c r="K126" s="168">
        <f>J126*1000/'Basic data - source records'!$AI$5</f>
        <v>0</v>
      </c>
      <c r="L126" s="169">
        <f t="shared" si="29"/>
        <v>0</v>
      </c>
      <c r="M126" s="275">
        <f t="shared" si="32"/>
        <v>0</v>
      </c>
      <c r="N126" s="161"/>
      <c r="O126" s="178" t="s">
        <v>89</v>
      </c>
      <c r="P126" s="176"/>
      <c r="Q126" s="176"/>
      <c r="R126" s="168">
        <f>Q126*1000/'Basic data - source records'!$AI$5</f>
        <v>0</v>
      </c>
      <c r="S126" s="172">
        <f t="shared" si="30"/>
        <v>0</v>
      </c>
      <c r="T126" s="179" t="s">
        <v>147</v>
      </c>
      <c r="U126" s="180">
        <f>L135</f>
        <v>0</v>
      </c>
      <c r="W126" s="201" t="s">
        <v>186</v>
      </c>
      <c r="X126" s="203">
        <f>'MRA - Wolfram - Tungsten'!R124</f>
        <v>0</v>
      </c>
      <c r="Y126" s="204">
        <f t="shared" si="33"/>
        <v>0</v>
      </c>
      <c r="Z126" s="202" t="s">
        <v>182</v>
      </c>
      <c r="AA126" s="205">
        <f>Y126*R124</f>
        <v>0</v>
      </c>
      <c r="AB126" s="258">
        <f>$AA126*'Basic data - source records'!AD$5*1000000</f>
        <v>0</v>
      </c>
    </row>
    <row r="127" spans="1:28" ht="19.5" thickBot="1" x14ac:dyDescent="0.35">
      <c r="B127" s="167" t="s">
        <v>54</v>
      </c>
      <c r="C127" s="168"/>
      <c r="D127" s="168"/>
      <c r="E127" s="168">
        <f>D127*1000/'Basic data - source records'!$AI$5</f>
        <v>0</v>
      </c>
      <c r="F127" s="169">
        <f t="shared" si="31"/>
        <v>0</v>
      </c>
      <c r="G127" s="160"/>
      <c r="H127" s="160" t="s">
        <v>55</v>
      </c>
      <c r="I127" s="168"/>
      <c r="J127" s="168"/>
      <c r="K127" s="168">
        <f>J127*1000/'Basic data - source records'!$AI$5</f>
        <v>0</v>
      </c>
      <c r="L127" s="169">
        <f t="shared" si="29"/>
        <v>0</v>
      </c>
      <c r="M127" s="275">
        <f t="shared" si="32"/>
        <v>0</v>
      </c>
      <c r="N127" s="161"/>
      <c r="O127" s="175" t="s">
        <v>90</v>
      </c>
      <c r="P127" s="176"/>
      <c r="Q127" s="176"/>
      <c r="R127" s="168">
        <f>Q127*1000/'Basic data - source records'!$AI$5</f>
        <v>0</v>
      </c>
      <c r="S127" s="172">
        <f t="shared" si="30"/>
        <v>0</v>
      </c>
      <c r="W127" s="209"/>
      <c r="X127" s="210">
        <f>SUM(X124:X126)</f>
        <v>0</v>
      </c>
      <c r="Y127" s="211"/>
      <c r="Z127" s="211"/>
      <c r="AA127" s="212">
        <f>SUM(AA124:AA126)</f>
        <v>0</v>
      </c>
      <c r="AB127" s="259">
        <f t="shared" ref="AB127" si="34">SUM(AB124:AB126)</f>
        <v>0</v>
      </c>
    </row>
    <row r="128" spans="1:28" x14ac:dyDescent="0.3">
      <c r="B128" s="167" t="s">
        <v>56</v>
      </c>
      <c r="C128" s="168"/>
      <c r="D128" s="168"/>
      <c r="E128" s="168">
        <f>D128*1000/'Basic data - source records'!$AI$5</f>
        <v>0</v>
      </c>
      <c r="F128" s="169">
        <f t="shared" si="31"/>
        <v>0</v>
      </c>
      <c r="G128" s="160"/>
      <c r="H128" s="160" t="s">
        <v>57</v>
      </c>
      <c r="I128" s="168"/>
      <c r="J128" s="168"/>
      <c r="K128" s="168">
        <f>J128*1000/'Basic data - source records'!$AI$5</f>
        <v>0</v>
      </c>
      <c r="L128" s="169">
        <f t="shared" si="29"/>
        <v>0</v>
      </c>
      <c r="M128" s="275">
        <f t="shared" si="32"/>
        <v>0</v>
      </c>
      <c r="N128" s="161"/>
      <c r="O128" s="175" t="s">
        <v>91</v>
      </c>
      <c r="P128" s="176"/>
      <c r="Q128" s="176"/>
      <c r="R128" s="168">
        <f>Q128*1000/'Basic data - source records'!$AI$5</f>
        <v>0</v>
      </c>
      <c r="S128" s="172">
        <f t="shared" si="30"/>
        <v>0</v>
      </c>
      <c r="X128" s="200"/>
    </row>
    <row r="129" spans="2:24" x14ac:dyDescent="0.3">
      <c r="B129" s="167" t="s">
        <v>58</v>
      </c>
      <c r="C129" s="168"/>
      <c r="D129" s="168"/>
      <c r="E129" s="168">
        <f>D129*1000/'Basic data - source records'!$AI$5</f>
        <v>0</v>
      </c>
      <c r="F129" s="169">
        <f t="shared" si="31"/>
        <v>0</v>
      </c>
      <c r="G129" s="160"/>
      <c r="H129" s="160" t="s">
        <v>59</v>
      </c>
      <c r="I129" s="168"/>
      <c r="J129" s="168"/>
      <c r="K129" s="168">
        <f>J129*1000/'Basic data - source records'!$AI$5</f>
        <v>0</v>
      </c>
      <c r="L129" s="169">
        <f t="shared" si="29"/>
        <v>0</v>
      </c>
      <c r="M129" s="275">
        <f t="shared" si="32"/>
        <v>0</v>
      </c>
      <c r="N129" s="161"/>
      <c r="O129" s="175" t="s">
        <v>92</v>
      </c>
      <c r="P129" s="176"/>
      <c r="Q129" s="176"/>
      <c r="R129" s="168">
        <f>Q129*1000/'Basic data - source records'!$AI$5</f>
        <v>0</v>
      </c>
      <c r="S129" s="172">
        <f t="shared" si="30"/>
        <v>0</v>
      </c>
      <c r="X129" s="200"/>
    </row>
    <row r="130" spans="2:24" x14ac:dyDescent="0.3">
      <c r="B130" s="167" t="s">
        <v>60</v>
      </c>
      <c r="C130" s="168"/>
      <c r="D130" s="168"/>
      <c r="E130" s="168">
        <f>D130*1000/'Basic data - source records'!$AI$5</f>
        <v>0</v>
      </c>
      <c r="F130" s="169">
        <f t="shared" si="31"/>
        <v>0</v>
      </c>
      <c r="G130" s="160"/>
      <c r="H130" s="160" t="s">
        <v>61</v>
      </c>
      <c r="I130" s="168"/>
      <c r="J130" s="168"/>
      <c r="K130" s="168">
        <f>J130*1000/'Basic data - source records'!$AI$5</f>
        <v>0</v>
      </c>
      <c r="L130" s="169">
        <f t="shared" si="29"/>
        <v>0</v>
      </c>
      <c r="M130" s="275">
        <f t="shared" si="32"/>
        <v>0</v>
      </c>
      <c r="N130" s="161"/>
      <c r="O130" s="175" t="s">
        <v>93</v>
      </c>
      <c r="P130" s="176"/>
      <c r="Q130" s="176"/>
      <c r="R130" s="168">
        <f>Q130*1000/'Basic data - source records'!$AI$5</f>
        <v>0</v>
      </c>
      <c r="S130" s="172">
        <f t="shared" si="30"/>
        <v>0</v>
      </c>
      <c r="X130" s="200"/>
    </row>
    <row r="131" spans="2:24" x14ac:dyDescent="0.3">
      <c r="B131" s="167" t="s">
        <v>62</v>
      </c>
      <c r="C131" s="168"/>
      <c r="D131" s="168"/>
      <c r="E131" s="168">
        <f>D131*1000/'Basic data - source records'!$AI$5</f>
        <v>0</v>
      </c>
      <c r="F131" s="169">
        <f t="shared" si="31"/>
        <v>0</v>
      </c>
      <c r="G131" s="160"/>
      <c r="H131" s="160" t="s">
        <v>63</v>
      </c>
      <c r="I131" s="168"/>
      <c r="J131" s="168"/>
      <c r="K131" s="168">
        <f>J131*1000/'Basic data - source records'!$AI$5</f>
        <v>0</v>
      </c>
      <c r="L131" s="169">
        <f t="shared" si="29"/>
        <v>0</v>
      </c>
      <c r="M131" s="275">
        <f t="shared" si="32"/>
        <v>0</v>
      </c>
      <c r="N131" s="161"/>
      <c r="O131" s="175" t="s">
        <v>94</v>
      </c>
      <c r="P131" s="176"/>
      <c r="Q131" s="176"/>
      <c r="R131" s="168">
        <f>Q131*1000/'Basic data - source records'!$AI$5</f>
        <v>0</v>
      </c>
      <c r="S131" s="172">
        <f t="shared" si="30"/>
        <v>0</v>
      </c>
      <c r="X131" s="200"/>
    </row>
    <row r="132" spans="2:24" x14ac:dyDescent="0.3">
      <c r="B132" s="167" t="s">
        <v>64</v>
      </c>
      <c r="C132" s="168"/>
      <c r="D132" s="168"/>
      <c r="E132" s="168">
        <f>D132*1000/'Basic data - source records'!$AI$5</f>
        <v>0</v>
      </c>
      <c r="F132" s="169">
        <f t="shared" si="31"/>
        <v>0</v>
      </c>
      <c r="G132" s="160"/>
      <c r="H132" s="160" t="s">
        <v>65</v>
      </c>
      <c r="I132" s="168"/>
      <c r="J132" s="168"/>
      <c r="K132" s="168">
        <f>J132*1000/'Basic data - source records'!$AI$5</f>
        <v>0</v>
      </c>
      <c r="L132" s="169">
        <f t="shared" si="29"/>
        <v>0</v>
      </c>
      <c r="M132" s="275">
        <f t="shared" si="32"/>
        <v>0</v>
      </c>
      <c r="N132" s="161"/>
      <c r="O132" s="170"/>
      <c r="P132" s="181"/>
      <c r="Q132" s="181"/>
      <c r="R132" s="168"/>
      <c r="S132" s="172"/>
      <c r="X132" s="200"/>
    </row>
    <row r="133" spans="2:24" x14ac:dyDescent="0.3">
      <c r="B133" s="167" t="s">
        <v>66</v>
      </c>
      <c r="C133" s="168"/>
      <c r="D133" s="168"/>
      <c r="E133" s="168">
        <f>D133*1000/'Basic data - source records'!$AI$5</f>
        <v>0</v>
      </c>
      <c r="F133" s="169">
        <f t="shared" si="31"/>
        <v>0</v>
      </c>
      <c r="G133" s="160"/>
      <c r="H133" s="160" t="s">
        <v>67</v>
      </c>
      <c r="I133" s="168"/>
      <c r="J133" s="168"/>
      <c r="K133" s="168">
        <f>J133*1000/'Basic data - source records'!$AI$5</f>
        <v>0</v>
      </c>
      <c r="L133" s="169">
        <f t="shared" si="29"/>
        <v>0</v>
      </c>
      <c r="M133" s="275">
        <f t="shared" si="32"/>
        <v>0</v>
      </c>
      <c r="N133" s="161"/>
      <c r="O133" s="170" t="s">
        <v>95</v>
      </c>
      <c r="P133" s="171"/>
      <c r="Q133" s="171"/>
      <c r="R133" s="199">
        <f>Q133*1000/'Basic data - source records'!$AI$5</f>
        <v>0</v>
      </c>
      <c r="S133" s="172">
        <f>Q133/$Q$45</f>
        <v>0</v>
      </c>
      <c r="X133" s="200"/>
    </row>
    <row r="134" spans="2:24" x14ac:dyDescent="0.3">
      <c r="B134" s="167" t="s">
        <v>68</v>
      </c>
      <c r="C134" s="168"/>
      <c r="D134" s="168"/>
      <c r="E134" s="168">
        <f>D134*1000/'Basic data - source records'!$AI$5</f>
        <v>0</v>
      </c>
      <c r="F134" s="169">
        <f t="shared" si="31"/>
        <v>0</v>
      </c>
      <c r="G134" s="160"/>
      <c r="H134" s="160" t="s">
        <v>69</v>
      </c>
      <c r="I134" s="168"/>
      <c r="J134" s="168"/>
      <c r="K134" s="168">
        <f>J134*1000/'Basic data - source records'!$AI$5</f>
        <v>0</v>
      </c>
      <c r="L134" s="169">
        <f t="shared" si="29"/>
        <v>0</v>
      </c>
      <c r="M134" s="275">
        <f t="shared" si="32"/>
        <v>0</v>
      </c>
      <c r="N134" s="161"/>
      <c r="O134" s="182" t="s">
        <v>96</v>
      </c>
      <c r="P134" s="176"/>
      <c r="Q134" s="176"/>
      <c r="R134" s="168">
        <f>Q134*1000/'Basic data - source records'!$AI$5</f>
        <v>0</v>
      </c>
      <c r="S134" s="172">
        <f>Q134/$Q$45</f>
        <v>0</v>
      </c>
      <c r="X134" s="200"/>
    </row>
    <row r="135" spans="2:24" x14ac:dyDescent="0.3">
      <c r="B135" s="167" t="s">
        <v>70</v>
      </c>
      <c r="C135" s="168"/>
      <c r="D135" s="168"/>
      <c r="E135" s="168">
        <f>D135*1000/'Basic data - source records'!$AI$5</f>
        <v>0</v>
      </c>
      <c r="F135" s="169">
        <f t="shared" si="31"/>
        <v>0</v>
      </c>
      <c r="G135" s="160"/>
      <c r="H135" s="160" t="s">
        <v>71</v>
      </c>
      <c r="I135" s="168"/>
      <c r="J135" s="168"/>
      <c r="K135" s="168">
        <f>J135*1000/'Basic data - source records'!$AI$5</f>
        <v>0</v>
      </c>
      <c r="L135" s="169">
        <f t="shared" si="29"/>
        <v>0</v>
      </c>
      <c r="M135" s="275">
        <f t="shared" si="32"/>
        <v>0</v>
      </c>
      <c r="N135" s="161"/>
      <c r="O135" s="182" t="s">
        <v>97</v>
      </c>
      <c r="P135" s="176"/>
      <c r="Q135" s="176"/>
      <c r="R135" s="168">
        <f>Q135*1000/'Basic data - source records'!$AI$5</f>
        <v>0</v>
      </c>
      <c r="S135" s="172">
        <f>Q135/$Q$45</f>
        <v>0</v>
      </c>
      <c r="X135" s="200"/>
    </row>
    <row r="136" spans="2:24" x14ac:dyDescent="0.3">
      <c r="B136" s="167" t="s">
        <v>72</v>
      </c>
      <c r="C136" s="168"/>
      <c r="D136" s="168"/>
      <c r="E136" s="168">
        <f>D136*1000/'Basic data - source records'!$AI$5</f>
        <v>0</v>
      </c>
      <c r="F136" s="169">
        <f t="shared" si="31"/>
        <v>0</v>
      </c>
      <c r="G136" s="160"/>
      <c r="H136" s="160" t="s">
        <v>73</v>
      </c>
      <c r="I136" s="168"/>
      <c r="J136" s="168"/>
      <c r="K136" s="168">
        <f>J136*1000/'Basic data - source records'!$AI$5</f>
        <v>0</v>
      </c>
      <c r="L136" s="169">
        <f t="shared" si="29"/>
        <v>0</v>
      </c>
      <c r="M136" s="275">
        <f t="shared" si="32"/>
        <v>0</v>
      </c>
      <c r="N136" s="161"/>
      <c r="O136" s="182" t="s">
        <v>98</v>
      </c>
      <c r="P136" s="176"/>
      <c r="Q136" s="176"/>
      <c r="R136" s="168">
        <f>Q136*1000/'Basic data - source records'!$AI$5</f>
        <v>0</v>
      </c>
      <c r="S136" s="172">
        <f>Q136/$Q$45</f>
        <v>0</v>
      </c>
      <c r="X136" s="200"/>
    </row>
    <row r="137" spans="2:24" x14ac:dyDescent="0.3">
      <c r="B137" s="167" t="s">
        <v>74</v>
      </c>
      <c r="C137" s="168"/>
      <c r="D137" s="168"/>
      <c r="E137" s="168">
        <f>D137*1000/'Basic data - source records'!$AI$5</f>
        <v>0</v>
      </c>
      <c r="F137" s="169">
        <f t="shared" si="31"/>
        <v>0</v>
      </c>
      <c r="G137" s="160"/>
      <c r="H137" s="161"/>
      <c r="I137" s="161"/>
      <c r="J137" s="161"/>
      <c r="K137" s="168">
        <f>J137*1000/'Basic data - source records'!$AI$5</f>
        <v>0</v>
      </c>
      <c r="L137" s="161"/>
      <c r="M137" s="275"/>
      <c r="N137" s="161"/>
      <c r="O137" s="161"/>
      <c r="P137" s="161"/>
      <c r="Q137" s="161"/>
      <c r="R137" s="168"/>
      <c r="S137" s="183"/>
      <c r="X137" s="200"/>
    </row>
    <row r="138" spans="2:24" ht="19.5" thickBot="1" x14ac:dyDescent="0.35">
      <c r="B138" s="234" t="s">
        <v>101</v>
      </c>
      <c r="C138" s="235"/>
      <c r="D138" s="235"/>
      <c r="E138" s="235">
        <f>D138*1000/'Basic data - source records'!$AI$5</f>
        <v>0</v>
      </c>
      <c r="F138" s="236">
        <f t="shared" si="31"/>
        <v>0</v>
      </c>
      <c r="G138" s="188"/>
      <c r="H138" s="184" t="s">
        <v>100</v>
      </c>
      <c r="I138" s="235"/>
      <c r="J138" s="235"/>
      <c r="K138" s="235">
        <f>J138*1000/'Basic data - source records'!$AI$5</f>
        <v>0</v>
      </c>
      <c r="L138" s="236">
        <f>J138/$J$21</f>
        <v>0</v>
      </c>
      <c r="M138" s="279">
        <f t="shared" ref="M138" si="35">J138/$D$21</f>
        <v>0</v>
      </c>
      <c r="N138" s="189"/>
      <c r="O138" s="184" t="s">
        <v>99</v>
      </c>
      <c r="P138" s="185"/>
      <c r="Q138" s="185"/>
      <c r="R138" s="235">
        <f>Q138*1000/'Basic data - source records'!$AI$5</f>
        <v>0</v>
      </c>
      <c r="S138" s="237">
        <f>Q138/$Q$45</f>
        <v>0</v>
      </c>
      <c r="X138" s="200"/>
    </row>
    <row r="139" spans="2:24" x14ac:dyDescent="0.3">
      <c r="B139" s="186" t="s">
        <v>225</v>
      </c>
      <c r="C139" s="175"/>
      <c r="D139" s="168"/>
      <c r="E139" s="168"/>
      <c r="F139" s="160"/>
      <c r="G139" s="160"/>
      <c r="H139" s="175" t="s">
        <v>225</v>
      </c>
      <c r="I139" s="160"/>
      <c r="J139" s="168"/>
      <c r="K139" s="168"/>
      <c r="L139" s="169"/>
      <c r="M139" s="273"/>
      <c r="N139" s="161"/>
      <c r="O139" s="175" t="s">
        <v>225</v>
      </c>
      <c r="P139" s="175"/>
      <c r="Q139" s="175"/>
      <c r="R139" s="175"/>
      <c r="S139" s="172"/>
      <c r="X139" s="200"/>
    </row>
    <row r="140" spans="2:24" x14ac:dyDescent="0.3">
      <c r="B140" s="167" t="s">
        <v>165</v>
      </c>
      <c r="C140" s="160"/>
      <c r="D140" s="160"/>
      <c r="E140" s="168"/>
      <c r="F140" s="160"/>
      <c r="G140" s="160"/>
      <c r="H140" s="160"/>
      <c r="I140" s="160"/>
      <c r="J140" s="160"/>
      <c r="K140" s="160"/>
      <c r="L140" s="160"/>
      <c r="M140" s="273"/>
      <c r="N140" s="161"/>
      <c r="O140" s="161"/>
      <c r="P140" s="161"/>
      <c r="Q140" s="161"/>
      <c r="R140" s="161"/>
      <c r="S140" s="183"/>
      <c r="X140" s="200"/>
    </row>
    <row r="141" spans="2:24" ht="19.5" thickBot="1" x14ac:dyDescent="0.35">
      <c r="B141" s="187" t="s">
        <v>83</v>
      </c>
      <c r="C141" s="188"/>
      <c r="D141" s="188"/>
      <c r="E141" s="188"/>
      <c r="F141" s="188"/>
      <c r="G141" s="188"/>
      <c r="H141" s="188"/>
      <c r="I141" s="188"/>
      <c r="J141" s="188"/>
      <c r="K141" s="188"/>
      <c r="L141" s="188"/>
      <c r="M141" s="277"/>
      <c r="N141" s="189"/>
      <c r="O141" s="189"/>
      <c r="P141" s="189"/>
      <c r="Q141" s="189"/>
      <c r="R141" s="189"/>
      <c r="S141" s="190"/>
      <c r="X141" s="200"/>
    </row>
    <row r="142" spans="2:24" x14ac:dyDescent="0.3">
      <c r="B142" s="165"/>
      <c r="C142" s="165"/>
      <c r="D142" s="191"/>
      <c r="E142" s="191"/>
      <c r="F142" s="165"/>
      <c r="G142" s="165"/>
      <c r="H142" s="165"/>
      <c r="I142" s="165"/>
      <c r="J142" s="165"/>
      <c r="K142" s="165"/>
      <c r="L142" s="165"/>
      <c r="X142" s="200"/>
    </row>
    <row r="143" spans="2:24" ht="19.5" thickBot="1" x14ac:dyDescent="0.35">
      <c r="B143" s="165"/>
      <c r="C143" s="165"/>
      <c r="D143" s="165"/>
      <c r="E143" s="165"/>
      <c r="F143" s="165"/>
      <c r="G143" s="165"/>
      <c r="H143" s="165"/>
      <c r="I143" s="165"/>
      <c r="J143" s="165"/>
      <c r="K143" s="165"/>
      <c r="L143" s="165"/>
      <c r="X143" s="200"/>
    </row>
    <row r="144" spans="2:24" x14ac:dyDescent="0.3">
      <c r="B144" s="29" t="s">
        <v>106</v>
      </c>
      <c r="C144" s="192"/>
      <c r="D144" s="192"/>
      <c r="E144" s="192"/>
      <c r="F144" s="192"/>
      <c r="G144" s="156"/>
      <c r="H144" s="192"/>
      <c r="I144" s="192"/>
      <c r="J144" s="192"/>
      <c r="K144" s="192"/>
      <c r="L144" s="192"/>
      <c r="M144" s="272"/>
      <c r="N144" s="156"/>
      <c r="O144" s="193"/>
      <c r="P144" s="194"/>
      <c r="Q144" s="194"/>
      <c r="R144" s="194"/>
      <c r="S144" s="195"/>
      <c r="X144" s="200"/>
    </row>
    <row r="145" spans="2:28" ht="19.5" thickBot="1" x14ac:dyDescent="0.35">
      <c r="B145" s="158" t="s">
        <v>102</v>
      </c>
      <c r="C145" s="159"/>
      <c r="D145" s="159"/>
      <c r="E145" s="159"/>
      <c r="F145" s="160"/>
      <c r="G145" s="160"/>
      <c r="H145" s="159" t="s">
        <v>103</v>
      </c>
      <c r="I145" s="159"/>
      <c r="J145" s="160"/>
      <c r="K145" s="160"/>
      <c r="L145" s="161"/>
      <c r="M145" s="273"/>
      <c r="N145" s="161"/>
      <c r="O145" s="162" t="s">
        <v>104</v>
      </c>
      <c r="P145" s="163"/>
      <c r="Q145" s="163"/>
      <c r="R145" s="163"/>
      <c r="S145" s="164"/>
      <c r="X145" s="200"/>
    </row>
    <row r="146" spans="2:28" ht="38.25" thickBot="1" x14ac:dyDescent="0.35">
      <c r="B146" s="158" t="s">
        <v>79</v>
      </c>
      <c r="C146" s="159"/>
      <c r="D146" s="159"/>
      <c r="E146" s="159"/>
      <c r="F146" s="160"/>
      <c r="G146" s="160"/>
      <c r="H146" s="159" t="s">
        <v>81</v>
      </c>
      <c r="I146" s="159"/>
      <c r="J146" s="160"/>
      <c r="K146" s="160"/>
      <c r="L146" s="160"/>
      <c r="M146" s="273"/>
      <c r="N146" s="161"/>
      <c r="O146" s="162" t="s">
        <v>105</v>
      </c>
      <c r="P146" s="163"/>
      <c r="Q146" s="163"/>
      <c r="R146" s="163"/>
      <c r="S146" s="164"/>
      <c r="W146" s="426" t="s">
        <v>187</v>
      </c>
      <c r="X146" s="427"/>
      <c r="Y146" s="427"/>
      <c r="Z146" s="427"/>
      <c r="AA146" s="428"/>
      <c r="AB146" s="256" t="s">
        <v>183</v>
      </c>
    </row>
    <row r="147" spans="2:28" ht="75" x14ac:dyDescent="0.3">
      <c r="B147" s="166" t="s">
        <v>43</v>
      </c>
      <c r="C147" s="241" t="s">
        <v>84</v>
      </c>
      <c r="D147" s="240" t="s">
        <v>85</v>
      </c>
      <c r="E147" s="240" t="s">
        <v>194</v>
      </c>
      <c r="F147" s="241" t="s">
        <v>46</v>
      </c>
      <c r="G147" s="242"/>
      <c r="H147" s="241" t="s">
        <v>47</v>
      </c>
      <c r="I147" s="241" t="s">
        <v>84</v>
      </c>
      <c r="J147" s="240" t="s">
        <v>85</v>
      </c>
      <c r="K147" s="240" t="s">
        <v>179</v>
      </c>
      <c r="L147" s="241" t="s">
        <v>46</v>
      </c>
      <c r="M147" s="274" t="s">
        <v>144</v>
      </c>
      <c r="N147" s="243"/>
      <c r="O147" s="241" t="s">
        <v>86</v>
      </c>
      <c r="P147" s="241" t="s">
        <v>84</v>
      </c>
      <c r="Q147" s="240" t="s">
        <v>85</v>
      </c>
      <c r="R147" s="240" t="s">
        <v>194</v>
      </c>
      <c r="S147" s="244" t="s">
        <v>46</v>
      </c>
      <c r="T147" s="217"/>
      <c r="U147" s="245" t="s">
        <v>148</v>
      </c>
      <c r="V147" s="218"/>
      <c r="W147" s="429"/>
      <c r="X147" s="430">
        <v>2015</v>
      </c>
      <c r="Y147" s="430"/>
      <c r="Z147" s="430"/>
      <c r="AA147" s="430"/>
      <c r="AB147" s="257">
        <v>2017</v>
      </c>
    </row>
    <row r="148" spans="2:28" x14ac:dyDescent="0.3">
      <c r="B148" s="167" t="s">
        <v>48</v>
      </c>
      <c r="C148" s="168"/>
      <c r="D148" s="168"/>
      <c r="E148" s="168">
        <f>D148*1000/'Basic data - source records'!$AI$5</f>
        <v>0</v>
      </c>
      <c r="F148" s="169">
        <f>D148/$D$45</f>
        <v>0</v>
      </c>
      <c r="G148" s="160"/>
      <c r="H148" s="160" t="s">
        <v>49</v>
      </c>
      <c r="I148" s="168"/>
      <c r="J148" s="168"/>
      <c r="K148" s="168">
        <f>J148*1000/'Basic data - source records'!$AI$5</f>
        <v>0</v>
      </c>
      <c r="L148" s="169">
        <f t="shared" ref="L148:L160" si="36">J148/$J$45</f>
        <v>0</v>
      </c>
      <c r="M148" s="275">
        <f>J148/$D$45</f>
        <v>0</v>
      </c>
      <c r="N148" s="161"/>
      <c r="O148" s="170" t="s">
        <v>87</v>
      </c>
      <c r="P148" s="196"/>
      <c r="Q148" s="196"/>
      <c r="R148" s="199">
        <f>Q148*1000/'Basic data - source records'!$AI$5</f>
        <v>0</v>
      </c>
      <c r="S148" s="172">
        <f t="shared" ref="S148:S155" si="37">Q148/$Q$45</f>
        <v>0</v>
      </c>
      <c r="T148" s="173" t="s">
        <v>153</v>
      </c>
      <c r="U148" s="174">
        <f>M148</f>
        <v>0</v>
      </c>
      <c r="W148" s="201" t="s">
        <v>184</v>
      </c>
      <c r="X148" s="203">
        <f>'MRA - Cassiterite - Tin'!R136</f>
        <v>0</v>
      </c>
      <c r="Y148" s="204">
        <f>X148/$X$10</f>
        <v>0</v>
      </c>
      <c r="Z148" s="202" t="s">
        <v>180</v>
      </c>
      <c r="AA148" s="214">
        <f>Y148*R148</f>
        <v>0</v>
      </c>
      <c r="AB148" s="258">
        <f>$AA148*'Basic data - source records'!AD$5*1000000</f>
        <v>0</v>
      </c>
    </row>
    <row r="149" spans="2:28" x14ac:dyDescent="0.3">
      <c r="B149" s="167" t="s">
        <v>50</v>
      </c>
      <c r="C149" s="168"/>
      <c r="D149" s="168"/>
      <c r="E149" s="168">
        <f>D149*1000/'Basic data - source records'!$AI$5</f>
        <v>0</v>
      </c>
      <c r="F149" s="169">
        <f t="shared" ref="F149:F162" si="38">D149/$D$45</f>
        <v>0</v>
      </c>
      <c r="G149" s="160"/>
      <c r="H149" s="160" t="s">
        <v>51</v>
      </c>
      <c r="I149" s="168"/>
      <c r="J149" s="168"/>
      <c r="K149" s="168">
        <f>J149*1000/'Basic data - source records'!$AI$5</f>
        <v>0</v>
      </c>
      <c r="L149" s="169">
        <f t="shared" si="36"/>
        <v>0</v>
      </c>
      <c r="M149" s="275">
        <f t="shared" ref="M149:M160" si="39">J149/$D$45</f>
        <v>0</v>
      </c>
      <c r="N149" s="161"/>
      <c r="O149" s="175" t="s">
        <v>88</v>
      </c>
      <c r="P149" s="181"/>
      <c r="Q149" s="181"/>
      <c r="R149" s="168">
        <f>Q149*1000/'Basic data - source records'!$AI$5</f>
        <v>0</v>
      </c>
      <c r="S149" s="172">
        <f t="shared" si="37"/>
        <v>0</v>
      </c>
      <c r="T149" s="173" t="s">
        <v>145</v>
      </c>
      <c r="U149" s="174">
        <f>M149+M150+M151+M152</f>
        <v>0</v>
      </c>
      <c r="W149" s="201" t="s">
        <v>185</v>
      </c>
      <c r="X149" s="203">
        <f>'MRA - Coltan - Tantalum'!R136</f>
        <v>0</v>
      </c>
      <c r="Y149" s="204">
        <f t="shared" ref="Y149:Y150" si="40">X149/$X$10</f>
        <v>0</v>
      </c>
      <c r="Z149" s="202" t="s">
        <v>181</v>
      </c>
      <c r="AA149" s="214">
        <f>Y149*R148</f>
        <v>0</v>
      </c>
      <c r="AB149" s="258">
        <f>$AA149*'Basic data - source records'!AD$5*1000000</f>
        <v>0</v>
      </c>
    </row>
    <row r="150" spans="2:28" ht="37.5" x14ac:dyDescent="0.3">
      <c r="B150" s="167" t="s">
        <v>52</v>
      </c>
      <c r="C150" s="168"/>
      <c r="D150" s="168"/>
      <c r="E150" s="168">
        <f>D150*1000/'Basic data - source records'!$AI$5</f>
        <v>0</v>
      </c>
      <c r="F150" s="169">
        <f t="shared" si="38"/>
        <v>0</v>
      </c>
      <c r="G150" s="160"/>
      <c r="H150" s="160" t="s">
        <v>53</v>
      </c>
      <c r="I150" s="168"/>
      <c r="J150" s="168"/>
      <c r="K150" s="168">
        <f>J150*1000/'Basic data - source records'!$AI$5</f>
        <v>0</v>
      </c>
      <c r="L150" s="169">
        <f t="shared" si="36"/>
        <v>0</v>
      </c>
      <c r="M150" s="275">
        <f t="shared" si="39"/>
        <v>0</v>
      </c>
      <c r="N150" s="161"/>
      <c r="O150" s="178" t="s">
        <v>89</v>
      </c>
      <c r="P150" s="181"/>
      <c r="Q150" s="181"/>
      <c r="R150" s="168">
        <f>Q150*1000/'Basic data - source records'!$AI$5</f>
        <v>0</v>
      </c>
      <c r="S150" s="172">
        <f t="shared" si="37"/>
        <v>0</v>
      </c>
      <c r="T150" s="177" t="s">
        <v>146</v>
      </c>
      <c r="U150" s="174">
        <f>SUM(L153:L158)+L160</f>
        <v>0</v>
      </c>
      <c r="W150" s="201" t="s">
        <v>186</v>
      </c>
      <c r="X150" s="203">
        <f>'MRA - Wolfram - Tungsten'!R136</f>
        <v>0</v>
      </c>
      <c r="Y150" s="204">
        <f t="shared" si="40"/>
        <v>0</v>
      </c>
      <c r="Z150" s="202" t="s">
        <v>182</v>
      </c>
      <c r="AA150" s="214">
        <f>Y150*R148</f>
        <v>0</v>
      </c>
      <c r="AB150" s="258">
        <f>$AA150*'Basic data - source records'!AD$5*1000000</f>
        <v>0</v>
      </c>
    </row>
    <row r="151" spans="2:28" ht="19.5" thickBot="1" x14ac:dyDescent="0.35">
      <c r="B151" s="167" t="s">
        <v>54</v>
      </c>
      <c r="C151" s="168"/>
      <c r="D151" s="168"/>
      <c r="E151" s="168">
        <f>D151*1000/'Basic data - source records'!$AI$5</f>
        <v>0</v>
      </c>
      <c r="F151" s="169">
        <f t="shared" si="38"/>
        <v>0</v>
      </c>
      <c r="G151" s="160"/>
      <c r="H151" s="160" t="s">
        <v>55</v>
      </c>
      <c r="I151" s="168"/>
      <c r="J151" s="168"/>
      <c r="K151" s="168">
        <f>J151*1000/'Basic data - source records'!$AI$5</f>
        <v>0</v>
      </c>
      <c r="L151" s="169">
        <f t="shared" si="36"/>
        <v>0</v>
      </c>
      <c r="M151" s="275">
        <f t="shared" si="39"/>
        <v>0</v>
      </c>
      <c r="N151" s="161"/>
      <c r="O151" s="175" t="s">
        <v>90</v>
      </c>
      <c r="P151" s="181"/>
      <c r="Q151" s="181"/>
      <c r="R151" s="168">
        <f>Q151*1000/'Basic data - source records'!$AI$5</f>
        <v>0</v>
      </c>
      <c r="S151" s="172">
        <f t="shared" si="37"/>
        <v>0</v>
      </c>
      <c r="T151" s="179" t="s">
        <v>147</v>
      </c>
      <c r="U151" s="180">
        <f>L159</f>
        <v>0</v>
      </c>
      <c r="W151" s="209"/>
      <c r="X151" s="210">
        <f>SUM(X148:X150)</f>
        <v>0</v>
      </c>
      <c r="Y151" s="211"/>
      <c r="Z151" s="211"/>
      <c r="AA151" s="213">
        <f>SUM(AA148:AA150)</f>
        <v>0</v>
      </c>
      <c r="AB151" s="259">
        <f t="shared" ref="AB151" si="41">SUM(AB148:AB150)</f>
        <v>0</v>
      </c>
    </row>
    <row r="152" spans="2:28" x14ac:dyDescent="0.3">
      <c r="B152" s="167" t="s">
        <v>56</v>
      </c>
      <c r="C152" s="168"/>
      <c r="D152" s="168"/>
      <c r="E152" s="168">
        <f>D152*1000/'Basic data - source records'!$AI$5</f>
        <v>0</v>
      </c>
      <c r="F152" s="169">
        <f t="shared" si="38"/>
        <v>0</v>
      </c>
      <c r="G152" s="160"/>
      <c r="H152" s="160" t="s">
        <v>57</v>
      </c>
      <c r="I152" s="168"/>
      <c r="J152" s="168"/>
      <c r="K152" s="168">
        <f>J152*1000/'Basic data - source records'!$AI$5</f>
        <v>0</v>
      </c>
      <c r="L152" s="169">
        <f t="shared" si="36"/>
        <v>0</v>
      </c>
      <c r="M152" s="275">
        <f t="shared" si="39"/>
        <v>0</v>
      </c>
      <c r="N152" s="161"/>
      <c r="O152" s="175" t="s">
        <v>91</v>
      </c>
      <c r="P152" s="181"/>
      <c r="Q152" s="181"/>
      <c r="R152" s="168">
        <f>Q152*1000/'Basic data - source records'!$AI$5</f>
        <v>0</v>
      </c>
      <c r="S152" s="172">
        <f t="shared" si="37"/>
        <v>0</v>
      </c>
      <c r="X152" s="200"/>
    </row>
    <row r="153" spans="2:28" x14ac:dyDescent="0.3">
      <c r="B153" s="167" t="s">
        <v>58</v>
      </c>
      <c r="C153" s="168"/>
      <c r="D153" s="168"/>
      <c r="E153" s="168">
        <f>D153*1000/'Basic data - source records'!$AI$5</f>
        <v>0</v>
      </c>
      <c r="F153" s="169">
        <f t="shared" si="38"/>
        <v>0</v>
      </c>
      <c r="G153" s="160"/>
      <c r="H153" s="160" t="s">
        <v>59</v>
      </c>
      <c r="I153" s="168"/>
      <c r="J153" s="168"/>
      <c r="K153" s="168">
        <f>J153*1000/'Basic data - source records'!$AI$5</f>
        <v>0</v>
      </c>
      <c r="L153" s="169">
        <f t="shared" si="36"/>
        <v>0</v>
      </c>
      <c r="M153" s="275">
        <f t="shared" si="39"/>
        <v>0</v>
      </c>
      <c r="N153" s="161"/>
      <c r="O153" s="175" t="s">
        <v>92</v>
      </c>
      <c r="P153" s="181"/>
      <c r="Q153" s="181"/>
      <c r="R153" s="168">
        <f>Q153*1000/'Basic data - source records'!$AI$5</f>
        <v>0</v>
      </c>
      <c r="S153" s="172">
        <f t="shared" si="37"/>
        <v>0</v>
      </c>
      <c r="X153" s="200"/>
    </row>
    <row r="154" spans="2:28" x14ac:dyDescent="0.3">
      <c r="B154" s="167" t="s">
        <v>60</v>
      </c>
      <c r="C154" s="168"/>
      <c r="D154" s="168"/>
      <c r="E154" s="168">
        <f>D154*1000/'Basic data - source records'!$AI$5</f>
        <v>0</v>
      </c>
      <c r="F154" s="169">
        <f t="shared" si="38"/>
        <v>0</v>
      </c>
      <c r="G154" s="160"/>
      <c r="H154" s="160" t="s">
        <v>61</v>
      </c>
      <c r="I154" s="168"/>
      <c r="J154" s="168"/>
      <c r="K154" s="168">
        <f>J154*1000/'Basic data - source records'!$AI$5</f>
        <v>0</v>
      </c>
      <c r="L154" s="169">
        <f t="shared" si="36"/>
        <v>0</v>
      </c>
      <c r="M154" s="275">
        <f t="shared" si="39"/>
        <v>0</v>
      </c>
      <c r="N154" s="161"/>
      <c r="O154" s="175" t="s">
        <v>93</v>
      </c>
      <c r="P154" s="181"/>
      <c r="Q154" s="181"/>
      <c r="R154" s="168">
        <f>Q154*1000/'Basic data - source records'!$AI$5</f>
        <v>0</v>
      </c>
      <c r="S154" s="172">
        <f t="shared" si="37"/>
        <v>0</v>
      </c>
      <c r="X154" s="200"/>
    </row>
    <row r="155" spans="2:28" x14ac:dyDescent="0.3">
      <c r="B155" s="167" t="s">
        <v>62</v>
      </c>
      <c r="C155" s="168"/>
      <c r="D155" s="168"/>
      <c r="E155" s="168">
        <f>D155*1000/'Basic data - source records'!$AI$5</f>
        <v>0</v>
      </c>
      <c r="F155" s="169">
        <f t="shared" si="38"/>
        <v>0</v>
      </c>
      <c r="G155" s="160"/>
      <c r="H155" s="160" t="s">
        <v>63</v>
      </c>
      <c r="I155" s="168"/>
      <c r="J155" s="168"/>
      <c r="K155" s="168">
        <f>J155*1000/'Basic data - source records'!$AI$5</f>
        <v>0</v>
      </c>
      <c r="L155" s="169">
        <f t="shared" si="36"/>
        <v>0</v>
      </c>
      <c r="M155" s="275">
        <f t="shared" si="39"/>
        <v>0</v>
      </c>
      <c r="N155" s="161"/>
      <c r="O155" s="175" t="s">
        <v>94</v>
      </c>
      <c r="P155" s="181"/>
      <c r="Q155" s="181"/>
      <c r="R155" s="168">
        <f>Q155*1000/'Basic data - source records'!$AI$5</f>
        <v>0</v>
      </c>
      <c r="S155" s="172">
        <f t="shared" si="37"/>
        <v>0</v>
      </c>
      <c r="X155" s="200"/>
    </row>
    <row r="156" spans="2:28" x14ac:dyDescent="0.3">
      <c r="B156" s="167" t="s">
        <v>64</v>
      </c>
      <c r="C156" s="168"/>
      <c r="D156" s="168"/>
      <c r="E156" s="168">
        <f>D156*1000/'Basic data - source records'!$AI$5</f>
        <v>0</v>
      </c>
      <c r="F156" s="169">
        <f t="shared" si="38"/>
        <v>0</v>
      </c>
      <c r="G156" s="160"/>
      <c r="H156" s="160" t="s">
        <v>65</v>
      </c>
      <c r="I156" s="168"/>
      <c r="J156" s="168"/>
      <c r="K156" s="168"/>
      <c r="L156" s="169">
        <f t="shared" si="36"/>
        <v>0</v>
      </c>
      <c r="M156" s="275">
        <f t="shared" si="39"/>
        <v>0</v>
      </c>
      <c r="N156" s="161"/>
      <c r="O156" s="170"/>
      <c r="P156" s="181"/>
      <c r="Q156" s="181"/>
      <c r="R156" s="168"/>
      <c r="S156" s="172"/>
      <c r="X156" s="200"/>
    </row>
    <row r="157" spans="2:28" x14ac:dyDescent="0.3">
      <c r="B157" s="167" t="s">
        <v>66</v>
      </c>
      <c r="C157" s="168"/>
      <c r="D157" s="168"/>
      <c r="E157" s="168">
        <f>D157*1000/'Basic data - source records'!$AI$5</f>
        <v>0</v>
      </c>
      <c r="F157" s="169">
        <f t="shared" si="38"/>
        <v>0</v>
      </c>
      <c r="G157" s="160"/>
      <c r="H157" s="160" t="s">
        <v>67</v>
      </c>
      <c r="I157" s="168"/>
      <c r="J157" s="168"/>
      <c r="K157" s="168">
        <f>J157*1000/'Basic data - source records'!$AI$5</f>
        <v>0</v>
      </c>
      <c r="L157" s="169">
        <f t="shared" si="36"/>
        <v>0</v>
      </c>
      <c r="M157" s="275">
        <f t="shared" si="39"/>
        <v>0</v>
      </c>
      <c r="N157" s="161"/>
      <c r="O157" s="170" t="s">
        <v>95</v>
      </c>
      <c r="P157" s="196"/>
      <c r="Q157" s="196"/>
      <c r="R157" s="199">
        <f>Q157*1000/'Basic data - source records'!$AI$5</f>
        <v>0</v>
      </c>
      <c r="S157" s="172">
        <f>Q157/$Q$45</f>
        <v>0</v>
      </c>
      <c r="X157" s="200"/>
    </row>
    <row r="158" spans="2:28" x14ac:dyDescent="0.3">
      <c r="B158" s="167" t="s">
        <v>68</v>
      </c>
      <c r="C158" s="168"/>
      <c r="D158" s="168"/>
      <c r="E158" s="168">
        <f>D158*1000/'Basic data - source records'!$AI$5</f>
        <v>0</v>
      </c>
      <c r="F158" s="169">
        <f t="shared" si="38"/>
        <v>0</v>
      </c>
      <c r="G158" s="160"/>
      <c r="H158" s="160" t="s">
        <v>69</v>
      </c>
      <c r="I158" s="168"/>
      <c r="J158" s="168"/>
      <c r="K158" s="168">
        <f>J158*1000/'Basic data - source records'!$AI$5</f>
        <v>0</v>
      </c>
      <c r="L158" s="169">
        <f t="shared" si="36"/>
        <v>0</v>
      </c>
      <c r="M158" s="275">
        <f t="shared" si="39"/>
        <v>0</v>
      </c>
      <c r="N158" s="161"/>
      <c r="O158" s="182" t="s">
        <v>96</v>
      </c>
      <c r="P158" s="181"/>
      <c r="Q158" s="181"/>
      <c r="R158" s="168">
        <f>Q158*1000/'Basic data - source records'!$AI$5</f>
        <v>0</v>
      </c>
      <c r="S158" s="172">
        <f>Q158/$Q$45</f>
        <v>0</v>
      </c>
      <c r="X158" s="200"/>
    </row>
    <row r="159" spans="2:28" x14ac:dyDescent="0.3">
      <c r="B159" s="167" t="s">
        <v>70</v>
      </c>
      <c r="C159" s="168"/>
      <c r="D159" s="168"/>
      <c r="E159" s="168">
        <f>D159*1000/'Basic data - source records'!$AI$5</f>
        <v>0</v>
      </c>
      <c r="F159" s="169">
        <f t="shared" si="38"/>
        <v>0</v>
      </c>
      <c r="G159" s="160"/>
      <c r="H159" s="160" t="s">
        <v>71</v>
      </c>
      <c r="I159" s="168"/>
      <c r="J159" s="168"/>
      <c r="K159" s="168">
        <f>J159*1000/'Basic data - source records'!$AI$5</f>
        <v>0</v>
      </c>
      <c r="L159" s="169">
        <f t="shared" si="36"/>
        <v>0</v>
      </c>
      <c r="M159" s="275">
        <f t="shared" si="39"/>
        <v>0</v>
      </c>
      <c r="N159" s="161"/>
      <c r="O159" s="182" t="s">
        <v>97</v>
      </c>
      <c r="P159" s="181"/>
      <c r="Q159" s="181"/>
      <c r="R159" s="168">
        <f>Q159*1000/'Basic data - source records'!$AI$5</f>
        <v>0</v>
      </c>
      <c r="S159" s="172">
        <f>Q159/$Q$45</f>
        <v>0</v>
      </c>
      <c r="X159" s="200"/>
    </row>
    <row r="160" spans="2:28" x14ac:dyDescent="0.3">
      <c r="B160" s="167" t="s">
        <v>72</v>
      </c>
      <c r="C160" s="168"/>
      <c r="D160" s="168"/>
      <c r="E160" s="168">
        <f>D160*1000/'Basic data - source records'!$AI$5</f>
        <v>0</v>
      </c>
      <c r="F160" s="169">
        <f t="shared" si="38"/>
        <v>0</v>
      </c>
      <c r="G160" s="160"/>
      <c r="H160" s="160" t="s">
        <v>73</v>
      </c>
      <c r="I160" s="168"/>
      <c r="J160" s="168"/>
      <c r="K160" s="168">
        <f>J160*1000/'Basic data - source records'!$AI$5</f>
        <v>0</v>
      </c>
      <c r="L160" s="169">
        <f t="shared" si="36"/>
        <v>0</v>
      </c>
      <c r="M160" s="275">
        <f t="shared" si="39"/>
        <v>0</v>
      </c>
      <c r="N160" s="161"/>
      <c r="O160" s="182" t="s">
        <v>98</v>
      </c>
      <c r="P160" s="181"/>
      <c r="Q160" s="181"/>
      <c r="R160" s="168">
        <f>Q160*1000/'Basic data - source records'!$AI$5</f>
        <v>0</v>
      </c>
      <c r="S160" s="172">
        <f>Q160/$Q$45</f>
        <v>0</v>
      </c>
      <c r="X160" s="200"/>
    </row>
    <row r="161" spans="2:19" x14ac:dyDescent="0.3">
      <c r="B161" s="167" t="s">
        <v>74</v>
      </c>
      <c r="C161" s="168"/>
      <c r="D161" s="168"/>
      <c r="E161" s="168">
        <f>D161*1000/'Basic data - source records'!$AI$5</f>
        <v>0</v>
      </c>
      <c r="F161" s="169">
        <f t="shared" si="38"/>
        <v>0</v>
      </c>
      <c r="G161" s="160"/>
      <c r="H161" s="161"/>
      <c r="I161" s="168"/>
      <c r="J161" s="168"/>
      <c r="K161" s="168"/>
      <c r="L161" s="169"/>
      <c r="M161" s="275"/>
      <c r="N161" s="161"/>
      <c r="O161" s="161"/>
      <c r="P161" s="161"/>
      <c r="Q161" s="161"/>
      <c r="R161" s="168"/>
      <c r="S161" s="172"/>
    </row>
    <row r="162" spans="2:19" ht="19.5" thickBot="1" x14ac:dyDescent="0.35">
      <c r="B162" s="234" t="s">
        <v>101</v>
      </c>
      <c r="C162" s="235"/>
      <c r="D162" s="235"/>
      <c r="E162" s="235">
        <f>D162*1000/'Basic data - source records'!$AI$5</f>
        <v>0</v>
      </c>
      <c r="F162" s="236">
        <f t="shared" si="38"/>
        <v>0</v>
      </c>
      <c r="G162" s="188"/>
      <c r="H162" s="184" t="s">
        <v>100</v>
      </c>
      <c r="I162" s="235"/>
      <c r="J162" s="235"/>
      <c r="K162" s="235">
        <f>J162*1000/'Basic data - source records'!$AI$5</f>
        <v>0</v>
      </c>
      <c r="L162" s="236">
        <f>J162/$J$45</f>
        <v>0</v>
      </c>
      <c r="M162" s="278">
        <f t="shared" ref="M162" si="42">J162/$D$45</f>
        <v>0</v>
      </c>
      <c r="N162" s="189"/>
      <c r="O162" s="184" t="s">
        <v>99</v>
      </c>
      <c r="P162" s="235"/>
      <c r="Q162" s="235"/>
      <c r="R162" s="235">
        <f>Q162*1000/'Basic data - source records'!$AI$5</f>
        <v>0</v>
      </c>
      <c r="S162" s="239">
        <f>Q162/$Q$45</f>
        <v>0</v>
      </c>
    </row>
    <row r="163" spans="2:19" x14ac:dyDescent="0.3">
      <c r="B163" s="186" t="s">
        <v>225</v>
      </c>
      <c r="C163" s="175"/>
      <c r="D163" s="175"/>
      <c r="E163" s="175"/>
      <c r="F163" s="160"/>
      <c r="G163" s="160"/>
      <c r="H163" s="175" t="s">
        <v>225</v>
      </c>
      <c r="I163" s="160"/>
      <c r="J163" s="168"/>
      <c r="K163" s="168"/>
      <c r="L163" s="169"/>
      <c r="M163" s="273"/>
      <c r="N163" s="161"/>
      <c r="O163" s="175" t="s">
        <v>225</v>
      </c>
      <c r="P163" s="175"/>
      <c r="Q163" s="175"/>
      <c r="R163" s="175"/>
      <c r="S163" s="172"/>
    </row>
    <row r="164" spans="2:19" x14ac:dyDescent="0.3">
      <c r="B164" s="167" t="s">
        <v>83</v>
      </c>
      <c r="C164" s="160"/>
      <c r="D164" s="160"/>
      <c r="E164" s="160"/>
      <c r="F164" s="160"/>
      <c r="G164" s="160"/>
      <c r="H164" s="160"/>
      <c r="I164" s="160"/>
      <c r="J164" s="160"/>
      <c r="K164" s="160"/>
      <c r="L164" s="160"/>
      <c r="M164" s="273"/>
      <c r="N164" s="161"/>
      <c r="O164" s="161"/>
      <c r="P164" s="161"/>
      <c r="Q164" s="161"/>
      <c r="R164" s="161"/>
      <c r="S164" s="183"/>
    </row>
    <row r="165" spans="2:19" ht="19.5" thickBot="1" x14ac:dyDescent="0.35">
      <c r="B165" s="187"/>
      <c r="C165" s="188"/>
      <c r="D165" s="188"/>
      <c r="E165" s="188"/>
      <c r="F165" s="188"/>
      <c r="G165" s="188"/>
      <c r="H165" s="188"/>
      <c r="I165" s="188"/>
      <c r="J165" s="188"/>
      <c r="K165" s="188"/>
      <c r="L165" s="188"/>
      <c r="M165" s="277"/>
      <c r="N165" s="189"/>
      <c r="O165" s="189"/>
      <c r="P165" s="189"/>
      <c r="Q165" s="189"/>
      <c r="R165" s="189"/>
      <c r="S165" s="190"/>
    </row>
  </sheetData>
  <mergeCells count="14">
    <mergeCell ref="W6:AA6"/>
    <mergeCell ref="AB5:AF5"/>
    <mergeCell ref="AB29:AF29"/>
    <mergeCell ref="W5:AA5"/>
    <mergeCell ref="W29:AA29"/>
    <mergeCell ref="W146:AA146"/>
    <mergeCell ref="W147:AA147"/>
    <mergeCell ref="W30:AA30"/>
    <mergeCell ref="W89:AA89"/>
    <mergeCell ref="W122:AA122"/>
    <mergeCell ref="W123:AA123"/>
    <mergeCell ref="W64:AA64"/>
    <mergeCell ref="W65:AA65"/>
    <mergeCell ref="W88:AA88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BS75"/>
  <sheetViews>
    <sheetView zoomScaleNormal="100" workbookViewId="0"/>
  </sheetViews>
  <sheetFormatPr defaultColWidth="8.7109375" defaultRowHeight="12.75" x14ac:dyDescent="0.2"/>
  <cols>
    <col min="1" max="1" width="8.7109375" style="2"/>
    <col min="2" max="2" width="15.5703125" style="2" bestFit="1" customWidth="1"/>
    <col min="3" max="63" width="8.7109375" style="2"/>
    <col min="64" max="64" width="9" style="2" bestFit="1" customWidth="1"/>
    <col min="65" max="65" width="10.42578125" style="2" bestFit="1" customWidth="1"/>
    <col min="66" max="66" width="10" style="2" bestFit="1" customWidth="1"/>
    <col min="67" max="67" width="9" style="2" bestFit="1" customWidth="1"/>
    <col min="68" max="70" width="8.7109375" style="2"/>
    <col min="71" max="71" width="9.28515625" style="2" bestFit="1" customWidth="1"/>
    <col min="72" max="16384" width="8.7109375" style="2"/>
  </cols>
  <sheetData>
    <row r="1" spans="1:65" x14ac:dyDescent="0.2">
      <c r="A1" s="1" t="s">
        <v>121</v>
      </c>
    </row>
    <row r="2" spans="1:65" x14ac:dyDescent="0.2">
      <c r="A2" s="1" t="s">
        <v>122</v>
      </c>
    </row>
    <row r="3" spans="1:65" ht="13.5" thickBot="1" x14ac:dyDescent="0.25">
      <c r="A3" s="1" t="s">
        <v>5</v>
      </c>
    </row>
    <row r="4" spans="1:65" s="1" customFormat="1" x14ac:dyDescent="0.2">
      <c r="B4" s="4" t="s">
        <v>123</v>
      </c>
      <c r="C4" s="30"/>
      <c r="D4" s="431" t="s">
        <v>15</v>
      </c>
      <c r="E4" s="432"/>
      <c r="F4" s="432"/>
      <c r="G4" s="432"/>
      <c r="H4" s="433"/>
      <c r="I4" s="431" t="s">
        <v>16</v>
      </c>
      <c r="J4" s="432"/>
      <c r="K4" s="432"/>
      <c r="L4" s="432"/>
      <c r="M4" s="433"/>
      <c r="N4" s="431" t="s">
        <v>124</v>
      </c>
      <c r="O4" s="432"/>
      <c r="P4" s="432"/>
      <c r="Q4" s="432"/>
      <c r="R4" s="433"/>
      <c r="S4" s="431" t="s">
        <v>125</v>
      </c>
      <c r="T4" s="432"/>
      <c r="U4" s="432"/>
      <c r="V4" s="432"/>
      <c r="W4" s="433"/>
      <c r="X4" s="431" t="s">
        <v>17</v>
      </c>
      <c r="Y4" s="432"/>
      <c r="Z4" s="432"/>
      <c r="AA4" s="432"/>
      <c r="AB4" s="433"/>
      <c r="AC4" s="431" t="s">
        <v>18</v>
      </c>
      <c r="AD4" s="432"/>
      <c r="AE4" s="432"/>
      <c r="AF4" s="432"/>
      <c r="AG4" s="433"/>
      <c r="AH4" s="431" t="s">
        <v>126</v>
      </c>
      <c r="AI4" s="432"/>
      <c r="AJ4" s="432"/>
      <c r="AK4" s="432"/>
      <c r="AL4" s="433"/>
      <c r="AM4" s="431" t="s">
        <v>19</v>
      </c>
      <c r="AN4" s="432"/>
      <c r="AO4" s="432"/>
      <c r="AP4" s="432"/>
      <c r="AQ4" s="433"/>
      <c r="AR4" s="431" t="s">
        <v>127</v>
      </c>
      <c r="AS4" s="432"/>
      <c r="AT4" s="432"/>
      <c r="AU4" s="432"/>
      <c r="AV4" s="433"/>
      <c r="AW4" s="431" t="s">
        <v>20</v>
      </c>
      <c r="AX4" s="432"/>
      <c r="AY4" s="432"/>
      <c r="AZ4" s="432"/>
      <c r="BA4" s="433"/>
      <c r="BB4" s="431" t="s">
        <v>21</v>
      </c>
      <c r="BC4" s="432"/>
      <c r="BD4" s="432"/>
      <c r="BE4" s="432"/>
      <c r="BF4" s="433"/>
      <c r="BG4" s="431" t="s">
        <v>22</v>
      </c>
      <c r="BH4" s="432"/>
      <c r="BI4" s="432"/>
      <c r="BJ4" s="432"/>
      <c r="BK4" s="433"/>
      <c r="BM4" s="1" t="s">
        <v>128</v>
      </c>
    </row>
    <row r="5" spans="1:65" x14ac:dyDescent="0.2">
      <c r="B5" s="436" t="s">
        <v>129</v>
      </c>
      <c r="C5" s="31">
        <v>2012</v>
      </c>
      <c r="D5" s="6">
        <v>8.15</v>
      </c>
      <c r="E5" s="3">
        <v>8.27</v>
      </c>
      <c r="F5" s="3">
        <v>9.94</v>
      </c>
      <c r="G5" s="3">
        <v>9.9</v>
      </c>
      <c r="H5" s="7">
        <v>7.41</v>
      </c>
      <c r="I5" s="6">
        <v>9.15</v>
      </c>
      <c r="J5" s="3">
        <v>11.24</v>
      </c>
      <c r="K5" s="3">
        <v>10.35</v>
      </c>
      <c r="L5" s="3">
        <v>11.89</v>
      </c>
      <c r="M5" s="7">
        <v>11</v>
      </c>
      <c r="N5" s="6">
        <v>11.35</v>
      </c>
      <c r="O5" s="3">
        <v>11.45</v>
      </c>
      <c r="P5" s="3">
        <v>11.03</v>
      </c>
      <c r="Q5" s="3">
        <v>7.5</v>
      </c>
      <c r="R5" s="7">
        <v>12.12</v>
      </c>
      <c r="S5" s="6">
        <v>10.5</v>
      </c>
      <c r="T5" s="3">
        <v>8.9</v>
      </c>
      <c r="U5" s="3">
        <v>9.6</v>
      </c>
      <c r="V5" s="3">
        <v>9.94</v>
      </c>
      <c r="W5" s="7">
        <v>9.15</v>
      </c>
      <c r="X5" s="6">
        <v>10.050000000000001</v>
      </c>
      <c r="Y5" s="3">
        <v>9.5500000000000007</v>
      </c>
      <c r="Z5" s="3">
        <v>7.15</v>
      </c>
      <c r="AA5" s="3">
        <v>8.125</v>
      </c>
      <c r="AB5" s="7">
        <v>8.4</v>
      </c>
      <c r="AC5" s="6">
        <v>9.1</v>
      </c>
      <c r="AD5" s="3">
        <v>8.92</v>
      </c>
      <c r="AE5" s="3">
        <v>8.75</v>
      </c>
      <c r="AF5" s="3">
        <v>9.5</v>
      </c>
      <c r="AG5" s="7">
        <v>9.2200000000000006</v>
      </c>
      <c r="AH5" s="6">
        <v>7.55</v>
      </c>
      <c r="AI5" s="3">
        <v>8.3000000000000007</v>
      </c>
      <c r="AJ5" s="3">
        <v>8.25</v>
      </c>
      <c r="AK5" s="3">
        <v>8.99</v>
      </c>
      <c r="AL5" s="7">
        <v>7.65</v>
      </c>
      <c r="AM5" s="6">
        <v>8.35</v>
      </c>
      <c r="AN5" s="3">
        <v>8.1999999999999993</v>
      </c>
      <c r="AO5" s="3">
        <v>6.15</v>
      </c>
      <c r="AP5" s="3">
        <v>8.25</v>
      </c>
      <c r="AQ5" s="7">
        <v>7.75</v>
      </c>
      <c r="AR5" s="6">
        <v>8.1</v>
      </c>
      <c r="AS5" s="3">
        <v>6.55</v>
      </c>
      <c r="AT5" s="3">
        <v>9.75</v>
      </c>
      <c r="AU5" s="3">
        <v>8.85</v>
      </c>
      <c r="AV5" s="7">
        <v>10.56</v>
      </c>
      <c r="AW5" s="6">
        <v>10.8</v>
      </c>
      <c r="AX5" s="3">
        <v>12.2</v>
      </c>
      <c r="AY5" s="3">
        <v>11.02</v>
      </c>
      <c r="AZ5" s="3">
        <v>9</v>
      </c>
      <c r="BA5" s="7">
        <v>10.17</v>
      </c>
      <c r="BB5" s="6">
        <v>6.45</v>
      </c>
      <c r="BC5" s="3">
        <v>8.9499999999999993</v>
      </c>
      <c r="BD5" s="3">
        <v>10.35</v>
      </c>
      <c r="BE5" s="3">
        <v>8.5</v>
      </c>
      <c r="BF5" s="7">
        <v>9.5299999999999994</v>
      </c>
      <c r="BG5" s="6">
        <v>11.22</v>
      </c>
      <c r="BH5" s="3">
        <v>10.050000000000001</v>
      </c>
      <c r="BI5" s="3">
        <v>10.55</v>
      </c>
      <c r="BJ5" s="3">
        <v>11.5</v>
      </c>
      <c r="BK5" s="7">
        <v>10.85</v>
      </c>
      <c r="BM5" s="32">
        <f>AVERAGE(D5:BK5)</f>
        <v>9.3665833333333328</v>
      </c>
    </row>
    <row r="6" spans="1:65" x14ac:dyDescent="0.2">
      <c r="B6" s="437"/>
      <c r="C6" s="31">
        <v>2013</v>
      </c>
      <c r="D6" s="6">
        <v>11.54</v>
      </c>
      <c r="E6" s="3">
        <v>13.91</v>
      </c>
      <c r="F6" s="3">
        <v>12.2</v>
      </c>
      <c r="G6" s="3">
        <v>11.75</v>
      </c>
      <c r="H6" s="7">
        <v>8.9499999999999993</v>
      </c>
      <c r="I6" s="6">
        <v>12.34</v>
      </c>
      <c r="J6" s="3">
        <v>12.66</v>
      </c>
      <c r="K6" s="3">
        <v>11.35</v>
      </c>
      <c r="L6" s="3">
        <v>12.47</v>
      </c>
      <c r="M6" s="7">
        <v>8.19</v>
      </c>
      <c r="N6" s="6">
        <v>8.1</v>
      </c>
      <c r="O6" s="3">
        <v>10.18</v>
      </c>
      <c r="P6" s="3">
        <v>11.52</v>
      </c>
      <c r="Q6" s="3">
        <v>11.7</v>
      </c>
      <c r="R6" s="7">
        <v>9.3800000000000008</v>
      </c>
      <c r="S6" s="6">
        <v>11.8</v>
      </c>
      <c r="T6" s="3">
        <v>11.45</v>
      </c>
      <c r="U6" s="3">
        <v>11.46</v>
      </c>
      <c r="V6" s="3">
        <v>11.99</v>
      </c>
      <c r="W6" s="7">
        <v>9.16</v>
      </c>
      <c r="X6" s="6">
        <v>9.0500000000000007</v>
      </c>
      <c r="Y6" s="3">
        <v>10.09</v>
      </c>
      <c r="Z6" s="3">
        <v>10.93</v>
      </c>
      <c r="AA6" s="3">
        <v>10.07</v>
      </c>
      <c r="AB6" s="7">
        <v>10.91</v>
      </c>
      <c r="AC6" s="6">
        <v>8.3800000000000008</v>
      </c>
      <c r="AD6" s="3">
        <v>9.65</v>
      </c>
      <c r="AE6" s="3">
        <v>9.77</v>
      </c>
      <c r="AF6" s="3">
        <v>9.6</v>
      </c>
      <c r="AG6" s="7">
        <v>10.38</v>
      </c>
      <c r="AH6" s="6">
        <v>8.1999999999999993</v>
      </c>
      <c r="AI6" s="3">
        <v>9.41</v>
      </c>
      <c r="AJ6" s="3">
        <v>6.62</v>
      </c>
      <c r="AK6" s="3">
        <v>7.83</v>
      </c>
      <c r="AL6" s="7">
        <v>9.1300000000000008</v>
      </c>
      <c r="AM6" s="6">
        <v>10.45</v>
      </c>
      <c r="AN6" s="3">
        <v>10.74</v>
      </c>
      <c r="AO6" s="3">
        <v>11.52</v>
      </c>
      <c r="AP6" s="3">
        <v>11.11</v>
      </c>
      <c r="AQ6" s="7">
        <v>9.4499999999999993</v>
      </c>
      <c r="AR6" s="6">
        <v>10.74</v>
      </c>
      <c r="AS6" s="3">
        <v>11.66</v>
      </c>
      <c r="AT6" s="3">
        <v>10.45</v>
      </c>
      <c r="AU6" s="3">
        <v>11.5</v>
      </c>
      <c r="AV6" s="7">
        <v>12.13</v>
      </c>
      <c r="AW6" s="6">
        <v>10.19</v>
      </c>
      <c r="AX6" s="3">
        <v>9.4499999999999993</v>
      </c>
      <c r="AY6" s="3">
        <v>10.45</v>
      </c>
      <c r="AZ6" s="3">
        <v>8.1999999999999993</v>
      </c>
      <c r="BA6" s="7">
        <v>10.94</v>
      </c>
      <c r="BB6" s="6">
        <v>10.9</v>
      </c>
      <c r="BC6" s="3">
        <v>10.55</v>
      </c>
      <c r="BD6" s="3">
        <v>10</v>
      </c>
      <c r="BE6" s="3">
        <v>12.04</v>
      </c>
      <c r="BF6" s="7">
        <v>11.5</v>
      </c>
      <c r="BG6" s="6">
        <v>11.52</v>
      </c>
      <c r="BH6" s="3">
        <v>12.79</v>
      </c>
      <c r="BI6" s="3">
        <v>10.25</v>
      </c>
      <c r="BJ6" s="3">
        <v>9.4</v>
      </c>
      <c r="BK6" s="7">
        <v>10.5</v>
      </c>
      <c r="BM6" s="32">
        <f t="shared" ref="BM6:BM32" si="0">AVERAGE(D6:BK6)</f>
        <v>10.509166666666664</v>
      </c>
    </row>
    <row r="7" spans="1:65" x14ac:dyDescent="0.2">
      <c r="B7" s="437"/>
      <c r="C7" s="31">
        <v>2014</v>
      </c>
      <c r="D7" s="6">
        <v>11.73</v>
      </c>
      <c r="E7" s="3">
        <v>8.0500000000000007</v>
      </c>
      <c r="F7" s="3">
        <v>10.23</v>
      </c>
      <c r="G7" s="3">
        <v>10.61</v>
      </c>
      <c r="H7" s="7">
        <v>9.06</v>
      </c>
      <c r="I7" s="6">
        <v>10.63</v>
      </c>
      <c r="J7" s="3">
        <v>10.63</v>
      </c>
      <c r="K7" s="3">
        <v>9.5</v>
      </c>
      <c r="L7" s="3">
        <v>13.32</v>
      </c>
      <c r="M7" s="7">
        <v>11.53</v>
      </c>
      <c r="N7" s="6">
        <v>10.55</v>
      </c>
      <c r="O7" s="3">
        <v>10.35</v>
      </c>
      <c r="P7" s="3">
        <v>8.65</v>
      </c>
      <c r="Q7" s="3">
        <v>11.97</v>
      </c>
      <c r="R7" s="7">
        <v>10.050000000000001</v>
      </c>
      <c r="S7" s="6">
        <v>14.12</v>
      </c>
      <c r="T7" s="3">
        <v>13.6</v>
      </c>
      <c r="U7" s="3">
        <v>13.91</v>
      </c>
      <c r="V7" s="3">
        <v>11.03</v>
      </c>
      <c r="W7" s="7">
        <v>12.04</v>
      </c>
      <c r="X7" s="6">
        <v>9.35</v>
      </c>
      <c r="Y7" s="3">
        <v>11.2</v>
      </c>
      <c r="Z7" s="3">
        <v>11.59</v>
      </c>
      <c r="AA7" s="3">
        <v>9.0399999999999991</v>
      </c>
      <c r="AB7" s="7">
        <v>10.07</v>
      </c>
      <c r="AC7" s="6">
        <v>12.27</v>
      </c>
      <c r="AD7" s="3">
        <v>9.3000000000000007</v>
      </c>
      <c r="AE7" s="3">
        <v>12.35</v>
      </c>
      <c r="AF7" s="3">
        <v>12.2</v>
      </c>
      <c r="AG7" s="7">
        <v>12.1</v>
      </c>
      <c r="AH7" s="6">
        <v>12.72</v>
      </c>
      <c r="AI7" s="3">
        <v>9.9499999999999993</v>
      </c>
      <c r="AJ7" s="3">
        <v>11.25</v>
      </c>
      <c r="AK7" s="3">
        <v>10.96</v>
      </c>
      <c r="AL7" s="7">
        <v>10.77</v>
      </c>
      <c r="AM7" s="6">
        <v>11.09</v>
      </c>
      <c r="AN7" s="3">
        <v>10.92</v>
      </c>
      <c r="AO7" s="3">
        <v>11</v>
      </c>
      <c r="AP7" s="3">
        <v>13.1</v>
      </c>
      <c r="AQ7" s="7">
        <v>14.2</v>
      </c>
      <c r="AR7" s="6">
        <v>12.63</v>
      </c>
      <c r="AS7" s="3">
        <v>9.6300000000000008</v>
      </c>
      <c r="AT7" s="3">
        <v>9.5</v>
      </c>
      <c r="AU7" s="3">
        <v>13.045</v>
      </c>
      <c r="AV7" s="7">
        <v>10.37</v>
      </c>
      <c r="AW7" s="6">
        <v>12.75</v>
      </c>
      <c r="AX7" s="3">
        <v>9.4499999999999993</v>
      </c>
      <c r="AY7" s="3">
        <v>10.7</v>
      </c>
      <c r="AZ7" s="3">
        <v>10.89</v>
      </c>
      <c r="BA7" s="7">
        <v>10.6</v>
      </c>
      <c r="BB7" s="6">
        <v>10.75</v>
      </c>
      <c r="BC7" s="3">
        <v>7.53</v>
      </c>
      <c r="BD7" s="3">
        <v>8.5399999999999991</v>
      </c>
      <c r="BE7" s="3">
        <v>10.8</v>
      </c>
      <c r="BF7" s="7">
        <v>10.17</v>
      </c>
      <c r="BG7" s="6">
        <v>7.71</v>
      </c>
      <c r="BH7" s="3">
        <v>10.7</v>
      </c>
      <c r="BI7" s="3">
        <v>7.87</v>
      </c>
      <c r="BJ7" s="3">
        <v>10.19</v>
      </c>
      <c r="BK7" s="7">
        <v>10.8</v>
      </c>
      <c r="BM7" s="32">
        <f t="shared" si="0"/>
        <v>10.860250000000001</v>
      </c>
    </row>
    <row r="8" spans="1:65" x14ac:dyDescent="0.2">
      <c r="B8" s="437"/>
      <c r="C8" s="31">
        <v>2015</v>
      </c>
      <c r="D8" s="6">
        <v>11</v>
      </c>
      <c r="E8" s="3">
        <v>10.46</v>
      </c>
      <c r="F8" s="3">
        <v>8.9499999999999993</v>
      </c>
      <c r="G8" s="3">
        <v>8.23</v>
      </c>
      <c r="H8" s="7">
        <v>10.4</v>
      </c>
      <c r="I8" s="6">
        <v>11</v>
      </c>
      <c r="J8" s="3">
        <v>7.43</v>
      </c>
      <c r="K8" s="3">
        <v>10.53</v>
      </c>
      <c r="L8" s="3">
        <v>9.6199999999999992</v>
      </c>
      <c r="M8" s="7">
        <v>9.34</v>
      </c>
      <c r="N8" s="6">
        <v>9.9600000000000009</v>
      </c>
      <c r="O8" s="3">
        <v>9.51</v>
      </c>
      <c r="P8" s="3">
        <v>6.83</v>
      </c>
      <c r="Q8" s="3">
        <v>8.75</v>
      </c>
      <c r="R8" s="7">
        <v>8.5299999999999994</v>
      </c>
      <c r="S8" s="6">
        <v>8.27</v>
      </c>
      <c r="T8" s="3">
        <v>8.57</v>
      </c>
      <c r="U8" s="3">
        <v>8.14</v>
      </c>
      <c r="V8" s="3">
        <v>5.83</v>
      </c>
      <c r="W8" s="7">
        <v>9.27</v>
      </c>
      <c r="X8" s="6">
        <v>7.32</v>
      </c>
      <c r="Y8" s="3">
        <v>8.65</v>
      </c>
      <c r="Z8" s="3">
        <v>8.8699999999999992</v>
      </c>
      <c r="AA8" s="3">
        <v>8.6999999999999993</v>
      </c>
      <c r="AB8" s="7">
        <v>8.01</v>
      </c>
      <c r="AC8" s="6">
        <v>8.3000000000000007</v>
      </c>
      <c r="AD8" s="3">
        <v>8.6999999999999993</v>
      </c>
      <c r="AE8" s="3">
        <v>7.38</v>
      </c>
      <c r="AF8" s="3">
        <v>7.33</v>
      </c>
      <c r="AG8" s="7">
        <v>7.6</v>
      </c>
      <c r="AH8" s="6">
        <v>9</v>
      </c>
      <c r="AI8" s="3">
        <v>7.67</v>
      </c>
      <c r="AJ8" s="3">
        <v>7.97</v>
      </c>
      <c r="AK8" s="3">
        <v>6.44</v>
      </c>
      <c r="AL8" s="7">
        <v>7.9</v>
      </c>
      <c r="AM8" s="6">
        <v>7.88</v>
      </c>
      <c r="AN8" s="3">
        <v>7.21</v>
      </c>
      <c r="AO8" s="3">
        <v>7.47</v>
      </c>
      <c r="AP8" s="3">
        <v>7</v>
      </c>
      <c r="AQ8" s="7">
        <v>5.9</v>
      </c>
      <c r="AR8" s="6">
        <v>7.5</v>
      </c>
      <c r="AS8" s="3">
        <v>8.5</v>
      </c>
      <c r="AT8" s="3">
        <v>6.7</v>
      </c>
      <c r="AU8" s="3">
        <v>7.3</v>
      </c>
      <c r="AV8" s="7">
        <v>5.4</v>
      </c>
      <c r="AW8" s="6">
        <v>5.0599999999999996</v>
      </c>
      <c r="AX8" s="3">
        <v>6.8</v>
      </c>
      <c r="AY8" s="3">
        <v>7.3</v>
      </c>
      <c r="AZ8" s="3">
        <v>7.7</v>
      </c>
      <c r="BA8" s="7">
        <v>8.5</v>
      </c>
      <c r="BB8" s="6">
        <v>5.8</v>
      </c>
      <c r="BC8" s="3">
        <v>5.4</v>
      </c>
      <c r="BD8" s="3">
        <v>5.0999999999999996</v>
      </c>
      <c r="BE8" s="3">
        <v>6.9</v>
      </c>
      <c r="BF8" s="7">
        <v>7.9</v>
      </c>
      <c r="BG8" s="6">
        <v>7.4</v>
      </c>
      <c r="BH8" s="3">
        <v>7.5</v>
      </c>
      <c r="BI8" s="3">
        <v>7.2</v>
      </c>
      <c r="BJ8" s="3">
        <v>7.9</v>
      </c>
      <c r="BK8" s="7">
        <v>7.47</v>
      </c>
      <c r="BM8" s="32">
        <f t="shared" si="0"/>
        <v>7.9208333333333334</v>
      </c>
    </row>
    <row r="9" spans="1:65" ht="13.5" thickBot="1" x14ac:dyDescent="0.25">
      <c r="B9" s="439"/>
      <c r="C9" s="31">
        <v>2016</v>
      </c>
      <c r="D9" s="8">
        <v>6.4</v>
      </c>
      <c r="E9" s="9">
        <v>7.03</v>
      </c>
      <c r="F9" s="9">
        <v>6.5</v>
      </c>
      <c r="G9" s="9">
        <v>5.6</v>
      </c>
      <c r="H9" s="10">
        <v>5.7</v>
      </c>
      <c r="I9" s="8">
        <v>6.4</v>
      </c>
      <c r="J9" s="9">
        <v>6.4</v>
      </c>
      <c r="K9" s="9">
        <v>7.5</v>
      </c>
      <c r="L9" s="9">
        <v>5.5</v>
      </c>
      <c r="M9" s="10">
        <v>8.4</v>
      </c>
      <c r="N9" s="8">
        <v>8.5</v>
      </c>
      <c r="O9" s="9">
        <v>7.7</v>
      </c>
      <c r="P9" s="9">
        <v>9.6999999999999993</v>
      </c>
      <c r="Q9" s="9">
        <v>9.3000000000000007</v>
      </c>
      <c r="R9" s="10">
        <v>8.6</v>
      </c>
      <c r="S9" s="8">
        <v>9.3000000000000007</v>
      </c>
      <c r="T9" s="9">
        <v>8.6</v>
      </c>
      <c r="U9" s="9">
        <v>8.6999999999999993</v>
      </c>
      <c r="V9" s="9">
        <v>9</v>
      </c>
      <c r="W9" s="10">
        <v>8.8000000000000007</v>
      </c>
      <c r="X9" s="8">
        <v>7.7</v>
      </c>
      <c r="Y9" s="9">
        <v>9.3000000000000007</v>
      </c>
      <c r="Z9" s="9">
        <v>8.4</v>
      </c>
      <c r="AA9" s="9">
        <v>9.3000000000000007</v>
      </c>
      <c r="AB9" s="10">
        <v>9.4</v>
      </c>
      <c r="AC9" s="8">
        <v>8.8000000000000007</v>
      </c>
      <c r="AD9" s="9">
        <v>8.4</v>
      </c>
      <c r="AE9" s="9">
        <v>12.8</v>
      </c>
      <c r="AF9" s="9">
        <v>8.1999999999999993</v>
      </c>
      <c r="AG9" s="10">
        <v>11</v>
      </c>
      <c r="AH9" s="8">
        <v>9.3000000000000007</v>
      </c>
      <c r="AI9" s="9">
        <v>13.52</v>
      </c>
      <c r="AJ9" s="9">
        <v>8.1</v>
      </c>
      <c r="AK9" s="9">
        <v>9</v>
      </c>
      <c r="AL9" s="10">
        <v>8.1999999999999993</v>
      </c>
      <c r="AM9" s="8">
        <v>10.7</v>
      </c>
      <c r="AN9" s="9">
        <v>10.5</v>
      </c>
      <c r="AO9" s="9">
        <v>10.5</v>
      </c>
      <c r="AP9" s="9">
        <v>9.4</v>
      </c>
      <c r="AQ9" s="10">
        <v>9</v>
      </c>
      <c r="AR9" s="8">
        <v>8.6</v>
      </c>
      <c r="AS9" s="9">
        <v>10.4</v>
      </c>
      <c r="AT9" s="9">
        <v>10.4</v>
      </c>
      <c r="AU9" s="9">
        <v>5.9</v>
      </c>
      <c r="AV9" s="10">
        <v>4.5</v>
      </c>
      <c r="AW9" s="8">
        <v>10.4</v>
      </c>
      <c r="AX9" s="9">
        <v>6.4</v>
      </c>
      <c r="AY9" s="9">
        <v>9.9</v>
      </c>
      <c r="AZ9" s="9">
        <v>10.3</v>
      </c>
      <c r="BA9" s="10">
        <v>10.3</v>
      </c>
      <c r="BB9" s="8">
        <v>10.9</v>
      </c>
      <c r="BC9" s="9">
        <v>10.7</v>
      </c>
      <c r="BD9" s="9">
        <v>11.5</v>
      </c>
      <c r="BE9" s="9">
        <v>10.9</v>
      </c>
      <c r="BF9" s="10">
        <v>10.9</v>
      </c>
      <c r="BG9" s="8"/>
      <c r="BH9" s="9"/>
      <c r="BI9" s="9"/>
      <c r="BJ9" s="9"/>
      <c r="BK9" s="10"/>
      <c r="BM9" s="32">
        <f t="shared" si="0"/>
        <v>8.8572727272727239</v>
      </c>
    </row>
    <row r="10" spans="1:65" x14ac:dyDescent="0.2">
      <c r="BM10" s="32"/>
    </row>
    <row r="11" spans="1:65" ht="13.5" thickBot="1" x14ac:dyDescent="0.25">
      <c r="BM11" s="32"/>
    </row>
    <row r="12" spans="1:65" s="1" customFormat="1" x14ac:dyDescent="0.2">
      <c r="B12" s="4" t="s">
        <v>123</v>
      </c>
      <c r="C12" s="30"/>
      <c r="D12" s="431" t="s">
        <v>15</v>
      </c>
      <c r="E12" s="432"/>
      <c r="F12" s="432"/>
      <c r="G12" s="432"/>
      <c r="H12" s="433"/>
      <c r="I12" s="431" t="s">
        <v>16</v>
      </c>
      <c r="J12" s="432"/>
      <c r="K12" s="432"/>
      <c r="L12" s="432"/>
      <c r="M12" s="433"/>
      <c r="N12" s="431" t="s">
        <v>124</v>
      </c>
      <c r="O12" s="432"/>
      <c r="P12" s="432"/>
      <c r="Q12" s="432"/>
      <c r="R12" s="433"/>
      <c r="S12" s="431" t="s">
        <v>125</v>
      </c>
      <c r="T12" s="432"/>
      <c r="U12" s="432"/>
      <c r="V12" s="432"/>
      <c r="W12" s="433"/>
      <c r="X12" s="431" t="s">
        <v>17</v>
      </c>
      <c r="Y12" s="432"/>
      <c r="Z12" s="432"/>
      <c r="AA12" s="432"/>
      <c r="AB12" s="433"/>
      <c r="AC12" s="431" t="s">
        <v>18</v>
      </c>
      <c r="AD12" s="432"/>
      <c r="AE12" s="432"/>
      <c r="AF12" s="432"/>
      <c r="AG12" s="433"/>
      <c r="AH12" s="431" t="s">
        <v>126</v>
      </c>
      <c r="AI12" s="432"/>
      <c r="AJ12" s="432"/>
      <c r="AK12" s="432"/>
      <c r="AL12" s="433"/>
      <c r="AM12" s="431" t="s">
        <v>19</v>
      </c>
      <c r="AN12" s="432"/>
      <c r="AO12" s="432"/>
      <c r="AP12" s="432"/>
      <c r="AQ12" s="433"/>
      <c r="AR12" s="431" t="s">
        <v>127</v>
      </c>
      <c r="AS12" s="432"/>
      <c r="AT12" s="432"/>
      <c r="AU12" s="432"/>
      <c r="AV12" s="433"/>
      <c r="AW12" s="431" t="s">
        <v>20</v>
      </c>
      <c r="AX12" s="432"/>
      <c r="AY12" s="432"/>
      <c r="AZ12" s="432"/>
      <c r="BA12" s="433"/>
      <c r="BB12" s="431" t="s">
        <v>21</v>
      </c>
      <c r="BC12" s="432"/>
      <c r="BD12" s="432"/>
      <c r="BE12" s="432"/>
      <c r="BF12" s="433"/>
      <c r="BG12" s="431" t="s">
        <v>22</v>
      </c>
      <c r="BH12" s="432"/>
      <c r="BI12" s="432"/>
      <c r="BJ12" s="432"/>
      <c r="BK12" s="433"/>
      <c r="BM12" s="32"/>
    </row>
    <row r="13" spans="1:65" x14ac:dyDescent="0.2">
      <c r="B13" s="436" t="s">
        <v>130</v>
      </c>
      <c r="C13" s="31">
        <v>2012</v>
      </c>
      <c r="D13" s="6">
        <v>10</v>
      </c>
      <c r="E13" s="3">
        <v>8.8000000000000007</v>
      </c>
      <c r="F13" s="3">
        <v>8</v>
      </c>
      <c r="G13" s="3">
        <v>9</v>
      </c>
      <c r="H13" s="7">
        <v>8.5</v>
      </c>
      <c r="I13" s="6">
        <v>8</v>
      </c>
      <c r="J13" s="3">
        <v>6.5</v>
      </c>
      <c r="K13" s="3"/>
      <c r="L13" s="3"/>
      <c r="M13" s="7"/>
      <c r="N13" s="6">
        <v>9</v>
      </c>
      <c r="O13" s="3">
        <v>8</v>
      </c>
      <c r="P13" s="3"/>
      <c r="Q13" s="3"/>
      <c r="R13" s="7"/>
      <c r="S13" s="6">
        <v>8</v>
      </c>
      <c r="T13" s="3">
        <v>8.5</v>
      </c>
      <c r="U13" s="3">
        <v>7</v>
      </c>
      <c r="V13" s="3">
        <v>7</v>
      </c>
      <c r="W13" s="7">
        <v>9</v>
      </c>
      <c r="X13" s="6">
        <v>9</v>
      </c>
      <c r="Y13" s="3">
        <v>10</v>
      </c>
      <c r="Z13" s="3">
        <v>8.5</v>
      </c>
      <c r="AA13" s="3">
        <v>10</v>
      </c>
      <c r="AB13" s="7">
        <v>9.5</v>
      </c>
      <c r="AC13" s="6">
        <v>12</v>
      </c>
      <c r="AD13" s="3">
        <v>8.5</v>
      </c>
      <c r="AE13" s="3">
        <v>7.6</v>
      </c>
      <c r="AF13" s="3">
        <v>8</v>
      </c>
      <c r="AG13" s="7">
        <v>9</v>
      </c>
      <c r="AH13" s="6">
        <v>8.9</v>
      </c>
      <c r="AI13" s="3">
        <v>7.5</v>
      </c>
      <c r="AJ13" s="3">
        <v>10</v>
      </c>
      <c r="AK13" s="3">
        <v>8</v>
      </c>
      <c r="AL13" s="7">
        <v>9</v>
      </c>
      <c r="AM13" s="6">
        <v>7</v>
      </c>
      <c r="AN13" s="3">
        <v>7.5</v>
      </c>
      <c r="AO13" s="3">
        <v>4</v>
      </c>
      <c r="AP13" s="3">
        <v>5</v>
      </c>
      <c r="AQ13" s="7"/>
      <c r="AR13" s="6">
        <v>8.5</v>
      </c>
      <c r="AS13" s="3">
        <v>8.5</v>
      </c>
      <c r="AT13" s="3">
        <v>8.5</v>
      </c>
      <c r="AU13" s="3">
        <v>8.5</v>
      </c>
      <c r="AV13" s="7"/>
      <c r="AW13" s="6"/>
      <c r="AX13" s="3"/>
      <c r="AY13" s="3"/>
      <c r="AZ13" s="3"/>
      <c r="BA13" s="7"/>
      <c r="BB13" s="6">
        <v>7.5</v>
      </c>
      <c r="BC13" s="3">
        <v>5.5</v>
      </c>
      <c r="BD13" s="3">
        <v>6</v>
      </c>
      <c r="BE13" s="3">
        <v>4</v>
      </c>
      <c r="BF13" s="7">
        <v>7</v>
      </c>
      <c r="BG13" s="6">
        <v>10</v>
      </c>
      <c r="BH13" s="3">
        <v>6</v>
      </c>
      <c r="BI13" s="3"/>
      <c r="BJ13" s="3"/>
      <c r="BK13" s="7"/>
      <c r="BM13" s="32">
        <f t="shared" si="0"/>
        <v>8.0522727272727277</v>
      </c>
    </row>
    <row r="14" spans="1:65" x14ac:dyDescent="0.2">
      <c r="B14" s="437"/>
      <c r="C14" s="31">
        <v>2013</v>
      </c>
      <c r="D14" s="6">
        <v>9</v>
      </c>
      <c r="E14" s="3">
        <v>4</v>
      </c>
      <c r="F14" s="3">
        <v>9</v>
      </c>
      <c r="G14" s="3">
        <v>6.5</v>
      </c>
      <c r="H14" s="7">
        <v>8.5</v>
      </c>
      <c r="I14" s="6">
        <v>7</v>
      </c>
      <c r="J14" s="3">
        <v>7.5</v>
      </c>
      <c r="K14" s="3">
        <v>9</v>
      </c>
      <c r="L14" s="3"/>
      <c r="M14" s="7"/>
      <c r="N14" s="6">
        <v>9</v>
      </c>
      <c r="O14" s="3">
        <v>6</v>
      </c>
      <c r="P14" s="3">
        <v>7</v>
      </c>
      <c r="Q14" s="3">
        <v>7</v>
      </c>
      <c r="R14" s="7">
        <v>9.5</v>
      </c>
      <c r="S14" s="6">
        <v>12</v>
      </c>
      <c r="T14" s="3">
        <v>10.5</v>
      </c>
      <c r="U14" s="3">
        <v>7</v>
      </c>
      <c r="V14" s="3">
        <v>10</v>
      </c>
      <c r="W14" s="7">
        <v>10</v>
      </c>
      <c r="X14" s="6">
        <v>9</v>
      </c>
      <c r="Y14" s="3">
        <v>10.5</v>
      </c>
      <c r="Z14" s="3">
        <v>10</v>
      </c>
      <c r="AA14" s="3">
        <v>6</v>
      </c>
      <c r="AB14" s="7">
        <v>7</v>
      </c>
      <c r="AC14" s="6">
        <v>9.5</v>
      </c>
      <c r="AD14" s="3">
        <v>10.5</v>
      </c>
      <c r="AE14" s="3">
        <v>6</v>
      </c>
      <c r="AF14" s="3">
        <v>7</v>
      </c>
      <c r="AG14" s="7">
        <v>10.5</v>
      </c>
      <c r="AH14" s="6">
        <v>5.6</v>
      </c>
      <c r="AI14" s="3">
        <v>6</v>
      </c>
      <c r="AJ14" s="3">
        <v>10</v>
      </c>
      <c r="AK14" s="3">
        <v>8.3000000000000007</v>
      </c>
      <c r="AL14" s="7">
        <v>10.5</v>
      </c>
      <c r="AM14" s="6">
        <v>12</v>
      </c>
      <c r="AN14" s="3">
        <v>12</v>
      </c>
      <c r="AO14" s="3">
        <v>10</v>
      </c>
      <c r="AP14" s="3">
        <v>5.5</v>
      </c>
      <c r="AQ14" s="7">
        <v>10</v>
      </c>
      <c r="AR14" s="6">
        <v>12</v>
      </c>
      <c r="AS14" s="3">
        <v>10.5</v>
      </c>
      <c r="AT14" s="3">
        <v>10</v>
      </c>
      <c r="AU14" s="3">
        <v>10</v>
      </c>
      <c r="AV14" s="7">
        <v>10.5</v>
      </c>
      <c r="AW14" s="6">
        <v>9.5</v>
      </c>
      <c r="AX14" s="3">
        <v>12</v>
      </c>
      <c r="AY14" s="3">
        <v>10.5</v>
      </c>
      <c r="AZ14" s="3">
        <v>10</v>
      </c>
      <c r="BA14" s="7">
        <v>10</v>
      </c>
      <c r="BB14" s="6">
        <v>10.5</v>
      </c>
      <c r="BC14" s="3">
        <v>10.6</v>
      </c>
      <c r="BD14" s="3">
        <v>12</v>
      </c>
      <c r="BE14" s="3">
        <v>10</v>
      </c>
      <c r="BF14" s="7">
        <v>8.8000000000000007</v>
      </c>
      <c r="BG14" s="6">
        <v>10</v>
      </c>
      <c r="BH14" s="3">
        <v>10.5</v>
      </c>
      <c r="BI14" s="3">
        <v>9.5</v>
      </c>
      <c r="BJ14" s="3">
        <v>10.5</v>
      </c>
      <c r="BK14" s="7">
        <v>8.8000000000000007</v>
      </c>
      <c r="BM14" s="32">
        <f t="shared" si="0"/>
        <v>9.1482758620689655</v>
      </c>
    </row>
    <row r="15" spans="1:65" x14ac:dyDescent="0.2">
      <c r="B15" s="437"/>
      <c r="C15" s="31">
        <v>2014</v>
      </c>
      <c r="D15" s="6">
        <v>10</v>
      </c>
      <c r="E15" s="3">
        <v>8</v>
      </c>
      <c r="F15" s="3">
        <v>8</v>
      </c>
      <c r="G15" s="3">
        <v>9</v>
      </c>
      <c r="H15" s="7">
        <v>10</v>
      </c>
      <c r="I15" s="6">
        <v>10</v>
      </c>
      <c r="J15" s="3">
        <v>10.5</v>
      </c>
      <c r="K15" s="3">
        <v>10</v>
      </c>
      <c r="L15" s="3">
        <v>10</v>
      </c>
      <c r="M15" s="7">
        <v>9.5</v>
      </c>
      <c r="N15" s="6">
        <v>10</v>
      </c>
      <c r="O15" s="3">
        <v>8</v>
      </c>
      <c r="P15" s="3">
        <v>9.9</v>
      </c>
      <c r="Q15" s="3"/>
      <c r="R15" s="7"/>
      <c r="S15" s="6">
        <v>8.5</v>
      </c>
      <c r="T15" s="3">
        <v>10</v>
      </c>
      <c r="U15" s="3">
        <v>10</v>
      </c>
      <c r="V15" s="3">
        <v>8.5</v>
      </c>
      <c r="W15" s="7">
        <v>10</v>
      </c>
      <c r="X15" s="6">
        <v>11.5</v>
      </c>
      <c r="Y15" s="3">
        <v>10</v>
      </c>
      <c r="Z15" s="3">
        <v>10.199999999999999</v>
      </c>
      <c r="AA15" s="3">
        <v>10.199999999999999</v>
      </c>
      <c r="AB15" s="7">
        <v>6</v>
      </c>
      <c r="AC15" s="6">
        <v>8</v>
      </c>
      <c r="AD15" s="3">
        <v>10</v>
      </c>
      <c r="AE15" s="3">
        <v>10</v>
      </c>
      <c r="AF15" s="3">
        <v>8.1999999999999993</v>
      </c>
      <c r="AG15" s="7">
        <v>10</v>
      </c>
      <c r="AH15" s="6">
        <v>10</v>
      </c>
      <c r="AI15" s="3">
        <v>10.5</v>
      </c>
      <c r="AJ15" s="3">
        <v>12</v>
      </c>
      <c r="AK15" s="3">
        <v>10.5</v>
      </c>
      <c r="AL15" s="7">
        <v>9.8000000000000007</v>
      </c>
      <c r="AM15" s="6">
        <v>10.5</v>
      </c>
      <c r="AN15" s="3">
        <v>10.199999999999999</v>
      </c>
      <c r="AO15" s="3">
        <v>8</v>
      </c>
      <c r="AP15" s="3">
        <v>9.4</v>
      </c>
      <c r="AQ15" s="7">
        <v>10</v>
      </c>
      <c r="AR15" s="6">
        <v>10</v>
      </c>
      <c r="AS15" s="3">
        <v>10</v>
      </c>
      <c r="AT15" s="3">
        <v>10.5</v>
      </c>
      <c r="AU15" s="3">
        <v>10.199999999999999</v>
      </c>
      <c r="AV15" s="7">
        <v>12</v>
      </c>
      <c r="AW15" s="6">
        <v>10</v>
      </c>
      <c r="AX15" s="3">
        <v>8.5</v>
      </c>
      <c r="AY15" s="3">
        <v>10</v>
      </c>
      <c r="AZ15" s="3">
        <v>10.5</v>
      </c>
      <c r="BA15" s="7">
        <v>10</v>
      </c>
      <c r="BB15" s="6"/>
      <c r="BC15" s="3"/>
      <c r="BD15" s="3"/>
      <c r="BE15" s="3"/>
      <c r="BF15" s="7"/>
      <c r="BG15" s="6"/>
      <c r="BH15" s="3"/>
      <c r="BI15" s="3"/>
      <c r="BJ15" s="3"/>
      <c r="BK15" s="7"/>
      <c r="BM15" s="32">
        <f t="shared" si="0"/>
        <v>9.7208333333333332</v>
      </c>
    </row>
    <row r="16" spans="1:65" x14ac:dyDescent="0.2">
      <c r="B16" s="437"/>
      <c r="C16" s="31">
        <v>2015</v>
      </c>
      <c r="D16" s="6"/>
      <c r="E16" s="3"/>
      <c r="F16" s="3"/>
      <c r="G16" s="3"/>
      <c r="H16" s="7"/>
      <c r="I16" s="6"/>
      <c r="J16" s="3"/>
      <c r="K16" s="3"/>
      <c r="L16" s="3"/>
      <c r="M16" s="7"/>
      <c r="N16" s="6">
        <v>6.97</v>
      </c>
      <c r="O16" s="3">
        <v>7.2</v>
      </c>
      <c r="P16" s="3">
        <v>8.2100000000000009</v>
      </c>
      <c r="Q16" s="3">
        <v>4.63</v>
      </c>
      <c r="R16" s="7">
        <v>7.7</v>
      </c>
      <c r="S16" s="6">
        <v>8.35</v>
      </c>
      <c r="T16" s="3">
        <v>7.8</v>
      </c>
      <c r="U16" s="3">
        <v>6.4</v>
      </c>
      <c r="V16" s="3">
        <v>5.43</v>
      </c>
      <c r="W16" s="7">
        <v>7.3</v>
      </c>
      <c r="X16" s="6">
        <v>6.2</v>
      </c>
      <c r="Y16" s="3">
        <v>8.75</v>
      </c>
      <c r="Z16" s="3"/>
      <c r="AA16" s="3"/>
      <c r="AB16" s="7"/>
      <c r="AC16" s="6">
        <v>5.3</v>
      </c>
      <c r="AD16" s="3"/>
      <c r="AE16" s="3"/>
      <c r="AF16" s="3"/>
      <c r="AG16" s="7"/>
      <c r="AH16" s="6">
        <v>6.7</v>
      </c>
      <c r="AI16" s="3">
        <v>6.5</v>
      </c>
      <c r="AJ16" s="3">
        <v>4.5</v>
      </c>
      <c r="AK16" s="3">
        <v>6.2</v>
      </c>
      <c r="AL16" s="7">
        <v>7.2</v>
      </c>
      <c r="AM16" s="6">
        <v>7.58</v>
      </c>
      <c r="AN16" s="3">
        <v>7.51</v>
      </c>
      <c r="AO16" s="3">
        <v>5</v>
      </c>
      <c r="AP16" s="3">
        <v>6.71</v>
      </c>
      <c r="AQ16" s="7">
        <v>6.89</v>
      </c>
      <c r="AR16" s="6">
        <v>4.24</v>
      </c>
      <c r="AS16" s="3">
        <v>7.01</v>
      </c>
      <c r="AT16" s="3">
        <v>5.8</v>
      </c>
      <c r="AU16" s="3">
        <v>6</v>
      </c>
      <c r="AV16" s="7"/>
      <c r="AW16" s="6">
        <v>5.67</v>
      </c>
      <c r="AX16" s="3">
        <v>7.2</v>
      </c>
      <c r="AY16" s="3">
        <v>7.21</v>
      </c>
      <c r="AZ16" s="3">
        <v>5.99</v>
      </c>
      <c r="BA16" s="7"/>
      <c r="BB16" s="6">
        <v>6.25</v>
      </c>
      <c r="BC16" s="3">
        <v>6.13</v>
      </c>
      <c r="BD16" s="3">
        <v>4.13</v>
      </c>
      <c r="BE16" s="3">
        <v>7.51</v>
      </c>
      <c r="BF16" s="7">
        <v>5.81</v>
      </c>
      <c r="BG16" s="6">
        <v>5.68</v>
      </c>
      <c r="BH16" s="3">
        <v>6.44</v>
      </c>
      <c r="BI16" s="3">
        <v>6.55</v>
      </c>
      <c r="BJ16" s="3">
        <v>5.81</v>
      </c>
      <c r="BK16" s="7">
        <v>4.41</v>
      </c>
      <c r="BM16" s="32">
        <f t="shared" si="0"/>
        <v>6.411463414634146</v>
      </c>
    </row>
    <row r="17" spans="2:65" ht="13.5" thickBot="1" x14ac:dyDescent="0.25">
      <c r="B17" s="439"/>
      <c r="C17" s="31">
        <v>2016</v>
      </c>
      <c r="D17" s="8">
        <v>7.02</v>
      </c>
      <c r="E17" s="9"/>
      <c r="F17" s="9"/>
      <c r="G17" s="9"/>
      <c r="H17" s="10"/>
      <c r="I17" s="8">
        <v>3.68</v>
      </c>
      <c r="J17" s="9">
        <v>4.6100000000000003</v>
      </c>
      <c r="K17" s="9">
        <v>5.31</v>
      </c>
      <c r="L17" s="9">
        <v>6.22</v>
      </c>
      <c r="M17" s="10"/>
      <c r="N17" s="8">
        <v>7</v>
      </c>
      <c r="O17" s="9">
        <v>7</v>
      </c>
      <c r="P17" s="9">
        <v>5.54</v>
      </c>
      <c r="Q17" s="9">
        <v>4.92</v>
      </c>
      <c r="R17" s="10">
        <v>7</v>
      </c>
      <c r="S17" s="8">
        <v>6.2</v>
      </c>
      <c r="T17" s="9">
        <v>7</v>
      </c>
      <c r="U17" s="9">
        <v>8</v>
      </c>
      <c r="V17" s="9">
        <v>6.47</v>
      </c>
      <c r="W17" s="10">
        <v>7</v>
      </c>
      <c r="X17" s="8">
        <v>7</v>
      </c>
      <c r="Y17" s="9">
        <v>5.46</v>
      </c>
      <c r="Z17" s="9">
        <v>7.26</v>
      </c>
      <c r="AA17" s="9">
        <v>5.46</v>
      </c>
      <c r="AB17" s="10"/>
      <c r="AC17" s="8">
        <v>7.5</v>
      </c>
      <c r="AD17" s="9">
        <v>7.72</v>
      </c>
      <c r="AE17" s="9">
        <v>8</v>
      </c>
      <c r="AF17" s="9">
        <v>4.46</v>
      </c>
      <c r="AG17" s="10">
        <v>7</v>
      </c>
      <c r="AH17" s="8">
        <v>7</v>
      </c>
      <c r="AI17" s="9">
        <v>6</v>
      </c>
      <c r="AJ17" s="9">
        <v>8.5</v>
      </c>
      <c r="AK17" s="9">
        <v>8</v>
      </c>
      <c r="AL17" s="10">
        <v>5.6</v>
      </c>
      <c r="AM17" s="8"/>
      <c r="AN17" s="9"/>
      <c r="AO17" s="9"/>
      <c r="AP17" s="9"/>
      <c r="AQ17" s="10"/>
      <c r="AR17" s="8"/>
      <c r="AS17" s="9"/>
      <c r="AT17" s="9"/>
      <c r="AU17" s="9"/>
      <c r="AV17" s="10"/>
      <c r="AW17" s="8">
        <v>8.41</v>
      </c>
      <c r="AX17" s="9">
        <v>9.1199999999999992</v>
      </c>
      <c r="AY17" s="9">
        <v>9.1199999999999992</v>
      </c>
      <c r="AZ17" s="9">
        <v>8.31</v>
      </c>
      <c r="BA17" s="10">
        <v>8.4</v>
      </c>
      <c r="BB17" s="8"/>
      <c r="BC17" s="9"/>
      <c r="BD17" s="9"/>
      <c r="BE17" s="9"/>
      <c r="BF17" s="10"/>
      <c r="BG17" s="8"/>
      <c r="BH17" s="9"/>
      <c r="BI17" s="9"/>
      <c r="BJ17" s="9"/>
      <c r="BK17" s="10"/>
      <c r="BM17" s="32">
        <f>AVERAGE(D17:BK17)</f>
        <v>6.8026470588235304</v>
      </c>
    </row>
    <row r="18" spans="2:65" x14ac:dyDescent="0.2">
      <c r="BM18" s="32"/>
    </row>
    <row r="19" spans="2:65" ht="13.5" thickBot="1" x14ac:dyDescent="0.25">
      <c r="BM19" s="32"/>
    </row>
    <row r="20" spans="2:65" s="1" customFormat="1" x14ac:dyDescent="0.2">
      <c r="B20" s="4" t="s">
        <v>123</v>
      </c>
      <c r="C20" s="30"/>
      <c r="D20" s="431" t="s">
        <v>15</v>
      </c>
      <c r="E20" s="432"/>
      <c r="F20" s="432"/>
      <c r="G20" s="432"/>
      <c r="H20" s="433"/>
      <c r="I20" s="431" t="s">
        <v>16</v>
      </c>
      <c r="J20" s="432"/>
      <c r="K20" s="432"/>
      <c r="L20" s="432"/>
      <c r="M20" s="433"/>
      <c r="N20" s="431" t="s">
        <v>124</v>
      </c>
      <c r="O20" s="432"/>
      <c r="P20" s="432"/>
      <c r="Q20" s="432"/>
      <c r="R20" s="433"/>
      <c r="S20" s="431" t="s">
        <v>125</v>
      </c>
      <c r="T20" s="432"/>
      <c r="U20" s="432"/>
      <c r="V20" s="432"/>
      <c r="W20" s="433"/>
      <c r="X20" s="431" t="s">
        <v>17</v>
      </c>
      <c r="Y20" s="432"/>
      <c r="Z20" s="432"/>
      <c r="AA20" s="432"/>
      <c r="AB20" s="433"/>
      <c r="AC20" s="431" t="s">
        <v>18</v>
      </c>
      <c r="AD20" s="432"/>
      <c r="AE20" s="432"/>
      <c r="AF20" s="432"/>
      <c r="AG20" s="433"/>
      <c r="AH20" s="431" t="s">
        <v>126</v>
      </c>
      <c r="AI20" s="432"/>
      <c r="AJ20" s="432"/>
      <c r="AK20" s="432"/>
      <c r="AL20" s="433"/>
      <c r="AM20" s="431" t="s">
        <v>19</v>
      </c>
      <c r="AN20" s="432"/>
      <c r="AO20" s="432"/>
      <c r="AP20" s="432"/>
      <c r="AQ20" s="433"/>
      <c r="AR20" s="431" t="s">
        <v>127</v>
      </c>
      <c r="AS20" s="432"/>
      <c r="AT20" s="432"/>
      <c r="AU20" s="432"/>
      <c r="AV20" s="433"/>
      <c r="AW20" s="431" t="s">
        <v>20</v>
      </c>
      <c r="AX20" s="432"/>
      <c r="AY20" s="432"/>
      <c r="AZ20" s="432"/>
      <c r="BA20" s="433"/>
      <c r="BB20" s="431" t="s">
        <v>21</v>
      </c>
      <c r="BC20" s="432"/>
      <c r="BD20" s="432"/>
      <c r="BE20" s="432"/>
      <c r="BF20" s="433"/>
      <c r="BG20" s="431" t="s">
        <v>22</v>
      </c>
      <c r="BH20" s="432"/>
      <c r="BI20" s="432"/>
      <c r="BJ20" s="432"/>
      <c r="BK20" s="433"/>
      <c r="BM20" s="32"/>
    </row>
    <row r="21" spans="2:65" x14ac:dyDescent="0.2">
      <c r="B21" s="436" t="s">
        <v>131</v>
      </c>
      <c r="C21" s="33">
        <v>2012</v>
      </c>
      <c r="D21" s="6">
        <v>12.3</v>
      </c>
      <c r="E21" s="3">
        <v>11</v>
      </c>
      <c r="F21" s="3">
        <v>11</v>
      </c>
      <c r="G21" s="3">
        <v>12</v>
      </c>
      <c r="H21" s="7">
        <v>12</v>
      </c>
      <c r="I21" s="6">
        <v>12</v>
      </c>
      <c r="J21" s="3">
        <v>12.5</v>
      </c>
      <c r="K21" s="3">
        <v>10.75</v>
      </c>
      <c r="L21" s="3">
        <v>14</v>
      </c>
      <c r="M21" s="7">
        <v>12</v>
      </c>
      <c r="N21" s="6">
        <v>13.5</v>
      </c>
      <c r="O21" s="3">
        <v>11.4</v>
      </c>
      <c r="P21" s="3">
        <v>11</v>
      </c>
      <c r="Q21" s="3">
        <v>9.3000000000000007</v>
      </c>
      <c r="R21" s="7">
        <v>12.5</v>
      </c>
      <c r="S21" s="6">
        <v>9</v>
      </c>
      <c r="T21" s="3">
        <v>10</v>
      </c>
      <c r="U21" s="3">
        <v>10.6</v>
      </c>
      <c r="V21" s="3">
        <v>10</v>
      </c>
      <c r="W21" s="7">
        <v>12</v>
      </c>
      <c r="X21" s="6">
        <v>8.6999999999999993</v>
      </c>
      <c r="Y21" s="3">
        <v>9.6999999999999993</v>
      </c>
      <c r="Z21" s="3">
        <v>11</v>
      </c>
      <c r="AA21" s="3">
        <v>9.8000000000000007</v>
      </c>
      <c r="AB21" s="7">
        <v>8.6999999999999993</v>
      </c>
      <c r="AC21" s="6">
        <v>10</v>
      </c>
      <c r="AD21" s="3">
        <v>9.6</v>
      </c>
      <c r="AE21" s="3">
        <v>8.4</v>
      </c>
      <c r="AF21" s="3">
        <v>9.26</v>
      </c>
      <c r="AG21" s="7">
        <v>8.27</v>
      </c>
      <c r="AH21" s="6">
        <v>8.2799999999999994</v>
      </c>
      <c r="AI21" s="3">
        <v>9</v>
      </c>
      <c r="AJ21" s="3">
        <v>8.5</v>
      </c>
      <c r="AK21" s="3">
        <v>9</v>
      </c>
      <c r="AL21" s="7">
        <v>7</v>
      </c>
      <c r="AM21" s="6">
        <v>8.4</v>
      </c>
      <c r="AN21" s="3">
        <v>8.2100000000000009</v>
      </c>
      <c r="AO21" s="3">
        <v>8.6</v>
      </c>
      <c r="AP21" s="3">
        <v>8.6</v>
      </c>
      <c r="AQ21" s="7">
        <v>7</v>
      </c>
      <c r="AR21" s="6">
        <v>9.5</v>
      </c>
      <c r="AS21" s="3">
        <v>8.1999999999999993</v>
      </c>
      <c r="AT21" s="3">
        <v>13</v>
      </c>
      <c r="AU21" s="3">
        <v>9.5</v>
      </c>
      <c r="AV21" s="7">
        <v>9.5</v>
      </c>
      <c r="AW21" s="6">
        <v>10.5</v>
      </c>
      <c r="AX21" s="3">
        <v>9.5</v>
      </c>
      <c r="AY21" s="3">
        <v>9.3000000000000007</v>
      </c>
      <c r="AZ21" s="3">
        <v>8.5</v>
      </c>
      <c r="BA21" s="7">
        <v>11.2</v>
      </c>
      <c r="BB21" s="6">
        <v>10.7</v>
      </c>
      <c r="BC21" s="3">
        <v>10.5</v>
      </c>
      <c r="BD21" s="3">
        <v>10.8</v>
      </c>
      <c r="BE21" s="3">
        <v>10.5</v>
      </c>
      <c r="BF21" s="7">
        <v>9.1</v>
      </c>
      <c r="BG21" s="6">
        <v>13.05</v>
      </c>
      <c r="BH21" s="3">
        <v>12</v>
      </c>
      <c r="BI21" s="3">
        <v>11</v>
      </c>
      <c r="BJ21" s="3">
        <v>12.8</v>
      </c>
      <c r="BK21" s="7"/>
      <c r="BM21" s="32">
        <f t="shared" si="0"/>
        <v>10.237627118644065</v>
      </c>
    </row>
    <row r="22" spans="2:65" x14ac:dyDescent="0.2">
      <c r="B22" s="437"/>
      <c r="C22" s="33">
        <v>2013</v>
      </c>
      <c r="D22" s="6">
        <v>12.65</v>
      </c>
      <c r="E22" s="3">
        <v>12.6</v>
      </c>
      <c r="F22" s="3">
        <v>11</v>
      </c>
      <c r="G22" s="3">
        <v>13</v>
      </c>
      <c r="H22" s="7">
        <v>12</v>
      </c>
      <c r="I22" s="6">
        <v>11.5</v>
      </c>
      <c r="J22" s="3">
        <v>13</v>
      </c>
      <c r="K22" s="3">
        <v>12.8</v>
      </c>
      <c r="L22" s="3">
        <v>11.7</v>
      </c>
      <c r="M22" s="7">
        <v>13.25</v>
      </c>
      <c r="N22" s="6">
        <v>12</v>
      </c>
      <c r="O22" s="3">
        <v>12</v>
      </c>
      <c r="P22" s="3">
        <v>12.3</v>
      </c>
      <c r="Q22" s="3">
        <v>12.3</v>
      </c>
      <c r="R22" s="7">
        <v>11</v>
      </c>
      <c r="S22" s="6">
        <v>12</v>
      </c>
      <c r="T22" s="3">
        <v>10.5</v>
      </c>
      <c r="U22" s="3">
        <v>9</v>
      </c>
      <c r="V22" s="3">
        <v>10</v>
      </c>
      <c r="W22" s="7">
        <v>10.5</v>
      </c>
      <c r="X22" s="6">
        <v>9.6999999999999993</v>
      </c>
      <c r="Y22" s="3">
        <v>10.5</v>
      </c>
      <c r="Z22" s="3">
        <v>10.199999999999999</v>
      </c>
      <c r="AA22" s="3">
        <v>9.1</v>
      </c>
      <c r="AB22" s="7">
        <v>8.9</v>
      </c>
      <c r="AC22" s="6">
        <v>8.5</v>
      </c>
      <c r="AD22" s="3">
        <v>9.6999999999999993</v>
      </c>
      <c r="AE22" s="3">
        <v>8.6</v>
      </c>
      <c r="AF22" s="3">
        <v>8.6</v>
      </c>
      <c r="AG22" s="7"/>
      <c r="AH22" s="6">
        <v>11</v>
      </c>
      <c r="AI22" s="3">
        <v>8.5</v>
      </c>
      <c r="AJ22" s="3">
        <v>7.2</v>
      </c>
      <c r="AK22" s="3">
        <v>10.38</v>
      </c>
      <c r="AL22" s="7">
        <v>7.4</v>
      </c>
      <c r="AM22" s="6">
        <v>9.6999999999999993</v>
      </c>
      <c r="AN22" s="3">
        <v>10.3</v>
      </c>
      <c r="AO22" s="3">
        <v>9.8000000000000007</v>
      </c>
      <c r="AP22" s="3">
        <v>9.6999999999999993</v>
      </c>
      <c r="AQ22" s="7">
        <v>8.9</v>
      </c>
      <c r="AR22" s="6">
        <v>10</v>
      </c>
      <c r="AS22" s="3">
        <v>11</v>
      </c>
      <c r="AT22" s="3">
        <v>11</v>
      </c>
      <c r="AU22" s="3">
        <v>12</v>
      </c>
      <c r="AV22" s="7">
        <v>12</v>
      </c>
      <c r="AW22" s="6">
        <v>11</v>
      </c>
      <c r="AX22" s="3">
        <v>11.34</v>
      </c>
      <c r="AY22" s="3">
        <v>9</v>
      </c>
      <c r="AZ22" s="3">
        <v>9.1999999999999993</v>
      </c>
      <c r="BA22" s="7">
        <v>10.5</v>
      </c>
      <c r="BB22" s="6">
        <v>11.7</v>
      </c>
      <c r="BC22" s="3">
        <v>11.2</v>
      </c>
      <c r="BD22" s="3">
        <v>10.8</v>
      </c>
      <c r="BE22" s="3">
        <v>10.9</v>
      </c>
      <c r="BF22" s="7">
        <v>10.8</v>
      </c>
      <c r="BG22" s="6">
        <v>10.7</v>
      </c>
      <c r="BH22" s="3">
        <v>10.7</v>
      </c>
      <c r="BI22" s="3">
        <v>10.7</v>
      </c>
      <c r="BJ22" s="3">
        <v>8.82</v>
      </c>
      <c r="BK22" s="7">
        <v>10.18</v>
      </c>
      <c r="BM22" s="32">
        <f t="shared" si="0"/>
        <v>10.598644067796611</v>
      </c>
    </row>
    <row r="23" spans="2:65" x14ac:dyDescent="0.2">
      <c r="B23" s="437"/>
      <c r="C23" s="33">
        <v>2014</v>
      </c>
      <c r="D23" s="6"/>
      <c r="E23" s="3"/>
      <c r="F23" s="3"/>
      <c r="G23" s="3"/>
      <c r="H23" s="7"/>
      <c r="I23" s="6"/>
      <c r="J23" s="3"/>
      <c r="K23" s="3"/>
      <c r="L23" s="3"/>
      <c r="M23" s="7"/>
      <c r="N23" s="6"/>
      <c r="O23" s="3"/>
      <c r="P23" s="3"/>
      <c r="Q23" s="3"/>
      <c r="R23" s="7"/>
      <c r="S23" s="6"/>
      <c r="T23" s="3"/>
      <c r="U23" s="3"/>
      <c r="V23" s="3"/>
      <c r="W23" s="7"/>
      <c r="X23" s="6"/>
      <c r="Y23" s="3"/>
      <c r="Z23" s="3"/>
      <c r="AA23" s="3"/>
      <c r="AB23" s="7"/>
      <c r="AC23" s="6"/>
      <c r="AD23" s="3"/>
      <c r="AE23" s="3"/>
      <c r="AF23" s="3"/>
      <c r="AG23" s="7"/>
      <c r="AH23" s="6"/>
      <c r="AI23" s="3"/>
      <c r="AJ23" s="3"/>
      <c r="AK23" s="3"/>
      <c r="AL23" s="7"/>
      <c r="AM23" s="6"/>
      <c r="AN23" s="3"/>
      <c r="AO23" s="3"/>
      <c r="AP23" s="3"/>
      <c r="AQ23" s="7"/>
      <c r="AR23" s="6">
        <v>9.6</v>
      </c>
      <c r="AS23" s="3">
        <v>9</v>
      </c>
      <c r="AT23" s="3"/>
      <c r="AU23" s="3"/>
      <c r="AV23" s="7"/>
      <c r="AW23" s="6"/>
      <c r="AX23" s="3"/>
      <c r="AY23" s="3"/>
      <c r="AZ23" s="3"/>
      <c r="BA23" s="7"/>
      <c r="BB23" s="6"/>
      <c r="BC23" s="3"/>
      <c r="BD23" s="3"/>
      <c r="BE23" s="3"/>
      <c r="BF23" s="7"/>
      <c r="BG23" s="6">
        <v>8.32</v>
      </c>
      <c r="BH23" s="3">
        <v>8.2799999999999994</v>
      </c>
      <c r="BI23" s="3">
        <v>9.26</v>
      </c>
      <c r="BJ23" s="3"/>
      <c r="BK23" s="7"/>
      <c r="BM23" s="32">
        <f t="shared" si="0"/>
        <v>8.8919999999999995</v>
      </c>
    </row>
    <row r="24" spans="2:65" x14ac:dyDescent="0.2">
      <c r="B24" s="437"/>
      <c r="C24" s="33">
        <v>2015</v>
      </c>
      <c r="D24" s="6"/>
      <c r="E24" s="3"/>
      <c r="F24" s="3"/>
      <c r="G24" s="3"/>
      <c r="H24" s="7"/>
      <c r="I24" s="6"/>
      <c r="J24" s="3"/>
      <c r="K24" s="3"/>
      <c r="L24" s="3"/>
      <c r="M24" s="7"/>
      <c r="N24" s="6">
        <v>6</v>
      </c>
      <c r="O24" s="3">
        <v>6</v>
      </c>
      <c r="P24" s="3"/>
      <c r="Q24" s="3"/>
      <c r="R24" s="7"/>
      <c r="S24" s="6"/>
      <c r="T24" s="3"/>
      <c r="U24" s="3"/>
      <c r="V24" s="3"/>
      <c r="W24" s="7"/>
      <c r="X24" s="6"/>
      <c r="Y24" s="3"/>
      <c r="Z24" s="3"/>
      <c r="AA24" s="3"/>
      <c r="AB24" s="7"/>
      <c r="AC24" s="6"/>
      <c r="AD24" s="3"/>
      <c r="AE24" s="3"/>
      <c r="AF24" s="3"/>
      <c r="AG24" s="7"/>
      <c r="AH24" s="6"/>
      <c r="AI24" s="3"/>
      <c r="AJ24" s="3"/>
      <c r="AK24" s="3"/>
      <c r="AL24" s="7"/>
      <c r="AM24" s="6"/>
      <c r="AN24" s="3"/>
      <c r="AO24" s="3"/>
      <c r="AP24" s="3"/>
      <c r="AQ24" s="7"/>
      <c r="AR24" s="6"/>
      <c r="AS24" s="3"/>
      <c r="AT24" s="3"/>
      <c r="AU24" s="3"/>
      <c r="AV24" s="7"/>
      <c r="AW24" s="6"/>
      <c r="AX24" s="3"/>
      <c r="AY24" s="3"/>
      <c r="AZ24" s="3"/>
      <c r="BA24" s="7"/>
      <c r="BB24" s="6"/>
      <c r="BC24" s="3"/>
      <c r="BD24" s="3"/>
      <c r="BE24" s="3"/>
      <c r="BF24" s="7"/>
      <c r="BG24" s="6"/>
      <c r="BH24" s="3"/>
      <c r="BI24" s="3"/>
      <c r="BJ24" s="3"/>
      <c r="BK24" s="7"/>
      <c r="BM24" s="32">
        <f t="shared" si="0"/>
        <v>6</v>
      </c>
    </row>
    <row r="25" spans="2:65" ht="13.5" thickBot="1" x14ac:dyDescent="0.25">
      <c r="B25" s="439"/>
      <c r="C25" s="31">
        <v>2016</v>
      </c>
      <c r="D25" s="8"/>
      <c r="E25" s="9"/>
      <c r="F25" s="9"/>
      <c r="G25" s="9"/>
      <c r="H25" s="10"/>
      <c r="I25" s="8"/>
      <c r="J25" s="9"/>
      <c r="K25" s="9"/>
      <c r="L25" s="9"/>
      <c r="M25" s="10"/>
      <c r="N25" s="8"/>
      <c r="O25" s="9"/>
      <c r="P25" s="9"/>
      <c r="Q25" s="9"/>
      <c r="R25" s="10"/>
      <c r="S25" s="8"/>
      <c r="T25" s="9"/>
      <c r="U25" s="9"/>
      <c r="V25" s="9"/>
      <c r="W25" s="10"/>
      <c r="X25" s="8"/>
      <c r="Y25" s="9"/>
      <c r="Z25" s="9"/>
      <c r="AA25" s="9"/>
      <c r="AB25" s="10"/>
      <c r="AC25" s="8"/>
      <c r="AD25" s="9"/>
      <c r="AE25" s="9"/>
      <c r="AF25" s="9"/>
      <c r="AG25" s="10"/>
      <c r="AH25" s="8"/>
      <c r="AI25" s="9"/>
      <c r="AJ25" s="9"/>
      <c r="AK25" s="9"/>
      <c r="AL25" s="10"/>
      <c r="AM25" s="8">
        <v>5.8</v>
      </c>
      <c r="AN25" s="9"/>
      <c r="AO25" s="9"/>
      <c r="AP25" s="9"/>
      <c r="AQ25" s="10"/>
      <c r="AR25" s="8">
        <v>5.8</v>
      </c>
      <c r="AS25" s="9">
        <v>5.8</v>
      </c>
      <c r="AT25" s="9"/>
      <c r="AU25" s="9"/>
      <c r="AV25" s="10"/>
      <c r="AW25" s="8">
        <v>5.8</v>
      </c>
      <c r="AX25" s="9">
        <v>5.8</v>
      </c>
      <c r="AY25" s="9"/>
      <c r="AZ25" s="9"/>
      <c r="BA25" s="10"/>
      <c r="BB25" s="8"/>
      <c r="BC25" s="9"/>
      <c r="BD25" s="9"/>
      <c r="BE25" s="9"/>
      <c r="BF25" s="10"/>
      <c r="BG25" s="8"/>
      <c r="BH25" s="9"/>
      <c r="BI25" s="9"/>
      <c r="BJ25" s="9"/>
      <c r="BK25" s="10"/>
      <c r="BM25" s="32">
        <f t="shared" si="0"/>
        <v>5.8</v>
      </c>
    </row>
    <row r="26" spans="2:65" x14ac:dyDescent="0.2">
      <c r="BM26" s="32"/>
    </row>
    <row r="27" spans="2:65" ht="13.5" thickBot="1" x14ac:dyDescent="0.25">
      <c r="AT27" s="2" t="s">
        <v>10</v>
      </c>
      <c r="BM27" s="32"/>
    </row>
    <row r="28" spans="2:65" s="1" customFormat="1" x14ac:dyDescent="0.2">
      <c r="B28" s="4" t="s">
        <v>123</v>
      </c>
      <c r="C28" s="30"/>
      <c r="D28" s="431" t="s">
        <v>15</v>
      </c>
      <c r="E28" s="432"/>
      <c r="F28" s="432"/>
      <c r="G28" s="432"/>
      <c r="H28" s="433"/>
      <c r="I28" s="431" t="s">
        <v>16</v>
      </c>
      <c r="J28" s="432"/>
      <c r="K28" s="432"/>
      <c r="L28" s="432"/>
      <c r="M28" s="433"/>
      <c r="N28" s="431" t="s">
        <v>124</v>
      </c>
      <c r="O28" s="432"/>
      <c r="P28" s="432"/>
      <c r="Q28" s="432"/>
      <c r="R28" s="433"/>
      <c r="S28" s="431" t="s">
        <v>125</v>
      </c>
      <c r="T28" s="432"/>
      <c r="U28" s="432"/>
      <c r="V28" s="432"/>
      <c r="W28" s="433"/>
      <c r="X28" s="431" t="s">
        <v>17</v>
      </c>
      <c r="Y28" s="432"/>
      <c r="Z28" s="432"/>
      <c r="AA28" s="432"/>
      <c r="AB28" s="433"/>
      <c r="AC28" s="431" t="s">
        <v>18</v>
      </c>
      <c r="AD28" s="432"/>
      <c r="AE28" s="432"/>
      <c r="AF28" s="432"/>
      <c r="AG28" s="433"/>
      <c r="AH28" s="431" t="s">
        <v>126</v>
      </c>
      <c r="AI28" s="432"/>
      <c r="AJ28" s="432"/>
      <c r="AK28" s="432"/>
      <c r="AL28" s="433"/>
      <c r="AM28" s="431" t="s">
        <v>19</v>
      </c>
      <c r="AN28" s="432"/>
      <c r="AO28" s="432"/>
      <c r="AP28" s="432"/>
      <c r="AQ28" s="433"/>
      <c r="AR28" s="431" t="s">
        <v>127</v>
      </c>
      <c r="AS28" s="432"/>
      <c r="AT28" s="432"/>
      <c r="AU28" s="432"/>
      <c r="AV28" s="433"/>
      <c r="AW28" s="431" t="s">
        <v>20</v>
      </c>
      <c r="AX28" s="432"/>
      <c r="AY28" s="432"/>
      <c r="AZ28" s="432"/>
      <c r="BA28" s="433"/>
      <c r="BB28" s="431" t="s">
        <v>21</v>
      </c>
      <c r="BC28" s="432"/>
      <c r="BD28" s="432"/>
      <c r="BE28" s="432"/>
      <c r="BF28" s="433"/>
      <c r="BG28" s="431" t="s">
        <v>22</v>
      </c>
      <c r="BH28" s="432"/>
      <c r="BI28" s="432"/>
      <c r="BJ28" s="432"/>
      <c r="BK28" s="433"/>
      <c r="BM28" s="32"/>
    </row>
    <row r="29" spans="2:65" x14ac:dyDescent="0.2">
      <c r="B29" s="436" t="s">
        <v>132</v>
      </c>
      <c r="C29" s="31">
        <v>2012</v>
      </c>
      <c r="D29" s="6">
        <v>9</v>
      </c>
      <c r="E29" s="3">
        <v>8.74</v>
      </c>
      <c r="F29" s="3">
        <v>9.3000000000000007</v>
      </c>
      <c r="G29" s="3">
        <v>8.8000000000000007</v>
      </c>
      <c r="H29" s="7">
        <v>9.7899999999999991</v>
      </c>
      <c r="I29" s="6">
        <v>11.56</v>
      </c>
      <c r="J29" s="3">
        <v>3.8</v>
      </c>
      <c r="K29" s="3">
        <v>11.7</v>
      </c>
      <c r="L29" s="3">
        <v>11.66</v>
      </c>
      <c r="M29" s="7">
        <v>10.6</v>
      </c>
      <c r="N29" s="6">
        <v>11</v>
      </c>
      <c r="O29" s="3">
        <v>6.61</v>
      </c>
      <c r="P29" s="3">
        <v>8.43</v>
      </c>
      <c r="Q29" s="3">
        <v>10.33</v>
      </c>
      <c r="R29" s="7">
        <v>8.6</v>
      </c>
      <c r="S29" s="6">
        <v>9.6</v>
      </c>
      <c r="T29" s="3">
        <v>12</v>
      </c>
      <c r="U29" s="3">
        <v>8.8000000000000007</v>
      </c>
      <c r="V29" s="3">
        <v>9.3699999999999992</v>
      </c>
      <c r="W29" s="7">
        <v>10.47</v>
      </c>
      <c r="X29" s="6">
        <v>10.64</v>
      </c>
      <c r="Y29" s="3">
        <v>11.12</v>
      </c>
      <c r="Z29" s="3">
        <v>9.5</v>
      </c>
      <c r="AA29" s="3">
        <v>10.7</v>
      </c>
      <c r="AB29" s="7">
        <v>10.3</v>
      </c>
      <c r="AC29" s="6">
        <v>9</v>
      </c>
      <c r="AD29" s="3">
        <v>9.8000000000000007</v>
      </c>
      <c r="AE29" s="3">
        <v>8.35</v>
      </c>
      <c r="AF29" s="3">
        <v>7.8</v>
      </c>
      <c r="AG29" s="7">
        <v>9.32</v>
      </c>
      <c r="AH29" s="6">
        <v>8.4</v>
      </c>
      <c r="AI29" s="3">
        <v>6.05</v>
      </c>
      <c r="AJ29" s="3">
        <v>6.34</v>
      </c>
      <c r="AK29" s="3">
        <v>8.92</v>
      </c>
      <c r="AL29" s="7">
        <v>8.8699999999999992</v>
      </c>
      <c r="AM29" s="6">
        <v>8.1</v>
      </c>
      <c r="AN29" s="3">
        <v>7.78</v>
      </c>
      <c r="AO29" s="3">
        <v>7.86</v>
      </c>
      <c r="AP29" s="3">
        <v>7.7</v>
      </c>
      <c r="AQ29" s="7">
        <v>8.18</v>
      </c>
      <c r="AR29" s="6">
        <v>10</v>
      </c>
      <c r="AS29" s="3">
        <v>8</v>
      </c>
      <c r="AT29" s="3">
        <v>9.3699999999999992</v>
      </c>
      <c r="AU29" s="3">
        <v>8.32</v>
      </c>
      <c r="AV29" s="7">
        <v>8.25</v>
      </c>
      <c r="AW29" s="6">
        <v>9.65</v>
      </c>
      <c r="AX29" s="3">
        <v>8.8000000000000007</v>
      </c>
      <c r="AY29" s="3">
        <v>10.8</v>
      </c>
      <c r="AZ29" s="3">
        <v>10.33</v>
      </c>
      <c r="BA29" s="7">
        <v>9.5</v>
      </c>
      <c r="BB29" s="6">
        <v>9.06</v>
      </c>
      <c r="BC29" s="3">
        <v>8.86</v>
      </c>
      <c r="BD29" s="3">
        <v>8.73</v>
      </c>
      <c r="BE29" s="3">
        <v>9.8000000000000007</v>
      </c>
      <c r="BF29" s="7">
        <v>9.3000000000000007</v>
      </c>
      <c r="BG29" s="6">
        <v>9</v>
      </c>
      <c r="BH29" s="3">
        <v>8.1300000000000008</v>
      </c>
      <c r="BI29" s="3">
        <v>10.3</v>
      </c>
      <c r="BJ29" s="3">
        <v>8.76</v>
      </c>
      <c r="BK29" s="7">
        <v>12.1</v>
      </c>
      <c r="BM29" s="32">
        <f t="shared" si="0"/>
        <v>9.1991666666666667</v>
      </c>
    </row>
    <row r="30" spans="2:65" x14ac:dyDescent="0.2">
      <c r="B30" s="437"/>
      <c r="C30" s="31">
        <v>2013</v>
      </c>
      <c r="D30" s="6">
        <v>11.5</v>
      </c>
      <c r="E30" s="3">
        <v>10.35</v>
      </c>
      <c r="F30" s="3">
        <v>12.3</v>
      </c>
      <c r="G30" s="3">
        <v>12.65</v>
      </c>
      <c r="H30" s="7">
        <v>12.15</v>
      </c>
      <c r="I30" s="6">
        <v>12.48</v>
      </c>
      <c r="J30" s="3">
        <v>12.55</v>
      </c>
      <c r="K30" s="3">
        <v>10.75</v>
      </c>
      <c r="L30" s="3">
        <v>10.55</v>
      </c>
      <c r="M30" s="7">
        <v>12.12</v>
      </c>
      <c r="N30" s="6">
        <v>11</v>
      </c>
      <c r="O30" s="3">
        <v>13.71</v>
      </c>
      <c r="P30" s="3">
        <v>11.45</v>
      </c>
      <c r="Q30" s="3">
        <v>6.9</v>
      </c>
      <c r="R30" s="7">
        <v>11.45</v>
      </c>
      <c r="S30" s="6">
        <v>12.1</v>
      </c>
      <c r="T30" s="3">
        <v>9.4</v>
      </c>
      <c r="U30" s="3">
        <v>9.6</v>
      </c>
      <c r="V30" s="3">
        <v>9.9600000000000009</v>
      </c>
      <c r="W30" s="7">
        <v>9.74</v>
      </c>
      <c r="X30" s="6">
        <v>6.9</v>
      </c>
      <c r="Y30" s="3">
        <v>10.31</v>
      </c>
      <c r="Z30" s="3">
        <v>9.6</v>
      </c>
      <c r="AA30" s="3">
        <v>6.15</v>
      </c>
      <c r="AB30" s="7">
        <v>11</v>
      </c>
      <c r="AC30" s="6">
        <v>7.68</v>
      </c>
      <c r="AD30" s="3">
        <v>7.4</v>
      </c>
      <c r="AE30" s="3">
        <v>10.43</v>
      </c>
      <c r="AF30" s="3">
        <v>11.5</v>
      </c>
      <c r="AG30" s="7">
        <v>11.63</v>
      </c>
      <c r="AH30" s="6">
        <v>10.83</v>
      </c>
      <c r="AI30" s="3">
        <v>8</v>
      </c>
      <c r="AJ30" s="3">
        <v>10.25</v>
      </c>
      <c r="AK30" s="3">
        <v>9.66</v>
      </c>
      <c r="AL30" s="7">
        <v>9</v>
      </c>
      <c r="AM30" s="6">
        <v>10.58</v>
      </c>
      <c r="AN30" s="3">
        <v>9</v>
      </c>
      <c r="AO30" s="3">
        <v>11.53</v>
      </c>
      <c r="AP30" s="3">
        <v>8.26</v>
      </c>
      <c r="AQ30" s="7">
        <v>10</v>
      </c>
      <c r="AR30" s="6">
        <v>10.28</v>
      </c>
      <c r="AS30" s="3">
        <v>12.69</v>
      </c>
      <c r="AT30" s="3">
        <v>13.38</v>
      </c>
      <c r="AU30" s="3">
        <v>11.47</v>
      </c>
      <c r="AV30" s="7">
        <v>9.1999999999999993</v>
      </c>
      <c r="AW30" s="6">
        <v>10.220000000000001</v>
      </c>
      <c r="AX30" s="3">
        <v>8.09</v>
      </c>
      <c r="AY30" s="3">
        <v>7.64</v>
      </c>
      <c r="AZ30" s="3">
        <v>10.6</v>
      </c>
      <c r="BA30" s="7">
        <v>12.8</v>
      </c>
      <c r="BB30" s="6">
        <v>12.5</v>
      </c>
      <c r="BC30" s="3">
        <v>9.6999999999999993</v>
      </c>
      <c r="BD30" s="3">
        <v>9.9</v>
      </c>
      <c r="BE30" s="3">
        <v>12.1</v>
      </c>
      <c r="BF30" s="7">
        <v>12</v>
      </c>
      <c r="BG30" s="6">
        <v>10.15</v>
      </c>
      <c r="BH30" s="3">
        <v>13</v>
      </c>
      <c r="BI30" s="3">
        <v>12.5</v>
      </c>
      <c r="BJ30" s="3">
        <v>10.9</v>
      </c>
      <c r="BK30" s="7">
        <v>10.199999999999999</v>
      </c>
      <c r="BM30" s="32">
        <f t="shared" si="0"/>
        <v>10.529</v>
      </c>
    </row>
    <row r="31" spans="2:65" x14ac:dyDescent="0.2">
      <c r="B31" s="437"/>
      <c r="C31" s="31">
        <v>2014</v>
      </c>
      <c r="D31" s="6">
        <v>12.7</v>
      </c>
      <c r="E31" s="3">
        <v>9.4</v>
      </c>
      <c r="F31" s="3">
        <v>12</v>
      </c>
      <c r="G31" s="3">
        <v>9.1999999999999993</v>
      </c>
      <c r="H31" s="7">
        <v>10.8</v>
      </c>
      <c r="I31" s="6">
        <v>10.5</v>
      </c>
      <c r="J31" s="3">
        <v>11</v>
      </c>
      <c r="K31" s="3">
        <v>9.8000000000000007</v>
      </c>
      <c r="L31" s="3">
        <v>8.9499999999999993</v>
      </c>
      <c r="M31" s="7">
        <v>12.4</v>
      </c>
      <c r="N31" s="6">
        <v>10.5</v>
      </c>
      <c r="O31" s="3">
        <v>13</v>
      </c>
      <c r="P31" s="3">
        <v>13</v>
      </c>
      <c r="Q31" s="3">
        <v>12</v>
      </c>
      <c r="R31" s="7">
        <v>11.69</v>
      </c>
      <c r="S31" s="6">
        <v>10.5</v>
      </c>
      <c r="T31" s="3">
        <v>11.2</v>
      </c>
      <c r="U31" s="3">
        <v>10.3</v>
      </c>
      <c r="V31" s="3">
        <v>12.2</v>
      </c>
      <c r="W31" s="7">
        <v>12</v>
      </c>
      <c r="X31" s="6">
        <v>12.4</v>
      </c>
      <c r="Y31" s="3">
        <v>12.3</v>
      </c>
      <c r="Z31" s="3">
        <v>12.7</v>
      </c>
      <c r="AA31" s="3">
        <v>11.4</v>
      </c>
      <c r="AB31" s="7">
        <v>11.1</v>
      </c>
      <c r="AC31" s="6">
        <v>11</v>
      </c>
      <c r="AD31" s="3">
        <v>13.7</v>
      </c>
      <c r="AE31" s="3">
        <v>11</v>
      </c>
      <c r="AF31" s="3">
        <v>13</v>
      </c>
      <c r="AG31" s="7">
        <v>9.1999999999999993</v>
      </c>
      <c r="AH31" s="6">
        <v>12.2</v>
      </c>
      <c r="AI31" s="3">
        <v>12.8</v>
      </c>
      <c r="AJ31" s="3">
        <v>9.6999999999999993</v>
      </c>
      <c r="AK31" s="3">
        <v>11.8</v>
      </c>
      <c r="AL31" s="7">
        <v>11.5</v>
      </c>
      <c r="AM31" s="6">
        <v>12.25</v>
      </c>
      <c r="AN31" s="3">
        <v>9.3000000000000007</v>
      </c>
      <c r="AO31" s="3">
        <v>10.7</v>
      </c>
      <c r="AP31" s="3">
        <v>12</v>
      </c>
      <c r="AQ31" s="7">
        <v>13.17</v>
      </c>
      <c r="AR31" s="6">
        <v>10.9</v>
      </c>
      <c r="AS31" s="3">
        <v>11.1</v>
      </c>
      <c r="AT31" s="3">
        <v>12.51</v>
      </c>
      <c r="AU31" s="3">
        <v>11.8</v>
      </c>
      <c r="AV31" s="7">
        <v>8.8000000000000007</v>
      </c>
      <c r="AW31" s="6">
        <v>9.5500000000000007</v>
      </c>
      <c r="AX31" s="3">
        <v>8.6999999999999993</v>
      </c>
      <c r="AY31" s="3">
        <v>9.8000000000000007</v>
      </c>
      <c r="AZ31" s="3">
        <v>9.4</v>
      </c>
      <c r="BA31" s="7">
        <v>9.8000000000000007</v>
      </c>
      <c r="BB31" s="6">
        <v>10.8</v>
      </c>
      <c r="BC31" s="3">
        <v>9.9</v>
      </c>
      <c r="BD31" s="3">
        <v>9.5</v>
      </c>
      <c r="BE31" s="3">
        <v>10</v>
      </c>
      <c r="BF31" s="7">
        <v>9.5</v>
      </c>
      <c r="BG31" s="6">
        <v>7</v>
      </c>
      <c r="BH31" s="3">
        <v>8.77</v>
      </c>
      <c r="BI31" s="3">
        <v>10.48</v>
      </c>
      <c r="BJ31" s="3">
        <v>10.15</v>
      </c>
      <c r="BK31" s="7">
        <v>11.13</v>
      </c>
      <c r="BM31" s="32">
        <f t="shared" si="0"/>
        <v>10.932499999999997</v>
      </c>
    </row>
    <row r="32" spans="2:65" x14ac:dyDescent="0.2">
      <c r="B32" s="437"/>
      <c r="C32" s="31">
        <v>2015</v>
      </c>
      <c r="D32" s="6">
        <v>10.64</v>
      </c>
      <c r="E32" s="3">
        <v>9.25</v>
      </c>
      <c r="F32" s="3">
        <v>9.8000000000000007</v>
      </c>
      <c r="G32" s="3">
        <v>9.7100000000000009</v>
      </c>
      <c r="H32" s="7">
        <v>10.11</v>
      </c>
      <c r="I32" s="6">
        <v>5</v>
      </c>
      <c r="J32" s="3">
        <v>9.1</v>
      </c>
      <c r="K32" s="3">
        <v>9.6</v>
      </c>
      <c r="L32" s="3">
        <v>5.6</v>
      </c>
      <c r="M32" s="7">
        <v>8.2799999999999994</v>
      </c>
      <c r="N32" s="6">
        <v>8.5</v>
      </c>
      <c r="O32" s="3">
        <v>9.14</v>
      </c>
      <c r="P32" s="3">
        <v>9.42</v>
      </c>
      <c r="Q32" s="3">
        <v>7.5</v>
      </c>
      <c r="R32" s="7">
        <v>7.8</v>
      </c>
      <c r="S32" s="6">
        <v>6.24</v>
      </c>
      <c r="T32" s="3">
        <v>6.79</v>
      </c>
      <c r="U32" s="3">
        <v>8.65</v>
      </c>
      <c r="V32" s="3">
        <v>8.23</v>
      </c>
      <c r="W32" s="7">
        <v>8</v>
      </c>
      <c r="X32" s="6">
        <v>8.64</v>
      </c>
      <c r="Y32" s="3">
        <v>7.7</v>
      </c>
      <c r="Z32" s="3">
        <v>8.1199999999999992</v>
      </c>
      <c r="AA32" s="3">
        <v>6.5</v>
      </c>
      <c r="AB32" s="7">
        <v>6.9</v>
      </c>
      <c r="AC32" s="6">
        <v>7.3</v>
      </c>
      <c r="AD32" s="3">
        <v>8.74</v>
      </c>
      <c r="AE32" s="3">
        <v>8.4700000000000006</v>
      </c>
      <c r="AF32" s="3">
        <v>7.82</v>
      </c>
      <c r="AG32" s="7">
        <v>6.81</v>
      </c>
      <c r="AH32" s="6">
        <v>7.65</v>
      </c>
      <c r="AI32" s="3">
        <v>7.61</v>
      </c>
      <c r="AJ32" s="3">
        <v>7.06</v>
      </c>
      <c r="AK32" s="3">
        <v>7.65</v>
      </c>
      <c r="AL32" s="7">
        <v>7.58</v>
      </c>
      <c r="AM32" s="6">
        <v>6.31</v>
      </c>
      <c r="AN32" s="3">
        <v>6.56</v>
      </c>
      <c r="AO32" s="3">
        <v>6.64</v>
      </c>
      <c r="AP32" s="3">
        <v>5.63</v>
      </c>
      <c r="AQ32" s="7">
        <v>4.8</v>
      </c>
      <c r="AR32" s="6">
        <v>7.96</v>
      </c>
      <c r="AS32" s="3">
        <v>6.93</v>
      </c>
      <c r="AT32" s="3">
        <v>8.2799999999999994</v>
      </c>
      <c r="AU32" s="3">
        <v>8.86</v>
      </c>
      <c r="AV32" s="7">
        <v>7</v>
      </c>
      <c r="AW32" s="6">
        <v>7.22</v>
      </c>
      <c r="AX32" s="3">
        <v>7.62</v>
      </c>
      <c r="AY32" s="3">
        <v>6.7</v>
      </c>
      <c r="AZ32" s="3">
        <v>8</v>
      </c>
      <c r="BA32" s="7">
        <v>8.8800000000000008</v>
      </c>
      <c r="BB32" s="6">
        <v>6.94</v>
      </c>
      <c r="BC32" s="3">
        <v>6.16</v>
      </c>
      <c r="BD32" s="3">
        <v>7.44</v>
      </c>
      <c r="BE32" s="3">
        <v>7.13</v>
      </c>
      <c r="BF32" s="7">
        <v>7.25</v>
      </c>
      <c r="BG32" s="6">
        <v>7.88</v>
      </c>
      <c r="BH32" s="3">
        <v>7.66</v>
      </c>
      <c r="BI32" s="3">
        <v>7.87</v>
      </c>
      <c r="BJ32" s="3">
        <v>5.4</v>
      </c>
      <c r="BK32" s="7">
        <v>7.85</v>
      </c>
      <c r="BM32" s="32">
        <f t="shared" si="0"/>
        <v>7.6813333333333329</v>
      </c>
    </row>
    <row r="33" spans="1:71" ht="13.5" thickBot="1" x14ac:dyDescent="0.25">
      <c r="B33" s="439"/>
      <c r="C33" s="31">
        <v>2016</v>
      </c>
      <c r="D33" s="8">
        <v>7.32</v>
      </c>
      <c r="E33" s="9">
        <v>10.5</v>
      </c>
      <c r="F33" s="9">
        <v>5.75</v>
      </c>
      <c r="G33" s="9">
        <v>7</v>
      </c>
      <c r="H33" s="10">
        <v>7.13</v>
      </c>
      <c r="I33" s="8">
        <v>7.65</v>
      </c>
      <c r="J33" s="9">
        <v>8.3800000000000008</v>
      </c>
      <c r="K33" s="9">
        <v>8.64</v>
      </c>
      <c r="L33" s="9">
        <v>7.81</v>
      </c>
      <c r="M33" s="10">
        <v>7.65</v>
      </c>
      <c r="N33" s="8">
        <v>7.4</v>
      </c>
      <c r="O33" s="9">
        <v>8.31</v>
      </c>
      <c r="P33" s="9">
        <v>8.74</v>
      </c>
      <c r="Q33" s="9">
        <v>9.69</v>
      </c>
      <c r="R33" s="10">
        <v>7.93</v>
      </c>
      <c r="S33" s="8">
        <v>7.58</v>
      </c>
      <c r="T33" s="9">
        <v>7.6</v>
      </c>
      <c r="U33" s="9">
        <v>7.93</v>
      </c>
      <c r="V33" s="9">
        <v>7.57</v>
      </c>
      <c r="W33" s="10">
        <v>8.0500000000000007</v>
      </c>
      <c r="X33" s="8">
        <v>5.37</v>
      </c>
      <c r="Y33" s="9">
        <v>9.16</v>
      </c>
      <c r="Z33" s="9">
        <v>8.73</v>
      </c>
      <c r="AA33" s="9">
        <v>8.6</v>
      </c>
      <c r="AB33" s="10">
        <v>7.68</v>
      </c>
      <c r="AC33" s="8">
        <v>8.81</v>
      </c>
      <c r="AD33" s="9">
        <v>8.32</v>
      </c>
      <c r="AE33" s="9">
        <v>8.7799999999999994</v>
      </c>
      <c r="AF33" s="9">
        <v>8.85</v>
      </c>
      <c r="AG33" s="10">
        <v>8.7100000000000009</v>
      </c>
      <c r="AH33" s="8">
        <v>7.76</v>
      </c>
      <c r="AI33" s="9">
        <v>8.3800000000000008</v>
      </c>
      <c r="AJ33" s="9">
        <v>10.74</v>
      </c>
      <c r="AK33" s="9">
        <v>9.61</v>
      </c>
      <c r="AL33" s="10">
        <v>6.2</v>
      </c>
      <c r="AM33" s="8">
        <v>10.71</v>
      </c>
      <c r="AN33" s="9">
        <v>9.48</v>
      </c>
      <c r="AO33" s="9">
        <v>9.19</v>
      </c>
      <c r="AP33" s="9">
        <v>10.02</v>
      </c>
      <c r="AQ33" s="10">
        <v>11.02</v>
      </c>
      <c r="AR33" s="8">
        <v>11.31</v>
      </c>
      <c r="AS33" s="9">
        <v>11.92</v>
      </c>
      <c r="AT33" s="9">
        <v>9.8000000000000007</v>
      </c>
      <c r="AU33" s="9">
        <v>10.5</v>
      </c>
      <c r="AV33" s="10">
        <v>9.9499999999999993</v>
      </c>
      <c r="AW33" s="8">
        <v>8.1300000000000008</v>
      </c>
      <c r="AX33" s="9">
        <v>10.210000000000001</v>
      </c>
      <c r="AY33" s="9">
        <v>10.42</v>
      </c>
      <c r="AZ33" s="9">
        <v>9.85</v>
      </c>
      <c r="BA33" s="10">
        <v>10.77</v>
      </c>
      <c r="BB33" s="8">
        <v>9.19</v>
      </c>
      <c r="BC33" s="9">
        <v>11.61</v>
      </c>
      <c r="BD33" s="9">
        <v>9.84</v>
      </c>
      <c r="BE33" s="9">
        <v>9.84</v>
      </c>
      <c r="BF33" s="10">
        <v>7.75</v>
      </c>
      <c r="BG33" s="8"/>
      <c r="BH33" s="9"/>
      <c r="BI33" s="9"/>
      <c r="BJ33" s="9"/>
      <c r="BK33" s="10"/>
      <c r="BM33" s="32">
        <f>AVERAGE(D33:BK33)</f>
        <v>8.8334545454545452</v>
      </c>
    </row>
    <row r="34" spans="1:71" x14ac:dyDescent="0.2">
      <c r="BO34" s="34">
        <v>2012</v>
      </c>
      <c r="BP34" s="35">
        <f>(BM5+BM13+BM21+BM29)/4</f>
        <v>9.2139124614791967</v>
      </c>
      <c r="BQ34" s="36"/>
      <c r="BR34" s="36"/>
      <c r="BS34" s="37"/>
    </row>
    <row r="35" spans="1:71" x14ac:dyDescent="0.2">
      <c r="BO35" s="38">
        <v>2013</v>
      </c>
      <c r="BP35" s="39">
        <f>(BM6+BM14+BM22+BM30)/4</f>
        <v>10.19627164913306</v>
      </c>
      <c r="BQ35" s="40"/>
      <c r="BR35" s="40"/>
      <c r="BS35" s="41"/>
    </row>
    <row r="36" spans="1:71" x14ac:dyDescent="0.2">
      <c r="BO36" s="38">
        <v>2014</v>
      </c>
      <c r="BP36" s="39">
        <f>(BM7+BM15+BM23+BM31)/4</f>
        <v>10.101395833333331</v>
      </c>
      <c r="BQ36" s="40"/>
      <c r="BR36" s="40"/>
      <c r="BS36" s="41"/>
    </row>
    <row r="37" spans="1:71" x14ac:dyDescent="0.2">
      <c r="BO37" s="38">
        <v>2015</v>
      </c>
      <c r="BP37" s="39">
        <f>(BM8+BM16+BM24+BM32)/4</f>
        <v>7.0034075203252026</v>
      </c>
      <c r="BQ37" s="40"/>
      <c r="BR37" s="40"/>
      <c r="BS37" s="41"/>
    </row>
    <row r="38" spans="1:71" ht="13.5" thickBot="1" x14ac:dyDescent="0.25">
      <c r="BO38" s="38">
        <v>2016</v>
      </c>
      <c r="BP38" s="39">
        <f>(BM9+BM17+BM25+BM33)/4</f>
        <v>7.5733435828877003</v>
      </c>
      <c r="BQ38" s="40"/>
      <c r="BR38" s="40"/>
      <c r="BS38" s="41"/>
    </row>
    <row r="39" spans="1:71" x14ac:dyDescent="0.2">
      <c r="BO39" s="34">
        <v>2012</v>
      </c>
      <c r="BP39" s="36">
        <v>2013</v>
      </c>
      <c r="BQ39" s="36">
        <v>2014</v>
      </c>
      <c r="BR39" s="36">
        <v>2015</v>
      </c>
      <c r="BS39" s="37">
        <v>2016</v>
      </c>
    </row>
    <row r="40" spans="1:71" ht="13.5" thickBot="1" x14ac:dyDescent="0.25">
      <c r="BN40" s="2" t="s">
        <v>109</v>
      </c>
      <c r="BO40" s="42">
        <f>BP34*1000</f>
        <v>9213.9124614791963</v>
      </c>
      <c r="BP40" s="43">
        <f>BP35*1000</f>
        <v>10196.271649133059</v>
      </c>
      <c r="BQ40" s="43">
        <f>BP36*1000</f>
        <v>10101.395833333332</v>
      </c>
      <c r="BR40" s="43">
        <f>BP37*1000</f>
        <v>7003.4075203252023</v>
      </c>
      <c r="BS40" s="44">
        <f>BP38*1000</f>
        <v>7573.3435828877</v>
      </c>
    </row>
    <row r="42" spans="1:71" s="45" customFormat="1" x14ac:dyDescent="0.2"/>
    <row r="45" spans="1:71" ht="13.5" thickBot="1" x14ac:dyDescent="0.25">
      <c r="A45" s="1" t="s">
        <v>8</v>
      </c>
    </row>
    <row r="46" spans="1:71" x14ac:dyDescent="0.2">
      <c r="B46" s="4" t="s">
        <v>123</v>
      </c>
      <c r="C46" s="30"/>
      <c r="D46" s="431" t="s">
        <v>15</v>
      </c>
      <c r="E46" s="432"/>
      <c r="F46" s="432"/>
      <c r="G46" s="432"/>
      <c r="H46" s="433"/>
      <c r="I46" s="431" t="s">
        <v>16</v>
      </c>
      <c r="J46" s="432"/>
      <c r="K46" s="432"/>
      <c r="L46" s="432"/>
      <c r="M46" s="433"/>
      <c r="N46" s="431" t="s">
        <v>124</v>
      </c>
      <c r="O46" s="432"/>
      <c r="P46" s="432"/>
      <c r="Q46" s="432"/>
      <c r="R46" s="433"/>
      <c r="S46" s="431" t="s">
        <v>125</v>
      </c>
      <c r="T46" s="432"/>
      <c r="U46" s="432"/>
      <c r="V46" s="432"/>
      <c r="W46" s="433"/>
      <c r="X46" s="431" t="s">
        <v>17</v>
      </c>
      <c r="Y46" s="432"/>
      <c r="Z46" s="432"/>
      <c r="AA46" s="432"/>
      <c r="AB46" s="433"/>
      <c r="AC46" s="431" t="s">
        <v>18</v>
      </c>
      <c r="AD46" s="432"/>
      <c r="AE46" s="432"/>
      <c r="AF46" s="432"/>
      <c r="AG46" s="433"/>
      <c r="AH46" s="431" t="s">
        <v>126</v>
      </c>
      <c r="AI46" s="432"/>
      <c r="AJ46" s="432"/>
      <c r="AK46" s="432"/>
      <c r="AL46" s="433"/>
      <c r="AM46" s="431" t="s">
        <v>19</v>
      </c>
      <c r="AN46" s="432"/>
      <c r="AO46" s="432"/>
      <c r="AP46" s="432"/>
      <c r="AQ46" s="433"/>
      <c r="AR46" s="431" t="s">
        <v>127</v>
      </c>
      <c r="AS46" s="432"/>
      <c r="AT46" s="432"/>
      <c r="AU46" s="432"/>
      <c r="AV46" s="433"/>
      <c r="AW46" s="431" t="s">
        <v>20</v>
      </c>
      <c r="AX46" s="432"/>
      <c r="AY46" s="432"/>
      <c r="AZ46" s="432"/>
      <c r="BA46" s="433"/>
      <c r="BB46" s="431" t="s">
        <v>21</v>
      </c>
      <c r="BC46" s="432"/>
      <c r="BD46" s="432"/>
      <c r="BE46" s="432"/>
      <c r="BF46" s="433"/>
      <c r="BG46" s="431" t="s">
        <v>22</v>
      </c>
      <c r="BH46" s="432"/>
      <c r="BI46" s="432"/>
      <c r="BJ46" s="432"/>
      <c r="BK46" s="433"/>
      <c r="BO46" s="34">
        <v>2012</v>
      </c>
      <c r="BP46" s="36">
        <v>2013</v>
      </c>
      <c r="BQ46" s="36">
        <v>2014</v>
      </c>
      <c r="BR46" s="36">
        <v>2015</v>
      </c>
      <c r="BS46" s="37">
        <v>2016</v>
      </c>
    </row>
    <row r="47" spans="1:71" ht="13.5" thickBot="1" x14ac:dyDescent="0.25">
      <c r="B47" s="436" t="s">
        <v>129</v>
      </c>
      <c r="C47" s="33">
        <v>2012</v>
      </c>
      <c r="D47" s="6"/>
      <c r="E47" s="3"/>
      <c r="F47" s="3"/>
      <c r="G47" s="3"/>
      <c r="H47" s="7"/>
      <c r="I47" s="6"/>
      <c r="J47" s="3"/>
      <c r="K47" s="3"/>
      <c r="L47" s="3"/>
      <c r="M47" s="7"/>
      <c r="N47" s="6"/>
      <c r="O47" s="3"/>
      <c r="P47" s="3"/>
      <c r="Q47" s="3"/>
      <c r="R47" s="7"/>
      <c r="S47" s="6"/>
      <c r="T47" s="3"/>
      <c r="U47" s="3"/>
      <c r="V47" s="3"/>
      <c r="W47" s="7"/>
      <c r="X47" s="6"/>
      <c r="Y47" s="3"/>
      <c r="Z47" s="3"/>
      <c r="AA47" s="3"/>
      <c r="AB47" s="7"/>
      <c r="AC47" s="6"/>
      <c r="AD47" s="3"/>
      <c r="AE47" s="3"/>
      <c r="AF47" s="3">
        <v>67.44</v>
      </c>
      <c r="AG47" s="7">
        <v>35.36</v>
      </c>
      <c r="AH47" s="6">
        <v>73.099999999999994</v>
      </c>
      <c r="AI47" s="3">
        <v>29.92</v>
      </c>
      <c r="AJ47" s="3">
        <v>80.73</v>
      </c>
      <c r="AK47" s="3">
        <v>46.8</v>
      </c>
      <c r="AL47" s="7">
        <v>40.65</v>
      </c>
      <c r="AM47" s="6">
        <v>44.72</v>
      </c>
      <c r="AN47" s="3">
        <v>40.65</v>
      </c>
      <c r="AO47" s="3">
        <v>35.119999999999997</v>
      </c>
      <c r="AP47" s="3">
        <v>69.099999999999994</v>
      </c>
      <c r="AQ47" s="7">
        <v>44.88</v>
      </c>
      <c r="AR47" s="6">
        <v>40.65</v>
      </c>
      <c r="AS47" s="3">
        <v>38.5</v>
      </c>
      <c r="AT47" s="3">
        <v>60.16</v>
      </c>
      <c r="AU47" s="3">
        <v>42.58</v>
      </c>
      <c r="AV47" s="7">
        <v>24.84</v>
      </c>
      <c r="AW47" s="6">
        <v>31.53</v>
      </c>
      <c r="AX47" s="3">
        <v>56.42</v>
      </c>
      <c r="AY47" s="3">
        <v>40.65</v>
      </c>
      <c r="AZ47" s="3">
        <v>83.63</v>
      </c>
      <c r="BA47" s="7">
        <v>33.659999999999997</v>
      </c>
      <c r="BB47" s="6">
        <v>49</v>
      </c>
      <c r="BC47" s="3">
        <v>58.54</v>
      </c>
      <c r="BD47" s="3">
        <v>43.3</v>
      </c>
      <c r="BE47" s="3">
        <v>26.2</v>
      </c>
      <c r="BF47" s="7">
        <v>49.8</v>
      </c>
      <c r="BG47" s="6">
        <v>41.68</v>
      </c>
      <c r="BH47" s="3">
        <v>68</v>
      </c>
      <c r="BI47" s="3">
        <v>70.760000000000005</v>
      </c>
      <c r="BJ47" s="3">
        <v>86.19</v>
      </c>
      <c r="BK47" s="7">
        <v>40.32</v>
      </c>
      <c r="BM47" s="32">
        <f>AVERAGE(D47:BK47)</f>
        <v>49.839999999999996</v>
      </c>
      <c r="BN47" s="2" t="s">
        <v>109</v>
      </c>
      <c r="BO47" s="42">
        <f>BM47*1000</f>
        <v>49839.999999999993</v>
      </c>
      <c r="BP47" s="43">
        <f>BM48*1000</f>
        <v>56141</v>
      </c>
      <c r="BQ47" s="43">
        <f>BM49*1000</f>
        <v>44661.63636363636</v>
      </c>
      <c r="BR47" s="43">
        <f>BM50*1000</f>
        <v>42300.370370370365</v>
      </c>
      <c r="BS47" s="44">
        <f>BM51*1000</f>
        <v>35080.727272727279</v>
      </c>
    </row>
    <row r="48" spans="1:71" x14ac:dyDescent="0.2">
      <c r="B48" s="437"/>
      <c r="C48" s="33">
        <v>2013</v>
      </c>
      <c r="D48" s="6">
        <v>108.68</v>
      </c>
      <c r="E48" s="3">
        <v>112.61</v>
      </c>
      <c r="F48" s="3">
        <v>100.3</v>
      </c>
      <c r="G48" s="3">
        <v>108.16</v>
      </c>
      <c r="H48" s="7">
        <v>120.39</v>
      </c>
      <c r="I48" s="6">
        <v>109.12</v>
      </c>
      <c r="J48" s="3">
        <v>69.05</v>
      </c>
      <c r="K48" s="3">
        <v>60.79</v>
      </c>
      <c r="L48" s="3">
        <v>44.69</v>
      </c>
      <c r="M48" s="7">
        <v>60.74</v>
      </c>
      <c r="N48" s="6">
        <v>47.68</v>
      </c>
      <c r="O48" s="3">
        <v>59.3</v>
      </c>
      <c r="P48" s="3">
        <v>49.29</v>
      </c>
      <c r="Q48" s="3">
        <v>48.3</v>
      </c>
      <c r="R48" s="7">
        <v>59.78</v>
      </c>
      <c r="S48" s="6">
        <v>88.94</v>
      </c>
      <c r="T48" s="3">
        <v>63.56</v>
      </c>
      <c r="U48" s="3">
        <v>57.39</v>
      </c>
      <c r="V48" s="3">
        <v>49.64</v>
      </c>
      <c r="W48" s="7">
        <v>58.39</v>
      </c>
      <c r="X48" s="6">
        <v>38.43</v>
      </c>
      <c r="Y48" s="3">
        <v>67.739999999999995</v>
      </c>
      <c r="Z48" s="3">
        <v>70.3</v>
      </c>
      <c r="AA48" s="3">
        <v>66.95</v>
      </c>
      <c r="AB48" s="7">
        <v>40.56</v>
      </c>
      <c r="AC48" s="6">
        <v>65.900000000000006</v>
      </c>
      <c r="AD48" s="3">
        <v>70.900000000000006</v>
      </c>
      <c r="AE48" s="3">
        <v>48.14</v>
      </c>
      <c r="AF48" s="3">
        <v>73.11</v>
      </c>
      <c r="AG48" s="7">
        <v>62.56</v>
      </c>
      <c r="AH48" s="6">
        <v>38.17</v>
      </c>
      <c r="AI48" s="3">
        <v>25.95</v>
      </c>
      <c r="AJ48" s="3">
        <v>32.79</v>
      </c>
      <c r="AK48" s="3">
        <v>77.12</v>
      </c>
      <c r="AL48" s="7">
        <v>48.96</v>
      </c>
      <c r="AM48" s="6">
        <v>58.7</v>
      </c>
      <c r="AN48" s="3">
        <v>66.14</v>
      </c>
      <c r="AO48" s="3">
        <v>54.8</v>
      </c>
      <c r="AP48" s="3">
        <v>61.72</v>
      </c>
      <c r="AQ48" s="7">
        <v>62.45</v>
      </c>
      <c r="AR48" s="6">
        <v>60.32</v>
      </c>
      <c r="AS48" s="3">
        <v>29.08</v>
      </c>
      <c r="AT48" s="3">
        <v>59.93</v>
      </c>
      <c r="AU48" s="3">
        <v>70.650000000000006</v>
      </c>
      <c r="AV48" s="7">
        <v>51.41</v>
      </c>
      <c r="AW48" s="6">
        <v>46.53</v>
      </c>
      <c r="AX48" s="3">
        <v>50.47</v>
      </c>
      <c r="AY48" s="3">
        <v>31.82</v>
      </c>
      <c r="AZ48" s="3">
        <v>31.82</v>
      </c>
      <c r="BA48" s="7">
        <v>30.31</v>
      </c>
      <c r="BB48" s="6">
        <v>31.05</v>
      </c>
      <c r="BC48" s="3">
        <v>30.26</v>
      </c>
      <c r="BD48" s="3">
        <v>21.91</v>
      </c>
      <c r="BE48" s="3">
        <v>25.28</v>
      </c>
      <c r="BF48" s="7">
        <v>28.61</v>
      </c>
      <c r="BG48" s="6">
        <v>40.39</v>
      </c>
      <c r="BH48" s="3">
        <v>17.29</v>
      </c>
      <c r="BI48" s="3">
        <v>31.1</v>
      </c>
      <c r="BJ48" s="3">
        <v>37.97</v>
      </c>
      <c r="BK48" s="7">
        <v>34.07</v>
      </c>
      <c r="BM48" s="32">
        <f>AVERAGE(D48:BK48)</f>
        <v>56.140999999999998</v>
      </c>
    </row>
    <row r="49" spans="1:71" x14ac:dyDescent="0.2">
      <c r="B49" s="437"/>
      <c r="C49" s="33">
        <v>2014</v>
      </c>
      <c r="D49" s="6">
        <v>42.3</v>
      </c>
      <c r="E49" s="3">
        <v>25.88</v>
      </c>
      <c r="F49" s="3">
        <v>25.88</v>
      </c>
      <c r="G49" s="3">
        <v>37.909999999999997</v>
      </c>
      <c r="H49" s="7">
        <v>26.71</v>
      </c>
      <c r="I49" s="6"/>
      <c r="J49" s="3"/>
      <c r="K49" s="3"/>
      <c r="L49" s="3"/>
      <c r="M49" s="7"/>
      <c r="N49" s="6">
        <v>20.29</v>
      </c>
      <c r="O49" s="3">
        <v>38.9</v>
      </c>
      <c r="P49" s="3">
        <v>37.97</v>
      </c>
      <c r="Q49" s="3">
        <v>31.39</v>
      </c>
      <c r="R49" s="7">
        <v>19.8</v>
      </c>
      <c r="S49" s="6">
        <v>33.67</v>
      </c>
      <c r="T49" s="3">
        <v>50.64</v>
      </c>
      <c r="U49" s="3">
        <v>32.9</v>
      </c>
      <c r="V49" s="3">
        <v>35.1</v>
      </c>
      <c r="W49" s="7">
        <v>39.549999999999997</v>
      </c>
      <c r="X49" s="6">
        <v>36.4</v>
      </c>
      <c r="Y49" s="3">
        <v>43.79</v>
      </c>
      <c r="Z49" s="3">
        <v>34.06</v>
      </c>
      <c r="AA49" s="3">
        <v>41.66</v>
      </c>
      <c r="AB49" s="7">
        <v>59.27</v>
      </c>
      <c r="AC49" s="6">
        <v>43.55</v>
      </c>
      <c r="AD49" s="3">
        <v>43.97</v>
      </c>
      <c r="AE49" s="3">
        <v>72.8</v>
      </c>
      <c r="AF49" s="3">
        <v>47.81</v>
      </c>
      <c r="AG49" s="7">
        <v>68.930000000000007</v>
      </c>
      <c r="AH49" s="6">
        <v>45.82</v>
      </c>
      <c r="AI49" s="3">
        <v>41.62</v>
      </c>
      <c r="AJ49" s="3">
        <v>65.78</v>
      </c>
      <c r="AK49" s="3">
        <v>40.270000000000003</v>
      </c>
      <c r="AL49" s="7">
        <v>84.21</v>
      </c>
      <c r="AM49" s="6">
        <v>47.68</v>
      </c>
      <c r="AN49" s="3">
        <v>47.3</v>
      </c>
      <c r="AO49" s="3">
        <v>50.53</v>
      </c>
      <c r="AP49" s="3">
        <v>51.3</v>
      </c>
      <c r="AQ49" s="7">
        <v>50.34</v>
      </c>
      <c r="AR49" s="6">
        <v>46.8</v>
      </c>
      <c r="AS49" s="3">
        <v>51.72</v>
      </c>
      <c r="AT49" s="3">
        <v>51.21</v>
      </c>
      <c r="AU49" s="3">
        <v>48.7</v>
      </c>
      <c r="AV49" s="7">
        <v>36.33</v>
      </c>
      <c r="AW49" s="6">
        <v>43.93</v>
      </c>
      <c r="AX49" s="3">
        <v>43.93</v>
      </c>
      <c r="AY49" s="3">
        <v>56.52</v>
      </c>
      <c r="AZ49" s="3">
        <v>35.590000000000003</v>
      </c>
      <c r="BA49" s="7">
        <v>47.45</v>
      </c>
      <c r="BB49" s="6">
        <v>47.12</v>
      </c>
      <c r="BC49" s="3">
        <v>43.14</v>
      </c>
      <c r="BD49" s="3">
        <v>87.61</v>
      </c>
      <c r="BE49" s="3">
        <v>56.86</v>
      </c>
      <c r="BF49" s="7">
        <v>45.85</v>
      </c>
      <c r="BG49" s="6">
        <v>21.63</v>
      </c>
      <c r="BH49" s="3">
        <v>27.46</v>
      </c>
      <c r="BI49" s="3">
        <v>26.4</v>
      </c>
      <c r="BJ49" s="3">
        <v>83.5</v>
      </c>
      <c r="BK49" s="7">
        <v>38.659999999999997</v>
      </c>
      <c r="BM49" s="32">
        <f>AVERAGE(D49:BK49)</f>
        <v>44.661636363636362</v>
      </c>
    </row>
    <row r="50" spans="1:71" x14ac:dyDescent="0.2">
      <c r="B50" s="437"/>
      <c r="C50" s="33">
        <v>2015</v>
      </c>
      <c r="D50" s="6">
        <v>43.91</v>
      </c>
      <c r="E50" s="3">
        <v>33.340000000000003</v>
      </c>
      <c r="F50" s="3">
        <v>41.01</v>
      </c>
      <c r="G50" s="3">
        <v>49.25</v>
      </c>
      <c r="H50" s="7">
        <v>52.18</v>
      </c>
      <c r="I50" s="6">
        <v>62.76</v>
      </c>
      <c r="J50" s="3">
        <v>36.700000000000003</v>
      </c>
      <c r="K50" s="3">
        <v>36.700000000000003</v>
      </c>
      <c r="L50" s="3">
        <v>36.67</v>
      </c>
      <c r="M50" s="7">
        <v>36.67</v>
      </c>
      <c r="N50" s="6">
        <v>53.86</v>
      </c>
      <c r="O50" s="3">
        <v>53.86</v>
      </c>
      <c r="P50" s="3">
        <v>51.86</v>
      </c>
      <c r="Q50" s="3">
        <v>49.84</v>
      </c>
      <c r="R50" s="7">
        <v>63</v>
      </c>
      <c r="S50" s="6">
        <v>25.37</v>
      </c>
      <c r="T50" s="3">
        <v>34.06</v>
      </c>
      <c r="U50" s="3">
        <v>47.11</v>
      </c>
      <c r="V50" s="3">
        <v>81.39</v>
      </c>
      <c r="W50" s="7">
        <v>46.15</v>
      </c>
      <c r="X50" s="6"/>
      <c r="Y50" s="3"/>
      <c r="Z50" s="3"/>
      <c r="AA50" s="3"/>
      <c r="AB50" s="7"/>
      <c r="AC50" s="6">
        <v>37.1</v>
      </c>
      <c r="AD50" s="3">
        <v>24</v>
      </c>
      <c r="AE50" s="3">
        <v>33.200000000000003</v>
      </c>
      <c r="AF50" s="3">
        <v>50.7</v>
      </c>
      <c r="AG50" s="7"/>
      <c r="AH50" s="6">
        <v>53.64</v>
      </c>
      <c r="AI50" s="3">
        <v>53.27</v>
      </c>
      <c r="AJ50" s="3">
        <v>40.4</v>
      </c>
      <c r="AK50" s="3">
        <v>29.7</v>
      </c>
      <c r="AL50" s="7">
        <v>47.5</v>
      </c>
      <c r="AM50" s="6">
        <v>59.2</v>
      </c>
      <c r="AN50" s="3">
        <v>45.1</v>
      </c>
      <c r="AO50" s="3">
        <v>49.02</v>
      </c>
      <c r="AP50" s="3">
        <v>39.799999999999997</v>
      </c>
      <c r="AQ50" s="7">
        <v>60.7</v>
      </c>
      <c r="AR50" s="6">
        <v>53</v>
      </c>
      <c r="AS50" s="3">
        <v>40</v>
      </c>
      <c r="AT50" s="3">
        <v>43.5</v>
      </c>
      <c r="AU50" s="3">
        <v>32.700000000000003</v>
      </c>
      <c r="AV50" s="7">
        <v>32.200000000000003</v>
      </c>
      <c r="AW50" s="6">
        <v>29.1</v>
      </c>
      <c r="AX50" s="3">
        <v>38.299999999999997</v>
      </c>
      <c r="AY50" s="3">
        <v>40.200000000000003</v>
      </c>
      <c r="AZ50" s="3">
        <v>35.9</v>
      </c>
      <c r="BA50" s="7">
        <v>38.799999999999997</v>
      </c>
      <c r="BB50" s="6">
        <v>38.200000000000003</v>
      </c>
      <c r="BC50" s="3">
        <v>34.6</v>
      </c>
      <c r="BD50" s="3">
        <v>34.700000000000003</v>
      </c>
      <c r="BE50" s="3">
        <v>35.700000000000003</v>
      </c>
      <c r="BF50" s="7">
        <v>34.6</v>
      </c>
      <c r="BG50" s="6">
        <v>36.1</v>
      </c>
      <c r="BH50" s="3">
        <v>35.200000000000003</v>
      </c>
      <c r="BI50" s="3">
        <v>21.1</v>
      </c>
      <c r="BJ50" s="3">
        <v>35</v>
      </c>
      <c r="BK50" s="7">
        <v>36.299999999999997</v>
      </c>
      <c r="BM50" s="32">
        <f>AVERAGE(D50:BK50)</f>
        <v>42.300370370370366</v>
      </c>
    </row>
    <row r="51" spans="1:71" ht="13.5" thickBot="1" x14ac:dyDescent="0.25">
      <c r="B51" s="438"/>
      <c r="C51" s="3">
        <v>2016</v>
      </c>
      <c r="D51" s="8">
        <v>21.7</v>
      </c>
      <c r="E51" s="9">
        <v>36.200000000000003</v>
      </c>
      <c r="F51" s="9">
        <v>27.6</v>
      </c>
      <c r="G51" s="9">
        <v>34.200000000000003</v>
      </c>
      <c r="H51" s="10">
        <v>34.200000000000003</v>
      </c>
      <c r="I51" s="8">
        <v>31.1</v>
      </c>
      <c r="J51" s="9">
        <v>54</v>
      </c>
      <c r="K51" s="9">
        <v>53.8</v>
      </c>
      <c r="L51" s="9">
        <v>53.8</v>
      </c>
      <c r="M51" s="10">
        <v>40.700000000000003</v>
      </c>
      <c r="N51" s="8">
        <v>15.9</v>
      </c>
      <c r="O51" s="9">
        <v>36</v>
      </c>
      <c r="P51" s="9">
        <v>20.61</v>
      </c>
      <c r="Q51" s="9">
        <v>39.5</v>
      </c>
      <c r="R51" s="10">
        <v>37.15</v>
      </c>
      <c r="S51" s="8">
        <v>38.1</v>
      </c>
      <c r="T51" s="9">
        <v>34.1</v>
      </c>
      <c r="U51" s="9">
        <v>47.7</v>
      </c>
      <c r="V51" s="9">
        <v>44.5</v>
      </c>
      <c r="W51" s="10">
        <v>45.7</v>
      </c>
      <c r="X51" s="8">
        <v>35.6</v>
      </c>
      <c r="Y51" s="9">
        <v>40</v>
      </c>
      <c r="Z51" s="9">
        <v>48.5</v>
      </c>
      <c r="AA51" s="9">
        <v>51.8</v>
      </c>
      <c r="AB51" s="10">
        <v>52.9</v>
      </c>
      <c r="AC51" s="8">
        <v>37.700000000000003</v>
      </c>
      <c r="AD51" s="9">
        <v>33.1</v>
      </c>
      <c r="AE51" s="9">
        <v>35.6</v>
      </c>
      <c r="AF51" s="9">
        <v>30.3</v>
      </c>
      <c r="AG51" s="10">
        <v>34.1</v>
      </c>
      <c r="AH51" s="8">
        <v>37.380000000000003</v>
      </c>
      <c r="AI51" s="9">
        <v>34.700000000000003</v>
      </c>
      <c r="AJ51" s="9">
        <v>34.1</v>
      </c>
      <c r="AK51" s="9">
        <v>18.2</v>
      </c>
      <c r="AL51" s="10">
        <v>36.200000000000003</v>
      </c>
      <c r="AM51" s="8">
        <v>44</v>
      </c>
      <c r="AN51" s="9">
        <v>15.5</v>
      </c>
      <c r="AO51" s="9">
        <v>50.9</v>
      </c>
      <c r="AP51" s="9">
        <v>45.9</v>
      </c>
      <c r="AQ51" s="10">
        <v>51.2</v>
      </c>
      <c r="AR51" s="8">
        <v>30.4</v>
      </c>
      <c r="AS51" s="9">
        <v>29.4</v>
      </c>
      <c r="AT51" s="9">
        <v>24.8</v>
      </c>
      <c r="AU51" s="9">
        <v>33.1</v>
      </c>
      <c r="AV51" s="10">
        <v>35.799999999999997</v>
      </c>
      <c r="AW51" s="8">
        <v>24.2</v>
      </c>
      <c r="AX51" s="9">
        <v>23.4</v>
      </c>
      <c r="AY51" s="9">
        <v>24.5</v>
      </c>
      <c r="AZ51" s="9">
        <v>21</v>
      </c>
      <c r="BA51" s="10">
        <v>27.6</v>
      </c>
      <c r="BB51" s="8">
        <v>31.3</v>
      </c>
      <c r="BC51" s="9">
        <v>33.299999999999997</v>
      </c>
      <c r="BD51" s="9">
        <v>29.4</v>
      </c>
      <c r="BE51" s="9">
        <v>22.5</v>
      </c>
      <c r="BF51" s="10">
        <v>24.5</v>
      </c>
      <c r="BG51" s="8"/>
      <c r="BH51" s="9"/>
      <c r="BI51" s="9"/>
      <c r="BJ51" s="9"/>
      <c r="BK51" s="10"/>
      <c r="BM51" s="32">
        <f>AVERAGE(D51:BK51)</f>
        <v>35.08072727272728</v>
      </c>
    </row>
    <row r="52" spans="1:71" x14ac:dyDescent="0.2">
      <c r="B52" s="46"/>
      <c r="C52" s="47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BM52" s="32"/>
    </row>
    <row r="53" spans="1:71" x14ac:dyDescent="0.2">
      <c r="B53" s="46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M53" s="32"/>
    </row>
    <row r="54" spans="1:71" x14ac:dyDescent="0.2">
      <c r="B54" s="46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M54" s="32"/>
    </row>
    <row r="56" spans="1:71" s="45" customFormat="1" x14ac:dyDescent="0.2"/>
    <row r="58" spans="1:71" ht="13.5" thickBot="1" x14ac:dyDescent="0.25">
      <c r="A58" s="1" t="s">
        <v>9</v>
      </c>
    </row>
    <row r="59" spans="1:71" x14ac:dyDescent="0.2">
      <c r="B59" s="4" t="s">
        <v>123</v>
      </c>
      <c r="C59" s="30"/>
      <c r="D59" s="431" t="s">
        <v>15</v>
      </c>
      <c r="E59" s="432"/>
      <c r="F59" s="432"/>
      <c r="G59" s="432"/>
      <c r="H59" s="433"/>
      <c r="I59" s="431" t="s">
        <v>16</v>
      </c>
      <c r="J59" s="432"/>
      <c r="K59" s="432"/>
      <c r="L59" s="432"/>
      <c r="M59" s="433"/>
      <c r="N59" s="431" t="s">
        <v>124</v>
      </c>
      <c r="O59" s="432"/>
      <c r="P59" s="432"/>
      <c r="Q59" s="432"/>
      <c r="R59" s="433"/>
      <c r="S59" s="431" t="s">
        <v>125</v>
      </c>
      <c r="T59" s="432"/>
      <c r="U59" s="432"/>
      <c r="V59" s="432"/>
      <c r="W59" s="433"/>
      <c r="X59" s="431" t="s">
        <v>17</v>
      </c>
      <c r="Y59" s="432"/>
      <c r="Z59" s="432"/>
      <c r="AA59" s="432"/>
      <c r="AB59" s="433"/>
      <c r="AC59" s="431" t="s">
        <v>18</v>
      </c>
      <c r="AD59" s="432"/>
      <c r="AE59" s="432"/>
      <c r="AF59" s="432"/>
      <c r="AG59" s="433"/>
      <c r="AH59" s="431" t="s">
        <v>126</v>
      </c>
      <c r="AI59" s="432"/>
      <c r="AJ59" s="432"/>
      <c r="AK59" s="432"/>
      <c r="AL59" s="433"/>
      <c r="AM59" s="431" t="s">
        <v>19</v>
      </c>
      <c r="AN59" s="432"/>
      <c r="AO59" s="432"/>
      <c r="AP59" s="432"/>
      <c r="AQ59" s="433"/>
      <c r="AR59" s="431" t="s">
        <v>127</v>
      </c>
      <c r="AS59" s="432"/>
      <c r="AT59" s="432"/>
      <c r="AU59" s="432"/>
      <c r="AV59" s="433"/>
      <c r="AW59" s="431" t="s">
        <v>20</v>
      </c>
      <c r="AX59" s="432"/>
      <c r="AY59" s="432"/>
      <c r="AZ59" s="432"/>
      <c r="BA59" s="433"/>
      <c r="BB59" s="431" t="s">
        <v>21</v>
      </c>
      <c r="BC59" s="432"/>
      <c r="BD59" s="432"/>
      <c r="BE59" s="432"/>
      <c r="BF59" s="433"/>
      <c r="BG59" s="431" t="s">
        <v>22</v>
      </c>
      <c r="BH59" s="432"/>
      <c r="BI59" s="432"/>
      <c r="BJ59" s="432"/>
      <c r="BK59" s="433"/>
      <c r="BO59" s="34">
        <v>2012</v>
      </c>
      <c r="BP59" s="36">
        <v>2013</v>
      </c>
      <c r="BQ59" s="36">
        <v>2014</v>
      </c>
      <c r="BR59" s="36">
        <v>2015</v>
      </c>
      <c r="BS59" s="37">
        <v>2016</v>
      </c>
    </row>
    <row r="60" spans="1:71" ht="13.5" thickBot="1" x14ac:dyDescent="0.25">
      <c r="B60" s="434" t="s">
        <v>129</v>
      </c>
      <c r="C60" s="31">
        <v>2012</v>
      </c>
      <c r="D60" s="6"/>
      <c r="E60" s="3"/>
      <c r="F60" s="3"/>
      <c r="G60" s="3"/>
      <c r="H60" s="7"/>
      <c r="I60" s="6"/>
      <c r="J60" s="3"/>
      <c r="K60" s="3"/>
      <c r="L60" s="3"/>
      <c r="M60" s="7"/>
      <c r="N60" s="6">
        <v>13.43</v>
      </c>
      <c r="O60" s="3">
        <v>13.35</v>
      </c>
      <c r="P60" s="3"/>
      <c r="Q60" s="3"/>
      <c r="R60" s="7"/>
      <c r="S60" s="6"/>
      <c r="T60" s="3"/>
      <c r="U60" s="3"/>
      <c r="V60" s="3"/>
      <c r="W60" s="7"/>
      <c r="X60" s="6"/>
      <c r="Y60" s="3"/>
      <c r="Z60" s="3"/>
      <c r="AA60" s="3"/>
      <c r="AB60" s="7"/>
      <c r="AC60" s="6">
        <v>17.670000000000002</v>
      </c>
      <c r="AD60" s="3">
        <v>17.670000000000002</v>
      </c>
      <c r="AE60" s="3">
        <v>14</v>
      </c>
      <c r="AF60" s="3">
        <v>12.35</v>
      </c>
      <c r="AG60" s="7"/>
      <c r="AH60" s="6">
        <v>13.75</v>
      </c>
      <c r="AI60" s="3">
        <v>9.9</v>
      </c>
      <c r="AJ60" s="3">
        <v>11.71</v>
      </c>
      <c r="AK60" s="3">
        <v>14.41</v>
      </c>
      <c r="AL60" s="7">
        <v>14.41</v>
      </c>
      <c r="AM60" s="6">
        <v>8.15</v>
      </c>
      <c r="AN60" s="3">
        <v>9.75</v>
      </c>
      <c r="AO60" s="3">
        <v>9.75</v>
      </c>
      <c r="AP60" s="3">
        <v>11.95</v>
      </c>
      <c r="AQ60" s="7">
        <v>14.76</v>
      </c>
      <c r="AR60" s="6">
        <v>11.57</v>
      </c>
      <c r="AS60" s="3">
        <v>9.4499999999999993</v>
      </c>
      <c r="AT60" s="3">
        <v>19.88</v>
      </c>
      <c r="AU60" s="3">
        <v>12.08</v>
      </c>
      <c r="AV60" s="7">
        <v>20.21</v>
      </c>
      <c r="AW60" s="6">
        <v>10.5</v>
      </c>
      <c r="AX60" s="3">
        <v>12.03</v>
      </c>
      <c r="AY60" s="3">
        <v>11.83</v>
      </c>
      <c r="AZ60" s="3">
        <v>13.05</v>
      </c>
      <c r="BA60" s="7">
        <v>20.059999999999999</v>
      </c>
      <c r="BB60" s="6">
        <v>9.35</v>
      </c>
      <c r="BC60" s="3">
        <v>11.36</v>
      </c>
      <c r="BD60" s="3">
        <v>11.49</v>
      </c>
      <c r="BE60" s="3">
        <v>11.45</v>
      </c>
      <c r="BF60" s="7">
        <v>9.48</v>
      </c>
      <c r="BG60" s="6">
        <v>10.95</v>
      </c>
      <c r="BH60" s="3">
        <v>12.31</v>
      </c>
      <c r="BI60" s="3">
        <v>12.25</v>
      </c>
      <c r="BJ60" s="3">
        <v>12</v>
      </c>
      <c r="BK60" s="7">
        <v>10.25</v>
      </c>
      <c r="BM60" s="32">
        <f>AVERAGE(D60:BK60)</f>
        <v>12.737777777777776</v>
      </c>
      <c r="BN60" s="2" t="s">
        <v>109</v>
      </c>
      <c r="BO60" s="42">
        <f>BM60*1000</f>
        <v>12737.777777777776</v>
      </c>
      <c r="BP60" s="43">
        <f>BM61*1000</f>
        <v>11327.250000000004</v>
      </c>
      <c r="BQ60" s="43">
        <f>BM62*1000</f>
        <v>10091.200000000003</v>
      </c>
      <c r="BR60" s="43">
        <f>BM63*1000</f>
        <v>7377.4999999999991</v>
      </c>
      <c r="BS60" s="44">
        <f>((BM64*1000)+(BM72*1000))/2</f>
        <v>5573.1053459119503</v>
      </c>
    </row>
    <row r="61" spans="1:71" x14ac:dyDescent="0.2">
      <c r="B61" s="434"/>
      <c r="C61" s="31">
        <v>2013</v>
      </c>
      <c r="D61" s="6">
        <v>12.95</v>
      </c>
      <c r="E61" s="3">
        <v>8.66</v>
      </c>
      <c r="F61" s="3">
        <v>10.44</v>
      </c>
      <c r="G61" s="3">
        <v>8.59</v>
      </c>
      <c r="H61" s="7">
        <v>10.45</v>
      </c>
      <c r="I61" s="6">
        <v>10.75</v>
      </c>
      <c r="J61" s="3">
        <v>10.7</v>
      </c>
      <c r="K61" s="3">
        <v>10.25</v>
      </c>
      <c r="L61" s="3">
        <v>9.5500000000000007</v>
      </c>
      <c r="M61" s="7">
        <v>8.4499999999999993</v>
      </c>
      <c r="N61" s="6">
        <v>11.32</v>
      </c>
      <c r="O61" s="3">
        <v>10.45</v>
      </c>
      <c r="P61" s="3">
        <v>8.5</v>
      </c>
      <c r="Q61" s="3">
        <v>8.6999999999999993</v>
      </c>
      <c r="R61" s="7">
        <v>8.6199999999999992</v>
      </c>
      <c r="S61" s="6">
        <v>7.8</v>
      </c>
      <c r="T61" s="3">
        <v>8.8699999999999992</v>
      </c>
      <c r="U61" s="3">
        <v>5.2</v>
      </c>
      <c r="V61" s="3">
        <v>11.86</v>
      </c>
      <c r="W61" s="7">
        <v>10.1</v>
      </c>
      <c r="X61" s="6">
        <v>17.75</v>
      </c>
      <c r="Y61" s="3">
        <v>9.85</v>
      </c>
      <c r="Z61" s="3">
        <v>9.89</v>
      </c>
      <c r="AA61" s="3">
        <v>9.125</v>
      </c>
      <c r="AB61" s="7">
        <v>12.15</v>
      </c>
      <c r="AC61" s="6">
        <v>13.41</v>
      </c>
      <c r="AD61" s="3">
        <v>11.55</v>
      </c>
      <c r="AE61" s="3">
        <v>12.45</v>
      </c>
      <c r="AF61" s="3">
        <v>12.6</v>
      </c>
      <c r="AG61" s="7">
        <v>12.05</v>
      </c>
      <c r="AH61" s="6">
        <v>11.26</v>
      </c>
      <c r="AI61" s="3">
        <v>11.26</v>
      </c>
      <c r="AJ61" s="3">
        <v>11.45</v>
      </c>
      <c r="AK61" s="3">
        <v>14.64</v>
      </c>
      <c r="AL61" s="7">
        <v>12.71</v>
      </c>
      <c r="AM61" s="6">
        <v>11.44</v>
      </c>
      <c r="AN61" s="3">
        <v>10.75</v>
      </c>
      <c r="AO61" s="3">
        <v>15.25</v>
      </c>
      <c r="AP61" s="3">
        <v>11.2</v>
      </c>
      <c r="AQ61" s="7">
        <v>12.6</v>
      </c>
      <c r="AR61" s="6">
        <v>14.45</v>
      </c>
      <c r="AS61" s="3">
        <v>15.5</v>
      </c>
      <c r="AT61" s="3">
        <v>11.08</v>
      </c>
      <c r="AU61" s="3">
        <v>11.36</v>
      </c>
      <c r="AV61" s="7">
        <v>16.52</v>
      </c>
      <c r="AW61" s="6">
        <v>10.91</v>
      </c>
      <c r="AX61" s="3">
        <v>11.84</v>
      </c>
      <c r="AY61" s="3">
        <v>11.84</v>
      </c>
      <c r="AZ61" s="3">
        <v>11.84</v>
      </c>
      <c r="BA61" s="7">
        <v>9.82</v>
      </c>
      <c r="BB61" s="6">
        <v>12.12</v>
      </c>
      <c r="BC61" s="3">
        <v>12.04</v>
      </c>
      <c r="BD61" s="3">
        <v>12.95</v>
      </c>
      <c r="BE61" s="3">
        <v>12.2</v>
      </c>
      <c r="BF61" s="7">
        <v>9.6199999999999992</v>
      </c>
      <c r="BG61" s="6">
        <v>11.59</v>
      </c>
      <c r="BH61" s="3">
        <v>11.6</v>
      </c>
      <c r="BI61" s="3">
        <v>9.69</v>
      </c>
      <c r="BJ61" s="3">
        <v>11.05</v>
      </c>
      <c r="BK61" s="7">
        <v>16.02</v>
      </c>
      <c r="BM61" s="32">
        <f>AVERAGE(D61:BK61)</f>
        <v>11.327250000000003</v>
      </c>
    </row>
    <row r="62" spans="1:71" x14ac:dyDescent="0.2">
      <c r="B62" s="434"/>
      <c r="C62" s="31">
        <v>2014</v>
      </c>
      <c r="D62" s="6">
        <v>14.55</v>
      </c>
      <c r="E62" s="3">
        <v>8.6</v>
      </c>
      <c r="F62" s="3">
        <v>12.88</v>
      </c>
      <c r="G62" s="3">
        <v>11.6</v>
      </c>
      <c r="H62" s="7">
        <v>9.9</v>
      </c>
      <c r="I62" s="6">
        <v>19.77</v>
      </c>
      <c r="J62" s="3">
        <v>12.45</v>
      </c>
      <c r="K62" s="3">
        <v>13.31</v>
      </c>
      <c r="L62" s="3">
        <v>12.29</v>
      </c>
      <c r="M62" s="7">
        <v>6.5</v>
      </c>
      <c r="N62" s="6">
        <v>11.07</v>
      </c>
      <c r="O62" s="3">
        <v>10.25</v>
      </c>
      <c r="P62" s="3">
        <v>11</v>
      </c>
      <c r="Q62" s="3">
        <v>10.25</v>
      </c>
      <c r="R62" s="7">
        <v>8.58</v>
      </c>
      <c r="S62" s="6"/>
      <c r="T62" s="3"/>
      <c r="U62" s="3"/>
      <c r="V62" s="3"/>
      <c r="W62" s="7"/>
      <c r="X62" s="6">
        <v>9.73</v>
      </c>
      <c r="Y62" s="3">
        <v>10.1</v>
      </c>
      <c r="Z62" s="3">
        <v>7.57</v>
      </c>
      <c r="AA62" s="3">
        <v>9.24</v>
      </c>
      <c r="AB62" s="7">
        <v>9.0299999999999994</v>
      </c>
      <c r="AC62" s="6">
        <v>10.55</v>
      </c>
      <c r="AD62" s="3">
        <v>8.91</v>
      </c>
      <c r="AE62" s="3">
        <v>9.43</v>
      </c>
      <c r="AF62" s="3">
        <v>9.68</v>
      </c>
      <c r="AG62" s="7">
        <v>10.220000000000001</v>
      </c>
      <c r="AH62" s="6">
        <v>10.69</v>
      </c>
      <c r="AI62" s="3">
        <v>10.69</v>
      </c>
      <c r="AJ62" s="3">
        <v>9.1199999999999992</v>
      </c>
      <c r="AK62" s="3">
        <v>9.1199999999999992</v>
      </c>
      <c r="AL62" s="7">
        <v>9.64</v>
      </c>
      <c r="AM62" s="6">
        <v>11.31</v>
      </c>
      <c r="AN62" s="3">
        <v>10.11</v>
      </c>
      <c r="AO62" s="3">
        <v>10.11</v>
      </c>
      <c r="AP62" s="3">
        <v>7.5</v>
      </c>
      <c r="AQ62" s="7">
        <v>10.11</v>
      </c>
      <c r="AR62" s="6">
        <v>11.31</v>
      </c>
      <c r="AS62" s="3">
        <v>9.1</v>
      </c>
      <c r="AT62" s="3">
        <v>8.52</v>
      </c>
      <c r="AU62" s="3">
        <v>10.130000000000001</v>
      </c>
      <c r="AV62" s="7">
        <v>9.7799999999999994</v>
      </c>
      <c r="AW62" s="6">
        <v>9.65</v>
      </c>
      <c r="AX62" s="3">
        <v>9.5399999999999991</v>
      </c>
      <c r="AY62" s="3">
        <v>8.3000000000000007</v>
      </c>
      <c r="AZ62" s="3">
        <v>12</v>
      </c>
      <c r="BA62" s="7">
        <v>8.9</v>
      </c>
      <c r="BB62" s="6">
        <v>8.1</v>
      </c>
      <c r="BC62" s="3">
        <v>8.1</v>
      </c>
      <c r="BD62" s="3">
        <v>8.1</v>
      </c>
      <c r="BE62" s="3">
        <v>9.07</v>
      </c>
      <c r="BF62" s="7">
        <v>8.1</v>
      </c>
      <c r="BG62" s="6"/>
      <c r="BH62" s="3"/>
      <c r="BI62" s="3"/>
      <c r="BJ62" s="3"/>
      <c r="BK62" s="7"/>
      <c r="BM62" s="32">
        <f>AVERAGE(D62:BK62)</f>
        <v>10.091200000000002</v>
      </c>
    </row>
    <row r="63" spans="1:71" x14ac:dyDescent="0.2">
      <c r="B63" s="434"/>
      <c r="C63" s="31">
        <v>2015</v>
      </c>
      <c r="D63" s="6"/>
      <c r="E63" s="3"/>
      <c r="F63" s="3"/>
      <c r="G63" s="3"/>
      <c r="H63" s="7"/>
      <c r="I63" s="6">
        <v>6.9</v>
      </c>
      <c r="J63" s="3">
        <v>7.18</v>
      </c>
      <c r="K63" s="3">
        <v>7.32</v>
      </c>
      <c r="L63" s="3">
        <v>7.51</v>
      </c>
      <c r="M63" s="7">
        <v>6.83</v>
      </c>
      <c r="N63" s="6"/>
      <c r="O63" s="3"/>
      <c r="P63" s="3"/>
      <c r="Q63" s="3"/>
      <c r="R63" s="7"/>
      <c r="S63" s="6">
        <v>7.16</v>
      </c>
      <c r="T63" s="3">
        <v>7.16</v>
      </c>
      <c r="U63" s="3">
        <v>7.71</v>
      </c>
      <c r="V63" s="3">
        <v>7.8</v>
      </c>
      <c r="W63" s="7">
        <v>6.45</v>
      </c>
      <c r="X63" s="6">
        <v>8.2799999999999994</v>
      </c>
      <c r="Y63" s="3">
        <v>8.01</v>
      </c>
      <c r="Z63" s="3">
        <v>7.33</v>
      </c>
      <c r="AA63" s="3">
        <v>8.1999999999999993</v>
      </c>
      <c r="AB63" s="7">
        <v>8.1999999999999993</v>
      </c>
      <c r="AC63" s="6">
        <v>6.91</v>
      </c>
      <c r="AD63" s="3">
        <v>6.91</v>
      </c>
      <c r="AE63" s="3">
        <v>7.79</v>
      </c>
      <c r="AF63" s="3">
        <v>6.95</v>
      </c>
      <c r="AG63" s="7">
        <v>6.95</v>
      </c>
      <c r="AH63" s="6"/>
      <c r="AI63" s="3"/>
      <c r="AJ63" s="3"/>
      <c r="AK63" s="3"/>
      <c r="AL63" s="7"/>
      <c r="AM63" s="6"/>
      <c r="AN63" s="3"/>
      <c r="AO63" s="3"/>
      <c r="AP63" s="3"/>
      <c r="AQ63" s="7"/>
      <c r="AR63" s="6"/>
      <c r="AS63" s="3"/>
      <c r="AT63" s="3"/>
      <c r="AU63" s="3"/>
      <c r="AV63" s="7"/>
      <c r="AW63" s="6"/>
      <c r="AX63" s="3"/>
      <c r="AY63" s="3"/>
      <c r="AZ63" s="3"/>
      <c r="BA63" s="7"/>
      <c r="BB63" s="6"/>
      <c r="BC63" s="3"/>
      <c r="BD63" s="3"/>
      <c r="BE63" s="3"/>
      <c r="BF63" s="7"/>
      <c r="BG63" s="6"/>
      <c r="BH63" s="3"/>
      <c r="BI63" s="3"/>
      <c r="BJ63" s="3"/>
      <c r="BK63" s="7"/>
      <c r="BM63" s="32">
        <f>AVERAGE(D63:BK63)</f>
        <v>7.3774999999999995</v>
      </c>
    </row>
    <row r="64" spans="1:71" ht="13.5" thickBot="1" x14ac:dyDescent="0.25">
      <c r="B64" s="435"/>
      <c r="C64" s="31">
        <v>2016</v>
      </c>
      <c r="D64" s="8"/>
      <c r="E64" s="9"/>
      <c r="F64" s="9"/>
      <c r="G64" s="9"/>
      <c r="H64" s="10"/>
      <c r="I64" s="8">
        <v>4.3</v>
      </c>
      <c r="J64" s="9">
        <v>3.3</v>
      </c>
      <c r="K64" s="9">
        <v>4.5</v>
      </c>
      <c r="L64" s="9">
        <v>4.5</v>
      </c>
      <c r="M64" s="10">
        <v>4.5</v>
      </c>
      <c r="N64" s="8">
        <v>4.5999999999999996</v>
      </c>
      <c r="O64" s="9"/>
      <c r="P64" s="9"/>
      <c r="Q64" s="9"/>
      <c r="R64" s="10"/>
      <c r="S64" s="8"/>
      <c r="T64" s="9"/>
      <c r="U64" s="9"/>
      <c r="V64" s="9"/>
      <c r="W64" s="10"/>
      <c r="X64" s="8">
        <v>3</v>
      </c>
      <c r="Y64" s="9">
        <v>4.3</v>
      </c>
      <c r="Z64" s="9"/>
      <c r="AA64" s="9"/>
      <c r="AB64" s="10"/>
      <c r="AC64" s="8">
        <v>6.91</v>
      </c>
      <c r="AD64" s="9"/>
      <c r="AE64" s="9"/>
      <c r="AF64" s="9"/>
      <c r="AG64" s="10"/>
      <c r="AH64" s="8">
        <v>6.25</v>
      </c>
      <c r="AI64" s="9">
        <v>6.25</v>
      </c>
      <c r="AJ64" s="9">
        <v>6.25</v>
      </c>
      <c r="AK64" s="9">
        <v>6.25</v>
      </c>
      <c r="AL64" s="10">
        <v>6.25</v>
      </c>
      <c r="AM64" s="8"/>
      <c r="AN64" s="9"/>
      <c r="AO64" s="9"/>
      <c r="AP64" s="9"/>
      <c r="AQ64" s="10"/>
      <c r="AR64" s="8">
        <v>5.8</v>
      </c>
      <c r="AS64" s="9"/>
      <c r="AT64" s="9"/>
      <c r="AU64" s="9"/>
      <c r="AV64" s="10"/>
      <c r="AW64" s="8">
        <v>6.7</v>
      </c>
      <c r="AX64" s="9">
        <v>6.7</v>
      </c>
      <c r="AY64" s="9">
        <v>6.7</v>
      </c>
      <c r="AZ64" s="9">
        <v>6.7</v>
      </c>
      <c r="BA64" s="10"/>
      <c r="BB64" s="8">
        <v>6.4</v>
      </c>
      <c r="BC64" s="9">
        <v>6.4</v>
      </c>
      <c r="BD64" s="9">
        <v>6.2</v>
      </c>
      <c r="BE64" s="9">
        <v>5.5</v>
      </c>
      <c r="BF64" s="10">
        <v>5.8</v>
      </c>
      <c r="BG64" s="8"/>
      <c r="BH64" s="9"/>
      <c r="BI64" s="9"/>
      <c r="BJ64" s="9"/>
      <c r="BK64" s="10"/>
      <c r="BM64" s="32">
        <f>AVERAGE(D64:BK64)</f>
        <v>5.5858333333333343</v>
      </c>
    </row>
    <row r="66" spans="1:65" ht="13.5" thickBot="1" x14ac:dyDescent="0.25"/>
    <row r="67" spans="1:65" x14ac:dyDescent="0.2">
      <c r="B67" s="4" t="s">
        <v>123</v>
      </c>
      <c r="C67" s="30"/>
      <c r="D67" s="431" t="s">
        <v>15</v>
      </c>
      <c r="E67" s="432"/>
      <c r="F67" s="432"/>
      <c r="G67" s="432"/>
      <c r="H67" s="433"/>
      <c r="I67" s="431" t="s">
        <v>16</v>
      </c>
      <c r="J67" s="432"/>
      <c r="K67" s="432"/>
      <c r="L67" s="432"/>
      <c r="M67" s="433"/>
      <c r="N67" s="431" t="s">
        <v>124</v>
      </c>
      <c r="O67" s="432"/>
      <c r="P67" s="432"/>
      <c r="Q67" s="432"/>
      <c r="R67" s="433"/>
      <c r="S67" s="431" t="s">
        <v>125</v>
      </c>
      <c r="T67" s="432"/>
      <c r="U67" s="432"/>
      <c r="V67" s="432"/>
      <c r="W67" s="433"/>
      <c r="X67" s="431" t="s">
        <v>17</v>
      </c>
      <c r="Y67" s="432"/>
      <c r="Z67" s="432"/>
      <c r="AA67" s="432"/>
      <c r="AB67" s="433"/>
      <c r="AC67" s="431" t="s">
        <v>18</v>
      </c>
      <c r="AD67" s="432"/>
      <c r="AE67" s="432"/>
      <c r="AF67" s="432"/>
      <c r="AG67" s="433"/>
      <c r="AH67" s="431" t="s">
        <v>126</v>
      </c>
      <c r="AI67" s="432"/>
      <c r="AJ67" s="432"/>
      <c r="AK67" s="432"/>
      <c r="AL67" s="433"/>
      <c r="AM67" s="431" t="s">
        <v>19</v>
      </c>
      <c r="AN67" s="432"/>
      <c r="AO67" s="432"/>
      <c r="AP67" s="432"/>
      <c r="AQ67" s="433"/>
      <c r="AR67" s="431" t="s">
        <v>127</v>
      </c>
      <c r="AS67" s="432"/>
      <c r="AT67" s="432"/>
      <c r="AU67" s="432"/>
      <c r="AV67" s="433"/>
      <c r="AW67" s="431" t="s">
        <v>20</v>
      </c>
      <c r="AX67" s="432"/>
      <c r="AY67" s="432"/>
      <c r="AZ67" s="432"/>
      <c r="BA67" s="433"/>
      <c r="BB67" s="431" t="s">
        <v>21</v>
      </c>
      <c r="BC67" s="432"/>
      <c r="BD67" s="432"/>
      <c r="BE67" s="432"/>
      <c r="BF67" s="433"/>
      <c r="BG67" s="431" t="s">
        <v>22</v>
      </c>
      <c r="BH67" s="432"/>
      <c r="BI67" s="432"/>
      <c r="BJ67" s="432"/>
      <c r="BK67" s="433"/>
    </row>
    <row r="68" spans="1:65" x14ac:dyDescent="0.2">
      <c r="B68" s="434" t="s">
        <v>133</v>
      </c>
      <c r="C68" s="31">
        <v>2012</v>
      </c>
      <c r="D68" s="6"/>
      <c r="E68" s="3"/>
      <c r="F68" s="3"/>
      <c r="G68" s="3"/>
      <c r="H68" s="7"/>
      <c r="I68" s="6"/>
      <c r="J68" s="3"/>
      <c r="K68" s="3"/>
      <c r="L68" s="3"/>
      <c r="M68" s="7"/>
      <c r="N68" s="6"/>
      <c r="O68" s="3"/>
      <c r="P68" s="3"/>
      <c r="Q68" s="3"/>
      <c r="R68" s="7"/>
      <c r="S68" s="6"/>
      <c r="T68" s="3"/>
      <c r="U68" s="3"/>
      <c r="V68" s="3"/>
      <c r="W68" s="7"/>
      <c r="X68" s="6"/>
      <c r="Y68" s="3"/>
      <c r="Z68" s="3"/>
      <c r="AA68" s="3"/>
      <c r="AB68" s="7"/>
      <c r="AC68" s="6"/>
      <c r="AD68" s="3"/>
      <c r="AE68" s="3"/>
      <c r="AF68" s="3"/>
      <c r="AG68" s="7"/>
      <c r="AH68" s="6"/>
      <c r="AI68" s="3"/>
      <c r="AJ68" s="3"/>
      <c r="AK68" s="3"/>
      <c r="AL68" s="7"/>
      <c r="AM68" s="6"/>
      <c r="AN68" s="3"/>
      <c r="AO68" s="3"/>
      <c r="AP68" s="3"/>
      <c r="AQ68" s="7"/>
      <c r="AR68" s="6"/>
      <c r="AS68" s="3"/>
      <c r="AT68" s="3"/>
      <c r="AU68" s="3"/>
      <c r="AV68" s="7"/>
      <c r="AW68" s="6"/>
      <c r="AX68" s="3"/>
      <c r="AY68" s="3"/>
      <c r="AZ68" s="3"/>
      <c r="BA68" s="7"/>
      <c r="BB68" s="6"/>
      <c r="BC68" s="3"/>
      <c r="BD68" s="3"/>
      <c r="BE68" s="3"/>
      <c r="BF68" s="7"/>
      <c r="BG68" s="6"/>
      <c r="BH68" s="3"/>
      <c r="BI68" s="3"/>
      <c r="BJ68" s="3"/>
      <c r="BK68" s="7"/>
      <c r="BM68" s="32" t="e">
        <f>AVERAGE(D68:BK68)</f>
        <v>#DIV/0!</v>
      </c>
    </row>
    <row r="69" spans="1:65" x14ac:dyDescent="0.2">
      <c r="B69" s="434"/>
      <c r="C69" s="31">
        <v>2013</v>
      </c>
      <c r="D69" s="6"/>
      <c r="E69" s="3"/>
      <c r="F69" s="3"/>
      <c r="G69" s="3"/>
      <c r="H69" s="7"/>
      <c r="I69" s="6"/>
      <c r="J69" s="3"/>
      <c r="K69" s="3"/>
      <c r="L69" s="3"/>
      <c r="M69" s="7"/>
      <c r="N69" s="6"/>
      <c r="O69" s="3"/>
      <c r="P69" s="3"/>
      <c r="Q69" s="3"/>
      <c r="R69" s="7"/>
      <c r="S69" s="6"/>
      <c r="T69" s="3"/>
      <c r="U69" s="3"/>
      <c r="V69" s="3"/>
      <c r="W69" s="7"/>
      <c r="X69" s="6"/>
      <c r="Y69" s="3"/>
      <c r="Z69" s="3"/>
      <c r="AA69" s="3"/>
      <c r="AB69" s="7"/>
      <c r="AC69" s="6"/>
      <c r="AD69" s="3"/>
      <c r="AE69" s="3"/>
      <c r="AF69" s="3"/>
      <c r="AG69" s="7"/>
      <c r="AH69" s="6"/>
      <c r="AI69" s="3"/>
      <c r="AJ69" s="3"/>
      <c r="AK69" s="3"/>
      <c r="AL69" s="7"/>
      <c r="AM69" s="6"/>
      <c r="AN69" s="3"/>
      <c r="AO69" s="3"/>
      <c r="AP69" s="3"/>
      <c r="AQ69" s="7"/>
      <c r="AR69" s="6"/>
      <c r="AS69" s="3"/>
      <c r="AT69" s="3"/>
      <c r="AU69" s="3"/>
      <c r="AV69" s="7"/>
      <c r="AW69" s="6"/>
      <c r="AX69" s="3"/>
      <c r="AY69" s="3"/>
      <c r="AZ69" s="3"/>
      <c r="BA69" s="7"/>
      <c r="BB69" s="6"/>
      <c r="BC69" s="3"/>
      <c r="BD69" s="3"/>
      <c r="BE69" s="3"/>
      <c r="BF69" s="7"/>
      <c r="BG69" s="6"/>
      <c r="BH69" s="3"/>
      <c r="BI69" s="3"/>
      <c r="BJ69" s="3"/>
      <c r="BK69" s="7"/>
      <c r="BM69" s="32" t="e">
        <f>AVERAGE(D69:BK69)</f>
        <v>#DIV/0!</v>
      </c>
    </row>
    <row r="70" spans="1:65" x14ac:dyDescent="0.2">
      <c r="B70" s="434"/>
      <c r="C70" s="31">
        <v>2014</v>
      </c>
      <c r="D70" s="6"/>
      <c r="E70" s="3"/>
      <c r="F70" s="3"/>
      <c r="G70" s="3"/>
      <c r="H70" s="7"/>
      <c r="I70" s="6"/>
      <c r="J70" s="3"/>
      <c r="K70" s="3"/>
      <c r="L70" s="3"/>
      <c r="M70" s="7"/>
      <c r="N70" s="6"/>
      <c r="O70" s="3"/>
      <c r="P70" s="3"/>
      <c r="Q70" s="3"/>
      <c r="R70" s="7"/>
      <c r="S70" s="6"/>
      <c r="T70" s="3"/>
      <c r="U70" s="3"/>
      <c r="V70" s="3"/>
      <c r="W70" s="7"/>
      <c r="X70" s="6"/>
      <c r="Y70" s="3"/>
      <c r="Z70" s="3"/>
      <c r="AA70" s="3"/>
      <c r="AB70" s="7"/>
      <c r="AC70" s="6"/>
      <c r="AD70" s="3"/>
      <c r="AE70" s="3"/>
      <c r="AF70" s="3"/>
      <c r="AG70" s="7"/>
      <c r="AH70" s="6"/>
      <c r="AI70" s="3"/>
      <c r="AJ70" s="3"/>
      <c r="AK70" s="3"/>
      <c r="AL70" s="7"/>
      <c r="AM70" s="6"/>
      <c r="AN70" s="3"/>
      <c r="AO70" s="3"/>
      <c r="AP70" s="3"/>
      <c r="AQ70" s="7"/>
      <c r="AR70" s="6"/>
      <c r="AS70" s="3"/>
      <c r="AT70" s="3"/>
      <c r="AU70" s="3"/>
      <c r="AV70" s="7"/>
      <c r="AW70" s="6"/>
      <c r="AX70" s="3"/>
      <c r="AY70" s="3"/>
      <c r="AZ70" s="3"/>
      <c r="BA70" s="7"/>
      <c r="BB70" s="6"/>
      <c r="BC70" s="3"/>
      <c r="BD70" s="3"/>
      <c r="BE70" s="3"/>
      <c r="BF70" s="7"/>
      <c r="BG70" s="6"/>
      <c r="BH70" s="3"/>
      <c r="BI70" s="3"/>
      <c r="BJ70" s="3"/>
      <c r="BK70" s="7"/>
      <c r="BM70" s="32" t="e">
        <f>AVERAGE(D70:BK70)</f>
        <v>#DIV/0!</v>
      </c>
    </row>
    <row r="71" spans="1:65" x14ac:dyDescent="0.2">
      <c r="B71" s="434"/>
      <c r="C71" s="31">
        <v>2015</v>
      </c>
      <c r="D71" s="6"/>
      <c r="E71" s="3"/>
      <c r="F71" s="3"/>
      <c r="G71" s="3"/>
      <c r="H71" s="7"/>
      <c r="I71" s="6"/>
      <c r="J71" s="3"/>
      <c r="K71" s="3"/>
      <c r="L71" s="3"/>
      <c r="M71" s="7"/>
      <c r="N71" s="6"/>
      <c r="O71" s="3"/>
      <c r="P71" s="3"/>
      <c r="Q71" s="3"/>
      <c r="R71" s="7"/>
      <c r="S71" s="6"/>
      <c r="T71" s="3"/>
      <c r="U71" s="3"/>
      <c r="V71" s="3"/>
      <c r="W71" s="7"/>
      <c r="X71" s="6"/>
      <c r="Y71" s="3"/>
      <c r="Z71" s="3"/>
      <c r="AA71" s="3"/>
      <c r="AB71" s="7"/>
      <c r="AC71" s="6"/>
      <c r="AD71" s="3"/>
      <c r="AE71" s="3"/>
      <c r="AF71" s="3"/>
      <c r="AG71" s="7"/>
      <c r="AH71" s="6"/>
      <c r="AI71" s="3"/>
      <c r="AJ71" s="3"/>
      <c r="AK71" s="3"/>
      <c r="AL71" s="7"/>
      <c r="AM71" s="6"/>
      <c r="AN71" s="3"/>
      <c r="AO71" s="3"/>
      <c r="AP71" s="3"/>
      <c r="AQ71" s="7"/>
      <c r="AR71" s="6"/>
      <c r="AS71" s="3"/>
      <c r="AT71" s="3"/>
      <c r="AU71" s="3"/>
      <c r="AV71" s="7"/>
      <c r="AW71" s="6"/>
      <c r="AX71" s="3"/>
      <c r="AY71" s="3"/>
      <c r="AZ71" s="3"/>
      <c r="BA71" s="7"/>
      <c r="BB71" s="6"/>
      <c r="BC71" s="3"/>
      <c r="BD71" s="3"/>
      <c r="BE71" s="3"/>
      <c r="BF71" s="7"/>
      <c r="BG71" s="6"/>
      <c r="BH71" s="3"/>
      <c r="BI71" s="3"/>
      <c r="BJ71" s="3"/>
      <c r="BK71" s="7"/>
      <c r="BM71" s="32" t="e">
        <f>AVERAGE(D71:BK71)</f>
        <v>#DIV/0!</v>
      </c>
    </row>
    <row r="72" spans="1:65" ht="13.5" thickBot="1" x14ac:dyDescent="0.25">
      <c r="B72" s="435"/>
      <c r="C72" s="31">
        <v>2016</v>
      </c>
      <c r="D72" s="8">
        <v>3.82</v>
      </c>
      <c r="E72" s="9">
        <v>5.66</v>
      </c>
      <c r="F72" s="9">
        <v>5.66</v>
      </c>
      <c r="G72" s="9">
        <v>5.66</v>
      </c>
      <c r="H72" s="10">
        <v>5.66</v>
      </c>
      <c r="I72" s="8">
        <v>4.45</v>
      </c>
      <c r="J72" s="9">
        <v>4.45</v>
      </c>
      <c r="K72" s="9">
        <v>4.45</v>
      </c>
      <c r="L72" s="9">
        <v>4.45</v>
      </c>
      <c r="M72" s="10">
        <v>4.45</v>
      </c>
      <c r="N72" s="8">
        <v>4.82</v>
      </c>
      <c r="O72" s="9">
        <v>4.82</v>
      </c>
      <c r="P72" s="9">
        <v>4.82</v>
      </c>
      <c r="Q72" s="9">
        <v>5.95</v>
      </c>
      <c r="R72" s="10">
        <v>5.95</v>
      </c>
      <c r="S72" s="8">
        <v>3.87</v>
      </c>
      <c r="T72" s="9">
        <v>3.87</v>
      </c>
      <c r="U72" s="9">
        <v>3.87</v>
      </c>
      <c r="V72" s="9">
        <v>5.1100000000000003</v>
      </c>
      <c r="W72" s="10">
        <v>5.31</v>
      </c>
      <c r="X72" s="8">
        <v>5.31</v>
      </c>
      <c r="Y72" s="9">
        <v>5.31</v>
      </c>
      <c r="Z72" s="9">
        <v>5.31</v>
      </c>
      <c r="AA72" s="9">
        <v>6.14</v>
      </c>
      <c r="AB72" s="10">
        <v>6.14</v>
      </c>
      <c r="AC72" s="8">
        <v>5.69</v>
      </c>
      <c r="AD72" s="9">
        <v>5.69</v>
      </c>
      <c r="AE72" s="9">
        <v>5.69</v>
      </c>
      <c r="AF72" s="9">
        <v>5.69</v>
      </c>
      <c r="AG72" s="10">
        <v>5.69</v>
      </c>
      <c r="AH72" s="8">
        <v>5.26</v>
      </c>
      <c r="AI72" s="9">
        <v>5.3</v>
      </c>
      <c r="AJ72" s="9">
        <v>5.3</v>
      </c>
      <c r="AK72" s="9">
        <v>5.3</v>
      </c>
      <c r="AL72" s="10">
        <v>5.3</v>
      </c>
      <c r="AM72" s="8">
        <v>5.88</v>
      </c>
      <c r="AN72" s="9">
        <v>5.88</v>
      </c>
      <c r="AO72" s="9">
        <v>5.88</v>
      </c>
      <c r="AP72" s="9">
        <v>5.63</v>
      </c>
      <c r="AQ72" s="10">
        <v>5.63</v>
      </c>
      <c r="AR72" s="8">
        <v>5.61</v>
      </c>
      <c r="AS72" s="9">
        <v>5.61</v>
      </c>
      <c r="AT72" s="9">
        <v>5.61</v>
      </c>
      <c r="AU72" s="9">
        <v>5.61</v>
      </c>
      <c r="AV72" s="10">
        <v>5.65</v>
      </c>
      <c r="AW72" s="8">
        <v>8.27</v>
      </c>
      <c r="AX72" s="9">
        <v>8.27</v>
      </c>
      <c r="AY72" s="9">
        <v>6.51</v>
      </c>
      <c r="AZ72" s="9"/>
      <c r="BA72" s="10"/>
      <c r="BB72" s="8">
        <v>7.96</v>
      </c>
      <c r="BC72" s="9">
        <v>6.62</v>
      </c>
      <c r="BD72" s="9">
        <v>6.62</v>
      </c>
      <c r="BE72" s="9">
        <v>6.62</v>
      </c>
      <c r="BF72" s="10">
        <v>6.62</v>
      </c>
      <c r="BG72" s="8"/>
      <c r="BH72" s="9"/>
      <c r="BI72" s="9"/>
      <c r="BJ72" s="9"/>
      <c r="BK72" s="10"/>
      <c r="BM72" s="32">
        <f>AVERAGE(D72:BK72)</f>
        <v>5.5603773584905678</v>
      </c>
    </row>
    <row r="75" spans="1:65" ht="15" x14ac:dyDescent="0.25">
      <c r="A75" s="28" t="s">
        <v>134</v>
      </c>
    </row>
  </sheetData>
  <mergeCells count="91">
    <mergeCell ref="BB4:BF4"/>
    <mergeCell ref="BG4:BK4"/>
    <mergeCell ref="D4:H4"/>
    <mergeCell ref="I4:M4"/>
    <mergeCell ref="N4:R4"/>
    <mergeCell ref="S4:W4"/>
    <mergeCell ref="X4:AB4"/>
    <mergeCell ref="AC4:AG4"/>
    <mergeCell ref="X12:AB12"/>
    <mergeCell ref="AH4:AL4"/>
    <mergeCell ref="AM4:AQ4"/>
    <mergeCell ref="AR4:AV4"/>
    <mergeCell ref="AW4:BA4"/>
    <mergeCell ref="B5:B9"/>
    <mergeCell ref="D12:H12"/>
    <mergeCell ref="I12:M12"/>
    <mergeCell ref="N12:R12"/>
    <mergeCell ref="S12:W12"/>
    <mergeCell ref="BG12:BK12"/>
    <mergeCell ref="B13:B17"/>
    <mergeCell ref="D20:H20"/>
    <mergeCell ref="I20:M20"/>
    <mergeCell ref="N20:R20"/>
    <mergeCell ref="S20:W20"/>
    <mergeCell ref="X20:AB20"/>
    <mergeCell ref="AC20:AG20"/>
    <mergeCell ref="AH20:AL20"/>
    <mergeCell ref="AM20:AQ20"/>
    <mergeCell ref="AC12:AG12"/>
    <mergeCell ref="AH12:AL12"/>
    <mergeCell ref="AM12:AQ12"/>
    <mergeCell ref="AR12:AV12"/>
    <mergeCell ref="AW12:BA12"/>
    <mergeCell ref="BB12:BF12"/>
    <mergeCell ref="D28:H28"/>
    <mergeCell ref="I28:M28"/>
    <mergeCell ref="N28:R28"/>
    <mergeCell ref="S28:W28"/>
    <mergeCell ref="X28:AB28"/>
    <mergeCell ref="AR20:AV20"/>
    <mergeCell ref="AW20:BA20"/>
    <mergeCell ref="BB20:BF20"/>
    <mergeCell ref="BG20:BK20"/>
    <mergeCell ref="B21:B25"/>
    <mergeCell ref="BG28:BK28"/>
    <mergeCell ref="B29:B33"/>
    <mergeCell ref="D46:H46"/>
    <mergeCell ref="I46:M46"/>
    <mergeCell ref="N46:R46"/>
    <mergeCell ref="S46:W46"/>
    <mergeCell ref="X46:AB46"/>
    <mergeCell ref="AC46:AG46"/>
    <mergeCell ref="AH46:AL46"/>
    <mergeCell ref="AM46:AQ46"/>
    <mergeCell ref="AC28:AG28"/>
    <mergeCell ref="AH28:AL28"/>
    <mergeCell ref="AM28:AQ28"/>
    <mergeCell ref="AR28:AV28"/>
    <mergeCell ref="AW28:BA28"/>
    <mergeCell ref="BB28:BF28"/>
    <mergeCell ref="D59:H59"/>
    <mergeCell ref="I59:M59"/>
    <mergeCell ref="N59:R59"/>
    <mergeCell ref="S59:W59"/>
    <mergeCell ref="X59:AB59"/>
    <mergeCell ref="AR46:AV46"/>
    <mergeCell ref="AW46:BA46"/>
    <mergeCell ref="BB46:BF46"/>
    <mergeCell ref="BG46:BK46"/>
    <mergeCell ref="B47:B51"/>
    <mergeCell ref="BG59:BK59"/>
    <mergeCell ref="B60:B64"/>
    <mergeCell ref="D67:H67"/>
    <mergeCell ref="I67:M67"/>
    <mergeCell ref="N67:R67"/>
    <mergeCell ref="S67:W67"/>
    <mergeCell ref="X67:AB67"/>
    <mergeCell ref="AC67:AG67"/>
    <mergeCell ref="AH67:AL67"/>
    <mergeCell ref="AM67:AQ67"/>
    <mergeCell ref="AC59:AG59"/>
    <mergeCell ref="AH59:AL59"/>
    <mergeCell ref="AM59:AQ59"/>
    <mergeCell ref="AR59:AV59"/>
    <mergeCell ref="AW59:BA59"/>
    <mergeCell ref="BB59:BF59"/>
    <mergeCell ref="AR67:AV67"/>
    <mergeCell ref="AW67:BA67"/>
    <mergeCell ref="BB67:BF67"/>
    <mergeCell ref="BG67:BK67"/>
    <mergeCell ref="B68:B7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43"/>
  <sheetViews>
    <sheetView workbookViewId="0"/>
  </sheetViews>
  <sheetFormatPr defaultRowHeight="15" x14ac:dyDescent="0.25"/>
  <sheetData>
    <row r="2" spans="2:5" x14ac:dyDescent="0.25">
      <c r="C2" t="s">
        <v>388</v>
      </c>
      <c r="D2" t="s">
        <v>410</v>
      </c>
      <c r="E2" t="s">
        <v>386</v>
      </c>
    </row>
    <row r="3" spans="2:5" x14ac:dyDescent="0.25">
      <c r="C3" t="s">
        <v>409</v>
      </c>
      <c r="D3" t="s">
        <v>409</v>
      </c>
      <c r="E3" t="s">
        <v>409</v>
      </c>
    </row>
    <row r="4" spans="2:5" x14ac:dyDescent="0.25">
      <c r="B4">
        <v>1980</v>
      </c>
      <c r="C4">
        <v>16777</v>
      </c>
      <c r="E4">
        <v>18500</v>
      </c>
    </row>
    <row r="5" spans="2:5" x14ac:dyDescent="0.25">
      <c r="B5">
        <v>1981</v>
      </c>
      <c r="C5">
        <v>14168</v>
      </c>
      <c r="E5">
        <v>17600</v>
      </c>
    </row>
    <row r="6" spans="2:5" x14ac:dyDescent="0.25">
      <c r="B6">
        <v>1982</v>
      </c>
      <c r="C6">
        <v>12829</v>
      </c>
      <c r="E6">
        <v>14000</v>
      </c>
    </row>
    <row r="7" spans="2:5" x14ac:dyDescent="0.25">
      <c r="B7">
        <v>1983</v>
      </c>
      <c r="C7">
        <v>12987</v>
      </c>
      <c r="E7">
        <v>10400</v>
      </c>
    </row>
    <row r="8" spans="2:5" x14ac:dyDescent="0.25">
      <c r="B8">
        <v>1984</v>
      </c>
      <c r="C8">
        <v>12230</v>
      </c>
      <c r="E8">
        <v>11400</v>
      </c>
    </row>
    <row r="9" spans="2:5" x14ac:dyDescent="0.25">
      <c r="B9">
        <v>1985</v>
      </c>
      <c r="C9">
        <v>11539</v>
      </c>
      <c r="E9">
        <v>9310</v>
      </c>
    </row>
    <row r="10" spans="2:5" x14ac:dyDescent="0.25">
      <c r="B10">
        <v>1986</v>
      </c>
      <c r="C10">
        <v>6161</v>
      </c>
      <c r="E10">
        <v>7070</v>
      </c>
    </row>
    <row r="11" spans="2:5" x14ac:dyDescent="0.25">
      <c r="B11">
        <v>1987</v>
      </c>
      <c r="C11">
        <v>6689</v>
      </c>
      <c r="E11">
        <v>6350</v>
      </c>
    </row>
    <row r="12" spans="2:5" x14ac:dyDescent="0.25">
      <c r="B12">
        <v>1988</v>
      </c>
      <c r="C12">
        <v>7051</v>
      </c>
      <c r="E12">
        <v>7500</v>
      </c>
    </row>
    <row r="13" spans="2:5" x14ac:dyDescent="0.25">
      <c r="B13">
        <v>1989</v>
      </c>
      <c r="C13">
        <v>8534</v>
      </c>
      <c r="E13">
        <v>10600</v>
      </c>
    </row>
    <row r="14" spans="2:5" x14ac:dyDescent="0.25">
      <c r="B14">
        <v>1990</v>
      </c>
      <c r="C14">
        <v>6085</v>
      </c>
      <c r="E14">
        <v>8480</v>
      </c>
    </row>
    <row r="15" spans="2:5" x14ac:dyDescent="0.25">
      <c r="B15">
        <v>1991</v>
      </c>
      <c r="C15">
        <v>5595</v>
      </c>
      <c r="E15">
        <v>9870</v>
      </c>
    </row>
    <row r="16" spans="2:5" x14ac:dyDescent="0.25">
      <c r="B16">
        <v>1992</v>
      </c>
      <c r="C16">
        <v>6104</v>
      </c>
      <c r="E16">
        <v>9320</v>
      </c>
    </row>
    <row r="17" spans="2:5" x14ac:dyDescent="0.25">
      <c r="B17">
        <v>1993</v>
      </c>
      <c r="C17">
        <v>5167</v>
      </c>
      <c r="E17">
        <v>6820</v>
      </c>
    </row>
    <row r="18" spans="2:5" x14ac:dyDescent="0.25">
      <c r="B18">
        <v>1994</v>
      </c>
      <c r="C18">
        <v>5459</v>
      </c>
      <c r="E18">
        <v>9460</v>
      </c>
    </row>
    <row r="19" spans="2:5" x14ac:dyDescent="0.25">
      <c r="B19">
        <v>1995</v>
      </c>
      <c r="C19">
        <v>6197</v>
      </c>
      <c r="E19">
        <v>12400</v>
      </c>
    </row>
    <row r="20" spans="2:5" x14ac:dyDescent="0.25">
      <c r="B20">
        <v>1996</v>
      </c>
      <c r="C20">
        <v>6158</v>
      </c>
      <c r="E20">
        <v>10400</v>
      </c>
    </row>
    <row r="21" spans="2:5" x14ac:dyDescent="0.25">
      <c r="B21">
        <v>1997</v>
      </c>
      <c r="C21">
        <v>5640</v>
      </c>
      <c r="E21">
        <v>9660</v>
      </c>
    </row>
    <row r="22" spans="2:5" x14ac:dyDescent="0.25">
      <c r="B22">
        <v>1998</v>
      </c>
      <c r="C22">
        <v>5536</v>
      </c>
      <c r="E22">
        <v>8300</v>
      </c>
    </row>
    <row r="23" spans="2:5" x14ac:dyDescent="0.25">
      <c r="B23">
        <v>1999</v>
      </c>
      <c r="C23">
        <v>5391</v>
      </c>
      <c r="E23">
        <v>7070</v>
      </c>
    </row>
    <row r="24" spans="2:5" x14ac:dyDescent="0.25">
      <c r="B24">
        <v>2000</v>
      </c>
      <c r="C24">
        <v>5435</v>
      </c>
      <c r="D24">
        <v>591000</v>
      </c>
      <c r="E24">
        <v>8290</v>
      </c>
    </row>
    <row r="25" spans="2:5" x14ac:dyDescent="0.25">
      <c r="C25" t="s">
        <v>414</v>
      </c>
      <c r="D25" t="s">
        <v>415</v>
      </c>
      <c r="E25" t="s">
        <v>413</v>
      </c>
    </row>
    <row r="26" spans="2:5" x14ac:dyDescent="0.25">
      <c r="B26">
        <v>2001</v>
      </c>
      <c r="C26">
        <v>4889</v>
      </c>
      <c r="D26">
        <v>99500</v>
      </c>
      <c r="E26">
        <v>12500</v>
      </c>
    </row>
    <row r="27" spans="2:5" x14ac:dyDescent="0.25">
      <c r="B27">
        <v>2002</v>
      </c>
      <c r="C27">
        <v>4061</v>
      </c>
      <c r="D27">
        <v>80500</v>
      </c>
      <c r="E27">
        <v>9080</v>
      </c>
    </row>
    <row r="28" spans="2:5" x14ac:dyDescent="0.25">
      <c r="B28">
        <v>2003</v>
      </c>
      <c r="C28">
        <v>4889</v>
      </c>
      <c r="D28">
        <v>80200</v>
      </c>
      <c r="E28">
        <v>8710</v>
      </c>
    </row>
    <row r="29" spans="2:5" x14ac:dyDescent="0.25">
      <c r="B29">
        <v>2004</v>
      </c>
      <c r="C29">
        <v>8480</v>
      </c>
      <c r="D29">
        <v>80000</v>
      </c>
      <c r="E29">
        <v>11600</v>
      </c>
    </row>
    <row r="30" spans="2:5" x14ac:dyDescent="0.25">
      <c r="B30">
        <v>2005</v>
      </c>
      <c r="C30">
        <v>7385</v>
      </c>
      <c r="D30">
        <v>94000</v>
      </c>
      <c r="E30">
        <v>29900</v>
      </c>
    </row>
    <row r="31" spans="2:5" x14ac:dyDescent="0.25">
      <c r="B31">
        <v>2006</v>
      </c>
      <c r="C31">
        <v>8754</v>
      </c>
      <c r="D31">
        <v>87500</v>
      </c>
      <c r="E31">
        <v>37000</v>
      </c>
    </row>
    <row r="32" spans="2:5" x14ac:dyDescent="0.25">
      <c r="B32">
        <v>2007</v>
      </c>
      <c r="C32">
        <v>14495</v>
      </c>
      <c r="D32">
        <v>100000</v>
      </c>
      <c r="E32">
        <v>35900</v>
      </c>
    </row>
    <row r="33" spans="2:5" x14ac:dyDescent="0.25">
      <c r="B33">
        <v>2008</v>
      </c>
      <c r="C33">
        <v>18466</v>
      </c>
      <c r="D33">
        <v>118000</v>
      </c>
      <c r="E33">
        <v>35100</v>
      </c>
    </row>
    <row r="34" spans="2:5" x14ac:dyDescent="0.25">
      <c r="B34">
        <v>2009</v>
      </c>
      <c r="C34">
        <v>13602</v>
      </c>
      <c r="D34">
        <v>108000</v>
      </c>
      <c r="E34">
        <v>25700</v>
      </c>
    </row>
    <row r="35" spans="2:5" x14ac:dyDescent="0.25">
      <c r="B35">
        <v>2010</v>
      </c>
      <c r="C35">
        <v>20367</v>
      </c>
      <c r="D35">
        <v>146000</v>
      </c>
      <c r="E35">
        <v>27000</v>
      </c>
    </row>
    <row r="36" spans="2:5" x14ac:dyDescent="0.25">
      <c r="B36">
        <v>2011</v>
      </c>
      <c r="C36">
        <v>26051</v>
      </c>
      <c r="D36">
        <v>336000</v>
      </c>
      <c r="E36">
        <v>46700</v>
      </c>
    </row>
    <row r="37" spans="2:5" x14ac:dyDescent="0.25">
      <c r="B37">
        <v>2012</v>
      </c>
      <c r="C37">
        <v>21109</v>
      </c>
      <c r="D37">
        <v>292000</v>
      </c>
      <c r="E37">
        <v>56700</v>
      </c>
    </row>
    <row r="38" spans="2:5" x14ac:dyDescent="0.25">
      <c r="B38">
        <v>2013</v>
      </c>
      <c r="C38">
        <v>22281</v>
      </c>
      <c r="D38">
        <v>317000</v>
      </c>
      <c r="E38">
        <v>46600</v>
      </c>
    </row>
    <row r="39" spans="2:5" x14ac:dyDescent="0.25">
      <c r="B39">
        <v>2014</v>
      </c>
      <c r="C39">
        <v>21898</v>
      </c>
      <c r="D39">
        <v>152000</v>
      </c>
      <c r="E39">
        <v>43840</v>
      </c>
    </row>
    <row r="40" spans="2:5" x14ac:dyDescent="0.25">
      <c r="B40">
        <v>2015</v>
      </c>
      <c r="C40">
        <v>16066</v>
      </c>
      <c r="D40">
        <v>174000</v>
      </c>
      <c r="E40">
        <v>40320</v>
      </c>
    </row>
    <row r="41" spans="2:5" x14ac:dyDescent="0.25">
      <c r="B41">
        <v>2016</v>
      </c>
      <c r="C41">
        <v>17933</v>
      </c>
      <c r="D41">
        <v>134000</v>
      </c>
      <c r="E41">
        <v>38150</v>
      </c>
    </row>
    <row r="42" spans="2:5" x14ac:dyDescent="0.25">
      <c r="B42">
        <v>2017</v>
      </c>
      <c r="C42">
        <v>21204</v>
      </c>
      <c r="D42">
        <v>128000</v>
      </c>
      <c r="E42">
        <v>35200</v>
      </c>
    </row>
    <row r="43" spans="2:5" x14ac:dyDescent="0.25">
      <c r="B43">
        <v>2018</v>
      </c>
      <c r="C43">
        <v>21825</v>
      </c>
      <c r="D43">
        <v>151800</v>
      </c>
      <c r="E43">
        <v>30300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MRA - Cassiterite - Tin</vt:lpstr>
      <vt:lpstr>MRA - Coltan - Tantalum</vt:lpstr>
      <vt:lpstr>MRA - Wolfram - Tungsten</vt:lpstr>
      <vt:lpstr>Graphs</vt:lpstr>
      <vt:lpstr>GDP</vt:lpstr>
      <vt:lpstr>Basic data - source records</vt:lpstr>
      <vt:lpstr>IBES data</vt:lpstr>
      <vt:lpstr>Mining price data</vt:lpstr>
      <vt:lpstr>Metal prices</vt:lpstr>
    </vt:vector>
  </TitlesOfParts>
  <Company>University of Pretoria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JNB</dc:creator>
  <cp:lastModifiedBy>Windows User</cp:lastModifiedBy>
  <dcterms:created xsi:type="dcterms:W3CDTF">2016-09-27T12:46:17Z</dcterms:created>
  <dcterms:modified xsi:type="dcterms:W3CDTF">2020-05-14T10:32:14Z</dcterms:modified>
</cp:coreProperties>
</file>