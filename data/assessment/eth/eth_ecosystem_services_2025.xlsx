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ariasgranada_worldbank_org1/Documents/Documents/NCA Data AFE/Ethiopia/"/>
    </mc:Choice>
  </mc:AlternateContent>
  <xr:revisionPtr revIDLastSave="0" documentId="8_{BEA3FC28-6CC6-4D97-9CE9-6D8DF7510F41}" xr6:coauthVersionLast="47" xr6:coauthVersionMax="47" xr10:uidLastSave="{00000000-0000-0000-0000-000000000000}"/>
  <bookViews>
    <workbookView xWindow="30600" yWindow="1110" windowWidth="21600" windowHeight="11055" firstSheet="10" activeTab="11" xr2:uid="{59DFCBF3-E335-4E72-9AB2-42AC548F3DF0}"/>
  </bookViews>
  <sheets>
    <sheet name="NationalSummary_Services" sheetId="15" r:id="rId1"/>
    <sheet name="Land cover account 2012 t0 2022" sheetId="20" r:id="rId2"/>
    <sheet name="Realized_FullTable" sheetId="16" r:id="rId3"/>
    <sheet name="ServPotSupply_byEcType" sheetId="14" r:id="rId4"/>
    <sheet name="ES SUT" sheetId="21" r:id="rId5"/>
    <sheet name="ServPotSupply_byRiverBasin" sheetId="12" r:id="rId6"/>
    <sheet name="ServPotSupply_byRegion" sheetId="13" r:id="rId7"/>
    <sheet name="CarbAsset_byRegions" sheetId="18" r:id="rId8"/>
    <sheet name="CarbAsset_byBasin" sheetId="17" r:id="rId9"/>
    <sheet name="CarbonAsset_Stock" sheetId="9" r:id="rId10"/>
    <sheet name="Sheet1" sheetId="22" r:id="rId11"/>
    <sheet name="MainDatabase" sheetId="7" r:id="rId12"/>
  </sheets>
  <definedNames>
    <definedName name="_xlnm._FilterDatabase" localSheetId="8" hidden="1">CarbAsset_byBasin!$A$2:$M$2</definedName>
    <definedName name="_xlnm._FilterDatabase" localSheetId="7" hidden="1">CarbAsset_byRegions!$B$2:$R$2</definedName>
    <definedName name="_xlnm._FilterDatabase" localSheetId="11" hidden="1">MainDatabase!$B$100:$R$100</definedName>
    <definedName name="_xlnm._FilterDatabase" localSheetId="6" hidden="1">ServPotSupply_byRegion!$B$2:$R$2</definedName>
    <definedName name="_xlnm._FilterDatabase" localSheetId="5" hidden="1">ServPotSupply_byRiverBasin!$A$2:$M$2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4" l="1"/>
  <c r="L61" i="14"/>
  <c r="M61" i="14"/>
  <c r="N61" i="14"/>
  <c r="O61" i="14"/>
  <c r="P61" i="14"/>
  <c r="Q61" i="14"/>
  <c r="R61" i="14"/>
  <c r="S61" i="14"/>
  <c r="T61" i="14"/>
  <c r="U61" i="14"/>
  <c r="V61" i="14"/>
  <c r="W61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D48" i="14"/>
  <c r="D63" i="14" s="1"/>
  <c r="J67" i="14"/>
  <c r="J66" i="14"/>
  <c r="J65" i="14"/>
  <c r="J64" i="14"/>
  <c r="J63" i="14"/>
  <c r="J52" i="14"/>
  <c r="J51" i="14"/>
  <c r="J50" i="14"/>
  <c r="J49" i="14"/>
  <c r="J48" i="14"/>
  <c r="V46" i="14"/>
  <c r="W46" i="14"/>
  <c r="K46" i="14"/>
  <c r="L46" i="14"/>
  <c r="M46" i="14"/>
  <c r="N46" i="14"/>
  <c r="O46" i="14"/>
  <c r="P46" i="14"/>
  <c r="Q46" i="14"/>
  <c r="R46" i="14"/>
  <c r="S46" i="14"/>
  <c r="T46" i="14"/>
  <c r="U46" i="14"/>
  <c r="J46" i="14"/>
  <c r="J61" i="14" s="1"/>
  <c r="D64" i="14"/>
  <c r="D65" i="14"/>
  <c r="D66" i="14"/>
  <c r="D67" i="14"/>
  <c r="D68" i="14"/>
  <c r="D70" i="14"/>
  <c r="D71" i="14"/>
  <c r="D72" i="14"/>
  <c r="D73" i="14"/>
  <c r="D55" i="14"/>
  <c r="D56" i="14"/>
  <c r="D57" i="14"/>
  <c r="D58" i="14"/>
  <c r="D52" i="14"/>
  <c r="D51" i="14"/>
  <c r="D50" i="14"/>
  <c r="D49" i="14"/>
  <c r="D23" i="13"/>
  <c r="B38" i="13"/>
  <c r="I68" i="12"/>
  <c r="J68" i="12"/>
  <c r="K68" i="12"/>
  <c r="L68" i="12"/>
  <c r="M68" i="12"/>
  <c r="I53" i="12"/>
  <c r="J53" i="12"/>
  <c r="K53" i="12"/>
  <c r="L53" i="12"/>
  <c r="M53" i="12"/>
  <c r="N53" i="12"/>
  <c r="N68" i="12" s="1"/>
  <c r="O53" i="12"/>
  <c r="O68" i="12" s="1"/>
  <c r="P53" i="12"/>
  <c r="P68" i="12" s="1"/>
  <c r="Q53" i="12"/>
  <c r="Q68" i="12" s="1"/>
  <c r="R53" i="12"/>
  <c r="R68" i="12" s="1"/>
  <c r="H53" i="12"/>
  <c r="H68" i="12" s="1"/>
  <c r="B37" i="13"/>
  <c r="E56" i="13" s="1"/>
  <c r="E62" i="13" s="1"/>
  <c r="K54" i="13"/>
  <c r="W69" i="13"/>
  <c r="K69" i="13"/>
  <c r="E76" i="13"/>
  <c r="Y54" i="13"/>
  <c r="Y69" i="13" s="1"/>
  <c r="X54" i="13"/>
  <c r="X69" i="13" s="1"/>
  <c r="L54" i="13"/>
  <c r="L69" i="13" s="1"/>
  <c r="M54" i="13"/>
  <c r="M69" i="13" s="1"/>
  <c r="N54" i="13"/>
  <c r="N69" i="13" s="1"/>
  <c r="O54" i="13"/>
  <c r="O69" i="13" s="1"/>
  <c r="P54" i="13"/>
  <c r="P69" i="13" s="1"/>
  <c r="Q54" i="13"/>
  <c r="Q69" i="13" s="1"/>
  <c r="R54" i="13"/>
  <c r="R69" i="13" s="1"/>
  <c r="S54" i="13"/>
  <c r="S69" i="13" s="1"/>
  <c r="T54" i="13"/>
  <c r="T69" i="13" s="1"/>
  <c r="U54" i="13"/>
  <c r="U69" i="13" s="1"/>
  <c r="V54" i="13"/>
  <c r="V69" i="13" s="1"/>
  <c r="W54" i="13"/>
  <c r="D54" i="14" l="1"/>
  <c r="D69" i="14" s="1"/>
  <c r="S14" i="14" l="1"/>
  <c r="B13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R5" i="18"/>
  <c r="R12" i="18" s="1"/>
  <c r="R13" i="18" s="1"/>
  <c r="R4" i="18"/>
  <c r="R11" i="18" s="1"/>
  <c r="L11" i="17"/>
  <c r="K11" i="17"/>
  <c r="J11" i="17"/>
  <c r="I11" i="17"/>
  <c r="H11" i="17"/>
  <c r="G11" i="17"/>
  <c r="F11" i="17"/>
  <c r="E11" i="17"/>
  <c r="D11" i="17"/>
  <c r="C11" i="17"/>
  <c r="L10" i="17"/>
  <c r="K10" i="17"/>
  <c r="J10" i="17"/>
  <c r="I10" i="17"/>
  <c r="H10" i="17"/>
  <c r="G10" i="17"/>
  <c r="F10" i="17"/>
  <c r="E10" i="17"/>
  <c r="D10" i="17"/>
  <c r="C10" i="17"/>
  <c r="M5" i="17"/>
  <c r="M4" i="17"/>
  <c r="M10" i="17" s="1"/>
  <c r="Z9" i="16"/>
  <c r="AN7" i="16"/>
  <c r="R79" i="7"/>
  <c r="R80" i="7"/>
  <c r="R81" i="7"/>
  <c r="R82" i="7"/>
  <c r="R83" i="7"/>
  <c r="R78" i="7"/>
  <c r="F80" i="7"/>
  <c r="E80" i="7"/>
  <c r="D80" i="7"/>
  <c r="AA7" i="7"/>
  <c r="Q33" i="16"/>
  <c r="Q34" i="16"/>
  <c r="Q35" i="16"/>
  <c r="Q36" i="16"/>
  <c r="Q37" i="16"/>
  <c r="Q32" i="16"/>
  <c r="P40" i="16"/>
  <c r="O40" i="16"/>
  <c r="N40" i="16"/>
  <c r="M40" i="16"/>
  <c r="L40" i="16"/>
  <c r="K40" i="16"/>
  <c r="J40" i="16"/>
  <c r="I40" i="16"/>
  <c r="H40" i="16"/>
  <c r="G40" i="16"/>
  <c r="P39" i="16"/>
  <c r="O39" i="16"/>
  <c r="N39" i="16"/>
  <c r="M39" i="16"/>
  <c r="L39" i="16"/>
  <c r="K39" i="16"/>
  <c r="J39" i="16"/>
  <c r="I39" i="16"/>
  <c r="H39" i="16"/>
  <c r="G39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G25" i="16"/>
  <c r="G24" i="16"/>
  <c r="U18" i="16"/>
  <c r="U19" i="16"/>
  <c r="U24" i="16" s="1"/>
  <c r="U20" i="16"/>
  <c r="U21" i="16"/>
  <c r="U22" i="16"/>
  <c r="U25" i="16" s="1"/>
  <c r="U17" i="16"/>
  <c r="D12" i="14"/>
  <c r="K28" i="7"/>
  <c r="K29" i="7"/>
  <c r="J29" i="7"/>
  <c r="D23" i="14"/>
  <c r="D21" i="14"/>
  <c r="J22" i="14"/>
  <c r="E28" i="14"/>
  <c r="E29" i="14"/>
  <c r="E30" i="14"/>
  <c r="E31" i="14"/>
  <c r="E32" i="14"/>
  <c r="E33" i="14"/>
  <c r="E34" i="14"/>
  <c r="E27" i="14"/>
  <c r="E25" i="14"/>
  <c r="E24" i="14"/>
  <c r="F22" i="14"/>
  <c r="G22" i="14"/>
  <c r="H22" i="14"/>
  <c r="I22" i="14"/>
  <c r="K22" i="14"/>
  <c r="L22" i="14"/>
  <c r="M22" i="14"/>
  <c r="N22" i="14"/>
  <c r="O22" i="14"/>
  <c r="P22" i="14"/>
  <c r="Q22" i="14"/>
  <c r="R22" i="14"/>
  <c r="S22" i="14"/>
  <c r="E22" i="14"/>
  <c r="F21" i="14"/>
  <c r="D18" i="14"/>
  <c r="D7" i="14"/>
  <c r="D16" i="14"/>
  <c r="D14" i="14"/>
  <c r="D10" i="14"/>
  <c r="Y20" i="7"/>
  <c r="Z20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V31" i="7" s="1"/>
  <c r="P109" i="7"/>
  <c r="R11" i="14" s="1"/>
  <c r="R28" i="14" s="1"/>
  <c r="P108" i="7"/>
  <c r="R10" i="14" s="1"/>
  <c r="R27" i="14" s="1"/>
  <c r="I108" i="7"/>
  <c r="K10" i="14" s="1"/>
  <c r="K27" i="14" s="1"/>
  <c r="F108" i="7"/>
  <c r="H10" i="14" s="1"/>
  <c r="H27" i="14" s="1"/>
  <c r="E108" i="7"/>
  <c r="G10" i="14" s="1"/>
  <c r="G27" i="14" s="1"/>
  <c r="D108" i="7"/>
  <c r="F10" i="14" s="1"/>
  <c r="F27" i="14" s="1"/>
  <c r="R8" i="7"/>
  <c r="R9" i="7"/>
  <c r="R10" i="7"/>
  <c r="R11" i="7"/>
  <c r="R12" i="7"/>
  <c r="R13" i="7"/>
  <c r="R14" i="7"/>
  <c r="R15" i="7"/>
  <c r="R16" i="7"/>
  <c r="R17" i="7"/>
  <c r="R18" i="7"/>
  <c r="R19" i="7"/>
  <c r="Q8" i="7"/>
  <c r="Q9" i="7"/>
  <c r="Q10" i="7"/>
  <c r="Q11" i="7"/>
  <c r="S11" i="7" s="1"/>
  <c r="Q12" i="7"/>
  <c r="S12" i="7" s="1"/>
  <c r="Q13" i="7"/>
  <c r="S13" i="7" s="1"/>
  <c r="Q14" i="7"/>
  <c r="Q15" i="7"/>
  <c r="Q16" i="7"/>
  <c r="Q17" i="7"/>
  <c r="Q18" i="7"/>
  <c r="S18" i="7" s="1"/>
  <c r="Q19" i="7"/>
  <c r="S19" i="7" s="1"/>
  <c r="R7" i="7"/>
  <c r="Q7" i="7"/>
  <c r="S7" i="7" s="1"/>
  <c r="U7" i="7" s="1"/>
  <c r="V29" i="7" s="1"/>
  <c r="F20" i="7"/>
  <c r="G20" i="7"/>
  <c r="H20" i="7"/>
  <c r="I20" i="7"/>
  <c r="K8" i="7"/>
  <c r="K9" i="7"/>
  <c r="K10" i="7"/>
  <c r="K11" i="7"/>
  <c r="K12" i="7"/>
  <c r="K13" i="7"/>
  <c r="K14" i="7"/>
  <c r="K15" i="7"/>
  <c r="K16" i="7"/>
  <c r="K17" i="7"/>
  <c r="K18" i="7"/>
  <c r="K19" i="7"/>
  <c r="K7" i="7"/>
  <c r="J8" i="7"/>
  <c r="J9" i="7"/>
  <c r="J10" i="7"/>
  <c r="J11" i="7"/>
  <c r="J12" i="7"/>
  <c r="J13" i="7"/>
  <c r="J14" i="7"/>
  <c r="J15" i="7"/>
  <c r="J16" i="7"/>
  <c r="J17" i="7"/>
  <c r="L17" i="7" s="1"/>
  <c r="J18" i="7"/>
  <c r="L18" i="7" s="1"/>
  <c r="J19" i="7"/>
  <c r="L19" i="7" s="1"/>
  <c r="J7" i="7"/>
  <c r="R3" i="13"/>
  <c r="R21" i="13" s="1"/>
  <c r="Y56" i="13" s="1"/>
  <c r="Q15" i="13"/>
  <c r="P15" i="13"/>
  <c r="M15" i="12"/>
  <c r="M14" i="12"/>
  <c r="M13" i="12"/>
  <c r="J118" i="7"/>
  <c r="E118" i="7"/>
  <c r="F118" i="7"/>
  <c r="G118" i="7"/>
  <c r="H118" i="7"/>
  <c r="I118" i="7"/>
  <c r="K118" i="7"/>
  <c r="L118" i="7"/>
  <c r="M118" i="7"/>
  <c r="N118" i="7"/>
  <c r="O118" i="7"/>
  <c r="P118" i="7"/>
  <c r="R118" i="7"/>
  <c r="D118" i="7"/>
  <c r="B42" i="13"/>
  <c r="B41" i="13"/>
  <c r="E60" i="13" s="1"/>
  <c r="B40" i="13"/>
  <c r="E59" i="13" s="1"/>
  <c r="B39" i="13"/>
  <c r="E58" i="13" s="1"/>
  <c r="E57" i="13"/>
  <c r="E65" i="13" l="1"/>
  <c r="E80" i="13" s="1"/>
  <c r="E74" i="13"/>
  <c r="E63" i="13"/>
  <c r="E78" i="13" s="1"/>
  <c r="E72" i="13"/>
  <c r="E77" i="13"/>
  <c r="E71" i="13"/>
  <c r="E64" i="13"/>
  <c r="E79" i="13" s="1"/>
  <c r="E73" i="13"/>
  <c r="E66" i="13"/>
  <c r="E81" i="13" s="1"/>
  <c r="E75" i="13"/>
  <c r="O13" i="18"/>
  <c r="P13" i="18"/>
  <c r="E13" i="18"/>
  <c r="G13" i="18"/>
  <c r="H13" i="18"/>
  <c r="I13" i="18"/>
  <c r="J13" i="18"/>
  <c r="K13" i="18"/>
  <c r="L13" i="18"/>
  <c r="M13" i="18"/>
  <c r="N13" i="18"/>
  <c r="Q13" i="18"/>
  <c r="D13" i="18"/>
  <c r="F13" i="18"/>
  <c r="M11" i="17"/>
  <c r="Q39" i="16"/>
  <c r="S10" i="7"/>
  <c r="S9" i="7"/>
  <c r="S8" i="7"/>
  <c r="S17" i="7"/>
  <c r="S16" i="7"/>
  <c r="L16" i="7"/>
  <c r="S15" i="7"/>
  <c r="S14" i="7"/>
  <c r="S20" i="7" s="1"/>
  <c r="U20" i="7" s="1"/>
  <c r="Q40" i="16"/>
  <c r="L7" i="7"/>
  <c r="L20" i="7" s="1"/>
  <c r="T20" i="7" s="1"/>
  <c r="J20" i="7"/>
  <c r="AI26" i="7"/>
  <c r="AI31" i="7" s="1"/>
  <c r="AI27" i="7"/>
  <c r="K20" i="7"/>
  <c r="L15" i="7"/>
  <c r="L14" i="7"/>
  <c r="L13" i="7"/>
  <c r="L12" i="7"/>
  <c r="L11" i="7"/>
  <c r="L10" i="7"/>
  <c r="L9" i="7"/>
  <c r="L8" i="7"/>
  <c r="AH31" i="7"/>
  <c r="A41" i="12"/>
  <c r="A40" i="12"/>
  <c r="A39" i="12"/>
  <c r="A38" i="12"/>
  <c r="A37" i="12"/>
  <c r="A36" i="12"/>
  <c r="R4" i="13"/>
  <c r="R22" i="13" s="1"/>
  <c r="R5" i="13"/>
  <c r="R6" i="13"/>
  <c r="R7" i="13"/>
  <c r="R25" i="13" s="1"/>
  <c r="Y60" i="13" s="1"/>
  <c r="R8" i="13"/>
  <c r="R26" i="13" s="1"/>
  <c r="Y73" i="13" s="1"/>
  <c r="R9" i="13"/>
  <c r="R10" i="13"/>
  <c r="R28" i="13" s="1"/>
  <c r="Y74" i="13" s="1"/>
  <c r="R11" i="13"/>
  <c r="R12" i="13"/>
  <c r="R13" i="13"/>
  <c r="R31" i="13" s="1"/>
  <c r="R14" i="13"/>
  <c r="R32" i="13" s="1"/>
  <c r="D15" i="13"/>
  <c r="N22" i="13"/>
  <c r="U71" i="13" s="1"/>
  <c r="O22" i="13"/>
  <c r="V71" i="13" s="1"/>
  <c r="P22" i="13"/>
  <c r="W71" i="13" s="1"/>
  <c r="N23" i="13"/>
  <c r="U57" i="13" s="1"/>
  <c r="O23" i="13"/>
  <c r="V57" i="13" s="1"/>
  <c r="P23" i="13"/>
  <c r="W57" i="13" s="1"/>
  <c r="N24" i="13"/>
  <c r="U72" i="13" s="1"/>
  <c r="O24" i="13"/>
  <c r="V72" i="13" s="1"/>
  <c r="P24" i="13"/>
  <c r="W72" i="13" s="1"/>
  <c r="N25" i="13"/>
  <c r="U58" i="13" s="1"/>
  <c r="O25" i="13"/>
  <c r="V58" i="13" s="1"/>
  <c r="P25" i="13"/>
  <c r="W58" i="13" s="1"/>
  <c r="N26" i="13"/>
  <c r="O26" i="13"/>
  <c r="P26" i="13"/>
  <c r="N27" i="13"/>
  <c r="U59" i="13" s="1"/>
  <c r="O27" i="13"/>
  <c r="V59" i="13" s="1"/>
  <c r="P27" i="13"/>
  <c r="W59" i="13" s="1"/>
  <c r="Q27" i="13"/>
  <c r="X59" i="13" s="1"/>
  <c r="N28" i="13"/>
  <c r="U74" i="13" s="1"/>
  <c r="O28" i="13"/>
  <c r="V74" i="13" s="1"/>
  <c r="P28" i="13"/>
  <c r="W74" i="13" s="1"/>
  <c r="N29" i="13"/>
  <c r="U60" i="13" s="1"/>
  <c r="O29" i="13"/>
  <c r="V60" i="13" s="1"/>
  <c r="P29" i="13"/>
  <c r="W60" i="13" s="1"/>
  <c r="N30" i="13"/>
  <c r="U75" i="13" s="1"/>
  <c r="O30" i="13"/>
  <c r="V75" i="13" s="1"/>
  <c r="P30" i="13"/>
  <c r="W75" i="13" s="1"/>
  <c r="N31" i="13"/>
  <c r="O31" i="13"/>
  <c r="P31" i="13"/>
  <c r="Q31" i="13"/>
  <c r="N32" i="13"/>
  <c r="O32" i="13"/>
  <c r="P32" i="13"/>
  <c r="Q32" i="13"/>
  <c r="O21" i="13"/>
  <c r="P21" i="13"/>
  <c r="Q21" i="13"/>
  <c r="M32" i="13"/>
  <c r="L32" i="13"/>
  <c r="K32" i="13"/>
  <c r="J32" i="13"/>
  <c r="I32" i="13"/>
  <c r="H32" i="13"/>
  <c r="G32" i="13"/>
  <c r="F32" i="13"/>
  <c r="E32" i="13"/>
  <c r="D32" i="13"/>
  <c r="M31" i="13"/>
  <c r="L31" i="13"/>
  <c r="K31" i="13"/>
  <c r="J31" i="13"/>
  <c r="I31" i="13"/>
  <c r="H31" i="13"/>
  <c r="G31" i="13"/>
  <c r="F31" i="13"/>
  <c r="E31" i="13"/>
  <c r="D31" i="13"/>
  <c r="M30" i="13"/>
  <c r="T75" i="13" s="1"/>
  <c r="L30" i="13"/>
  <c r="S75" i="13" s="1"/>
  <c r="K30" i="13"/>
  <c r="R75" i="13" s="1"/>
  <c r="J30" i="13"/>
  <c r="Q75" i="13" s="1"/>
  <c r="I30" i="13"/>
  <c r="P75" i="13" s="1"/>
  <c r="H30" i="13"/>
  <c r="O75" i="13" s="1"/>
  <c r="G30" i="13"/>
  <c r="N75" i="13" s="1"/>
  <c r="F30" i="13"/>
  <c r="M75" i="13" s="1"/>
  <c r="E30" i="13"/>
  <c r="L75" i="13" s="1"/>
  <c r="D30" i="13"/>
  <c r="K75" i="13" s="1"/>
  <c r="M29" i="13"/>
  <c r="T60" i="13" s="1"/>
  <c r="L29" i="13"/>
  <c r="S60" i="13" s="1"/>
  <c r="K29" i="13"/>
  <c r="R60" i="13" s="1"/>
  <c r="J29" i="13"/>
  <c r="Q60" i="13" s="1"/>
  <c r="I29" i="13"/>
  <c r="P60" i="13" s="1"/>
  <c r="H29" i="13"/>
  <c r="O60" i="13" s="1"/>
  <c r="G29" i="13"/>
  <c r="N60" i="13" s="1"/>
  <c r="F29" i="13"/>
  <c r="M60" i="13" s="1"/>
  <c r="E29" i="13"/>
  <c r="L60" i="13" s="1"/>
  <c r="D29" i="13"/>
  <c r="K60" i="13" s="1"/>
  <c r="M28" i="13"/>
  <c r="T74" i="13" s="1"/>
  <c r="L28" i="13"/>
  <c r="S74" i="13" s="1"/>
  <c r="K28" i="13"/>
  <c r="R74" i="13" s="1"/>
  <c r="J28" i="13"/>
  <c r="Q74" i="13" s="1"/>
  <c r="I28" i="13"/>
  <c r="P74" i="13" s="1"/>
  <c r="H28" i="13"/>
  <c r="O74" i="13" s="1"/>
  <c r="G28" i="13"/>
  <c r="N74" i="13" s="1"/>
  <c r="F28" i="13"/>
  <c r="M74" i="13" s="1"/>
  <c r="E28" i="13"/>
  <c r="L74" i="13" s="1"/>
  <c r="D28" i="13"/>
  <c r="K74" i="13" s="1"/>
  <c r="M27" i="13"/>
  <c r="T59" i="13" s="1"/>
  <c r="L27" i="13"/>
  <c r="S59" i="13" s="1"/>
  <c r="K27" i="13"/>
  <c r="R59" i="13" s="1"/>
  <c r="J27" i="13"/>
  <c r="Q59" i="13" s="1"/>
  <c r="I27" i="13"/>
  <c r="P59" i="13" s="1"/>
  <c r="H27" i="13"/>
  <c r="O59" i="13" s="1"/>
  <c r="G27" i="13"/>
  <c r="N59" i="13" s="1"/>
  <c r="F27" i="13"/>
  <c r="M59" i="13" s="1"/>
  <c r="E27" i="13"/>
  <c r="L59" i="13" s="1"/>
  <c r="D27" i="13"/>
  <c r="K59" i="13" s="1"/>
  <c r="M26" i="13"/>
  <c r="T73" i="13" s="1"/>
  <c r="L26" i="13"/>
  <c r="S73" i="13" s="1"/>
  <c r="K26" i="13"/>
  <c r="R73" i="13" s="1"/>
  <c r="J26" i="13"/>
  <c r="Q73" i="13" s="1"/>
  <c r="I26" i="13"/>
  <c r="P73" i="13" s="1"/>
  <c r="H26" i="13"/>
  <c r="O73" i="13" s="1"/>
  <c r="G26" i="13"/>
  <c r="N73" i="13" s="1"/>
  <c r="F26" i="13"/>
  <c r="M73" i="13" s="1"/>
  <c r="E26" i="13"/>
  <c r="L73" i="13" s="1"/>
  <c r="D26" i="13"/>
  <c r="K73" i="13" s="1"/>
  <c r="M25" i="13"/>
  <c r="T58" i="13" s="1"/>
  <c r="L25" i="13"/>
  <c r="S58" i="13" s="1"/>
  <c r="K25" i="13"/>
  <c r="R58" i="13" s="1"/>
  <c r="J25" i="13"/>
  <c r="Q58" i="13" s="1"/>
  <c r="I25" i="13"/>
  <c r="P58" i="13" s="1"/>
  <c r="H25" i="13"/>
  <c r="O58" i="13" s="1"/>
  <c r="G25" i="13"/>
  <c r="N58" i="13" s="1"/>
  <c r="F25" i="13"/>
  <c r="M58" i="13" s="1"/>
  <c r="E25" i="13"/>
  <c r="L58" i="13" s="1"/>
  <c r="D25" i="13"/>
  <c r="K58" i="13" s="1"/>
  <c r="M24" i="13"/>
  <c r="T72" i="13" s="1"/>
  <c r="L24" i="13"/>
  <c r="S72" i="13" s="1"/>
  <c r="K24" i="13"/>
  <c r="R72" i="13" s="1"/>
  <c r="J24" i="13"/>
  <c r="Q72" i="13" s="1"/>
  <c r="I24" i="13"/>
  <c r="P72" i="13" s="1"/>
  <c r="H24" i="13"/>
  <c r="O72" i="13" s="1"/>
  <c r="G24" i="13"/>
  <c r="N72" i="13" s="1"/>
  <c r="F24" i="13"/>
  <c r="M72" i="13" s="1"/>
  <c r="E24" i="13"/>
  <c r="L72" i="13" s="1"/>
  <c r="D24" i="13"/>
  <c r="K72" i="13" s="1"/>
  <c r="M23" i="13"/>
  <c r="T57" i="13" s="1"/>
  <c r="L23" i="13"/>
  <c r="S57" i="13" s="1"/>
  <c r="K23" i="13"/>
  <c r="R57" i="13" s="1"/>
  <c r="J23" i="13"/>
  <c r="Q57" i="13" s="1"/>
  <c r="I23" i="13"/>
  <c r="P57" i="13" s="1"/>
  <c r="H23" i="13"/>
  <c r="O57" i="13" s="1"/>
  <c r="G23" i="13"/>
  <c r="N57" i="13" s="1"/>
  <c r="F23" i="13"/>
  <c r="M57" i="13" s="1"/>
  <c r="E23" i="13"/>
  <c r="L57" i="13" s="1"/>
  <c r="K57" i="13"/>
  <c r="M22" i="13"/>
  <c r="T71" i="13" s="1"/>
  <c r="L22" i="13"/>
  <c r="S71" i="13" s="1"/>
  <c r="K22" i="13"/>
  <c r="R71" i="13" s="1"/>
  <c r="J22" i="13"/>
  <c r="Q71" i="13" s="1"/>
  <c r="I22" i="13"/>
  <c r="P71" i="13" s="1"/>
  <c r="H22" i="13"/>
  <c r="O71" i="13" s="1"/>
  <c r="G22" i="13"/>
  <c r="N71" i="13" s="1"/>
  <c r="F22" i="13"/>
  <c r="M71" i="13" s="1"/>
  <c r="E22" i="13"/>
  <c r="L71" i="13" s="1"/>
  <c r="D22" i="13"/>
  <c r="K71" i="13" s="1"/>
  <c r="N21" i="13"/>
  <c r="M21" i="13"/>
  <c r="L21" i="13"/>
  <c r="K21" i="13"/>
  <c r="J21" i="13"/>
  <c r="I21" i="13"/>
  <c r="H21" i="13"/>
  <c r="G21" i="13"/>
  <c r="F21" i="13"/>
  <c r="E21" i="13"/>
  <c r="D21" i="13"/>
  <c r="C21" i="12"/>
  <c r="D21" i="12"/>
  <c r="E21" i="12"/>
  <c r="F21" i="12"/>
  <c r="G21" i="12"/>
  <c r="H21" i="12"/>
  <c r="I21" i="12"/>
  <c r="N70" i="12" s="1"/>
  <c r="J21" i="12"/>
  <c r="K21" i="12"/>
  <c r="L21" i="12"/>
  <c r="M21" i="12"/>
  <c r="R70" i="12" s="1"/>
  <c r="C22" i="12"/>
  <c r="H56" i="12" s="1"/>
  <c r="D22" i="12"/>
  <c r="I56" i="12" s="1"/>
  <c r="E22" i="12"/>
  <c r="J56" i="12" s="1"/>
  <c r="F22" i="12"/>
  <c r="K56" i="12" s="1"/>
  <c r="G22" i="12"/>
  <c r="L56" i="12" s="1"/>
  <c r="H22" i="12"/>
  <c r="M56" i="12" s="1"/>
  <c r="I22" i="12"/>
  <c r="N56" i="12" s="1"/>
  <c r="J22" i="12"/>
  <c r="O56" i="12" s="1"/>
  <c r="K22" i="12"/>
  <c r="P56" i="12" s="1"/>
  <c r="L22" i="12"/>
  <c r="Q56" i="12" s="1"/>
  <c r="M22" i="12"/>
  <c r="R56" i="12" s="1"/>
  <c r="C23" i="12"/>
  <c r="D23" i="12"/>
  <c r="I71" i="12" s="1"/>
  <c r="E23" i="12"/>
  <c r="J71" i="12" s="1"/>
  <c r="F23" i="12"/>
  <c r="K71" i="12" s="1"/>
  <c r="G23" i="12"/>
  <c r="L71" i="12" s="1"/>
  <c r="H23" i="12"/>
  <c r="M71" i="12" s="1"/>
  <c r="I23" i="12"/>
  <c r="N71" i="12" s="1"/>
  <c r="J23" i="12"/>
  <c r="O71" i="12" s="1"/>
  <c r="K23" i="12"/>
  <c r="P71" i="12" s="1"/>
  <c r="L23" i="12"/>
  <c r="Q71" i="12" s="1"/>
  <c r="C24" i="12"/>
  <c r="H57" i="12" s="1"/>
  <c r="D24" i="12"/>
  <c r="I57" i="12" s="1"/>
  <c r="E24" i="12"/>
  <c r="J57" i="12" s="1"/>
  <c r="F24" i="12"/>
  <c r="K57" i="12" s="1"/>
  <c r="G24" i="12"/>
  <c r="L57" i="12" s="1"/>
  <c r="H24" i="12"/>
  <c r="M57" i="12" s="1"/>
  <c r="I24" i="12"/>
  <c r="N57" i="12" s="1"/>
  <c r="J24" i="12"/>
  <c r="O57" i="12" s="1"/>
  <c r="K24" i="12"/>
  <c r="P57" i="12" s="1"/>
  <c r="L24" i="12"/>
  <c r="Q57" i="12" s="1"/>
  <c r="C25" i="12"/>
  <c r="D25" i="12"/>
  <c r="E25" i="12"/>
  <c r="F25" i="12"/>
  <c r="G25" i="12"/>
  <c r="H25" i="12"/>
  <c r="I25" i="12"/>
  <c r="J25" i="12"/>
  <c r="K25" i="12"/>
  <c r="L25" i="12"/>
  <c r="M25" i="12"/>
  <c r="R72" i="12" s="1"/>
  <c r="C26" i="12"/>
  <c r="H58" i="12" s="1"/>
  <c r="D26" i="12"/>
  <c r="I58" i="12" s="1"/>
  <c r="E26" i="12"/>
  <c r="J58" i="12" s="1"/>
  <c r="F26" i="12"/>
  <c r="K58" i="12" s="1"/>
  <c r="G26" i="12"/>
  <c r="L58" i="12" s="1"/>
  <c r="H26" i="12"/>
  <c r="M58" i="12" s="1"/>
  <c r="I26" i="12"/>
  <c r="N58" i="12" s="1"/>
  <c r="J26" i="12"/>
  <c r="O58" i="12" s="1"/>
  <c r="K26" i="12"/>
  <c r="P58" i="12" s="1"/>
  <c r="L26" i="12"/>
  <c r="Q58" i="12" s="1"/>
  <c r="C27" i="12"/>
  <c r="D27" i="12"/>
  <c r="E27" i="12"/>
  <c r="F27" i="12"/>
  <c r="G27" i="12"/>
  <c r="L73" i="12" s="1"/>
  <c r="H27" i="12"/>
  <c r="M73" i="12" s="1"/>
  <c r="I27" i="12"/>
  <c r="N73" i="12" s="1"/>
  <c r="J27" i="12"/>
  <c r="O73" i="12" s="1"/>
  <c r="K27" i="12"/>
  <c r="P73" i="12" s="1"/>
  <c r="L27" i="12"/>
  <c r="Q73" i="12" s="1"/>
  <c r="C28" i="12"/>
  <c r="H59" i="12" s="1"/>
  <c r="D28" i="12"/>
  <c r="I59" i="12" s="1"/>
  <c r="E28" i="12"/>
  <c r="J59" i="12" s="1"/>
  <c r="F28" i="12"/>
  <c r="K59" i="12" s="1"/>
  <c r="G28" i="12"/>
  <c r="L59" i="12" s="1"/>
  <c r="H28" i="12"/>
  <c r="M59" i="12" s="1"/>
  <c r="I28" i="12"/>
  <c r="N59" i="12" s="1"/>
  <c r="J28" i="12"/>
  <c r="O59" i="12" s="1"/>
  <c r="K28" i="12"/>
  <c r="P59" i="12" s="1"/>
  <c r="L28" i="12"/>
  <c r="Q59" i="12" s="1"/>
  <c r="M28" i="12"/>
  <c r="R59" i="12" s="1"/>
  <c r="C29" i="12"/>
  <c r="D29" i="12"/>
  <c r="I74" i="12" s="1"/>
  <c r="E29" i="12"/>
  <c r="J74" i="12" s="1"/>
  <c r="F29" i="12"/>
  <c r="K74" i="12" s="1"/>
  <c r="G29" i="12"/>
  <c r="L74" i="12" s="1"/>
  <c r="H29" i="12"/>
  <c r="M74" i="12" s="1"/>
  <c r="I29" i="12"/>
  <c r="N74" i="12" s="1"/>
  <c r="J29" i="12"/>
  <c r="O74" i="12" s="1"/>
  <c r="K29" i="12"/>
  <c r="P74" i="12" s="1"/>
  <c r="L29" i="12"/>
  <c r="Q74" i="12" s="1"/>
  <c r="C30" i="12"/>
  <c r="D30" i="12"/>
  <c r="E30" i="12"/>
  <c r="F30" i="12"/>
  <c r="G30" i="12"/>
  <c r="H30" i="12"/>
  <c r="I30" i="12"/>
  <c r="J30" i="12"/>
  <c r="K30" i="12"/>
  <c r="L30" i="12"/>
  <c r="C31" i="12"/>
  <c r="C41" i="12" s="1"/>
  <c r="D31" i="12"/>
  <c r="D41" i="12" s="1"/>
  <c r="E31" i="12"/>
  <c r="E41" i="12" s="1"/>
  <c r="F31" i="12"/>
  <c r="F41" i="12" s="1"/>
  <c r="G31" i="12"/>
  <c r="G41" i="12" s="1"/>
  <c r="H31" i="12"/>
  <c r="H41" i="12" s="1"/>
  <c r="I31" i="12"/>
  <c r="I41" i="12" s="1"/>
  <c r="J31" i="12"/>
  <c r="J41" i="12" s="1"/>
  <c r="K31" i="12"/>
  <c r="K41" i="12" s="1"/>
  <c r="L31" i="12"/>
  <c r="L41" i="12" s="1"/>
  <c r="M31" i="12"/>
  <c r="C32" i="12"/>
  <c r="D32" i="12"/>
  <c r="E32" i="12"/>
  <c r="F32" i="12"/>
  <c r="G32" i="12"/>
  <c r="H32" i="12"/>
  <c r="I32" i="12"/>
  <c r="J32" i="12"/>
  <c r="K32" i="12"/>
  <c r="L32" i="12"/>
  <c r="D20" i="12"/>
  <c r="I55" i="12" s="1"/>
  <c r="E20" i="12"/>
  <c r="J55" i="12" s="1"/>
  <c r="F20" i="12"/>
  <c r="K55" i="12" s="1"/>
  <c r="G20" i="12"/>
  <c r="L55" i="12" s="1"/>
  <c r="H20" i="12"/>
  <c r="M55" i="12" s="1"/>
  <c r="I20" i="12"/>
  <c r="J20" i="12"/>
  <c r="O55" i="12" s="1"/>
  <c r="K20" i="12"/>
  <c r="P55" i="12" s="1"/>
  <c r="L20" i="12"/>
  <c r="Q55" i="12" s="1"/>
  <c r="C20" i="12"/>
  <c r="H55" i="12" s="1"/>
  <c r="E15" i="13"/>
  <c r="E33" i="13" s="1"/>
  <c r="F15" i="13"/>
  <c r="F33" i="13" s="1"/>
  <c r="G15" i="13"/>
  <c r="G33" i="13" s="1"/>
  <c r="H15" i="13"/>
  <c r="H33" i="13" s="1"/>
  <c r="I15" i="13"/>
  <c r="I33" i="13" s="1"/>
  <c r="J15" i="13"/>
  <c r="J33" i="13" s="1"/>
  <c r="K15" i="13"/>
  <c r="K33" i="13" s="1"/>
  <c r="L15" i="13"/>
  <c r="L33" i="13" s="1"/>
  <c r="M15" i="13"/>
  <c r="M33" i="13" s="1"/>
  <c r="N15" i="13"/>
  <c r="N33" i="13" s="1"/>
  <c r="O15" i="13"/>
  <c r="O33" i="13" s="1"/>
  <c r="P33" i="13"/>
  <c r="Q29" i="13"/>
  <c r="X60" i="13" s="1"/>
  <c r="Q30" i="13"/>
  <c r="X75" i="13" s="1"/>
  <c r="Q22" i="13"/>
  <c r="X71" i="13" s="1"/>
  <c r="Q23" i="13"/>
  <c r="X57" i="13" s="1"/>
  <c r="Q24" i="13"/>
  <c r="X72" i="13" s="1"/>
  <c r="Q25" i="13"/>
  <c r="X58" i="13" s="1"/>
  <c r="Q26" i="13"/>
  <c r="Q28" i="13"/>
  <c r="X74" i="13" s="1"/>
  <c r="M58" i="7"/>
  <c r="L58" i="7"/>
  <c r="D112" i="7" s="1"/>
  <c r="F7" i="14" s="1"/>
  <c r="F24" i="14" s="1"/>
  <c r="M4" i="12"/>
  <c r="M5" i="12"/>
  <c r="M6" i="12"/>
  <c r="M7" i="12"/>
  <c r="M8" i="12"/>
  <c r="M9" i="12"/>
  <c r="M10" i="12"/>
  <c r="M11" i="12"/>
  <c r="M12" i="12"/>
  <c r="M3" i="12"/>
  <c r="D111" i="7"/>
  <c r="F13" i="14" s="1"/>
  <c r="F30" i="14" s="1"/>
  <c r="P111" i="7"/>
  <c r="R13" i="14" s="1"/>
  <c r="R30" i="14" s="1"/>
  <c r="P110" i="7"/>
  <c r="R12" i="14" s="1"/>
  <c r="R29" i="14" s="1"/>
  <c r="O108" i="7"/>
  <c r="Q10" i="14" s="1"/>
  <c r="Q27" i="14" s="1"/>
  <c r="P107" i="7"/>
  <c r="O111" i="7"/>
  <c r="Q13" i="14" s="1"/>
  <c r="Q30" i="14" s="1"/>
  <c r="M59" i="7"/>
  <c r="M60" i="7"/>
  <c r="M61" i="7"/>
  <c r="M62" i="7"/>
  <c r="M63" i="7"/>
  <c r="M64" i="7"/>
  <c r="M65" i="7"/>
  <c r="M66" i="7"/>
  <c r="M67" i="7"/>
  <c r="M68" i="7"/>
  <c r="M69" i="7"/>
  <c r="O113" i="7" s="1"/>
  <c r="Q8" i="14" s="1"/>
  <c r="Q25" i="14" s="1"/>
  <c r="M70" i="7"/>
  <c r="P113" i="7" s="1"/>
  <c r="R8" i="14" s="1"/>
  <c r="R25" i="14" s="1"/>
  <c r="P104" i="7"/>
  <c r="R16" i="14" s="1"/>
  <c r="R33" i="14" s="1"/>
  <c r="L70" i="7"/>
  <c r="P112" i="7" s="1"/>
  <c r="R7" i="14" s="1"/>
  <c r="R24" i="14" s="1"/>
  <c r="E111" i="7"/>
  <c r="G13" i="14" s="1"/>
  <c r="G30" i="14" s="1"/>
  <c r="F111" i="7"/>
  <c r="H13" i="14" s="1"/>
  <c r="H30" i="14" s="1"/>
  <c r="G111" i="7"/>
  <c r="I13" i="14" s="1"/>
  <c r="I30" i="14" s="1"/>
  <c r="H111" i="7"/>
  <c r="J13" i="14" s="1"/>
  <c r="J30" i="14" s="1"/>
  <c r="I111" i="7"/>
  <c r="K13" i="14" s="1"/>
  <c r="K30" i="14" s="1"/>
  <c r="J111" i="7"/>
  <c r="L13" i="14" s="1"/>
  <c r="L30" i="14" s="1"/>
  <c r="K111" i="7"/>
  <c r="M13" i="14" s="1"/>
  <c r="M30" i="14" s="1"/>
  <c r="L111" i="7"/>
  <c r="N13" i="14" s="1"/>
  <c r="N30" i="14" s="1"/>
  <c r="M111" i="7"/>
  <c r="O13" i="14" s="1"/>
  <c r="O30" i="14" s="1"/>
  <c r="N111" i="7"/>
  <c r="P13" i="14" s="1"/>
  <c r="P30" i="14" s="1"/>
  <c r="D110" i="7"/>
  <c r="F12" i="14" s="1"/>
  <c r="F29" i="14" s="1"/>
  <c r="E110" i="7"/>
  <c r="G12" i="14" s="1"/>
  <c r="G29" i="14" s="1"/>
  <c r="F110" i="7"/>
  <c r="H12" i="14" s="1"/>
  <c r="H29" i="14" s="1"/>
  <c r="G110" i="7"/>
  <c r="I12" i="14" s="1"/>
  <c r="I29" i="14" s="1"/>
  <c r="H110" i="7"/>
  <c r="J12" i="14" s="1"/>
  <c r="J29" i="14" s="1"/>
  <c r="I110" i="7"/>
  <c r="K12" i="14" s="1"/>
  <c r="K29" i="14" s="1"/>
  <c r="J110" i="7"/>
  <c r="L12" i="14" s="1"/>
  <c r="L29" i="14" s="1"/>
  <c r="K110" i="7"/>
  <c r="M12" i="14" s="1"/>
  <c r="M29" i="14" s="1"/>
  <c r="L110" i="7"/>
  <c r="N12" i="14" s="1"/>
  <c r="N29" i="14" s="1"/>
  <c r="M110" i="7"/>
  <c r="O12" i="14" s="1"/>
  <c r="O29" i="14" s="1"/>
  <c r="N110" i="7"/>
  <c r="P12" i="14" s="1"/>
  <c r="P29" i="14" s="1"/>
  <c r="O110" i="7"/>
  <c r="Q12" i="14" s="1"/>
  <c r="Q29" i="14" s="1"/>
  <c r="D81" i="7"/>
  <c r="H7" i="9"/>
  <c r="H21" i="9" s="1"/>
  <c r="I7" i="9"/>
  <c r="I21" i="9" s="1"/>
  <c r="G80" i="7"/>
  <c r="J7" i="9" s="1"/>
  <c r="J21" i="9" s="1"/>
  <c r="H80" i="7"/>
  <c r="K7" i="9" s="1"/>
  <c r="K21" i="9" s="1"/>
  <c r="I80" i="7"/>
  <c r="L7" i="9" s="1"/>
  <c r="L21" i="9" s="1"/>
  <c r="J80" i="7"/>
  <c r="M7" i="9" s="1"/>
  <c r="M21" i="9" s="1"/>
  <c r="K80" i="7"/>
  <c r="N7" i="9" s="1"/>
  <c r="N21" i="9" s="1"/>
  <c r="L80" i="7"/>
  <c r="O7" i="9" s="1"/>
  <c r="O21" i="9" s="1"/>
  <c r="M80" i="7"/>
  <c r="P7" i="9" s="1"/>
  <c r="P21" i="9" s="1"/>
  <c r="N80" i="7"/>
  <c r="Q7" i="9" s="1"/>
  <c r="Q21" i="9" s="1"/>
  <c r="O80" i="7"/>
  <c r="R7" i="9" s="1"/>
  <c r="R21" i="9" s="1"/>
  <c r="P80" i="7"/>
  <c r="S7" i="9" s="1"/>
  <c r="S21" i="9" s="1"/>
  <c r="E79" i="7"/>
  <c r="F79" i="7"/>
  <c r="I6" i="9" s="1"/>
  <c r="I20" i="9" s="1"/>
  <c r="G79" i="7"/>
  <c r="H79" i="7"/>
  <c r="K6" i="9" s="1"/>
  <c r="K20" i="9" s="1"/>
  <c r="I79" i="7"/>
  <c r="L6" i="9" s="1"/>
  <c r="L20" i="9" s="1"/>
  <c r="J79" i="7"/>
  <c r="M6" i="9" s="1"/>
  <c r="M20" i="9" s="1"/>
  <c r="K79" i="7"/>
  <c r="N6" i="9" s="1"/>
  <c r="N20" i="9" s="1"/>
  <c r="L79" i="7"/>
  <c r="O6" i="9" s="1"/>
  <c r="O20" i="9" s="1"/>
  <c r="M79" i="7"/>
  <c r="P6" i="9" s="1"/>
  <c r="P20" i="9" s="1"/>
  <c r="N79" i="7"/>
  <c r="Q6" i="9" s="1"/>
  <c r="Q20" i="9" s="1"/>
  <c r="O79" i="7"/>
  <c r="R6" i="9" s="1"/>
  <c r="R20" i="9" s="1"/>
  <c r="P79" i="7"/>
  <c r="S6" i="9" s="1"/>
  <c r="S20" i="9" s="1"/>
  <c r="D79" i="7"/>
  <c r="G6" i="9" s="1"/>
  <c r="G20" i="9" s="1"/>
  <c r="D109" i="7"/>
  <c r="F11" i="14" s="1"/>
  <c r="F28" i="14" s="1"/>
  <c r="O109" i="7"/>
  <c r="Q11" i="14" s="1"/>
  <c r="Q28" i="14" s="1"/>
  <c r="N109" i="7"/>
  <c r="P11" i="14" s="1"/>
  <c r="P28" i="14" s="1"/>
  <c r="M109" i="7"/>
  <c r="O11" i="14" s="1"/>
  <c r="O28" i="14" s="1"/>
  <c r="L109" i="7"/>
  <c r="N11" i="14" s="1"/>
  <c r="N28" i="14" s="1"/>
  <c r="K109" i="7"/>
  <c r="M11" i="14" s="1"/>
  <c r="M28" i="14" s="1"/>
  <c r="J109" i="7"/>
  <c r="L11" i="14" s="1"/>
  <c r="L28" i="14" s="1"/>
  <c r="I109" i="7"/>
  <c r="K11" i="14" s="1"/>
  <c r="K28" i="14" s="1"/>
  <c r="H109" i="7"/>
  <c r="J11" i="14" s="1"/>
  <c r="J28" i="14" s="1"/>
  <c r="G109" i="7"/>
  <c r="I11" i="14" s="1"/>
  <c r="I28" i="14" s="1"/>
  <c r="F109" i="7"/>
  <c r="H11" i="14" s="1"/>
  <c r="H28" i="14" s="1"/>
  <c r="E109" i="7"/>
  <c r="G11" i="14" s="1"/>
  <c r="G28" i="14" s="1"/>
  <c r="N108" i="7"/>
  <c r="P10" i="14" s="1"/>
  <c r="P27" i="14" s="1"/>
  <c r="M108" i="7"/>
  <c r="O10" i="14" s="1"/>
  <c r="O27" i="14" s="1"/>
  <c r="L108" i="7"/>
  <c r="N10" i="14" s="1"/>
  <c r="N27" i="14" s="1"/>
  <c r="K108" i="7"/>
  <c r="M10" i="14" s="1"/>
  <c r="M27" i="14" s="1"/>
  <c r="J108" i="7"/>
  <c r="L10" i="14" s="1"/>
  <c r="L27" i="14" s="1"/>
  <c r="H108" i="7"/>
  <c r="J10" i="14" s="1"/>
  <c r="J27" i="14" s="1"/>
  <c r="G108" i="7"/>
  <c r="I10" i="14" s="1"/>
  <c r="I27" i="14" s="1"/>
  <c r="O107" i="7"/>
  <c r="N107" i="7"/>
  <c r="M107" i="7"/>
  <c r="L107" i="7"/>
  <c r="K107" i="7"/>
  <c r="J107" i="7"/>
  <c r="I107" i="7"/>
  <c r="H107" i="7"/>
  <c r="G107" i="7"/>
  <c r="F107" i="7"/>
  <c r="I8" i="16" s="1"/>
  <c r="E107" i="7"/>
  <c r="H8" i="16" s="1"/>
  <c r="D107" i="7"/>
  <c r="F15" i="14" s="1"/>
  <c r="F32" i="14" s="1"/>
  <c r="P106" i="7"/>
  <c r="R14" i="14" s="1"/>
  <c r="R31" i="14" s="1"/>
  <c r="O106" i="7"/>
  <c r="Q14" i="14" s="1"/>
  <c r="Q31" i="14" s="1"/>
  <c r="N106" i="7"/>
  <c r="P14" i="14" s="1"/>
  <c r="P31" i="14" s="1"/>
  <c r="M106" i="7"/>
  <c r="O14" i="14" s="1"/>
  <c r="O31" i="14" s="1"/>
  <c r="L106" i="7"/>
  <c r="N14" i="14" s="1"/>
  <c r="N31" i="14" s="1"/>
  <c r="K106" i="7"/>
  <c r="J106" i="7"/>
  <c r="I106" i="7"/>
  <c r="H106" i="7"/>
  <c r="G106" i="7"/>
  <c r="F106" i="7"/>
  <c r="I7" i="16" s="1"/>
  <c r="E106" i="7"/>
  <c r="H7" i="16" s="1"/>
  <c r="D106" i="7"/>
  <c r="P105" i="7"/>
  <c r="R17" i="14" s="1"/>
  <c r="R34" i="14" s="1"/>
  <c r="O105" i="7"/>
  <c r="Q17" i="14" s="1"/>
  <c r="Q34" i="14" s="1"/>
  <c r="N105" i="7"/>
  <c r="P17" i="14" s="1"/>
  <c r="P34" i="14" s="1"/>
  <c r="M105" i="7"/>
  <c r="O17" i="14" s="1"/>
  <c r="O34" i="14" s="1"/>
  <c r="L105" i="7"/>
  <c r="N17" i="14" s="1"/>
  <c r="N34" i="14" s="1"/>
  <c r="K105" i="7"/>
  <c r="M17" i="14" s="1"/>
  <c r="M34" i="14" s="1"/>
  <c r="J105" i="7"/>
  <c r="L17" i="14" s="1"/>
  <c r="L34" i="14" s="1"/>
  <c r="I105" i="7"/>
  <c r="K17" i="14" s="1"/>
  <c r="K34" i="14" s="1"/>
  <c r="H105" i="7"/>
  <c r="J17" i="14" s="1"/>
  <c r="J34" i="14" s="1"/>
  <c r="G105" i="7"/>
  <c r="I17" i="14" s="1"/>
  <c r="I34" i="14" s="1"/>
  <c r="F105" i="7"/>
  <c r="H17" i="14" s="1"/>
  <c r="H34" i="14" s="1"/>
  <c r="E105" i="7"/>
  <c r="G17" i="14" s="1"/>
  <c r="G34" i="14" s="1"/>
  <c r="D105" i="7"/>
  <c r="F17" i="14" s="1"/>
  <c r="F34" i="14" s="1"/>
  <c r="O104" i="7"/>
  <c r="Q16" i="14" s="1"/>
  <c r="Q33" i="14" s="1"/>
  <c r="N104" i="7"/>
  <c r="P16" i="14" s="1"/>
  <c r="P33" i="14" s="1"/>
  <c r="M104" i="7"/>
  <c r="O16" i="14" s="1"/>
  <c r="O33" i="14" s="1"/>
  <c r="L104" i="7"/>
  <c r="N16" i="14" s="1"/>
  <c r="N33" i="14" s="1"/>
  <c r="K104" i="7"/>
  <c r="M16" i="14" s="1"/>
  <c r="M33" i="14" s="1"/>
  <c r="J104" i="7"/>
  <c r="L16" i="14" s="1"/>
  <c r="L33" i="14" s="1"/>
  <c r="I104" i="7"/>
  <c r="K16" i="14" s="1"/>
  <c r="K33" i="14" s="1"/>
  <c r="H104" i="7"/>
  <c r="J16" i="14" s="1"/>
  <c r="J33" i="14" s="1"/>
  <c r="G104" i="7"/>
  <c r="I16" i="14" s="1"/>
  <c r="I33" i="14" s="1"/>
  <c r="F104" i="7"/>
  <c r="H16" i="14" s="1"/>
  <c r="H33" i="14" s="1"/>
  <c r="E104" i="7"/>
  <c r="G16" i="14" s="1"/>
  <c r="G33" i="14" s="1"/>
  <c r="D104" i="7"/>
  <c r="F16" i="14" s="1"/>
  <c r="F33" i="14" s="1"/>
  <c r="W31" i="7"/>
  <c r="X31" i="7"/>
  <c r="Y31" i="7"/>
  <c r="Z31" i="7"/>
  <c r="AA31" i="7"/>
  <c r="AB31" i="7"/>
  <c r="AC31" i="7"/>
  <c r="AD31" i="7"/>
  <c r="AE31" i="7"/>
  <c r="AF31" i="7"/>
  <c r="AG31" i="7"/>
  <c r="W21" i="7"/>
  <c r="V21" i="7"/>
  <c r="L38" i="12" l="1"/>
  <c r="Q72" i="12"/>
  <c r="I38" i="12"/>
  <c r="N72" i="12"/>
  <c r="C37" i="12"/>
  <c r="H71" i="12"/>
  <c r="C40" i="12"/>
  <c r="H74" i="12"/>
  <c r="J38" i="12"/>
  <c r="O72" i="12"/>
  <c r="G38" i="12"/>
  <c r="L72" i="12"/>
  <c r="G36" i="12"/>
  <c r="L70" i="12"/>
  <c r="L36" i="12"/>
  <c r="Q70" i="12"/>
  <c r="F36" i="12"/>
  <c r="K70" i="12"/>
  <c r="I36" i="12"/>
  <c r="N55" i="12"/>
  <c r="C39" i="12"/>
  <c r="H73" i="12"/>
  <c r="M72" i="12"/>
  <c r="H38" i="12"/>
  <c r="K36" i="12"/>
  <c r="P70" i="12"/>
  <c r="H36" i="12"/>
  <c r="M70" i="12"/>
  <c r="F39" i="12"/>
  <c r="K73" i="12"/>
  <c r="D36" i="12"/>
  <c r="I70" i="12"/>
  <c r="D39" i="12"/>
  <c r="I73" i="12"/>
  <c r="C36" i="12"/>
  <c r="H70" i="12"/>
  <c r="K38" i="12"/>
  <c r="P72" i="12"/>
  <c r="F38" i="12"/>
  <c r="K72" i="12"/>
  <c r="E38" i="12"/>
  <c r="J72" i="12"/>
  <c r="D38" i="12"/>
  <c r="I72" i="12"/>
  <c r="C38" i="12"/>
  <c r="H72" i="12"/>
  <c r="J36" i="12"/>
  <c r="O70" i="12"/>
  <c r="E36" i="12"/>
  <c r="J70" i="12"/>
  <c r="E39" i="12"/>
  <c r="J73" i="12"/>
  <c r="Y71" i="13"/>
  <c r="Y57" i="13"/>
  <c r="O56" i="13"/>
  <c r="R56" i="13"/>
  <c r="T56" i="13"/>
  <c r="U56" i="13"/>
  <c r="P39" i="13"/>
  <c r="W73" i="13"/>
  <c r="O39" i="13"/>
  <c r="V73" i="13"/>
  <c r="Q56" i="13"/>
  <c r="N39" i="13"/>
  <c r="U73" i="13"/>
  <c r="S56" i="13"/>
  <c r="P56" i="13"/>
  <c r="Q39" i="13"/>
  <c r="X73" i="13"/>
  <c r="X56" i="13"/>
  <c r="K56" i="13"/>
  <c r="L56" i="13"/>
  <c r="W56" i="13"/>
  <c r="V56" i="13"/>
  <c r="M56" i="13"/>
  <c r="N56" i="13"/>
  <c r="Q38" i="13"/>
  <c r="R39" i="13"/>
  <c r="Q41" i="13"/>
  <c r="D40" i="13"/>
  <c r="P38" i="13"/>
  <c r="L38" i="13"/>
  <c r="O38" i="13"/>
  <c r="N38" i="13"/>
  <c r="R30" i="13"/>
  <c r="Y75" i="13" s="1"/>
  <c r="I37" i="13"/>
  <c r="M40" i="13"/>
  <c r="E42" i="13"/>
  <c r="R27" i="13"/>
  <c r="R40" i="13" s="1"/>
  <c r="F42" i="13"/>
  <c r="L37" i="13"/>
  <c r="H42" i="13"/>
  <c r="M37" i="13"/>
  <c r="I42" i="13"/>
  <c r="R29" i="13"/>
  <c r="J37" i="13"/>
  <c r="K37" i="13"/>
  <c r="G42" i="13"/>
  <c r="D39" i="13"/>
  <c r="R24" i="13"/>
  <c r="N42" i="13"/>
  <c r="R15" i="13"/>
  <c r="R33" i="13" s="1"/>
  <c r="R23" i="13"/>
  <c r="P116" i="7"/>
  <c r="R15" i="14"/>
  <c r="R32" i="14" s="1"/>
  <c r="O116" i="7"/>
  <c r="Q15" i="14"/>
  <c r="Q32" i="14" s="1"/>
  <c r="N116" i="7"/>
  <c r="P15" i="14"/>
  <c r="P32" i="14" s="1"/>
  <c r="M116" i="7"/>
  <c r="O15" i="14"/>
  <c r="O32" i="14" s="1"/>
  <c r="L116" i="7"/>
  <c r="N15" i="14"/>
  <c r="N32" i="14" s="1"/>
  <c r="K116" i="7"/>
  <c r="M15" i="14"/>
  <c r="M32" i="14" s="1"/>
  <c r="J116" i="7"/>
  <c r="L15" i="14"/>
  <c r="L32" i="14" s="1"/>
  <c r="I116" i="7"/>
  <c r="K15" i="14"/>
  <c r="K32" i="14" s="1"/>
  <c r="H116" i="7"/>
  <c r="J15" i="14"/>
  <c r="J32" i="14" s="1"/>
  <c r="G116" i="7"/>
  <c r="I15" i="14"/>
  <c r="I32" i="14" s="1"/>
  <c r="F116" i="7"/>
  <c r="H15" i="14"/>
  <c r="H32" i="14" s="1"/>
  <c r="E116" i="7"/>
  <c r="G15" i="14"/>
  <c r="G32" i="14" s="1"/>
  <c r="K117" i="7"/>
  <c r="M14" i="14"/>
  <c r="M31" i="14" s="1"/>
  <c r="J117" i="7"/>
  <c r="L14" i="14"/>
  <c r="L31" i="14" s="1"/>
  <c r="I117" i="7"/>
  <c r="K14" i="14"/>
  <c r="K31" i="14" s="1"/>
  <c r="H117" i="7"/>
  <c r="J14" i="14"/>
  <c r="J31" i="14" s="1"/>
  <c r="G117" i="7"/>
  <c r="I14" i="14"/>
  <c r="I31" i="14" s="1"/>
  <c r="F117" i="7"/>
  <c r="H14" i="14"/>
  <c r="H31" i="14" s="1"/>
  <c r="E117" i="7"/>
  <c r="G14" i="14"/>
  <c r="G31" i="14" s="1"/>
  <c r="D117" i="7"/>
  <c r="F14" i="14"/>
  <c r="F31" i="14" s="1"/>
  <c r="AA20" i="7"/>
  <c r="J83" i="7"/>
  <c r="I83" i="7"/>
  <c r="H83" i="7"/>
  <c r="K83" i="7"/>
  <c r="P83" i="7"/>
  <c r="O83" i="7"/>
  <c r="N83" i="7"/>
  <c r="M83" i="7"/>
  <c r="L83" i="7"/>
  <c r="R109" i="7"/>
  <c r="S11" i="14" s="1"/>
  <c r="S28" i="14" s="1"/>
  <c r="R105" i="7"/>
  <c r="S17" i="14" s="1"/>
  <c r="S34" i="14" s="1"/>
  <c r="L117" i="7"/>
  <c r="R107" i="7"/>
  <c r="D116" i="7"/>
  <c r="N117" i="7"/>
  <c r="O117" i="7"/>
  <c r="P117" i="7"/>
  <c r="R104" i="7"/>
  <c r="S16" i="14" s="1"/>
  <c r="S33" i="14" s="1"/>
  <c r="R106" i="7"/>
  <c r="M117" i="7"/>
  <c r="R110" i="7"/>
  <c r="S12" i="14" s="1"/>
  <c r="S29" i="14" s="1"/>
  <c r="R111" i="7"/>
  <c r="S13" i="14" s="1"/>
  <c r="S30" i="14" s="1"/>
  <c r="R108" i="7"/>
  <c r="S10" i="14" s="1"/>
  <c r="S27" i="14" s="1"/>
  <c r="M29" i="12"/>
  <c r="M26" i="12"/>
  <c r="R58" i="12" s="1"/>
  <c r="M23" i="12"/>
  <c r="L40" i="12"/>
  <c r="L39" i="12"/>
  <c r="L37" i="12"/>
  <c r="K40" i="12"/>
  <c r="K39" i="12"/>
  <c r="K37" i="12"/>
  <c r="J40" i="12"/>
  <c r="J37" i="12"/>
  <c r="I37" i="12"/>
  <c r="H40" i="12"/>
  <c r="H37" i="12"/>
  <c r="G40" i="12"/>
  <c r="G37" i="12"/>
  <c r="E40" i="12"/>
  <c r="E37" i="12"/>
  <c r="J39" i="12"/>
  <c r="I40" i="12"/>
  <c r="I39" i="12"/>
  <c r="H39" i="12"/>
  <c r="G39" i="12"/>
  <c r="F40" i="12"/>
  <c r="F37" i="12"/>
  <c r="D40" i="12"/>
  <c r="D37" i="12"/>
  <c r="F39" i="13"/>
  <c r="J42" i="13"/>
  <c r="H39" i="13"/>
  <c r="I39" i="13"/>
  <c r="M42" i="13"/>
  <c r="J39" i="13"/>
  <c r="E39" i="13"/>
  <c r="G39" i="13"/>
  <c r="K42" i="13"/>
  <c r="L42" i="13"/>
  <c r="E38" i="13"/>
  <c r="I41" i="13"/>
  <c r="R42" i="13"/>
  <c r="H38" i="13"/>
  <c r="L41" i="13"/>
  <c r="I38" i="13"/>
  <c r="M41" i="13"/>
  <c r="P41" i="13"/>
  <c r="J38" i="13"/>
  <c r="O41" i="13"/>
  <c r="K38" i="13"/>
  <c r="N41" i="13"/>
  <c r="D38" i="13"/>
  <c r="H41" i="13"/>
  <c r="N37" i="13"/>
  <c r="F38" i="13"/>
  <c r="J41" i="13"/>
  <c r="Q40" i="13"/>
  <c r="G38" i="13"/>
  <c r="K41" i="13"/>
  <c r="Q37" i="13"/>
  <c r="M38" i="13"/>
  <c r="E40" i="13"/>
  <c r="P40" i="13"/>
  <c r="O40" i="13"/>
  <c r="K39" i="13"/>
  <c r="E41" i="13"/>
  <c r="F41" i="13"/>
  <c r="P37" i="13"/>
  <c r="R37" i="13"/>
  <c r="L39" i="13"/>
  <c r="D41" i="13"/>
  <c r="M39" i="13"/>
  <c r="Q42" i="13"/>
  <c r="P42" i="13"/>
  <c r="G41" i="13"/>
  <c r="O42" i="13"/>
  <c r="O37" i="13"/>
  <c r="J40" i="13"/>
  <c r="G37" i="13"/>
  <c r="K40" i="13"/>
  <c r="F40" i="13"/>
  <c r="G40" i="13"/>
  <c r="D37" i="13"/>
  <c r="H40" i="13"/>
  <c r="E37" i="13"/>
  <c r="I40" i="13"/>
  <c r="N40" i="13"/>
  <c r="F37" i="13"/>
  <c r="H37" i="13"/>
  <c r="L40" i="13"/>
  <c r="D42" i="13"/>
  <c r="M32" i="12"/>
  <c r="M27" i="12"/>
  <c r="R73" i="12" s="1"/>
  <c r="M24" i="12"/>
  <c r="M30" i="12"/>
  <c r="M41" i="12" s="1"/>
  <c r="M20" i="12"/>
  <c r="D83" i="7"/>
  <c r="G83" i="7"/>
  <c r="Q33" i="13"/>
  <c r="D33" i="13"/>
  <c r="J6" i="9"/>
  <c r="J20" i="9" s="1"/>
  <c r="H6" i="9"/>
  <c r="H20" i="9" s="1"/>
  <c r="F83" i="7"/>
  <c r="E83" i="7"/>
  <c r="D103" i="7"/>
  <c r="G8" i="9"/>
  <c r="G7" i="9"/>
  <c r="G21" i="9" s="1"/>
  <c r="M37" i="12" l="1"/>
  <c r="R71" i="12"/>
  <c r="M36" i="12"/>
  <c r="R55" i="12"/>
  <c r="M40" i="12"/>
  <c r="R74" i="12"/>
  <c r="M38" i="12"/>
  <c r="R57" i="12"/>
  <c r="R38" i="13"/>
  <c r="Y58" i="13"/>
  <c r="Y72" i="13"/>
  <c r="Y59" i="13"/>
  <c r="R41" i="13"/>
  <c r="G22" i="9"/>
  <c r="R116" i="7"/>
  <c r="S15" i="14"/>
  <c r="S32" i="14" s="1"/>
  <c r="R117" i="7"/>
  <c r="S31" i="14"/>
  <c r="M39" i="12"/>
  <c r="U18" i="7"/>
  <c r="AG29" i="7" s="1"/>
  <c r="O81" i="7" s="1"/>
  <c r="T18" i="7"/>
  <c r="T7" i="9"/>
  <c r="T21" i="9" s="1"/>
  <c r="T6" i="9"/>
  <c r="T20" i="9" s="1"/>
  <c r="L59" i="7"/>
  <c r="E112" i="7" s="1"/>
  <c r="L60" i="7"/>
  <c r="F112" i="7" s="1"/>
  <c r="L61" i="7"/>
  <c r="G112" i="7" s="1"/>
  <c r="L62" i="7"/>
  <c r="H112" i="7" s="1"/>
  <c r="L63" i="7"/>
  <c r="I112" i="7" s="1"/>
  <c r="L64" i="7"/>
  <c r="J112" i="7" s="1"/>
  <c r="L65" i="7"/>
  <c r="K112" i="7" s="1"/>
  <c r="L66" i="7"/>
  <c r="L112" i="7" s="1"/>
  <c r="L67" i="7"/>
  <c r="M112" i="7" s="1"/>
  <c r="L68" i="7"/>
  <c r="N112" i="7" s="1"/>
  <c r="L69" i="7"/>
  <c r="O112" i="7" s="1"/>
  <c r="M46" i="7"/>
  <c r="L46" i="7"/>
  <c r="I46" i="7"/>
  <c r="H46" i="7"/>
  <c r="K46" i="7"/>
  <c r="J46" i="7"/>
  <c r="G46" i="7"/>
  <c r="F46" i="7"/>
  <c r="E20" i="7"/>
  <c r="D20" i="7"/>
  <c r="R20" i="7"/>
  <c r="Q20" i="7"/>
  <c r="U17" i="7"/>
  <c r="AF29" i="7" s="1"/>
  <c r="N81" i="7" s="1"/>
  <c r="U15" i="7"/>
  <c r="AD29" i="7" s="1"/>
  <c r="L81" i="7" s="1"/>
  <c r="U14" i="7"/>
  <c r="AC29" i="7" s="1"/>
  <c r="K81" i="7" s="1"/>
  <c r="U12" i="7"/>
  <c r="AA29" i="7" s="1"/>
  <c r="G7" i="14" l="1"/>
  <c r="G24" i="14" s="1"/>
  <c r="H7" i="14"/>
  <c r="H24" i="14" s="1"/>
  <c r="I7" i="14"/>
  <c r="I24" i="14" s="1"/>
  <c r="J7" i="14"/>
  <c r="J24" i="14" s="1"/>
  <c r="K7" i="14"/>
  <c r="K24" i="14" s="1"/>
  <c r="L7" i="14"/>
  <c r="L24" i="14" s="1"/>
  <c r="M7" i="14"/>
  <c r="M24" i="14" s="1"/>
  <c r="N7" i="14"/>
  <c r="N24" i="14" s="1"/>
  <c r="O7" i="14"/>
  <c r="O24" i="14" s="1"/>
  <c r="P7" i="14"/>
  <c r="P24" i="14" s="1"/>
  <c r="Q7" i="14"/>
  <c r="Q24" i="14" s="1"/>
  <c r="L103" i="7"/>
  <c r="K103" i="7"/>
  <c r="AG28" i="7"/>
  <c r="AA18" i="7"/>
  <c r="O101" i="7" s="1"/>
  <c r="Q18" i="14" s="1"/>
  <c r="Q35" i="14" s="1"/>
  <c r="R8" i="9"/>
  <c r="I81" i="7"/>
  <c r="N8" i="9"/>
  <c r="O8" i="9"/>
  <c r="Q8" i="9"/>
  <c r="O103" i="7"/>
  <c r="N103" i="7"/>
  <c r="U8" i="7"/>
  <c r="W29" i="7" s="1"/>
  <c r="R112" i="7"/>
  <c r="U11" i="7"/>
  <c r="Z29" i="7" s="1"/>
  <c r="U13" i="7"/>
  <c r="AB29" i="7" s="1"/>
  <c r="D113" i="7"/>
  <c r="F8" i="14" s="1"/>
  <c r="F25" i="14" s="1"/>
  <c r="H113" i="7"/>
  <c r="N113" i="7"/>
  <c r="M113" i="7"/>
  <c r="I113" i="7"/>
  <c r="G113" i="7"/>
  <c r="L113" i="7"/>
  <c r="K113" i="7"/>
  <c r="F113" i="7"/>
  <c r="E113" i="7"/>
  <c r="J113" i="7"/>
  <c r="U19" i="7"/>
  <c r="AH29" i="7" s="1"/>
  <c r="U10" i="7"/>
  <c r="Y29" i="7" s="1"/>
  <c r="U16" i="7"/>
  <c r="AE29" i="7" s="1"/>
  <c r="U9" i="7"/>
  <c r="X29" i="7" s="1"/>
  <c r="T19" i="7"/>
  <c r="T7" i="7"/>
  <c r="T10" i="7"/>
  <c r="T17" i="7"/>
  <c r="T16" i="7"/>
  <c r="T14" i="7"/>
  <c r="T13" i="7"/>
  <c r="T9" i="7"/>
  <c r="T8" i="7"/>
  <c r="T15" i="7"/>
  <c r="T12" i="7"/>
  <c r="T11" i="7"/>
  <c r="O78" i="7" l="1"/>
  <c r="AG30" i="7"/>
  <c r="O102" i="7"/>
  <c r="S7" i="14"/>
  <c r="S24" i="14" s="1"/>
  <c r="J8" i="14"/>
  <c r="J25" i="14" s="1"/>
  <c r="P8" i="14"/>
  <c r="P25" i="14" s="1"/>
  <c r="O8" i="14"/>
  <c r="O25" i="14" s="1"/>
  <c r="K8" i="14"/>
  <c r="K25" i="14" s="1"/>
  <c r="I8" i="14"/>
  <c r="I25" i="14" s="1"/>
  <c r="N8" i="14"/>
  <c r="N25" i="14" s="1"/>
  <c r="M8" i="14"/>
  <c r="M25" i="14" s="1"/>
  <c r="H8" i="14"/>
  <c r="H25" i="14" s="1"/>
  <c r="G8" i="14"/>
  <c r="G25" i="14" s="1"/>
  <c r="L8" i="14"/>
  <c r="L25" i="14" s="1"/>
  <c r="AB28" i="7"/>
  <c r="AA13" i="7"/>
  <c r="Y28" i="7"/>
  <c r="AA10" i="7"/>
  <c r="AH28" i="7"/>
  <c r="P78" i="7" s="1"/>
  <c r="AA19" i="7"/>
  <c r="AA17" i="7"/>
  <c r="N101" i="7" s="1"/>
  <c r="Z28" i="7"/>
  <c r="H78" i="7" s="1"/>
  <c r="AA11" i="7"/>
  <c r="H101" i="7" s="1"/>
  <c r="X28" i="7"/>
  <c r="AA9" i="7"/>
  <c r="F101" i="7" s="1"/>
  <c r="AA14" i="7"/>
  <c r="K101" i="7" s="1"/>
  <c r="AE28" i="7"/>
  <c r="M78" i="7" s="1"/>
  <c r="AA16" i="7"/>
  <c r="M101" i="7" s="1"/>
  <c r="O18" i="14" s="1"/>
  <c r="V28" i="7"/>
  <c r="D78" i="7" s="1"/>
  <c r="D101" i="7"/>
  <c r="F18" i="14" s="1"/>
  <c r="F35" i="14" s="1"/>
  <c r="AA12" i="7"/>
  <c r="I101" i="7" s="1"/>
  <c r="AA15" i="7"/>
  <c r="L101" i="7" s="1"/>
  <c r="W28" i="7"/>
  <c r="E78" i="7" s="1"/>
  <c r="AA8" i="7"/>
  <c r="E101" i="7" s="1"/>
  <c r="AC28" i="7"/>
  <c r="AF28" i="7"/>
  <c r="AA28" i="7"/>
  <c r="AD28" i="7"/>
  <c r="F81" i="7"/>
  <c r="J81" i="7"/>
  <c r="M81" i="7"/>
  <c r="G81" i="7"/>
  <c r="P81" i="7"/>
  <c r="H81" i="7"/>
  <c r="E81" i="7"/>
  <c r="Q22" i="9"/>
  <c r="O22" i="9"/>
  <c r="N22" i="9"/>
  <c r="L8" i="9"/>
  <c r="I103" i="7"/>
  <c r="AI29" i="7"/>
  <c r="AI34" i="7" s="1"/>
  <c r="R22" i="9"/>
  <c r="J101" i="7"/>
  <c r="R113" i="7"/>
  <c r="G101" i="7"/>
  <c r="I18" i="14" s="1"/>
  <c r="P101" i="7"/>
  <c r="O82" i="7" l="1"/>
  <c r="R5" i="9"/>
  <c r="G78" i="7"/>
  <c r="Y30" i="7"/>
  <c r="P102" i="7"/>
  <c r="S5" i="9"/>
  <c r="S19" i="9" s="1"/>
  <c r="K5" i="9"/>
  <c r="K19" i="9" s="1"/>
  <c r="H102" i="7"/>
  <c r="F78" i="7"/>
  <c r="X30" i="7"/>
  <c r="J78" i="7"/>
  <c r="J82" i="7" s="1"/>
  <c r="AB30" i="7"/>
  <c r="P18" i="14"/>
  <c r="J18" i="14"/>
  <c r="J35" i="14" s="1"/>
  <c r="H18" i="14"/>
  <c r="H35" i="14" s="1"/>
  <c r="M18" i="14"/>
  <c r="K18" i="14"/>
  <c r="K35" i="14" s="1"/>
  <c r="N18" i="14"/>
  <c r="N35" i="14" s="1"/>
  <c r="H5" i="9"/>
  <c r="H19" i="9" s="1"/>
  <c r="G18" i="14"/>
  <c r="G35" i="14" s="1"/>
  <c r="L18" i="14"/>
  <c r="S8" i="14"/>
  <c r="S25" i="14" s="1"/>
  <c r="R18" i="14"/>
  <c r="R35" i="14" s="1"/>
  <c r="E102" i="7"/>
  <c r="W30" i="7"/>
  <c r="AH30" i="7"/>
  <c r="AE30" i="7"/>
  <c r="M102" i="7"/>
  <c r="V30" i="7"/>
  <c r="Z30" i="7"/>
  <c r="P5" i="9"/>
  <c r="P19" i="9" s="1"/>
  <c r="L78" i="7"/>
  <c r="AD30" i="7"/>
  <c r="I78" i="7"/>
  <c r="AA30" i="7"/>
  <c r="D102" i="7"/>
  <c r="G5" i="9"/>
  <c r="G11" i="9" s="1"/>
  <c r="D82" i="7"/>
  <c r="AI28" i="7"/>
  <c r="N78" i="7"/>
  <c r="AF30" i="7"/>
  <c r="K78" i="7"/>
  <c r="AC30" i="7"/>
  <c r="H8" i="9"/>
  <c r="E82" i="7"/>
  <c r="E103" i="7"/>
  <c r="K8" i="9"/>
  <c r="H82" i="7"/>
  <c r="H103" i="7"/>
  <c r="L22" i="9"/>
  <c r="P103" i="7"/>
  <c r="S8" i="9"/>
  <c r="S11" i="9" s="1"/>
  <c r="P82" i="7"/>
  <c r="J8" i="9"/>
  <c r="G82" i="7"/>
  <c r="G103" i="7"/>
  <c r="P8" i="9"/>
  <c r="M82" i="7"/>
  <c r="M103" i="7"/>
  <c r="M8" i="9"/>
  <c r="J103" i="7"/>
  <c r="R101" i="7"/>
  <c r="I8" i="9"/>
  <c r="F82" i="7"/>
  <c r="F103" i="7"/>
  <c r="H11" i="9" l="1"/>
  <c r="P11" i="9"/>
  <c r="K11" i="9"/>
  <c r="G102" i="7"/>
  <c r="J5" i="9"/>
  <c r="J19" i="9" s="1"/>
  <c r="R19" i="9"/>
  <c r="R23" i="9" s="1"/>
  <c r="R11" i="9"/>
  <c r="R9" i="9"/>
  <c r="F102" i="7"/>
  <c r="I5" i="9"/>
  <c r="I19" i="9" s="1"/>
  <c r="AI30" i="7"/>
  <c r="J102" i="7"/>
  <c r="M5" i="9"/>
  <c r="M11" i="9" s="1"/>
  <c r="S18" i="14"/>
  <c r="N5" i="9"/>
  <c r="N11" i="9" s="1"/>
  <c r="K102" i="7"/>
  <c r="K82" i="7"/>
  <c r="Q5" i="9"/>
  <c r="Q11" i="9" s="1"/>
  <c r="N102" i="7"/>
  <c r="N82" i="7"/>
  <c r="G19" i="9"/>
  <c r="G23" i="9" s="1"/>
  <c r="G9" i="9"/>
  <c r="L5" i="9"/>
  <c r="L11" i="9" s="1"/>
  <c r="I102" i="7"/>
  <c r="I82" i="7"/>
  <c r="L102" i="7"/>
  <c r="O5" i="9"/>
  <c r="O11" i="9" s="1"/>
  <c r="L82" i="7"/>
  <c r="I22" i="9"/>
  <c r="M22" i="9"/>
  <c r="P22" i="9"/>
  <c r="P23" i="9" s="1"/>
  <c r="P9" i="9"/>
  <c r="J22" i="9"/>
  <c r="J23" i="9" s="1"/>
  <c r="J9" i="9"/>
  <c r="S22" i="9"/>
  <c r="S23" i="9" s="1"/>
  <c r="S9" i="9"/>
  <c r="R103" i="7"/>
  <c r="K22" i="9"/>
  <c r="K23" i="9" s="1"/>
  <c r="K9" i="9"/>
  <c r="H22" i="9"/>
  <c r="H23" i="9" s="1"/>
  <c r="H9" i="9"/>
  <c r="T8" i="9"/>
  <c r="J11" i="9" l="1"/>
  <c r="I11" i="9"/>
  <c r="T22" i="9"/>
  <c r="I9" i="9"/>
  <c r="I23" i="9"/>
  <c r="R102" i="7"/>
  <c r="M19" i="9"/>
  <c r="M23" i="9" s="1"/>
  <c r="M9" i="9"/>
  <c r="O19" i="9"/>
  <c r="O23" i="9" s="1"/>
  <c r="O9" i="9"/>
  <c r="L19" i="9"/>
  <c r="L23" i="9" s="1"/>
  <c r="L9" i="9"/>
  <c r="T5" i="9"/>
  <c r="T19" i="9" s="1"/>
  <c r="Q19" i="9"/>
  <c r="Q23" i="9" s="1"/>
  <c r="Q9" i="9"/>
  <c r="N19" i="9"/>
  <c r="N23" i="9" s="1"/>
  <c r="N9" i="9"/>
  <c r="T23" i="9" l="1"/>
  <c r="T11" i="9"/>
  <c r="T9" i="9"/>
</calcChain>
</file>

<file path=xl/sharedStrings.xml><?xml version="1.0" encoding="utf-8"?>
<sst xmlns="http://schemas.openxmlformats.org/spreadsheetml/2006/main" count="911" uniqueCount="284">
  <si>
    <t xml:space="preserve">Potential or realized </t>
  </si>
  <si>
    <t>Ecosystem
 service supply</t>
  </si>
  <si>
    <t>Unit</t>
  </si>
  <si>
    <t>National  2013</t>
  </si>
  <si>
    <t>National 2022</t>
  </si>
  <si>
    <t>% Change</t>
  </si>
  <si>
    <t>National 
per ha (2022)</t>
  </si>
  <si>
    <t>Top 3 provinces
 (per ha, 2022)</t>
  </si>
  <si>
    <t>Bottom 3 provinces 
(per ha, 2022)</t>
  </si>
  <si>
    <t>Potential (realised only in cropland)</t>
  </si>
  <si>
    <t>Soil protection 
(avoided erosion)</t>
  </si>
  <si>
    <t>Tons</t>
  </si>
  <si>
    <t>29.69 B</t>
  </si>
  <si>
    <t>29.70 B</t>
  </si>
  <si>
    <t>262 t/ha</t>
  </si>
  <si>
    <t>South West Ethiopia (746),
Amhara (509), 
South Ethiopia (435)</t>
  </si>
  <si>
    <t>Somali (38), 
Afar (49), 
Sidama (56)</t>
  </si>
  <si>
    <t>Potential</t>
  </si>
  <si>
    <t>Water quality  (avoided sediment)</t>
  </si>
  <si>
    <t>6.72 B</t>
  </si>
  <si>
    <t>6.70 B</t>
  </si>
  <si>
    <t>–0.23%</t>
  </si>
  <si>
    <t>59 t/ha</t>
  </si>
  <si>
    <t>South West Ethiopia (151),
Amhara (130), 
South Ethiopia (99)</t>
  </si>
  <si>
    <t>Somali (7.7), 
Sidama (12.9), 
Addis Ababa (17.4)</t>
  </si>
  <si>
    <t>Baseflow (sustained dry-season water)</t>
  </si>
  <si>
    <t>m³</t>
  </si>
  <si>
    <t>165.32 B</t>
  </si>
  <si>
    <t>163.16 B</t>
  </si>
  <si>
    <t>–1.31%</t>
  </si>
  <si>
    <t>1,440 m³/ha</t>
  </si>
  <si>
    <t>South West Ethiopia (5,039),
Benishangul Gumz (3,527),
Gambela (2,734)</t>
  </si>
  <si>
    <t>Somali (176), 
Dire Dawa (352), 
Sidama (371)</t>
  </si>
  <si>
    <t>Flood regulation (avoided quickflow)</t>
  </si>
  <si>
    <t>190.36 B</t>
  </si>
  <si>
    <t>185.16 B</t>
  </si>
  <si>
    <t>–2.73%</t>
  </si>
  <si>
    <t>1,635 m³/ha</t>
  </si>
  <si>
    <t>South West Ethiopia (5,038), Benishangul Gumz (3,943), Gambela (2,493)</t>
  </si>
  <si>
    <t>Addis Ababa (–2,691), 
Afar (228), 
Sidama (274)</t>
  </si>
  <si>
    <t xml:space="preserve">Water yield </t>
  </si>
  <si>
    <t>343.96 B</t>
  </si>
  <si>
    <t>347.00 B</t>
  </si>
  <si>
    <t>3,062 m³/ha</t>
  </si>
  <si>
    <t>Addis Ababa (7,906), 
South West Ethiopia (7,831),
Benishangul Gumz (5,914)</t>
  </si>
  <si>
    <t>Somali (767), 
Sidama (800), 
Afar (1,204)</t>
  </si>
  <si>
    <t>Realized</t>
  </si>
  <si>
    <t>Carbon sequestration (annual rate)</t>
  </si>
  <si>
    <t>Tons C/yr</t>
  </si>
  <si>
    <t>–0.006 t/ha/yr</t>
  </si>
  <si>
    <t>Tigray (+1.98), 
Harari (+1.93),
 Central Ethiopia (+1.66)</t>
  </si>
  <si>
    <t>South West Ethiopia (–5.13), 
Addis Ababa (–3.93),
South Ethiopia (–0.65)</t>
  </si>
  <si>
    <t>Land cover account 2013 to 2022, km2</t>
  </si>
  <si>
    <t> </t>
  </si>
  <si>
    <t xml:space="preserve"> Moderate forest </t>
  </si>
  <si>
    <t xml:space="preserve"> Perennial cropland </t>
  </si>
  <si>
    <t xml:space="preserve"> Annual cropland </t>
  </si>
  <si>
    <t xml:space="preserve"> Open grassland </t>
  </si>
  <si>
    <t xml:space="preserve"> Closed grassland </t>
  </si>
  <si>
    <t xml:space="preserve"> Dense forest </t>
  </si>
  <si>
    <t xml:space="preserve"> Sparse forest </t>
  </si>
  <si>
    <t xml:space="preserve"> Wetland </t>
  </si>
  <si>
    <t xml:space="preserve"> Built up </t>
  </si>
  <si>
    <t xml:space="preserve"> Open shrub land </t>
  </si>
  <si>
    <t xml:space="preserve"> Closed shrub land </t>
  </si>
  <si>
    <t xml:space="preserve"> Water body </t>
  </si>
  <si>
    <t xml:space="preserve"> Bare land </t>
  </si>
  <si>
    <t>Total</t>
  </si>
  <si>
    <t>Opening area 2013</t>
  </si>
  <si>
    <t>Additions</t>
  </si>
  <si>
    <t>Managed</t>
  </si>
  <si>
    <t>Natural</t>
  </si>
  <si>
    <t xml:space="preserve">                                -  </t>
  </si>
  <si>
    <t>Unknown</t>
  </si>
  <si>
    <t>Total additions</t>
  </si>
  <si>
    <t>Reductions</t>
  </si>
  <si>
    <t>Total reductions</t>
  </si>
  <si>
    <t>Closing area 2022</t>
  </si>
  <si>
    <t>Net change</t>
  </si>
  <si>
    <t>Percentage change</t>
  </si>
  <si>
    <t>Full extended realized soil protection service Ethiopia</t>
  </si>
  <si>
    <t>Full extended realized carbon sequestration service Ethiopia</t>
  </si>
  <si>
    <t>Accounting period</t>
  </si>
  <si>
    <t>units of measure</t>
  </si>
  <si>
    <t>Economic units(selected)</t>
  </si>
  <si>
    <t>Ecosystem type</t>
  </si>
  <si>
    <t>National</t>
  </si>
  <si>
    <t>Agriculture</t>
  </si>
  <si>
    <t>Perennial crop</t>
  </si>
  <si>
    <t>Annual crop</t>
  </si>
  <si>
    <t>Government</t>
  </si>
  <si>
    <t>Moderate forest</t>
  </si>
  <si>
    <t>Open grassland</t>
  </si>
  <si>
    <t>Closed grassland</t>
  </si>
  <si>
    <t>Dense forest</t>
  </si>
  <si>
    <t>Sparse forest</t>
  </si>
  <si>
    <t>Wetland</t>
  </si>
  <si>
    <t>Built up area</t>
  </si>
  <si>
    <t>Open shrubland</t>
  </si>
  <si>
    <t>Closed shrubland</t>
  </si>
  <si>
    <t>Water body</t>
  </si>
  <si>
    <t>Bare land</t>
  </si>
  <si>
    <t>Supply</t>
  </si>
  <si>
    <t xml:space="preserve"> Soil protection (avoided erosion) </t>
  </si>
  <si>
    <t xml:space="preserve"> Carbon sequestration </t>
  </si>
  <si>
    <r>
      <t>MT C Yr</t>
    </r>
    <r>
      <rPr>
        <vertAlign val="superscript"/>
        <sz val="11"/>
        <color theme="1"/>
        <rFont val="Aptos Narrow"/>
        <family val="2"/>
        <scheme val="minor"/>
      </rPr>
      <t>-1</t>
    </r>
  </si>
  <si>
    <t>Use</t>
  </si>
  <si>
    <t>Units</t>
  </si>
  <si>
    <t>Ecosystem type/Economic units</t>
  </si>
  <si>
    <t>Regions</t>
  </si>
  <si>
    <t>Central Ethiopia</t>
  </si>
  <si>
    <t>Addis Ababa</t>
  </si>
  <si>
    <t>Afar</t>
  </si>
  <si>
    <t>Amhara</t>
  </si>
  <si>
    <t>Benishangul Gumz</t>
  </si>
  <si>
    <t>Dire Dawa</t>
  </si>
  <si>
    <t>Gambela</t>
  </si>
  <si>
    <t>Harari</t>
  </si>
  <si>
    <t>Oromia</t>
  </si>
  <si>
    <t>Sidama</t>
  </si>
  <si>
    <t>South Ethiopia</t>
  </si>
  <si>
    <t>Somali</t>
  </si>
  <si>
    <t>South West Ethiopia</t>
  </si>
  <si>
    <t>Tigray</t>
  </si>
  <si>
    <t>National total</t>
  </si>
  <si>
    <t>Supply side</t>
  </si>
  <si>
    <t>Million tons</t>
  </si>
  <si>
    <t xml:space="preserve">Annual crop </t>
  </si>
  <si>
    <t xml:space="preserve">Total </t>
  </si>
  <si>
    <t>Use side</t>
  </si>
  <si>
    <t>Agriculture sector</t>
  </si>
  <si>
    <t>Basin (watershed)</t>
  </si>
  <si>
    <t>Abbay</t>
  </si>
  <si>
    <t>Awash &amp; north</t>
  </si>
  <si>
    <t>Baro Akobo</t>
  </si>
  <si>
    <t>Denakil &amp; Ayisha</t>
  </si>
  <si>
    <t>Genale Dawa</t>
  </si>
  <si>
    <t>Ogaden</t>
  </si>
  <si>
    <t>Omo Gibe</t>
  </si>
  <si>
    <t>Rift Valley</t>
  </si>
  <si>
    <t>Tekeze &amp; Mereb Gash</t>
  </si>
  <si>
    <t>Wabi Shebele</t>
  </si>
  <si>
    <t>Full extended ecosystem capacity table for Ethiopia</t>
  </si>
  <si>
    <t xml:space="preserve">Potential supply </t>
  </si>
  <si>
    <t>Year</t>
  </si>
  <si>
    <t>Provisioning</t>
  </si>
  <si>
    <t>Regulating and maintenance</t>
  </si>
  <si>
    <r>
      <t>Water yield (Million m</t>
    </r>
    <r>
      <rPr>
        <vertAlign val="superscript"/>
        <sz val="11"/>
        <color theme="1" tint="0.14999847407452621"/>
        <rFont val="Aptos Narrow"/>
        <family val="2"/>
        <scheme val="minor"/>
      </rPr>
      <t>3</t>
    </r>
    <r>
      <rPr>
        <sz val="11"/>
        <color theme="1" tint="0.14999847407452621"/>
        <rFont val="Aptos Narrow"/>
        <family val="2"/>
        <scheme val="minor"/>
      </rPr>
      <t>)</t>
    </r>
  </si>
  <si>
    <r>
      <t>Sustained water in dry periods  (baseflow)  (Million m</t>
    </r>
    <r>
      <rPr>
        <vertAlign val="superscript"/>
        <sz val="11"/>
        <color theme="1" tint="0.14999847407452621"/>
        <rFont val="Aptos Narrow"/>
        <family val="2"/>
        <scheme val="minor"/>
      </rPr>
      <t>3</t>
    </r>
    <r>
      <rPr>
        <sz val="11"/>
        <color theme="1" tint="0.14999847407452621"/>
        <rFont val="Aptos Narrow"/>
        <family val="2"/>
        <scheme val="minor"/>
      </rPr>
      <t>)</t>
    </r>
  </si>
  <si>
    <r>
      <t>Flood mitigation (avoided quick flow)  (Million m</t>
    </r>
    <r>
      <rPr>
        <vertAlign val="superscript"/>
        <sz val="11"/>
        <color theme="1" tint="0.14999847407452621"/>
        <rFont val="Aptos Narrow"/>
        <family val="2"/>
        <scheme val="minor"/>
      </rPr>
      <t>3</t>
    </r>
    <r>
      <rPr>
        <sz val="11"/>
        <color theme="1" tint="0.14999847407452621"/>
        <rFont val="Aptos Narrow"/>
        <family val="2"/>
        <scheme val="minor"/>
      </rPr>
      <t>)</t>
    </r>
  </si>
  <si>
    <t>Soil protection (avoided erosion)  (Million Tons)</t>
  </si>
  <si>
    <t>Water quality regulation (avoided sediment) (Million Tons)</t>
  </si>
  <si>
    <t>Carbon sequestration (million Tons of carbon  per year since 2013  to 2022)</t>
  </si>
  <si>
    <t>Economy</t>
  </si>
  <si>
    <t>Ecosystem types</t>
  </si>
  <si>
    <t>Other industres</t>
  </si>
  <si>
    <t>Households</t>
  </si>
  <si>
    <t>ROW</t>
  </si>
  <si>
    <t>POTENTIAL SUPPLY</t>
  </si>
  <si>
    <t>USE</t>
  </si>
  <si>
    <t>Grey  : nil by definition</t>
  </si>
  <si>
    <t>Ecosystem</t>
  </si>
  <si>
    <t>SUPPLY</t>
  </si>
  <si>
    <t>Global climate regulation</t>
  </si>
  <si>
    <t>Watershed</t>
  </si>
  <si>
    <t>Period</t>
  </si>
  <si>
    <t xml:space="preserve"> Soil protection (avoided erosion)  (tons)</t>
  </si>
  <si>
    <t>Flood regulation (avoided quick flow) (Cubic meter)</t>
  </si>
  <si>
    <t>Sustained water in dry periods  (baseflow)  (Cubic meter)</t>
  </si>
  <si>
    <t>Water quality regulation (avoided sediment) (tons)</t>
  </si>
  <si>
    <t>Water yield (Cubic meter)</t>
  </si>
  <si>
    <t>Climate regulation: Carbon retention ( tons of carbon)</t>
  </si>
  <si>
    <t>Climate regulation: Carbon sequestration ( tons of carbon  per year)</t>
  </si>
  <si>
    <t>2013 to 2022</t>
  </si>
  <si>
    <t xml:space="preserve"> Soil protection (avoided erosion)  (Million tons)</t>
  </si>
  <si>
    <t>Flood mitigation (avoided quick flow) (Million cubic meter)</t>
  </si>
  <si>
    <t>Sustained water in dry periods  (baseflow)  (Million cubic meter)</t>
  </si>
  <si>
    <t>Water quality  (avoided sediment) (Million tons)</t>
  </si>
  <si>
    <t>Water quality (avoided sediment) (Million tons)</t>
  </si>
  <si>
    <t>Water yield (Million cubic meter)</t>
  </si>
  <si>
    <t>Climate regulation: Carbon retention ( Million tons of carbon)</t>
  </si>
  <si>
    <t>Climate regulation: Carbon sequestration ( Million tons of carbon  per year)</t>
  </si>
  <si>
    <t>River basin (watershed)</t>
  </si>
  <si>
    <t>Soil protection (avoided erosion)  (Million tons)</t>
  </si>
  <si>
    <t>Water quality regulation (avoided sediment) (Million tons)</t>
  </si>
  <si>
    <t>Flood mitigation (avoided quick flow) (Cubic meter)</t>
  </si>
  <si>
    <t>Soil protection (avoided erosion)  (tons)</t>
  </si>
  <si>
    <t>Potential supply</t>
  </si>
  <si>
    <t>Carbon Asset (stock)( tons of carbon)</t>
  </si>
  <si>
    <t>River basin (Watershed)</t>
  </si>
  <si>
    <t>Carbon Asset (stock) ( Million tons of carbon)</t>
  </si>
  <si>
    <t>Table: Carbon stock account for Terrestrial Ecosystems (2013–2022)(Tonnes of C)</t>
  </si>
  <si>
    <t>Accounting Item</t>
  </si>
  <si>
    <t>Open grass land</t>
  </si>
  <si>
    <t>Closed grass land</t>
  </si>
  <si>
    <t>Wet land</t>
  </si>
  <si>
    <t>Open shrub land</t>
  </si>
  <si>
    <t>Closed shrub land</t>
  </si>
  <si>
    <t>National (Accounting area)</t>
  </si>
  <si>
    <t>Opening Stock (2013) (Tonnes of carbon)</t>
  </si>
  <si>
    <t>Additions to Stock  (Tonnes of carbon)</t>
  </si>
  <si>
    <t>Reductions in Stock  (Tonnes of carbon)</t>
  </si>
  <si>
    <t>Closing Stock (2022)  (Tonnes of carbon)</t>
  </si>
  <si>
    <t>Net change (based on Stocks) (Tonnes of carbon)</t>
  </si>
  <si>
    <t>Net change (based on redutions and additions) (Tonnes of carbon)</t>
  </si>
  <si>
    <t>Accounting Item (carbon million tonnes)</t>
  </si>
  <si>
    <t>Opening Stock (2013)</t>
  </si>
  <si>
    <t>Additions to Stock</t>
  </si>
  <si>
    <t xml:space="preserve">Reductions in Stock  </t>
  </si>
  <si>
    <t xml:space="preserve">Closing Stock (2022) </t>
  </si>
  <si>
    <t xml:space="preserve">Table1. Carbon asset (stock) in Ethiopia, 2013 and 2022, in Tons </t>
  </si>
  <si>
    <t>Raster name</t>
  </si>
  <si>
    <t xml:space="preserve">Ecosystem  extent </t>
  </si>
  <si>
    <t>c_above_2013TonOfC</t>
  </si>
  <si>
    <t>c_below_2013TonOfC</t>
  </si>
  <si>
    <t>c_dead_2013TonOfC</t>
  </si>
  <si>
    <t>c_soil_2013TonOfC</t>
  </si>
  <si>
    <t>c_storage_2013TonOfC</t>
  </si>
  <si>
    <t>c_above_2022TonOfC</t>
  </si>
  <si>
    <t>c_below_2022TonOfC</t>
  </si>
  <si>
    <t>c_dead_2022TonOfC</t>
  </si>
  <si>
    <t>c_soil_2022TonOfC</t>
  </si>
  <si>
    <t>c_storage_2022TonOfC</t>
  </si>
  <si>
    <t>Carbon stock flow</t>
  </si>
  <si>
    <t xml:space="preserve">2013 Ha </t>
  </si>
  <si>
    <t xml:space="preserve">2022 Ha </t>
  </si>
  <si>
    <t>Above ground carbon (AGC)</t>
  </si>
  <si>
    <t>Belowground Biomass Carbon (BGC)</t>
  </si>
  <si>
    <t>Dead Organic Matter (DOM)</t>
  </si>
  <si>
    <t>Soil Organic Carbon (SOC)</t>
  </si>
  <si>
    <t>Non Soil carbon</t>
  </si>
  <si>
    <t>Soil carbon</t>
  </si>
  <si>
    <t>Total carbon</t>
  </si>
  <si>
    <t xml:space="preserve">AGC(Above ground carbon) </t>
  </si>
  <si>
    <t>Open stock 2013</t>
  </si>
  <si>
    <t>Closing stock 2022</t>
  </si>
  <si>
    <t>Reduction (Tons)</t>
  </si>
  <si>
    <t>Additional (Tons)</t>
  </si>
  <si>
    <t xml:space="preserve">Carbon sequestration </t>
  </si>
  <si>
    <t>Bareland</t>
  </si>
  <si>
    <t>reductions</t>
  </si>
  <si>
    <t>additionals</t>
  </si>
  <si>
    <t>Opening stock (2013)</t>
  </si>
  <si>
    <t xml:space="preserve">Table2. Soilprotection and water quality   in Ethiopia, 2013 and 2022, in Tons </t>
  </si>
  <si>
    <t>Closing stock (2022)</t>
  </si>
  <si>
    <t>Net change based on stock</t>
  </si>
  <si>
    <t>avoided_erosion_2013_Ton</t>
  </si>
  <si>
    <t>avoided_export_2013_Ton</t>
  </si>
  <si>
    <t>sed_export_2013_Ton</t>
  </si>
  <si>
    <t>usle_2013_Ton</t>
  </si>
  <si>
    <t>avoided_erosion_2022_Ton</t>
  </si>
  <si>
    <t>avoided_export_2022_Ton</t>
  </si>
  <si>
    <t>sed_export_2022_Ton</t>
  </si>
  <si>
    <t>usle_2022_Ton</t>
  </si>
  <si>
    <t>Net change based on reduction and addition</t>
  </si>
  <si>
    <t>Avoided erosion  (Tons)</t>
  </si>
  <si>
    <t>Avoided exports (Tons)</t>
  </si>
  <si>
    <t>Sediment export (Tons)</t>
  </si>
  <si>
    <t>Soil erosion (Tons)</t>
  </si>
  <si>
    <t>Avoided erosion (Tons)</t>
  </si>
  <si>
    <t>Table 3.Water related services Ethiopia, 2013 and 2022, in cubic meter</t>
  </si>
  <si>
    <t>Class_Name</t>
  </si>
  <si>
    <t>Annual water yield 2013</t>
  </si>
  <si>
    <t>Annual water yield 2022</t>
  </si>
  <si>
    <t>Maximum Quick flow (bare land scanario)</t>
  </si>
  <si>
    <t>Baseflow 2022 per ha</t>
  </si>
  <si>
    <t>EcosystemServices</t>
  </si>
  <si>
    <t>Baseflow</t>
  </si>
  <si>
    <t>Quick flow</t>
  </si>
  <si>
    <t>Flood regulation (Avoided Quick flow)</t>
  </si>
  <si>
    <t>Table: Carbon stock account for Terrestrial Ecosystems (2013–2022): Physical yield and Use Table in Tons of carbon (Mg C)</t>
  </si>
  <si>
    <t>Reductions in Stock</t>
  </si>
  <si>
    <t>Closing Stock (2022)</t>
  </si>
  <si>
    <t>Net change (based on Stocks)</t>
  </si>
  <si>
    <t>Net change (based on redutions and additions)</t>
  </si>
  <si>
    <t xml:space="preserve">Ecosystem services </t>
  </si>
  <si>
    <t xml:space="preserve">Annual </t>
  </si>
  <si>
    <t>Carbon sequestration ( Tons of carbon  per year)</t>
  </si>
  <si>
    <t>Carbon stock (Asset) ( Tons of carbon)</t>
  </si>
  <si>
    <t>Water quality  (avoided sediment) (Tons)</t>
  </si>
  <si>
    <t>Water quality (avoided sediment)  (Tons)</t>
  </si>
  <si>
    <t xml:space="preserve"> Soil protection (avoided erosion)  (Tons)</t>
  </si>
  <si>
    <t>Sustained water  in dry periods  (baseflow)  (Cubic meter)</t>
  </si>
  <si>
    <t>Ecosystem Extent Area 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</si>
</sst>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0%"/>
    <numFmt numFmtId="166" formatCode="_(* #,##0.000_);_(* \(#,##0.000\);_(* &quot;-&quot;??_);_(@_)"/>
    <numFmt numFmtId="167" formatCode="_(* #,##0.0_);_(* \(#,##0.0\);_(* &quot;-&quot;??_);_(@_)"/>
    <numFmt numFmtId="168" formatCode="0.00000%"/>
    <numFmt numFmtId="169" formatCode="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vertAlign val="superscript"/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2B1E1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22">
    <xf numFmtId="0" fontId="0" fillId="0" borderId="0" xfId="0"/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0" fontId="16" fillId="0" borderId="0" xfId="0" applyFont="1"/>
    <xf numFmtId="9" fontId="0" fillId="0" borderId="0" xfId="43" applyFont="1"/>
    <xf numFmtId="0" fontId="0" fillId="33" borderId="0" xfId="0" applyFill="1"/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4" xfId="0" applyBorder="1"/>
    <xf numFmtId="0" fontId="0" fillId="0" borderId="17" xfId="0" applyBorder="1"/>
    <xf numFmtId="0" fontId="0" fillId="0" borderId="15" xfId="0" applyBorder="1" applyAlignment="1">
      <alignment vertical="top" wrapText="1"/>
    </xf>
    <xf numFmtId="43" fontId="0" fillId="0" borderId="0" xfId="1" applyFont="1" applyBorder="1"/>
    <xf numFmtId="43" fontId="0" fillId="0" borderId="13" xfId="1" applyFont="1" applyBorder="1"/>
    <xf numFmtId="0" fontId="0" fillId="0" borderId="15" xfId="0" applyBorder="1"/>
    <xf numFmtId="0" fontId="16" fillId="0" borderId="19" xfId="0" applyFont="1" applyBorder="1"/>
    <xf numFmtId="164" fontId="0" fillId="0" borderId="0" xfId="1" applyNumberFormat="1" applyFont="1" applyBorder="1" applyAlignment="1">
      <alignment vertical="top" wrapText="1"/>
    </xf>
    <xf numFmtId="164" fontId="0" fillId="0" borderId="0" xfId="1" applyNumberFormat="1" applyFont="1" applyBorder="1"/>
    <xf numFmtId="164" fontId="16" fillId="0" borderId="14" xfId="1" applyNumberFormat="1" applyFont="1" applyBorder="1"/>
    <xf numFmtId="0" fontId="0" fillId="0" borderId="14" xfId="0" applyBorder="1" applyAlignment="1">
      <alignment horizontal="center" vertical="top" wrapText="1"/>
    </xf>
    <xf numFmtId="43" fontId="0" fillId="34" borderId="0" xfId="1" applyFont="1" applyFill="1" applyBorder="1"/>
    <xf numFmtId="0" fontId="0" fillId="35" borderId="11" xfId="0" applyFill="1" applyBorder="1" applyAlignment="1">
      <alignment vertical="top"/>
    </xf>
    <xf numFmtId="0" fontId="16" fillId="35" borderId="14" xfId="0" applyFont="1" applyFill="1" applyBorder="1" applyAlignment="1">
      <alignment vertical="top"/>
    </xf>
    <xf numFmtId="0" fontId="0" fillId="35" borderId="14" xfId="0" applyFill="1" applyBorder="1"/>
    <xf numFmtId="0" fontId="16" fillId="36" borderId="0" xfId="0" applyFont="1" applyFill="1" applyAlignment="1">
      <alignment horizontal="center"/>
    </xf>
    <xf numFmtId="0" fontId="0" fillId="36" borderId="11" xfId="0" applyFill="1" applyBorder="1" applyAlignment="1">
      <alignment vertical="top"/>
    </xf>
    <xf numFmtId="0" fontId="0" fillId="36" borderId="14" xfId="0" applyFill="1" applyBorder="1" applyAlignment="1">
      <alignment vertical="top"/>
    </xf>
    <xf numFmtId="164" fontId="16" fillId="36" borderId="14" xfId="1" applyNumberFormat="1" applyFont="1" applyFill="1" applyBorder="1"/>
    <xf numFmtId="164" fontId="18" fillId="35" borderId="0" xfId="1" applyNumberFormat="1" applyFont="1" applyFill="1" applyBorder="1"/>
    <xf numFmtId="164" fontId="19" fillId="35" borderId="14" xfId="1" applyNumberFormat="1" applyFont="1" applyFill="1" applyBorder="1"/>
    <xf numFmtId="164" fontId="18" fillId="36" borderId="0" xfId="1" applyNumberFormat="1" applyFont="1" applyFill="1" applyBorder="1"/>
    <xf numFmtId="43" fontId="18" fillId="36" borderId="0" xfId="1" applyFont="1" applyFill="1" applyBorder="1"/>
    <xf numFmtId="164" fontId="19" fillId="36" borderId="14" xfId="1" applyNumberFormat="1" applyFont="1" applyFill="1" applyBorder="1"/>
    <xf numFmtId="43" fontId="19" fillId="36" borderId="14" xfId="1" applyFont="1" applyFill="1" applyBorder="1"/>
    <xf numFmtId="0" fontId="16" fillId="36" borderId="11" xfId="0" applyFont="1" applyFill="1" applyBorder="1"/>
    <xf numFmtId="0" fontId="19" fillId="36" borderId="14" xfId="0" applyFont="1" applyFill="1" applyBorder="1"/>
    <xf numFmtId="0" fontId="19" fillId="36" borderId="14" xfId="0" applyFont="1" applyFill="1" applyBorder="1" applyAlignment="1">
      <alignment vertical="top"/>
    </xf>
    <xf numFmtId="0" fontId="19" fillId="35" borderId="11" xfId="0" applyFont="1" applyFill="1" applyBorder="1" applyAlignment="1">
      <alignment vertical="top"/>
    </xf>
    <xf numFmtId="0" fontId="19" fillId="35" borderId="14" xfId="0" applyFont="1" applyFill="1" applyBorder="1"/>
    <xf numFmtId="0" fontId="0" fillId="0" borderId="19" xfId="0" applyBorder="1"/>
    <xf numFmtId="0" fontId="0" fillId="34" borderId="15" xfId="0" applyFill="1" applyBorder="1"/>
    <xf numFmtId="0" fontId="0" fillId="34" borderId="0" xfId="0" applyFill="1"/>
    <xf numFmtId="0" fontId="16" fillId="34" borderId="19" xfId="0" applyFont="1" applyFill="1" applyBorder="1"/>
    <xf numFmtId="0" fontId="16" fillId="34" borderId="14" xfId="0" applyFont="1" applyFill="1" applyBorder="1"/>
    <xf numFmtId="0" fontId="0" fillId="33" borderId="13" xfId="0" applyFill="1" applyBorder="1"/>
    <xf numFmtId="0" fontId="16" fillId="33" borderId="14" xfId="0" applyFont="1" applyFill="1" applyBorder="1"/>
    <xf numFmtId="0" fontId="16" fillId="33" borderId="17" xfId="0" applyFont="1" applyFill="1" applyBorder="1"/>
    <xf numFmtId="43" fontId="0" fillId="34" borderId="15" xfId="1" applyFont="1" applyFill="1" applyBorder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top" wrapText="1"/>
    </xf>
    <xf numFmtId="0" fontId="16" fillId="36" borderId="11" xfId="0" applyFont="1" applyFill="1" applyBorder="1" applyAlignment="1">
      <alignment vertical="top"/>
    </xf>
    <xf numFmtId="164" fontId="0" fillId="0" borderId="15" xfId="1" applyNumberFormat="1" applyFont="1" applyBorder="1"/>
    <xf numFmtId="164" fontId="0" fillId="0" borderId="13" xfId="1" applyNumberFormat="1" applyFont="1" applyBorder="1"/>
    <xf numFmtId="164" fontId="0" fillId="0" borderId="19" xfId="1" applyNumberFormat="1" applyFont="1" applyBorder="1"/>
    <xf numFmtId="164" fontId="0" fillId="0" borderId="17" xfId="1" applyNumberFormat="1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20" fillId="0" borderId="0" xfId="44"/>
    <xf numFmtId="0" fontId="0" fillId="37" borderId="13" xfId="0" applyFill="1" applyBorder="1"/>
    <xf numFmtId="0" fontId="0" fillId="37" borderId="14" xfId="0" applyFill="1" applyBorder="1"/>
    <xf numFmtId="0" fontId="0" fillId="37" borderId="17" xfId="0" applyFill="1" applyBorder="1"/>
    <xf numFmtId="0" fontId="16" fillId="37" borderId="15" xfId="0" applyFont="1" applyFill="1" applyBorder="1"/>
    <xf numFmtId="0" fontId="16" fillId="37" borderId="16" xfId="0" applyFont="1" applyFill="1" applyBorder="1"/>
    <xf numFmtId="43" fontId="0" fillId="0" borderId="14" xfId="1" applyFont="1" applyBorder="1"/>
    <xf numFmtId="0" fontId="16" fillId="0" borderId="24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 wrapText="1" indent="1"/>
    </xf>
    <xf numFmtId="0" fontId="0" fillId="0" borderId="24" xfId="0" applyBorder="1"/>
    <xf numFmtId="0" fontId="0" fillId="0" borderId="16" xfId="0" applyBorder="1"/>
    <xf numFmtId="0" fontId="0" fillId="37" borderId="0" xfId="0" applyFill="1"/>
    <xf numFmtId="0" fontId="16" fillId="37" borderId="0" xfId="0" applyFont="1" applyFill="1"/>
    <xf numFmtId="164" fontId="0" fillId="0" borderId="14" xfId="1" applyNumberFormat="1" applyFont="1" applyBorder="1"/>
    <xf numFmtId="164" fontId="0" fillId="38" borderId="0" xfId="1" applyNumberFormat="1" applyFont="1" applyFill="1"/>
    <xf numFmtId="0" fontId="16" fillId="0" borderId="0" xfId="0" applyFont="1" applyAlignment="1">
      <alignment horizontal="center"/>
    </xf>
    <xf numFmtId="10" fontId="0" fillId="0" borderId="0" xfId="43" applyNumberFormat="1" applyFont="1"/>
    <xf numFmtId="165" fontId="0" fillId="0" borderId="0" xfId="43" applyNumberFormat="1" applyFont="1"/>
    <xf numFmtId="0" fontId="0" fillId="38" borderId="0" xfId="0" applyFill="1"/>
    <xf numFmtId="10" fontId="0" fillId="38" borderId="0" xfId="43" applyNumberFormat="1" applyFont="1" applyFill="1"/>
    <xf numFmtId="0" fontId="0" fillId="39" borderId="0" xfId="0" applyFill="1"/>
    <xf numFmtId="10" fontId="0" fillId="39" borderId="0" xfId="43" applyNumberFormat="1" applyFont="1" applyFill="1"/>
    <xf numFmtId="166" fontId="0" fillId="0" borderId="0" xfId="0" applyNumberFormat="1"/>
    <xf numFmtId="164" fontId="0" fillId="39" borderId="0" xfId="1" applyNumberFormat="1" applyFont="1" applyFill="1"/>
    <xf numFmtId="43" fontId="0" fillId="39" borderId="0" xfId="1" applyFont="1" applyFill="1" applyBorder="1"/>
    <xf numFmtId="43" fontId="0" fillId="39" borderId="0" xfId="1" applyFont="1" applyFill="1"/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43" fontId="16" fillId="0" borderId="0" xfId="1" applyFont="1" applyAlignment="1">
      <alignment horizontal="center"/>
    </xf>
    <xf numFmtId="43" fontId="16" fillId="0" borderId="0" xfId="1" applyFont="1"/>
    <xf numFmtId="164" fontId="16" fillId="0" borderId="0" xfId="1" applyNumberFormat="1" applyFont="1"/>
    <xf numFmtId="164" fontId="14" fillId="0" borderId="0" xfId="0" applyNumberFormat="1" applyFont="1"/>
    <xf numFmtId="164" fontId="0" fillId="33" borderId="13" xfId="1" applyNumberFormat="1" applyFont="1" applyFill="1" applyBorder="1"/>
    <xf numFmtId="164" fontId="0" fillId="34" borderId="19" xfId="1" applyNumberFormat="1" applyFont="1" applyFill="1" applyBorder="1"/>
    <xf numFmtId="164" fontId="0" fillId="33" borderId="14" xfId="1" applyNumberFormat="1" applyFont="1" applyFill="1" applyBorder="1"/>
    <xf numFmtId="0" fontId="0" fillId="38" borderId="0" xfId="0" applyFill="1" applyAlignment="1">
      <alignment horizontal="center"/>
    </xf>
    <xf numFmtId="3" fontId="0" fillId="0" borderId="0" xfId="0" applyNumberFormat="1"/>
    <xf numFmtId="164" fontId="14" fillId="0" borderId="15" xfId="1" applyNumberFormat="1" applyFont="1" applyBorder="1"/>
    <xf numFmtId="168" fontId="0" fillId="0" borderId="0" xfId="43" applyNumberFormat="1" applyFont="1"/>
    <xf numFmtId="0" fontId="16" fillId="0" borderId="11" xfId="0" applyFont="1" applyBorder="1"/>
    <xf numFmtId="0" fontId="16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top" wrapText="1"/>
    </xf>
    <xf numFmtId="0" fontId="0" fillId="34" borderId="21" xfId="0" applyFill="1" applyBorder="1" applyAlignment="1">
      <alignment vertical="top"/>
    </xf>
    <xf numFmtId="0" fontId="0" fillId="34" borderId="20" xfId="0" applyFill="1" applyBorder="1" applyAlignment="1">
      <alignment vertical="top"/>
    </xf>
    <xf numFmtId="0" fontId="0" fillId="34" borderId="18" xfId="0" applyFill="1" applyBorder="1" applyAlignment="1">
      <alignment vertical="top"/>
    </xf>
    <xf numFmtId="0" fontId="16" fillId="0" borderId="11" xfId="0" applyFont="1" applyBorder="1" applyAlignment="1">
      <alignment horizontal="center" vertical="top"/>
    </xf>
    <xf numFmtId="0" fontId="21" fillId="0" borderId="15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3" xfId="0" applyBorder="1" applyAlignment="1">
      <alignment vertical="top"/>
    </xf>
    <xf numFmtId="164" fontId="0" fillId="0" borderId="0" xfId="1" applyNumberFormat="1" applyFont="1" applyBorder="1" applyAlignment="1">
      <alignment vertical="top"/>
    </xf>
    <xf numFmtId="164" fontId="0" fillId="0" borderId="13" xfId="1" applyNumberFormat="1" applyFont="1" applyBorder="1" applyAlignment="1">
      <alignment vertical="top"/>
    </xf>
    <xf numFmtId="0" fontId="0" fillId="0" borderId="11" xfId="0" applyBorder="1"/>
    <xf numFmtId="0" fontId="0" fillId="0" borderId="19" xfId="0" applyBorder="1" applyAlignment="1">
      <alignment vertical="center" wrapText="1"/>
    </xf>
    <xf numFmtId="0" fontId="17" fillId="44" borderId="16" xfId="0" applyFont="1" applyFill="1" applyBorder="1" applyAlignment="1">
      <alignment vertical="center" wrapText="1"/>
    </xf>
    <xf numFmtId="0" fontId="0" fillId="34" borderId="23" xfId="0" applyFill="1" applyBorder="1"/>
    <xf numFmtId="0" fontId="0" fillId="34" borderId="16" xfId="0" applyFill="1" applyBorder="1"/>
    <xf numFmtId="0" fontId="0" fillId="34" borderId="21" xfId="0" applyFill="1" applyBorder="1" applyAlignment="1">
      <alignment vertical="top" wrapText="1"/>
    </xf>
    <xf numFmtId="0" fontId="0" fillId="34" borderId="20" xfId="0" applyFill="1" applyBorder="1" applyAlignment="1">
      <alignment vertical="top" wrapText="1"/>
    </xf>
    <xf numFmtId="0" fontId="0" fillId="34" borderId="18" xfId="0" applyFill="1" applyBorder="1" applyAlignment="1">
      <alignment vertical="top" wrapText="1"/>
    </xf>
    <xf numFmtId="0" fontId="24" fillId="33" borderId="23" xfId="0" applyFont="1" applyFill="1" applyBorder="1" applyAlignment="1">
      <alignment vertical="center"/>
    </xf>
    <xf numFmtId="164" fontId="24" fillId="33" borderId="0" xfId="0" applyNumberFormat="1" applyFont="1" applyFill="1" applyAlignment="1">
      <alignment vertical="center"/>
    </xf>
    <xf numFmtId="164" fontId="24" fillId="33" borderId="13" xfId="0" applyNumberFormat="1" applyFont="1" applyFill="1" applyBorder="1" applyAlignment="1">
      <alignment vertical="center"/>
    </xf>
    <xf numFmtId="0" fontId="24" fillId="33" borderId="16" xfId="0" applyFont="1" applyFill="1" applyBorder="1" applyAlignment="1">
      <alignment vertical="center"/>
    </xf>
    <xf numFmtId="0" fontId="24" fillId="40" borderId="23" xfId="0" applyFont="1" applyFill="1" applyBorder="1" applyAlignment="1">
      <alignment vertical="center"/>
    </xf>
    <xf numFmtId="164" fontId="24" fillId="40" borderId="0" xfId="0" applyNumberFormat="1" applyFont="1" applyFill="1" applyAlignment="1">
      <alignment vertical="center"/>
    </xf>
    <xf numFmtId="164" fontId="24" fillId="40" borderId="13" xfId="0" applyNumberFormat="1" applyFont="1" applyFill="1" applyBorder="1" applyAlignment="1">
      <alignment vertical="center"/>
    </xf>
    <xf numFmtId="0" fontId="24" fillId="40" borderId="24" xfId="0" applyFont="1" applyFill="1" applyBorder="1" applyAlignment="1">
      <alignment vertical="center"/>
    </xf>
    <xf numFmtId="0" fontId="24" fillId="41" borderId="24" xfId="0" applyFont="1" applyFill="1" applyBorder="1" applyAlignment="1">
      <alignment vertical="center"/>
    </xf>
    <xf numFmtId="164" fontId="24" fillId="41" borderId="0" xfId="0" applyNumberFormat="1" applyFont="1" applyFill="1" applyAlignment="1">
      <alignment vertical="center"/>
    </xf>
    <xf numFmtId="164" fontId="24" fillId="41" borderId="13" xfId="0" applyNumberFormat="1" applyFont="1" applyFill="1" applyBorder="1" applyAlignment="1">
      <alignment vertical="center"/>
    </xf>
    <xf numFmtId="0" fontId="17" fillId="42" borderId="24" xfId="0" applyFont="1" applyFill="1" applyBorder="1" applyAlignment="1">
      <alignment vertical="center"/>
    </xf>
    <xf numFmtId="164" fontId="17" fillId="42" borderId="0" xfId="0" applyNumberFormat="1" applyFont="1" applyFill="1" applyAlignment="1">
      <alignment vertical="center"/>
    </xf>
    <xf numFmtId="164" fontId="17" fillId="42" borderId="13" xfId="0" applyNumberFormat="1" applyFont="1" applyFill="1" applyBorder="1" applyAlignment="1">
      <alignment vertical="center"/>
    </xf>
    <xf numFmtId="0" fontId="17" fillId="43" borderId="24" xfId="0" applyFont="1" applyFill="1" applyBorder="1" applyAlignment="1">
      <alignment vertical="center"/>
    </xf>
    <xf numFmtId="164" fontId="17" fillId="43" borderId="0" xfId="0" applyNumberFormat="1" applyFont="1" applyFill="1" applyAlignment="1">
      <alignment vertical="center"/>
    </xf>
    <xf numFmtId="164" fontId="17" fillId="43" borderId="13" xfId="0" applyNumberFormat="1" applyFont="1" applyFill="1" applyBorder="1" applyAlignment="1">
      <alignment vertical="center"/>
    </xf>
    <xf numFmtId="0" fontId="17" fillId="44" borderId="16" xfId="0" applyFont="1" applyFill="1" applyBorder="1" applyAlignment="1">
      <alignment vertical="center"/>
    </xf>
    <xf numFmtId="0" fontId="27" fillId="0" borderId="0" xfId="0" applyFont="1"/>
    <xf numFmtId="0" fontId="29" fillId="0" borderId="15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top" wrapText="1"/>
    </xf>
    <xf numFmtId="0" fontId="28" fillId="0" borderId="21" xfId="0" applyFont="1" applyBorder="1" applyAlignment="1">
      <alignment horizontal="center" vertical="top" wrapText="1"/>
    </xf>
    <xf numFmtId="0" fontId="28" fillId="0" borderId="20" xfId="0" applyFont="1" applyBorder="1" applyAlignment="1">
      <alignment horizontal="center" vertical="top" wrapText="1"/>
    </xf>
    <xf numFmtId="167" fontId="0" fillId="0" borderId="0" xfId="1" applyNumberFormat="1" applyFont="1" applyBorder="1"/>
    <xf numFmtId="0" fontId="0" fillId="0" borderId="15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left"/>
    </xf>
    <xf numFmtId="164" fontId="0" fillId="0" borderId="14" xfId="1" applyNumberFormat="1" applyFont="1" applyBorder="1" applyAlignment="1">
      <alignment horizontal="left"/>
    </xf>
    <xf numFmtId="164" fontId="0" fillId="37" borderId="11" xfId="0" applyNumberFormat="1" applyFill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0" fillId="37" borderId="14" xfId="0" applyNumberFormat="1" applyFill="1" applyBorder="1"/>
    <xf numFmtId="0" fontId="0" fillId="0" borderId="10" xfId="0" applyBorder="1" applyAlignment="1">
      <alignment horizontal="center" vertical="center" wrapText="1"/>
    </xf>
    <xf numFmtId="167" fontId="0" fillId="0" borderId="0" xfId="1" applyNumberFormat="1" applyFont="1" applyBorder="1" applyAlignment="1">
      <alignment vertical="center" wrapText="1"/>
    </xf>
    <xf numFmtId="167" fontId="0" fillId="0" borderId="14" xfId="1" applyNumberFormat="1" applyFont="1" applyBorder="1" applyAlignment="1">
      <alignment vertical="center" wrapText="1"/>
    </xf>
    <xf numFmtId="167" fontId="0" fillId="0" borderId="0" xfId="0" applyNumberFormat="1"/>
    <xf numFmtId="0" fontId="0" fillId="36" borderId="12" xfId="0" applyFill="1" applyBorder="1"/>
    <xf numFmtId="0" fontId="16" fillId="36" borderId="20" xfId="0" applyFont="1" applyFill="1" applyBorder="1" applyAlignment="1">
      <alignment horizontal="center" vertical="center" wrapText="1"/>
    </xf>
    <xf numFmtId="0" fontId="16" fillId="36" borderId="21" xfId="0" applyFont="1" applyFill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167" fontId="0" fillId="0" borderId="13" xfId="1" applyNumberFormat="1" applyFont="1" applyBorder="1" applyAlignment="1">
      <alignment vertical="center" wrapText="1"/>
    </xf>
    <xf numFmtId="167" fontId="0" fillId="0" borderId="17" xfId="1" applyNumberFormat="1" applyFont="1" applyBorder="1" applyAlignment="1">
      <alignment vertical="center" wrapText="1"/>
    </xf>
    <xf numFmtId="167" fontId="1" fillId="0" borderId="13" xfId="1" applyNumberFormat="1" applyFont="1" applyBorder="1" applyAlignment="1">
      <alignment vertical="center" wrapText="1"/>
    </xf>
    <xf numFmtId="167" fontId="0" fillId="0" borderId="0" xfId="1" applyNumberFormat="1" applyFont="1" applyFill="1" applyBorder="1"/>
    <xf numFmtId="167" fontId="0" fillId="0" borderId="0" xfId="1" applyNumberFormat="1" applyFont="1" applyFill="1" applyBorder="1" applyAlignment="1">
      <alignment vertical="center" wrapText="1"/>
    </xf>
    <xf numFmtId="167" fontId="1" fillId="0" borderId="17" xfId="1" applyNumberFormat="1" applyFont="1" applyBorder="1" applyAlignment="1">
      <alignment vertical="center" wrapText="1"/>
    </xf>
    <xf numFmtId="167" fontId="1" fillId="0" borderId="0" xfId="1" applyNumberFormat="1" applyFont="1" applyFill="1" applyBorder="1" applyAlignment="1">
      <alignment vertical="center" wrapText="1"/>
    </xf>
    <xf numFmtId="0" fontId="16" fillId="33" borderId="22" xfId="0" applyFont="1" applyFill="1" applyBorder="1" applyAlignment="1">
      <alignment horizontal="center" vertical="center" wrapText="1"/>
    </xf>
    <xf numFmtId="0" fontId="16" fillId="33" borderId="22" xfId="0" applyFont="1" applyFill="1" applyBorder="1"/>
    <xf numFmtId="0" fontId="16" fillId="33" borderId="19" xfId="0" applyFont="1" applyFill="1" applyBorder="1" applyAlignment="1">
      <alignment vertical="top" wrapText="1"/>
    </xf>
    <xf numFmtId="0" fontId="16" fillId="33" borderId="14" xfId="0" applyFont="1" applyFill="1" applyBorder="1" applyAlignment="1">
      <alignment vertical="top" wrapText="1"/>
    </xf>
    <xf numFmtId="0" fontId="16" fillId="33" borderId="17" xfId="0" applyFont="1" applyFill="1" applyBorder="1" applyAlignment="1">
      <alignment vertical="top" wrapText="1"/>
    </xf>
    <xf numFmtId="0" fontId="0" fillId="0" borderId="11" xfId="0" applyBorder="1" applyAlignment="1">
      <alignment vertical="center"/>
    </xf>
    <xf numFmtId="164" fontId="0" fillId="46" borderId="11" xfId="0" applyNumberFormat="1" applyFill="1" applyBorder="1" applyAlignment="1">
      <alignment vertical="center"/>
    </xf>
    <xf numFmtId="43" fontId="0" fillId="0" borderId="11" xfId="1" applyFont="1" applyBorder="1" applyAlignment="1">
      <alignment vertical="center"/>
    </xf>
    <xf numFmtId="43" fontId="0" fillId="42" borderId="11" xfId="1" applyFont="1" applyFill="1" applyBorder="1" applyAlignment="1">
      <alignment vertical="center"/>
    </xf>
    <xf numFmtId="43" fontId="0" fillId="0" borderId="12" xfId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horizontal="center" vertical="center" wrapText="1"/>
    </xf>
    <xf numFmtId="43" fontId="0" fillId="42" borderId="21" xfId="1" applyFont="1" applyFill="1" applyBorder="1" applyAlignment="1">
      <alignment horizontal="center" vertical="center"/>
    </xf>
    <xf numFmtId="0" fontId="0" fillId="46" borderId="21" xfId="0" applyFill="1" applyBorder="1" applyAlignment="1">
      <alignment vertical="center"/>
    </xf>
    <xf numFmtId="0" fontId="0" fillId="46" borderId="22" xfId="0" applyFill="1" applyBorder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47" borderId="19" xfId="0" applyFont="1" applyFill="1" applyBorder="1" applyAlignment="1">
      <alignment horizontal="center" wrapText="1"/>
    </xf>
    <xf numFmtId="0" fontId="16" fillId="47" borderId="14" xfId="0" applyFont="1" applyFill="1" applyBorder="1" applyAlignment="1">
      <alignment horizontal="center" wrapText="1"/>
    </xf>
    <xf numFmtId="0" fontId="16" fillId="47" borderId="17" xfId="0" applyFont="1" applyFill="1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0" xfId="0" applyBorder="1"/>
    <xf numFmtId="0" fontId="0" fillId="0" borderId="12" xfId="0" applyBorder="1"/>
    <xf numFmtId="164" fontId="0" fillId="0" borderId="13" xfId="0" applyNumberFormat="1" applyBorder="1"/>
    <xf numFmtId="164" fontId="0" fillId="0" borderId="17" xfId="0" applyNumberFormat="1" applyBorder="1"/>
    <xf numFmtId="0" fontId="0" fillId="0" borderId="15" xfId="0" applyBorder="1" applyAlignment="1">
      <alignment vertical="center"/>
    </xf>
    <xf numFmtId="0" fontId="29" fillId="0" borderId="0" xfId="0" applyFont="1" applyAlignment="1">
      <alignment horizontal="left" vertical="center" wrapText="1"/>
    </xf>
    <xf numFmtId="0" fontId="0" fillId="0" borderId="19" xfId="0" applyBorder="1" applyAlignment="1">
      <alignment vertical="center"/>
    </xf>
    <xf numFmtId="43" fontId="17" fillId="44" borderId="14" xfId="1" applyFont="1" applyFill="1" applyBorder="1" applyAlignment="1">
      <alignment vertical="center"/>
    </xf>
    <xf numFmtId="43" fontId="17" fillId="44" borderId="17" xfId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34" borderId="14" xfId="0" applyFill="1" applyBorder="1" applyAlignment="1">
      <alignment vertical="center"/>
    </xf>
    <xf numFmtId="0" fontId="0" fillId="34" borderId="17" xfId="0" applyFill="1" applyBorder="1" applyAlignment="1">
      <alignment vertical="center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4" fontId="0" fillId="0" borderId="0" xfId="1" applyNumberFormat="1" applyFont="1" applyFill="1"/>
    <xf numFmtId="0" fontId="30" fillId="0" borderId="25" xfId="0" applyFont="1" applyBorder="1"/>
    <xf numFmtId="0" fontId="31" fillId="0" borderId="0" xfId="0" applyFont="1"/>
    <xf numFmtId="0" fontId="32" fillId="0" borderId="26" xfId="0" applyFont="1" applyBorder="1"/>
    <xf numFmtId="3" fontId="32" fillId="0" borderId="14" xfId="0" applyNumberFormat="1" applyFont="1" applyBorder="1"/>
    <xf numFmtId="0" fontId="30" fillId="0" borderId="27" xfId="0" applyFont="1" applyBorder="1"/>
    <xf numFmtId="0" fontId="30" fillId="0" borderId="0" xfId="0" applyFont="1"/>
    <xf numFmtId="0" fontId="30" fillId="0" borderId="28" xfId="0" applyFont="1" applyBorder="1"/>
    <xf numFmtId="0" fontId="30" fillId="0" borderId="29" xfId="0" applyFont="1" applyBorder="1"/>
    <xf numFmtId="0" fontId="30" fillId="48" borderId="27" xfId="0" applyFont="1" applyFill="1" applyBorder="1"/>
    <xf numFmtId="0" fontId="30" fillId="48" borderId="0" xfId="0" applyFont="1" applyFill="1"/>
    <xf numFmtId="3" fontId="30" fillId="48" borderId="0" xfId="0" applyNumberFormat="1" applyFont="1" applyFill="1"/>
    <xf numFmtId="0" fontId="30" fillId="49" borderId="27" xfId="0" applyFont="1" applyFill="1" applyBorder="1"/>
    <xf numFmtId="0" fontId="30" fillId="49" borderId="0" xfId="0" applyFont="1" applyFill="1"/>
    <xf numFmtId="0" fontId="30" fillId="50" borderId="27" xfId="0" applyFont="1" applyFill="1" applyBorder="1"/>
    <xf numFmtId="0" fontId="30" fillId="50" borderId="0" xfId="0" applyFont="1" applyFill="1"/>
    <xf numFmtId="3" fontId="30" fillId="50" borderId="0" xfId="0" applyNumberFormat="1" applyFont="1" applyFill="1"/>
    <xf numFmtId="0" fontId="33" fillId="0" borderId="30" xfId="0" applyFont="1" applyBorder="1"/>
    <xf numFmtId="3" fontId="33" fillId="0" borderId="31" xfId="0" applyNumberFormat="1" applyFont="1" applyBorder="1"/>
    <xf numFmtId="0" fontId="30" fillId="0" borderId="26" xfId="0" applyFont="1" applyBorder="1"/>
    <xf numFmtId="0" fontId="30" fillId="0" borderId="14" xfId="0" applyFont="1" applyBorder="1"/>
    <xf numFmtId="0" fontId="30" fillId="0" borderId="32" xfId="0" applyFont="1" applyBorder="1"/>
    <xf numFmtId="0" fontId="31" fillId="0" borderId="26" xfId="0" applyFont="1" applyBorder="1"/>
    <xf numFmtId="9" fontId="31" fillId="0" borderId="33" xfId="0" applyNumberFormat="1" applyFont="1" applyBorder="1"/>
    <xf numFmtId="3" fontId="30" fillId="0" borderId="0" xfId="0" applyNumberFormat="1" applyFont="1"/>
    <xf numFmtId="0" fontId="30" fillId="0" borderId="34" xfId="0" applyFont="1" applyBorder="1"/>
    <xf numFmtId="3" fontId="32" fillId="0" borderId="35" xfId="0" applyNumberFormat="1" applyFont="1" applyBorder="1"/>
    <xf numFmtId="0" fontId="30" fillId="0" borderId="36" xfId="0" applyFont="1" applyBorder="1"/>
    <xf numFmtId="0" fontId="30" fillId="0" borderId="37" xfId="0" applyFont="1" applyBorder="1"/>
    <xf numFmtId="3" fontId="30" fillId="48" borderId="36" xfId="0" applyNumberFormat="1" applyFont="1" applyFill="1" applyBorder="1"/>
    <xf numFmtId="0" fontId="30" fillId="49" borderId="36" xfId="0" applyFont="1" applyFill="1" applyBorder="1"/>
    <xf numFmtId="3" fontId="30" fillId="50" borderId="36" xfId="0" applyNumberFormat="1" applyFont="1" applyFill="1" applyBorder="1"/>
    <xf numFmtId="3" fontId="33" fillId="0" borderId="38" xfId="0" applyNumberFormat="1" applyFont="1" applyBorder="1"/>
    <xf numFmtId="0" fontId="30" fillId="0" borderId="35" xfId="0" applyFont="1" applyBorder="1"/>
    <xf numFmtId="0" fontId="30" fillId="0" borderId="39" xfId="0" applyFont="1" applyBorder="1"/>
    <xf numFmtId="9" fontId="31" fillId="0" borderId="40" xfId="0" applyNumberFormat="1" applyFont="1" applyBorder="1"/>
    <xf numFmtId="0" fontId="0" fillId="46" borderId="0" xfId="0" applyFill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6" xfId="0" applyBorder="1"/>
    <xf numFmtId="0" fontId="30" fillId="0" borderId="47" xfId="0" applyFon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46" borderId="48" xfId="0" applyFill="1" applyBorder="1"/>
    <xf numFmtId="0" fontId="0" fillId="0" borderId="0" xfId="0" applyAlignment="1">
      <alignment horizontal="center" vertical="center"/>
    </xf>
    <xf numFmtId="9" fontId="0" fillId="0" borderId="0" xfId="43" applyFont="1" applyAlignment="1">
      <alignment wrapText="1"/>
    </xf>
    <xf numFmtId="0" fontId="0" fillId="38" borderId="0" xfId="0" applyFill="1" applyAlignment="1">
      <alignment vertical="top"/>
    </xf>
    <xf numFmtId="164" fontId="0" fillId="38" borderId="0" xfId="1" applyNumberFormat="1" applyFont="1" applyFill="1" applyBorder="1" applyAlignment="1">
      <alignment vertical="top"/>
    </xf>
    <xf numFmtId="164" fontId="0" fillId="38" borderId="13" xfId="1" applyNumberFormat="1" applyFont="1" applyFill="1" applyBorder="1" applyAlignment="1">
      <alignment vertical="top"/>
    </xf>
    <xf numFmtId="164" fontId="0" fillId="0" borderId="0" xfId="1" applyNumberFormat="1" applyFont="1" applyFill="1" applyBorder="1" applyAlignment="1">
      <alignment vertical="top"/>
    </xf>
    <xf numFmtId="164" fontId="0" fillId="0" borderId="13" xfId="1" applyNumberFormat="1" applyFont="1" applyFill="1" applyBorder="1" applyAlignment="1">
      <alignment vertical="top"/>
    </xf>
    <xf numFmtId="0" fontId="0" fillId="38" borderId="15" xfId="0" applyFill="1" applyBorder="1" applyAlignment="1">
      <alignment horizontal="left" vertical="top" wrapText="1"/>
    </xf>
    <xf numFmtId="0" fontId="0" fillId="38" borderId="19" xfId="0" applyFill="1" applyBorder="1" applyAlignment="1">
      <alignment horizontal="left" vertical="top" wrapText="1"/>
    </xf>
    <xf numFmtId="0" fontId="0" fillId="38" borderId="14" xfId="0" applyFill="1" applyBorder="1" applyAlignment="1">
      <alignment vertical="top"/>
    </xf>
    <xf numFmtId="164" fontId="0" fillId="38" borderId="14" xfId="1" applyNumberFormat="1" applyFont="1" applyFill="1" applyBorder="1" applyAlignment="1">
      <alignment vertical="top"/>
    </xf>
    <xf numFmtId="164" fontId="0" fillId="38" borderId="17" xfId="1" applyNumberFormat="1" applyFont="1" applyFill="1" applyBorder="1" applyAlignment="1">
      <alignment vertical="top"/>
    </xf>
    <xf numFmtId="0" fontId="14" fillId="0" borderId="0" xfId="0" applyFont="1"/>
    <xf numFmtId="0" fontId="14" fillId="39" borderId="0" xfId="0" applyFont="1" applyFill="1"/>
    <xf numFmtId="164" fontId="0" fillId="0" borderId="48" xfId="0" applyNumberFormat="1" applyBorder="1"/>
    <xf numFmtId="0" fontId="0" fillId="0" borderId="58" xfId="0" applyBorder="1"/>
    <xf numFmtId="0" fontId="0" fillId="0" borderId="59" xfId="0" applyBorder="1"/>
    <xf numFmtId="0" fontId="0" fillId="0" borderId="61" xfId="0" applyBorder="1"/>
    <xf numFmtId="0" fontId="0" fillId="0" borderId="62" xfId="0" applyBorder="1"/>
    <xf numFmtId="164" fontId="0" fillId="0" borderId="63" xfId="0" applyNumberFormat="1" applyBorder="1"/>
    <xf numFmtId="0" fontId="0" fillId="46" borderId="64" xfId="0" applyFill="1" applyBorder="1"/>
    <xf numFmtId="0" fontId="0" fillId="0" borderId="65" xfId="0" applyBorder="1"/>
    <xf numFmtId="0" fontId="0" fillId="0" borderId="66" xfId="0" applyBorder="1"/>
    <xf numFmtId="0" fontId="0" fillId="46" borderId="61" xfId="0" applyFill="1" applyBorder="1"/>
    <xf numFmtId="0" fontId="16" fillId="0" borderId="53" xfId="0" applyFont="1" applyBorder="1"/>
    <xf numFmtId="0" fontId="16" fillId="0" borderId="57" xfId="0" applyFont="1" applyBorder="1"/>
    <xf numFmtId="0" fontId="16" fillId="0" borderId="58" xfId="0" applyFont="1" applyBorder="1"/>
    <xf numFmtId="0" fontId="0" fillId="0" borderId="70" xfId="0" applyBorder="1"/>
    <xf numFmtId="0" fontId="0" fillId="0" borderId="71" xfId="0" applyBorder="1"/>
    <xf numFmtId="0" fontId="16" fillId="0" borderId="72" xfId="0" applyFont="1" applyBorder="1"/>
    <xf numFmtId="0" fontId="0" fillId="0" borderId="73" xfId="0" applyBorder="1"/>
    <xf numFmtId="0" fontId="0" fillId="46" borderId="74" xfId="0" applyFill="1" applyBorder="1"/>
    <xf numFmtId="0" fontId="0" fillId="46" borderId="65" xfId="0" applyFill="1" applyBorder="1"/>
    <xf numFmtId="0" fontId="0" fillId="46" borderId="66" xfId="0" applyFill="1" applyBorder="1"/>
    <xf numFmtId="0" fontId="0" fillId="0" borderId="75" xfId="0" applyBorder="1"/>
    <xf numFmtId="0" fontId="0" fillId="0" borderId="29" xfId="0" applyBorder="1"/>
    <xf numFmtId="0" fontId="0" fillId="0" borderId="72" xfId="0" applyBorder="1"/>
    <xf numFmtId="0" fontId="0" fillId="0" borderId="64" xfId="0" applyBorder="1"/>
    <xf numFmtId="0" fontId="0" fillId="0" borderId="46" xfId="0" applyBorder="1" applyAlignment="1">
      <alignment vertical="top" wrapText="1"/>
    </xf>
    <xf numFmtId="0" fontId="30" fillId="0" borderId="47" xfId="0" applyFont="1" applyBorder="1" applyAlignment="1">
      <alignment vertical="top" wrapText="1"/>
    </xf>
    <xf numFmtId="0" fontId="16" fillId="0" borderId="59" xfId="0" applyFont="1" applyBorder="1"/>
    <xf numFmtId="0" fontId="32" fillId="0" borderId="60" xfId="0" applyFont="1" applyBorder="1" applyAlignment="1">
      <alignment vertical="top" wrapText="1"/>
    </xf>
    <xf numFmtId="0" fontId="32" fillId="0" borderId="47" xfId="0" applyFont="1" applyBorder="1" applyAlignment="1">
      <alignment vertical="top" wrapText="1"/>
    </xf>
    <xf numFmtId="0" fontId="16" fillId="0" borderId="62" xfId="0" applyFont="1" applyBorder="1"/>
    <xf numFmtId="164" fontId="0" fillId="0" borderId="61" xfId="0" applyNumberFormat="1" applyBorder="1"/>
    <xf numFmtId="0" fontId="0" fillId="0" borderId="67" xfId="0" applyBorder="1"/>
    <xf numFmtId="164" fontId="0" fillId="0" borderId="31" xfId="0" applyNumberFormat="1" applyBorder="1" applyAlignment="1">
      <alignment vertical="top" wrapText="1"/>
    </xf>
    <xf numFmtId="164" fontId="0" fillId="0" borderId="71" xfId="0" applyNumberFormat="1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16" fillId="0" borderId="67" xfId="0" applyFont="1" applyBorder="1"/>
    <xf numFmtId="0" fontId="0" fillId="0" borderId="31" xfId="0" applyBorder="1"/>
    <xf numFmtId="0" fontId="0" fillId="45" borderId="0" xfId="0" applyFill="1"/>
    <xf numFmtId="0" fontId="0" fillId="45" borderId="61" xfId="0" applyFill="1" applyBorder="1"/>
    <xf numFmtId="0" fontId="0" fillId="45" borderId="29" xfId="0" applyFill="1" applyBorder="1"/>
    <xf numFmtId="0" fontId="0" fillId="45" borderId="58" xfId="0" applyFill="1" applyBorder="1"/>
    <xf numFmtId="0" fontId="0" fillId="45" borderId="65" xfId="0" applyFill="1" applyBorder="1"/>
    <xf numFmtId="0" fontId="0" fillId="45" borderId="66" xfId="0" applyFill="1" applyBorder="1"/>
    <xf numFmtId="164" fontId="0" fillId="45" borderId="0" xfId="0" applyNumberFormat="1" applyFill="1"/>
    <xf numFmtId="164" fontId="0" fillId="0" borderId="65" xfId="0" applyNumberFormat="1" applyBorder="1" applyAlignment="1">
      <alignment vertical="top" wrapText="1"/>
    </xf>
    <xf numFmtId="164" fontId="0" fillId="0" borderId="66" xfId="0" applyNumberFormat="1" applyBorder="1" applyAlignment="1">
      <alignment vertical="top" wrapText="1"/>
    </xf>
    <xf numFmtId="0" fontId="16" fillId="0" borderId="18" xfId="0" applyFont="1" applyBorder="1" applyAlignment="1">
      <alignment vertical="center"/>
    </xf>
    <xf numFmtId="167" fontId="0" fillId="0" borderId="0" xfId="1" applyNumberFormat="1" applyFont="1" applyFill="1" applyBorder="1" applyAlignment="1">
      <alignment vertical="center"/>
    </xf>
    <xf numFmtId="167" fontId="17" fillId="0" borderId="0" xfId="1" applyNumberFormat="1" applyFont="1" applyFill="1" applyBorder="1" applyAlignment="1">
      <alignment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17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7" fillId="0" borderId="0" xfId="1" applyNumberFormat="1" applyFont="1" applyFill="1" applyBorder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0" fillId="0" borderId="0" xfId="0" applyNumberFormat="1"/>
    <xf numFmtId="164" fontId="0" fillId="0" borderId="0" xfId="0" applyNumberFormat="1" applyAlignment="1">
      <alignment vertical="center" wrapText="1"/>
    </xf>
    <xf numFmtId="10" fontId="0" fillId="0" borderId="0" xfId="43" applyNumberFormat="1" applyFont="1" applyFill="1"/>
    <xf numFmtId="0" fontId="29" fillId="0" borderId="14" xfId="0" applyFont="1" applyBorder="1" applyAlignment="1">
      <alignment horizontal="center" vertical="center" wrapText="1"/>
    </xf>
    <xf numFmtId="0" fontId="16" fillId="47" borderId="15" xfId="0" applyFont="1" applyFill="1" applyBorder="1" applyAlignment="1">
      <alignment horizontal="center" vertical="center" wrapText="1"/>
    </xf>
    <xf numFmtId="0" fontId="16" fillId="47" borderId="0" xfId="0" applyFont="1" applyFill="1" applyAlignment="1">
      <alignment horizontal="center" vertical="center" wrapText="1"/>
    </xf>
    <xf numFmtId="0" fontId="16" fillId="47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16" fillId="33" borderId="22" xfId="0" applyFont="1" applyFill="1" applyBorder="1" applyAlignment="1">
      <alignment horizontal="center"/>
    </xf>
    <xf numFmtId="0" fontId="16" fillId="46" borderId="10" xfId="0" applyFont="1" applyFill="1" applyBorder="1" applyAlignment="1">
      <alignment horizontal="center"/>
    </xf>
    <xf numFmtId="0" fontId="16" fillId="46" borderId="11" xfId="0" applyFont="1" applyFill="1" applyBorder="1" applyAlignment="1">
      <alignment horizontal="center"/>
    </xf>
    <xf numFmtId="0" fontId="16" fillId="46" borderId="12" xfId="0" applyFont="1" applyFill="1" applyBorder="1" applyAlignment="1">
      <alignment horizontal="center"/>
    </xf>
    <xf numFmtId="0" fontId="16" fillId="46" borderId="15" xfId="0" applyFont="1" applyFill="1" applyBorder="1" applyAlignment="1">
      <alignment horizontal="center"/>
    </xf>
    <xf numFmtId="0" fontId="16" fillId="46" borderId="0" xfId="0" applyFont="1" applyFill="1" applyAlignment="1">
      <alignment horizontal="center"/>
    </xf>
    <xf numFmtId="0" fontId="16" fillId="46" borderId="13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9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0" fillId="36" borderId="20" xfId="0" applyFill="1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16" fillId="36" borderId="10" xfId="0" applyFont="1" applyFill="1" applyBorder="1" applyAlignment="1">
      <alignment horizontal="center" vertical="center" wrapText="1"/>
    </xf>
    <xf numFmtId="0" fontId="16" fillId="36" borderId="19" xfId="0" applyFont="1" applyFill="1" applyBorder="1" applyAlignment="1">
      <alignment horizontal="center" vertical="center" wrapText="1"/>
    </xf>
    <xf numFmtId="0" fontId="16" fillId="36" borderId="11" xfId="0" applyFont="1" applyFill="1" applyBorder="1" applyAlignment="1">
      <alignment horizontal="center" vertical="center" wrapText="1"/>
    </xf>
    <xf numFmtId="0" fontId="16" fillId="36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36" borderId="15" xfId="0" applyFont="1" applyFill="1" applyBorder="1" applyAlignment="1">
      <alignment horizontal="center" wrapText="1"/>
    </xf>
    <xf numFmtId="0" fontId="16" fillId="36" borderId="0" xfId="0" applyFont="1" applyFill="1" applyAlignment="1">
      <alignment horizontal="center" wrapText="1"/>
    </xf>
    <xf numFmtId="0" fontId="16" fillId="36" borderId="13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64" fontId="16" fillId="0" borderId="29" xfId="0" applyNumberFormat="1" applyFont="1" applyBorder="1" applyAlignment="1">
      <alignment horizontal="center"/>
    </xf>
    <xf numFmtId="164" fontId="16" fillId="0" borderId="31" xfId="0" applyNumberFormat="1" applyFont="1" applyBorder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17" fillId="42" borderId="24" xfId="0" applyFont="1" applyFill="1" applyBorder="1" applyAlignment="1">
      <alignment horizontal="left" vertical="center" wrapText="1"/>
    </xf>
    <xf numFmtId="0" fontId="17" fillId="43" borderId="24" xfId="0" applyFont="1" applyFill="1" applyBorder="1" applyAlignment="1">
      <alignment horizontal="left" vertical="center" wrapText="1"/>
    </xf>
    <xf numFmtId="0" fontId="16" fillId="45" borderId="20" xfId="0" applyFont="1" applyFill="1" applyBorder="1" applyAlignment="1">
      <alignment horizontal="center"/>
    </xf>
    <xf numFmtId="0" fontId="16" fillId="45" borderId="21" xfId="0" applyFont="1" applyFill="1" applyBorder="1" applyAlignment="1">
      <alignment horizontal="center"/>
    </xf>
    <xf numFmtId="0" fontId="16" fillId="45" borderId="22" xfId="0" applyFont="1" applyFill="1" applyBorder="1" applyAlignment="1">
      <alignment horizontal="center"/>
    </xf>
    <xf numFmtId="0" fontId="26" fillId="45" borderId="20" xfId="0" applyFont="1" applyFill="1" applyBorder="1" applyAlignment="1">
      <alignment horizontal="center" vertical="center" wrapText="1"/>
    </xf>
    <xf numFmtId="0" fontId="26" fillId="45" borderId="21" xfId="0" applyFont="1" applyFill="1" applyBorder="1" applyAlignment="1">
      <alignment horizontal="center" vertical="center" wrapText="1"/>
    </xf>
    <xf numFmtId="0" fontId="26" fillId="45" borderId="22" xfId="0" applyFont="1" applyFill="1" applyBorder="1" applyAlignment="1">
      <alignment horizontal="center" vertical="center" wrapText="1"/>
    </xf>
    <xf numFmtId="0" fontId="16" fillId="34" borderId="23" xfId="0" applyFont="1" applyFill="1" applyBorder="1" applyAlignment="1">
      <alignment horizontal="center" vertical="center"/>
    </xf>
    <xf numFmtId="0" fontId="16" fillId="34" borderId="16" xfId="0" applyFont="1" applyFill="1" applyBorder="1" applyAlignment="1">
      <alignment horizontal="center" vertical="center"/>
    </xf>
    <xf numFmtId="0" fontId="16" fillId="34" borderId="21" xfId="0" applyFont="1" applyFill="1" applyBorder="1" applyAlignment="1">
      <alignment horizontal="center"/>
    </xf>
    <xf numFmtId="0" fontId="16" fillId="34" borderId="22" xfId="0" applyFont="1" applyFill="1" applyBorder="1" applyAlignment="1">
      <alignment horizontal="center"/>
    </xf>
    <xf numFmtId="0" fontId="24" fillId="33" borderId="24" xfId="0" applyFont="1" applyFill="1" applyBorder="1" applyAlignment="1">
      <alignment horizontal="left" vertical="center" wrapText="1"/>
    </xf>
    <xf numFmtId="0" fontId="24" fillId="40" borderId="24" xfId="0" applyFont="1" applyFill="1" applyBorder="1" applyAlignment="1">
      <alignment horizontal="left" vertical="center" wrapText="1"/>
    </xf>
    <xf numFmtId="0" fontId="24" fillId="41" borderId="24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top"/>
    </xf>
    <xf numFmtId="0" fontId="16" fillId="0" borderId="19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center"/>
    </xf>
    <xf numFmtId="0" fontId="16" fillId="0" borderId="54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67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68" xfId="0" applyFont="1" applyBorder="1" applyAlignment="1">
      <alignment horizontal="center"/>
    </xf>
    <xf numFmtId="0" fontId="16" fillId="0" borderId="6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23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16" fillId="35" borderId="0" xfId="0" applyFont="1" applyFill="1" applyAlignment="1">
      <alignment horizontal="center" vertical="top" wrapText="1"/>
    </xf>
    <xf numFmtId="0" fontId="16" fillId="36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582B26"/>
      <color rgb="FF2B1E1D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Regulating and maintenance</a:t>
            </a:r>
            <a:r>
              <a:rPr lang="en-US" b="1" baseline="0"/>
              <a:t>: </a:t>
            </a:r>
            <a:r>
              <a:rPr lang="en-US" b="1"/>
              <a:t>Climate regulation: Carbon sequestration</a:t>
            </a:r>
            <a:r>
              <a:rPr lang="en-US" b="1" baseline="0"/>
              <a:t> </a:t>
            </a:r>
            <a:endParaRPr lang="en-US" b="1"/>
          </a:p>
        </c:rich>
      </c:tx>
      <c:layout>
        <c:manualLayout>
          <c:xMode val="edge"/>
          <c:yMode val="edge"/>
          <c:x val="0.2714823825071801"/>
          <c:y val="2.9717337514721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6615932784939"/>
          <c:y val="1.1192519468129922E-2"/>
          <c:w val="0.87293300415644792"/>
          <c:h val="0.91598509710502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MainDatabase!$B$101</c:f>
              <c:strCache>
                <c:ptCount val="1"/>
                <c:pt idx="0">
                  <c:v>Annual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MainDatabase!$C$100:$R$100</c15:sqref>
                  </c15:fullRef>
                </c:ext>
              </c:extLst>
              <c:f>MainDatabase!$D$100:$P$100</c:f>
              <c:strCache>
                <c:ptCount val="13"/>
                <c:pt idx="0">
                  <c:v>Moderate forest</c:v>
                </c:pt>
                <c:pt idx="1">
                  <c:v>Perennial crop</c:v>
                </c:pt>
                <c:pt idx="2">
                  <c:v>Annual crop</c:v>
                </c:pt>
                <c:pt idx="3">
                  <c:v>Open grassland</c:v>
                </c:pt>
                <c:pt idx="4">
                  <c:v>Closed grassland</c:v>
                </c:pt>
                <c:pt idx="5">
                  <c:v>Dense forest</c:v>
                </c:pt>
                <c:pt idx="6">
                  <c:v>Sparse forest</c:v>
                </c:pt>
                <c:pt idx="7">
                  <c:v>Wetland</c:v>
                </c:pt>
                <c:pt idx="8">
                  <c:v>Built up area</c:v>
                </c:pt>
                <c:pt idx="9">
                  <c:v>Open shrubland</c:v>
                </c:pt>
                <c:pt idx="10">
                  <c:v>Closed shrubland</c:v>
                </c:pt>
                <c:pt idx="11">
                  <c:v>Water body</c:v>
                </c:pt>
                <c:pt idx="12">
                  <c:v>Bareland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MainDatabase!$C$101:$R$101</c15:sqref>
                  </c15:fullRef>
                </c:ext>
              </c:extLst>
              <c:f>MainDatabase!$D$101:$P$101</c:f>
              <c:numCache>
                <c:formatCode>_(* #,##0_);_(* \(#,##0\);_(* "-"??_);_(@_)</c:formatCode>
                <c:ptCount val="13"/>
                <c:pt idx="0">
                  <c:v>93560727.777777776</c:v>
                </c:pt>
                <c:pt idx="1">
                  <c:v>10201545.722222222</c:v>
                </c:pt>
                <c:pt idx="2">
                  <c:v>166489641.1111111</c:v>
                </c:pt>
                <c:pt idx="3">
                  <c:v>-10082344.17777778</c:v>
                </c:pt>
                <c:pt idx="4">
                  <c:v>18131336.444444444</c:v>
                </c:pt>
                <c:pt idx="5">
                  <c:v>18241723.333333332</c:v>
                </c:pt>
                <c:pt idx="6">
                  <c:v>-34371905.222222224</c:v>
                </c:pt>
                <c:pt idx="7">
                  <c:v>-141738.43000000052</c:v>
                </c:pt>
                <c:pt idx="8">
                  <c:v>2885232.3555555549</c:v>
                </c:pt>
                <c:pt idx="9">
                  <c:v>-194821662.22222221</c:v>
                </c:pt>
                <c:pt idx="10">
                  <c:v>-75235764.444444448</c:v>
                </c:pt>
                <c:pt idx="11">
                  <c:v>13982.215555555549</c:v>
                </c:pt>
                <c:pt idx="12">
                  <c:v>4483850.4300000006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8-420A-8D5E-7DBDBBFD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3477855"/>
        <c:axId val="1183481695"/>
      </c:barChart>
      <c:catAx>
        <c:axId val="118347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Ecosystem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81695"/>
        <c:crosses val="autoZero"/>
        <c:auto val="1"/>
        <c:lblAlgn val="ctr"/>
        <c:lblOffset val="100"/>
        <c:noMultiLvlLbl val="0"/>
      </c:catAx>
      <c:valAx>
        <c:axId val="118348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Tonnes of carbon) </a:t>
                </a:r>
                <a:r>
                  <a:rPr lang="en-US" sz="1000"/>
                  <a:t>(million </a:t>
                </a:r>
                <a:r>
                  <a:rPr lang="en-US" sz="1000" baseline="0"/>
                  <a:t> tonnes of carbon </a:t>
                </a:r>
                <a:r>
                  <a:rPr lang="en-US" sz="1000"/>
                  <a:t>)</a:t>
                </a:r>
              </a:p>
            </c:rich>
          </c:tx>
          <c:layout>
            <c:manualLayout>
              <c:xMode val="edge"/>
              <c:yMode val="edge"/>
              <c:x val="1.2316090090496248E-2"/>
              <c:y val="0.20653261232539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7785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19115648735621"/>
          <c:y val="0.165913556535841"/>
          <c:w val="0.10697275183041802"/>
          <c:h val="4.33867382511205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2730500</xdr:colOff>
      <xdr:row>171</xdr:row>
      <xdr:rowOff>75117</xdr:rowOff>
    </xdr:from>
    <xdr:to>
      <xdr:col>6</xdr:col>
      <xdr:colOff>423333</xdr:colOff>
      <xdr:row>207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8737338-7D57-40B4-87B6-E31E4CD95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3A88-7FBA-492A-96C6-DDCECE0A4801}">
  <dimension ref="E2:M24"/>
  <sheetViews>
    <sheetView topLeftCell="B1" zoomScale="124" zoomScaleNormal="124" workbookViewId="0">
      <selection activeCell="F16" sqref="F16"/>
    </sheetView>
  </sheetViews>
  <sheetFormatPr defaultRowHeight="15" x14ac:dyDescent="0.25"/>
  <cols>
    <col min="5" max="5" width="18.42578125" customWidth="1"/>
    <col min="6" max="6" width="20.28515625" customWidth="1"/>
    <col min="7" max="7" width="9.140625" customWidth="1"/>
    <col min="8" max="8" width="11.140625" customWidth="1"/>
    <col min="9" max="9" width="10.85546875" customWidth="1"/>
    <col min="10" max="10" width="9.7109375" customWidth="1"/>
    <col min="11" max="11" width="13.5703125" customWidth="1"/>
    <col min="12" max="12" width="28" customWidth="1"/>
    <col min="13" max="13" width="28.140625" customWidth="1"/>
  </cols>
  <sheetData>
    <row r="2" spans="5:13" ht="15.75" thickBot="1" x14ac:dyDescent="0.3"/>
    <row r="3" spans="5:13" ht="30.75" thickBot="1" x14ac:dyDescent="0.3">
      <c r="E3" s="323" t="s">
        <v>0</v>
      </c>
      <c r="F3" s="150" t="s">
        <v>1</v>
      </c>
      <c r="G3" s="149" t="s">
        <v>2</v>
      </c>
      <c r="H3" s="149" t="s">
        <v>3</v>
      </c>
      <c r="I3" s="149" t="s">
        <v>4</v>
      </c>
      <c r="J3" s="149" t="s">
        <v>5</v>
      </c>
      <c r="K3" s="149" t="s">
        <v>6</v>
      </c>
      <c r="L3" s="149" t="s">
        <v>7</v>
      </c>
      <c r="M3" s="148" t="s">
        <v>8</v>
      </c>
    </row>
    <row r="4" spans="5:13" ht="45" x14ac:dyDescent="0.25">
      <c r="E4" s="152" t="s">
        <v>9</v>
      </c>
      <c r="F4" s="143" t="s">
        <v>10</v>
      </c>
      <c r="G4" s="206" t="s">
        <v>11</v>
      </c>
      <c r="H4" s="206" t="s">
        <v>12</v>
      </c>
      <c r="I4" s="206" t="s">
        <v>13</v>
      </c>
      <c r="J4" s="206">
        <v>5.0000000000000001E-4</v>
      </c>
      <c r="K4" s="206" t="s">
        <v>14</v>
      </c>
      <c r="L4" s="206" t="s">
        <v>15</v>
      </c>
      <c r="M4" s="144" t="s">
        <v>16</v>
      </c>
    </row>
    <row r="5" spans="5:13" ht="45" x14ac:dyDescent="0.25">
      <c r="E5" s="205" t="s">
        <v>17</v>
      </c>
      <c r="F5" s="143" t="s">
        <v>18</v>
      </c>
      <c r="G5" s="206" t="s">
        <v>11</v>
      </c>
      <c r="H5" s="206" t="s">
        <v>19</v>
      </c>
      <c r="I5" s="206" t="s">
        <v>20</v>
      </c>
      <c r="J5" s="206" t="s">
        <v>21</v>
      </c>
      <c r="K5" s="206" t="s">
        <v>22</v>
      </c>
      <c r="L5" s="206" t="s">
        <v>23</v>
      </c>
      <c r="M5" s="144" t="s">
        <v>24</v>
      </c>
    </row>
    <row r="6" spans="5:13" ht="45" x14ac:dyDescent="0.25">
      <c r="E6" s="205" t="s">
        <v>17</v>
      </c>
      <c r="F6" s="143" t="s">
        <v>25</v>
      </c>
      <c r="G6" s="206" t="s">
        <v>26</v>
      </c>
      <c r="H6" s="206" t="s">
        <v>27</v>
      </c>
      <c r="I6" s="206" t="s">
        <v>28</v>
      </c>
      <c r="J6" s="206" t="s">
        <v>29</v>
      </c>
      <c r="K6" s="206" t="s">
        <v>30</v>
      </c>
      <c r="L6" s="206" t="s">
        <v>31</v>
      </c>
      <c r="M6" s="144" t="s">
        <v>32</v>
      </c>
    </row>
    <row r="7" spans="5:13" ht="45" x14ac:dyDescent="0.25">
      <c r="E7" s="205" t="s">
        <v>17</v>
      </c>
      <c r="F7" s="143" t="s">
        <v>33</v>
      </c>
      <c r="G7" s="206" t="s">
        <v>26</v>
      </c>
      <c r="H7" s="206" t="s">
        <v>34</v>
      </c>
      <c r="I7" s="206" t="s">
        <v>35</v>
      </c>
      <c r="J7" s="206" t="s">
        <v>36</v>
      </c>
      <c r="K7" s="206" t="s">
        <v>37</v>
      </c>
      <c r="L7" s="206" t="s">
        <v>38</v>
      </c>
      <c r="M7" s="144" t="s">
        <v>39</v>
      </c>
    </row>
    <row r="8" spans="5:13" ht="45" x14ac:dyDescent="0.25">
      <c r="E8" s="205" t="s">
        <v>17</v>
      </c>
      <c r="F8" s="143" t="s">
        <v>40</v>
      </c>
      <c r="G8" s="206" t="s">
        <v>26</v>
      </c>
      <c r="H8" s="206" t="s">
        <v>41</v>
      </c>
      <c r="I8" s="206" t="s">
        <v>42</v>
      </c>
      <c r="J8" s="206">
        <v>8.8000000000000005E-3</v>
      </c>
      <c r="K8" s="206" t="s">
        <v>43</v>
      </c>
      <c r="L8" s="206" t="s">
        <v>44</v>
      </c>
      <c r="M8" s="144" t="s">
        <v>45</v>
      </c>
    </row>
    <row r="9" spans="5:13" ht="45.75" thickBot="1" x14ac:dyDescent="0.3">
      <c r="E9" s="207" t="s">
        <v>46</v>
      </c>
      <c r="F9" s="145" t="s">
        <v>47</v>
      </c>
      <c r="G9" s="146" t="s">
        <v>48</v>
      </c>
      <c r="H9" s="337" t="s">
        <v>49</v>
      </c>
      <c r="I9" s="337"/>
      <c r="J9" s="337"/>
      <c r="K9" s="337"/>
      <c r="L9" s="146" t="s">
        <v>50</v>
      </c>
      <c r="M9" s="147" t="s">
        <v>51</v>
      </c>
    </row>
    <row r="14" spans="5:13" x14ac:dyDescent="0.25">
      <c r="L14" s="142"/>
    </row>
    <row r="15" spans="5:13" x14ac:dyDescent="0.25">
      <c r="L15" s="142"/>
    </row>
    <row r="18" spans="5:5" x14ac:dyDescent="0.25">
      <c r="E18" s="80"/>
    </row>
    <row r="19" spans="5:5" x14ac:dyDescent="0.25">
      <c r="E19" s="80"/>
    </row>
    <row r="23" spans="5:5" x14ac:dyDescent="0.25">
      <c r="E23" s="80"/>
    </row>
    <row r="24" spans="5:5" x14ac:dyDescent="0.25">
      <c r="E24" s="275"/>
    </row>
  </sheetData>
  <mergeCells count="1">
    <mergeCell ref="H9:K9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7EAF-219B-49DB-9EB1-6128208D957C}">
  <dimension ref="B2:P25"/>
  <sheetViews>
    <sheetView topLeftCell="C1" workbookViewId="0">
      <selection activeCell="N23" sqref="N23:N25"/>
    </sheetView>
  </sheetViews>
  <sheetFormatPr defaultRowHeight="15" x14ac:dyDescent="0.25"/>
  <cols>
    <col min="2" max="2" width="17.5703125" customWidth="1"/>
    <col min="3" max="16" width="17" customWidth="1"/>
  </cols>
  <sheetData>
    <row r="2" spans="2:16" x14ac:dyDescent="0.25">
      <c r="B2" s="217" t="s">
        <v>52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</row>
    <row r="3" spans="2:16" x14ac:dyDescent="0.25">
      <c r="B3" s="216" t="s">
        <v>53</v>
      </c>
      <c r="C3" s="216" t="s">
        <v>54</v>
      </c>
      <c r="D3" s="216" t="s">
        <v>55</v>
      </c>
      <c r="E3" s="216" t="s">
        <v>56</v>
      </c>
      <c r="F3" s="216" t="s">
        <v>57</v>
      </c>
      <c r="G3" s="216" t="s">
        <v>58</v>
      </c>
      <c r="H3" s="216" t="s">
        <v>59</v>
      </c>
      <c r="I3" s="216" t="s">
        <v>60</v>
      </c>
      <c r="J3" s="216" t="s">
        <v>61</v>
      </c>
      <c r="K3" s="216" t="s">
        <v>62</v>
      </c>
      <c r="L3" s="216" t="s">
        <v>63</v>
      </c>
      <c r="M3" s="216" t="s">
        <v>64</v>
      </c>
      <c r="N3" s="216" t="s">
        <v>65</v>
      </c>
      <c r="O3" s="216" t="s">
        <v>66</v>
      </c>
      <c r="P3" s="240" t="s">
        <v>67</v>
      </c>
    </row>
    <row r="4" spans="2:16" x14ac:dyDescent="0.25">
      <c r="B4" s="218" t="s">
        <v>68</v>
      </c>
      <c r="C4" s="219">
        <v>9090569</v>
      </c>
      <c r="D4" s="219">
        <v>90994</v>
      </c>
      <c r="E4" s="219">
        <v>20503194</v>
      </c>
      <c r="F4" s="219">
        <v>7532182</v>
      </c>
      <c r="G4" s="219">
        <v>5439232</v>
      </c>
      <c r="H4" s="219">
        <v>12688242</v>
      </c>
      <c r="I4" s="219">
        <v>1798242</v>
      </c>
      <c r="J4" s="219">
        <v>453013</v>
      </c>
      <c r="K4" s="219">
        <v>118216</v>
      </c>
      <c r="L4" s="219">
        <v>33713753</v>
      </c>
      <c r="M4" s="219">
        <v>12884237</v>
      </c>
      <c r="N4" s="219">
        <v>776070</v>
      </c>
      <c r="O4" s="219">
        <v>8257782</v>
      </c>
      <c r="P4" s="241">
        <v>113345726</v>
      </c>
    </row>
    <row r="5" spans="2:16" x14ac:dyDescent="0.25">
      <c r="B5" s="220" t="s">
        <v>53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 t="s">
        <v>53</v>
      </c>
      <c r="P5" s="242" t="s">
        <v>53</v>
      </c>
    </row>
    <row r="6" spans="2:16" x14ac:dyDescent="0.25">
      <c r="B6" s="222" t="s">
        <v>69</v>
      </c>
      <c r="C6" s="223" t="s">
        <v>53</v>
      </c>
      <c r="D6" s="223" t="s">
        <v>53</v>
      </c>
      <c r="E6" s="223" t="s">
        <v>53</v>
      </c>
      <c r="F6" s="223" t="s">
        <v>53</v>
      </c>
      <c r="G6" s="223" t="s">
        <v>53</v>
      </c>
      <c r="H6" s="223" t="s">
        <v>53</v>
      </c>
      <c r="I6" s="223" t="s">
        <v>53</v>
      </c>
      <c r="J6" s="223" t="s">
        <v>53</v>
      </c>
      <c r="K6" s="223" t="s">
        <v>53</v>
      </c>
      <c r="L6" s="223" t="s">
        <v>53</v>
      </c>
      <c r="M6" s="223" t="s">
        <v>53</v>
      </c>
      <c r="N6" s="223" t="s">
        <v>53</v>
      </c>
      <c r="O6" s="223" t="s">
        <v>53</v>
      </c>
      <c r="P6" s="243" t="s">
        <v>53</v>
      </c>
    </row>
    <row r="7" spans="2:16" x14ac:dyDescent="0.25">
      <c r="B7" s="224" t="s">
        <v>70</v>
      </c>
      <c r="C7" s="226">
        <v>995013</v>
      </c>
      <c r="D7" s="226">
        <v>109398</v>
      </c>
      <c r="E7" s="226">
        <v>13214659</v>
      </c>
      <c r="F7" s="226">
        <v>277987</v>
      </c>
      <c r="G7" s="226">
        <v>208825</v>
      </c>
      <c r="H7" s="226">
        <v>767233</v>
      </c>
      <c r="I7" s="226">
        <v>168417</v>
      </c>
      <c r="J7" s="226">
        <v>1239</v>
      </c>
      <c r="K7" s="226">
        <v>206154</v>
      </c>
      <c r="L7" s="226">
        <v>2556074</v>
      </c>
      <c r="M7" s="226">
        <v>1802972</v>
      </c>
      <c r="N7" s="226">
        <v>20922</v>
      </c>
      <c r="O7" s="226">
        <v>105851</v>
      </c>
      <c r="P7" s="244">
        <v>20434745</v>
      </c>
    </row>
    <row r="8" spans="2:16" x14ac:dyDescent="0.25">
      <c r="B8" s="227" t="s">
        <v>71</v>
      </c>
      <c r="C8" s="228" t="s">
        <v>53</v>
      </c>
      <c r="D8" s="228" t="s">
        <v>53</v>
      </c>
      <c r="E8" s="228" t="s">
        <v>53</v>
      </c>
      <c r="F8" s="228" t="s">
        <v>53</v>
      </c>
      <c r="G8" s="228" t="s">
        <v>53</v>
      </c>
      <c r="H8" s="228" t="s">
        <v>53</v>
      </c>
      <c r="I8" s="228" t="s">
        <v>53</v>
      </c>
      <c r="J8" s="228" t="s">
        <v>53</v>
      </c>
      <c r="K8" s="228" t="s">
        <v>53</v>
      </c>
      <c r="L8" s="228" t="s">
        <v>53</v>
      </c>
      <c r="M8" s="228" t="s">
        <v>53</v>
      </c>
      <c r="N8" s="228" t="s">
        <v>53</v>
      </c>
      <c r="O8" s="228" t="s">
        <v>53</v>
      </c>
      <c r="P8" s="245" t="s">
        <v>72</v>
      </c>
    </row>
    <row r="9" spans="2:16" x14ac:dyDescent="0.25">
      <c r="B9" s="229" t="s">
        <v>73</v>
      </c>
      <c r="C9" s="231">
        <v>8103738</v>
      </c>
      <c r="D9" s="230" t="s">
        <v>53</v>
      </c>
      <c r="E9" s="230" t="s">
        <v>53</v>
      </c>
      <c r="F9" s="231">
        <v>2225077</v>
      </c>
      <c r="G9" s="231">
        <v>3045961</v>
      </c>
      <c r="H9" s="231">
        <v>5391306</v>
      </c>
      <c r="I9" s="231">
        <v>1524376</v>
      </c>
      <c r="J9" s="231">
        <v>11231</v>
      </c>
      <c r="K9" s="230" t="s">
        <v>53</v>
      </c>
      <c r="L9" s="231">
        <v>6948061</v>
      </c>
      <c r="M9" s="231">
        <v>4996543</v>
      </c>
      <c r="N9" s="231">
        <v>240433</v>
      </c>
      <c r="O9" s="231">
        <v>3170004</v>
      </c>
      <c r="P9" s="246">
        <v>35656729</v>
      </c>
    </row>
    <row r="10" spans="2:16" x14ac:dyDescent="0.25">
      <c r="B10" s="232" t="s">
        <v>74</v>
      </c>
      <c r="C10" s="233">
        <v>9098750</v>
      </c>
      <c r="D10" s="233">
        <v>109398</v>
      </c>
      <c r="E10" s="233">
        <v>13214659</v>
      </c>
      <c r="F10" s="233">
        <v>2503064</v>
      </c>
      <c r="G10" s="233">
        <v>3254786</v>
      </c>
      <c r="H10" s="233">
        <v>6158539</v>
      </c>
      <c r="I10" s="233">
        <v>1692792</v>
      </c>
      <c r="J10" s="233">
        <v>12470</v>
      </c>
      <c r="K10" s="233">
        <v>206154</v>
      </c>
      <c r="L10" s="233">
        <v>9504135</v>
      </c>
      <c r="M10" s="233">
        <v>6799516</v>
      </c>
      <c r="N10" s="233">
        <v>261355</v>
      </c>
      <c r="O10" s="233">
        <v>3275855</v>
      </c>
      <c r="P10" s="247">
        <v>56091474</v>
      </c>
    </row>
    <row r="11" spans="2:16" x14ac:dyDescent="0.25">
      <c r="B11" s="220" t="s">
        <v>53</v>
      </c>
      <c r="C11" s="221"/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1"/>
      <c r="O11" s="221"/>
      <c r="P11" s="242" t="s">
        <v>53</v>
      </c>
    </row>
    <row r="12" spans="2:16" x14ac:dyDescent="0.25">
      <c r="B12" s="222" t="s">
        <v>75</v>
      </c>
      <c r="C12" s="223" t="s">
        <v>53</v>
      </c>
      <c r="D12" s="223" t="s">
        <v>53</v>
      </c>
      <c r="E12" s="223" t="s">
        <v>53</v>
      </c>
      <c r="F12" s="223" t="s">
        <v>53</v>
      </c>
      <c r="G12" s="223" t="s">
        <v>53</v>
      </c>
      <c r="H12" s="223" t="s">
        <v>53</v>
      </c>
      <c r="I12" s="223" t="s">
        <v>53</v>
      </c>
      <c r="J12" s="223" t="s">
        <v>53</v>
      </c>
      <c r="K12" s="223" t="s">
        <v>53</v>
      </c>
      <c r="L12" s="223" t="s">
        <v>53</v>
      </c>
      <c r="M12" s="223" t="s">
        <v>53</v>
      </c>
      <c r="N12" s="223" t="s">
        <v>53</v>
      </c>
      <c r="O12" s="223" t="s">
        <v>53</v>
      </c>
      <c r="P12" s="243" t="s">
        <v>53</v>
      </c>
    </row>
    <row r="13" spans="2:16" x14ac:dyDescent="0.25">
      <c r="B13" s="224" t="s">
        <v>70</v>
      </c>
      <c r="C13" s="226">
        <v>1961708</v>
      </c>
      <c r="D13" s="226">
        <v>35849</v>
      </c>
      <c r="E13" s="226">
        <v>6968300</v>
      </c>
      <c r="F13" s="226">
        <v>248368</v>
      </c>
      <c r="G13" s="226">
        <v>1764432</v>
      </c>
      <c r="H13" s="226">
        <v>824934</v>
      </c>
      <c r="I13" s="226">
        <v>280636</v>
      </c>
      <c r="J13" s="225">
        <v>316</v>
      </c>
      <c r="K13" s="226">
        <v>4532</v>
      </c>
      <c r="L13" s="226">
        <v>4518984</v>
      </c>
      <c r="M13" s="226">
        <v>3177360</v>
      </c>
      <c r="N13" s="226">
        <v>5776</v>
      </c>
      <c r="O13" s="226">
        <v>643550</v>
      </c>
      <c r="P13" s="244">
        <v>20434745</v>
      </c>
    </row>
    <row r="14" spans="2:16" x14ac:dyDescent="0.25">
      <c r="B14" s="227" t="s">
        <v>71</v>
      </c>
      <c r="C14" s="228" t="s">
        <v>53</v>
      </c>
      <c r="D14" s="228" t="s">
        <v>53</v>
      </c>
      <c r="E14" s="228" t="s">
        <v>53</v>
      </c>
      <c r="F14" s="228" t="s">
        <v>53</v>
      </c>
      <c r="G14" s="228" t="s">
        <v>53</v>
      </c>
      <c r="H14" s="228" t="s">
        <v>53</v>
      </c>
      <c r="I14" s="228" t="s">
        <v>53</v>
      </c>
      <c r="J14" s="228" t="s">
        <v>53</v>
      </c>
      <c r="K14" s="228" t="s">
        <v>53</v>
      </c>
      <c r="L14" s="228" t="s">
        <v>53</v>
      </c>
      <c r="M14" s="228" t="s">
        <v>53</v>
      </c>
      <c r="N14" s="228" t="s">
        <v>53</v>
      </c>
      <c r="O14" s="228" t="s">
        <v>53</v>
      </c>
      <c r="P14" s="245" t="s">
        <v>72</v>
      </c>
    </row>
    <row r="15" spans="2:16" x14ac:dyDescent="0.25">
      <c r="B15" s="229" t="s">
        <v>73</v>
      </c>
      <c r="C15" s="231">
        <v>4634121</v>
      </c>
      <c r="D15" s="230" t="s">
        <v>53</v>
      </c>
      <c r="E15" s="230" t="s">
        <v>53</v>
      </c>
      <c r="F15" s="231">
        <v>2728371</v>
      </c>
      <c r="G15" s="231">
        <v>1993343</v>
      </c>
      <c r="H15" s="231">
        <v>4121748</v>
      </c>
      <c r="I15" s="231">
        <v>1287778</v>
      </c>
      <c r="J15" s="231">
        <v>2997</v>
      </c>
      <c r="K15" s="230" t="s">
        <v>53</v>
      </c>
      <c r="L15" s="231">
        <v>12197840</v>
      </c>
      <c r="M15" s="231">
        <v>6755806</v>
      </c>
      <c r="N15" s="231">
        <v>45220</v>
      </c>
      <c r="O15" s="231">
        <v>1889505</v>
      </c>
      <c r="P15" s="246">
        <v>35656729</v>
      </c>
    </row>
    <row r="16" spans="2:16" x14ac:dyDescent="0.25">
      <c r="B16" s="232" t="s">
        <v>76</v>
      </c>
      <c r="C16" s="233">
        <v>6595829</v>
      </c>
      <c r="D16" s="233">
        <v>35849</v>
      </c>
      <c r="E16" s="233">
        <v>6968300</v>
      </c>
      <c r="F16" s="233">
        <v>2976740</v>
      </c>
      <c r="G16" s="233">
        <v>3757775</v>
      </c>
      <c r="H16" s="233">
        <v>4946681</v>
      </c>
      <c r="I16" s="233">
        <v>1568414</v>
      </c>
      <c r="J16" s="233">
        <v>3313</v>
      </c>
      <c r="K16" s="233">
        <v>4532</v>
      </c>
      <c r="L16" s="233">
        <v>16716825</v>
      </c>
      <c r="M16" s="233">
        <v>9933166</v>
      </c>
      <c r="N16" s="233">
        <v>50996</v>
      </c>
      <c r="O16" s="233">
        <v>2533054</v>
      </c>
      <c r="P16" s="247">
        <v>56091474</v>
      </c>
    </row>
    <row r="17" spans="2:16" x14ac:dyDescent="0.25">
      <c r="B17" s="234" t="s">
        <v>53</v>
      </c>
      <c r="C17" s="235" t="s">
        <v>53</v>
      </c>
      <c r="D17" s="235" t="s">
        <v>53</v>
      </c>
      <c r="E17" s="235" t="s">
        <v>53</v>
      </c>
      <c r="F17" s="235" t="s">
        <v>53</v>
      </c>
      <c r="G17" s="235" t="s">
        <v>53</v>
      </c>
      <c r="H17" s="235" t="s">
        <v>53</v>
      </c>
      <c r="I17" s="235" t="s">
        <v>53</v>
      </c>
      <c r="J17" s="235" t="s">
        <v>53</v>
      </c>
      <c r="K17" s="235" t="s">
        <v>53</v>
      </c>
      <c r="L17" s="235" t="s">
        <v>53</v>
      </c>
      <c r="M17" s="235" t="s">
        <v>53</v>
      </c>
      <c r="N17" s="235" t="s">
        <v>53</v>
      </c>
      <c r="O17" s="235" t="s">
        <v>53</v>
      </c>
      <c r="P17" s="248" t="s">
        <v>53</v>
      </c>
    </row>
    <row r="18" spans="2:16" x14ac:dyDescent="0.25">
      <c r="B18" s="218" t="s">
        <v>77</v>
      </c>
      <c r="C18" s="219">
        <v>11593490</v>
      </c>
      <c r="D18" s="219">
        <v>164544</v>
      </c>
      <c r="E18" s="219">
        <v>26749554</v>
      </c>
      <c r="F18" s="219">
        <v>7058507</v>
      </c>
      <c r="G18" s="219">
        <v>4936243</v>
      </c>
      <c r="H18" s="219">
        <v>13900099</v>
      </c>
      <c r="I18" s="219">
        <v>1922620</v>
      </c>
      <c r="J18" s="219">
        <v>462170</v>
      </c>
      <c r="K18" s="219">
        <v>319838</v>
      </c>
      <c r="L18" s="219">
        <v>26501063</v>
      </c>
      <c r="M18" s="219">
        <v>9750587</v>
      </c>
      <c r="N18" s="219">
        <v>986429</v>
      </c>
      <c r="O18" s="219">
        <v>9000583</v>
      </c>
      <c r="P18" s="241">
        <v>113345726</v>
      </c>
    </row>
    <row r="19" spans="2:16" x14ac:dyDescent="0.25">
      <c r="B19" s="236" t="s">
        <v>78</v>
      </c>
      <c r="C19" s="239">
        <v>2502921</v>
      </c>
      <c r="D19" s="239">
        <v>73549</v>
      </c>
      <c r="E19" s="239">
        <v>6246359</v>
      </c>
      <c r="F19" s="239">
        <v>-473675</v>
      </c>
      <c r="G19" s="239">
        <v>-502989</v>
      </c>
      <c r="H19" s="239">
        <v>1211858</v>
      </c>
      <c r="I19" s="239">
        <v>124378</v>
      </c>
      <c r="J19" s="239">
        <v>9157</v>
      </c>
      <c r="K19" s="239">
        <v>201622</v>
      </c>
      <c r="L19" s="239">
        <v>-7212690</v>
      </c>
      <c r="M19" s="239">
        <v>-3133650</v>
      </c>
      <c r="N19" s="239">
        <v>210359</v>
      </c>
      <c r="O19" s="239">
        <v>742801</v>
      </c>
      <c r="P19" s="249">
        <v>0</v>
      </c>
    </row>
    <row r="20" spans="2:16" x14ac:dyDescent="0.25">
      <c r="B20" s="237" t="s">
        <v>79</v>
      </c>
      <c r="C20" s="238">
        <v>0.28000000000000003</v>
      </c>
      <c r="D20" s="238">
        <v>0.81</v>
      </c>
      <c r="E20" s="238">
        <v>0.3</v>
      </c>
      <c r="F20" s="238">
        <v>-0.06</v>
      </c>
      <c r="G20" s="238">
        <v>-0.09</v>
      </c>
      <c r="H20" s="238">
        <v>0.1</v>
      </c>
      <c r="I20" s="238">
        <v>7.0000000000000007E-2</v>
      </c>
      <c r="J20" s="238">
        <v>0.02</v>
      </c>
      <c r="K20" s="238">
        <v>1.71</v>
      </c>
      <c r="L20" s="238">
        <v>-0.21</v>
      </c>
      <c r="M20" s="238">
        <v>-0.24</v>
      </c>
      <c r="N20" s="238">
        <v>0.27</v>
      </c>
      <c r="O20" s="238">
        <v>0.09</v>
      </c>
      <c r="P20" s="250">
        <v>0</v>
      </c>
    </row>
    <row r="22" spans="2:16" x14ac:dyDescent="0.25">
      <c r="C22" s="98"/>
    </row>
    <row r="23" spans="2:16" x14ac:dyDescent="0.25">
      <c r="C23" s="98"/>
    </row>
    <row r="24" spans="2:16" x14ac:dyDescent="0.25">
      <c r="N24" s="98"/>
    </row>
    <row r="25" spans="2:16" x14ac:dyDescent="0.25">
      <c r="C25" s="98"/>
      <c r="D25" s="98"/>
      <c r="E25" s="98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409C-32F0-4B8F-B0EB-1CE3CBF41572}">
  <dimension ref="D2:BG60"/>
  <sheetViews>
    <sheetView zoomScale="69" zoomScaleNormal="69" workbookViewId="0">
      <selection activeCell="M4" sqref="M4:S11"/>
    </sheetView>
  </sheetViews>
  <sheetFormatPr defaultRowHeight="15" x14ac:dyDescent="0.25"/>
  <cols>
    <col min="4" max="4" width="15.5703125" customWidth="1"/>
    <col min="5" max="5" width="13.5703125" customWidth="1"/>
    <col min="6" max="6" width="16.42578125" customWidth="1"/>
    <col min="7" max="7" width="19.5703125" customWidth="1"/>
    <col min="8" max="8" width="17.85546875" customWidth="1"/>
    <col min="9" max="9" width="20.28515625" customWidth="1"/>
    <col min="10" max="10" width="11.140625" customWidth="1"/>
    <col min="11" max="11" width="13.42578125" customWidth="1"/>
    <col min="12" max="12" width="10" customWidth="1"/>
    <col min="13" max="13" width="10.7109375" customWidth="1"/>
    <col min="15" max="15" width="16" customWidth="1"/>
    <col min="16" max="16" width="10.140625" customWidth="1"/>
    <col min="17" max="17" width="12.42578125" customWidth="1"/>
    <col min="18" max="18" width="12.140625" customWidth="1"/>
    <col min="19" max="19" width="14.42578125" customWidth="1"/>
    <col min="20" max="20" width="10.85546875" customWidth="1"/>
    <col min="21" max="21" width="14.28515625" customWidth="1"/>
    <col min="22" max="22" width="11.140625" customWidth="1"/>
    <col min="23" max="23" width="15" customWidth="1"/>
    <col min="24" max="24" width="8.42578125" customWidth="1"/>
    <col min="25" max="25" width="9" customWidth="1"/>
    <col min="26" max="26" width="8.85546875" customWidth="1"/>
    <col min="27" max="27" width="11.5703125" customWidth="1"/>
    <col min="28" max="28" width="12.140625" customWidth="1"/>
    <col min="29" max="29" width="11.85546875" customWidth="1"/>
    <col min="30" max="30" width="12.28515625" customWidth="1"/>
    <col min="31" max="31" width="11.42578125" customWidth="1"/>
    <col min="32" max="32" width="11.140625" customWidth="1"/>
    <col min="33" max="33" width="10" customWidth="1"/>
    <col min="34" max="34" width="10.5703125" customWidth="1"/>
    <col min="35" max="35" width="12.85546875" customWidth="1"/>
    <col min="36" max="36" width="11.5703125" customWidth="1"/>
    <col min="37" max="37" width="14.42578125" customWidth="1"/>
    <col min="40" max="40" width="25.42578125" customWidth="1"/>
    <col min="41" max="41" width="9.5703125" bestFit="1" customWidth="1"/>
    <col min="42" max="42" width="9.28515625" bestFit="1" customWidth="1"/>
    <col min="43" max="43" width="26.140625" customWidth="1"/>
    <col min="44" max="44" width="12" customWidth="1"/>
    <col min="45" max="45" width="13" customWidth="1"/>
    <col min="46" max="46" width="9.5703125" bestFit="1" customWidth="1"/>
    <col min="47" max="47" width="13.85546875" customWidth="1"/>
    <col min="48" max="48" width="13.5703125" customWidth="1"/>
    <col min="49" max="49" width="9.28515625" bestFit="1" customWidth="1"/>
    <col min="50" max="50" width="10.28515625" bestFit="1" customWidth="1"/>
    <col min="51" max="51" width="14.7109375" customWidth="1"/>
    <col min="52" max="52" width="10.140625" customWidth="1"/>
    <col min="53" max="53" width="13.5703125" customWidth="1"/>
    <col min="54" max="54" width="13.7109375" customWidth="1"/>
    <col min="57" max="57" width="12" customWidth="1"/>
  </cols>
  <sheetData>
    <row r="2" spans="4:59" x14ac:dyDescent="0.25">
      <c r="D2" t="s">
        <v>80</v>
      </c>
      <c r="W2" t="s">
        <v>81</v>
      </c>
    </row>
    <row r="3" spans="4:59" ht="15.75" thickBot="1" x14ac:dyDescent="0.3"/>
    <row r="4" spans="4:59" ht="60.75" thickBot="1" x14ac:dyDescent="0.3">
      <c r="D4" s="372"/>
      <c r="E4" s="365" t="s">
        <v>82</v>
      </c>
      <c r="F4" s="367" t="s">
        <v>83</v>
      </c>
      <c r="G4" s="101" t="s">
        <v>84</v>
      </c>
      <c r="H4" s="369" t="s">
        <v>85</v>
      </c>
      <c r="I4" s="370"/>
      <c r="S4" s="8"/>
      <c r="W4" s="192"/>
      <c r="X4" s="199" t="s">
        <v>82</v>
      </c>
      <c r="Y4" s="199" t="s">
        <v>83</v>
      </c>
      <c r="Z4" s="102" t="s">
        <v>84</v>
      </c>
      <c r="AA4" s="190" t="s">
        <v>85</v>
      </c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1"/>
      <c r="AN4" s="197" t="s">
        <v>86</v>
      </c>
    </row>
    <row r="5" spans="4:59" s="4" customFormat="1" ht="30" customHeight="1" thickBot="1" x14ac:dyDescent="0.3">
      <c r="D5" s="373"/>
      <c r="E5" s="366"/>
      <c r="F5" s="368"/>
      <c r="G5" s="104" t="s">
        <v>87</v>
      </c>
      <c r="H5" s="211" t="s">
        <v>88</v>
      </c>
      <c r="I5" s="212" t="s">
        <v>89</v>
      </c>
      <c r="S5" s="264"/>
      <c r="V5"/>
      <c r="W5" s="193"/>
      <c r="X5" s="104"/>
      <c r="Y5" s="104"/>
      <c r="Z5" s="104" t="s">
        <v>90</v>
      </c>
      <c r="AA5" s="89" t="s">
        <v>91</v>
      </c>
      <c r="AB5" s="89" t="s">
        <v>88</v>
      </c>
      <c r="AC5" s="89" t="s">
        <v>89</v>
      </c>
      <c r="AD5" s="89" t="s">
        <v>92</v>
      </c>
      <c r="AE5" s="89" t="s">
        <v>93</v>
      </c>
      <c r="AF5" s="89" t="s">
        <v>94</v>
      </c>
      <c r="AG5" s="89" t="s">
        <v>95</v>
      </c>
      <c r="AH5" s="89" t="s">
        <v>96</v>
      </c>
      <c r="AI5" s="89" t="s">
        <v>97</v>
      </c>
      <c r="AJ5" s="89" t="s">
        <v>98</v>
      </c>
      <c r="AK5" s="89" t="s">
        <v>99</v>
      </c>
      <c r="AL5" s="89" t="s">
        <v>100</v>
      </c>
      <c r="AM5" s="89" t="s">
        <v>101</v>
      </c>
      <c r="AN5" s="198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4:59" ht="16.5" customHeight="1" thickBot="1" x14ac:dyDescent="0.3">
      <c r="D6" s="362" t="s">
        <v>102</v>
      </c>
      <c r="E6" s="363"/>
      <c r="F6" s="363"/>
      <c r="G6" s="363"/>
      <c r="H6" s="363"/>
      <c r="I6" s="364"/>
      <c r="W6" s="194" t="s">
        <v>102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6"/>
    </row>
    <row r="7" spans="4:59" ht="30" x14ac:dyDescent="0.25">
      <c r="D7" s="374" t="s">
        <v>103</v>
      </c>
      <c r="E7" s="116">
        <v>2013</v>
      </c>
      <c r="F7" s="116" t="s">
        <v>11</v>
      </c>
      <c r="G7" s="156"/>
      <c r="H7" s="157">
        <f>MainDatabase!E106</f>
        <v>200456580</v>
      </c>
      <c r="I7" s="158">
        <f>MainDatabase!F106</f>
        <v>8267790000</v>
      </c>
      <c r="W7" s="160" t="s">
        <v>104</v>
      </c>
      <c r="X7" s="180">
        <v>2022</v>
      </c>
      <c r="Y7" s="180" t="s">
        <v>105</v>
      </c>
      <c r="Z7" s="181"/>
      <c r="AA7" s="182">
        <v>93.560727777777771</v>
      </c>
      <c r="AB7" s="182">
        <v>10.201545722222223</v>
      </c>
      <c r="AC7" s="182">
        <v>166.4896411111111</v>
      </c>
      <c r="AD7" s="183">
        <v>-10.082344177777781</v>
      </c>
      <c r="AE7" s="182">
        <v>18.131336444444443</v>
      </c>
      <c r="AF7" s="182">
        <v>18.241723333333333</v>
      </c>
      <c r="AG7" s="183">
        <v>-34.371905222222225</v>
      </c>
      <c r="AH7" s="183">
        <v>-0.14173843000000053</v>
      </c>
      <c r="AI7" s="182">
        <v>2.885232355555555</v>
      </c>
      <c r="AJ7" s="183">
        <v>-194.82166222222222</v>
      </c>
      <c r="AK7" s="183">
        <v>-75.235764444444442</v>
      </c>
      <c r="AL7" s="182">
        <v>1.3982215555555549E-2</v>
      </c>
      <c r="AM7" s="182">
        <v>4.4838504300000004</v>
      </c>
      <c r="AN7" s="184">
        <f>SUM(AA7:AM7)</f>
        <v>-0.64537510666664044</v>
      </c>
    </row>
    <row r="8" spans="4:59" ht="15.75" thickBot="1" x14ac:dyDescent="0.3">
      <c r="D8" s="371"/>
      <c r="E8" s="13">
        <v>2022</v>
      </c>
      <c r="F8" s="13" t="s">
        <v>11</v>
      </c>
      <c r="G8" s="159"/>
      <c r="H8" s="75">
        <f>MainDatabase!E107</f>
        <v>280791460</v>
      </c>
      <c r="I8" s="59">
        <f>MainDatabase!F107</f>
        <v>8807426000</v>
      </c>
      <c r="W8" s="338" t="s">
        <v>106</v>
      </c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40"/>
    </row>
    <row r="9" spans="4:59" ht="30.75" thickBot="1" x14ac:dyDescent="0.3">
      <c r="D9" s="362" t="s">
        <v>106</v>
      </c>
      <c r="E9" s="363"/>
      <c r="F9" s="363"/>
      <c r="G9" s="363"/>
      <c r="H9" s="363"/>
      <c r="I9" s="364"/>
      <c r="N9" s="3"/>
      <c r="O9" s="6"/>
      <c r="W9" s="186" t="s">
        <v>104</v>
      </c>
      <c r="X9" s="185">
        <v>2022</v>
      </c>
      <c r="Y9" s="185" t="s">
        <v>105</v>
      </c>
      <c r="Z9" s="187">
        <f>SUM(AA7:AM7)</f>
        <v>-0.64537510666664044</v>
      </c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9"/>
    </row>
    <row r="10" spans="4:59" x14ac:dyDescent="0.25">
      <c r="D10" s="341" t="s">
        <v>103</v>
      </c>
      <c r="E10">
        <v>2013</v>
      </c>
      <c r="F10" t="s">
        <v>11</v>
      </c>
      <c r="G10" s="154">
        <v>8468246580</v>
      </c>
      <c r="H10" s="73"/>
      <c r="I10" s="63"/>
      <c r="AO10" s="3"/>
    </row>
    <row r="11" spans="4:59" ht="15.75" thickBot="1" x14ac:dyDescent="0.3">
      <c r="D11" s="371"/>
      <c r="E11" s="13">
        <v>2022</v>
      </c>
      <c r="F11" s="13" t="s">
        <v>11</v>
      </c>
      <c r="G11" s="155">
        <v>9088217460</v>
      </c>
      <c r="H11" s="64"/>
      <c r="I11" s="65"/>
      <c r="N11" s="3"/>
    </row>
    <row r="12" spans="4:59" x14ac:dyDescent="0.25">
      <c r="G12" s="6"/>
    </row>
    <row r="13" spans="4:59" ht="15.75" thickBot="1" x14ac:dyDescent="0.3"/>
    <row r="14" spans="4:59" ht="15.75" thickBot="1" x14ac:dyDescent="0.3">
      <c r="D14" s="357" t="s">
        <v>82</v>
      </c>
      <c r="E14" s="359" t="s">
        <v>107</v>
      </c>
      <c r="F14" s="359" t="s">
        <v>108</v>
      </c>
      <c r="G14" s="355" t="s">
        <v>109</v>
      </c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164"/>
    </row>
    <row r="15" spans="4:59" ht="41.25" customHeight="1" thickBot="1" x14ac:dyDescent="0.3">
      <c r="D15" s="358"/>
      <c r="E15" s="360"/>
      <c r="F15" s="360"/>
      <c r="G15" s="165" t="s">
        <v>110</v>
      </c>
      <c r="H15" s="166" t="s">
        <v>111</v>
      </c>
      <c r="I15" s="166" t="s">
        <v>112</v>
      </c>
      <c r="J15" s="166" t="s">
        <v>113</v>
      </c>
      <c r="K15" s="166" t="s">
        <v>114</v>
      </c>
      <c r="L15" s="166" t="s">
        <v>115</v>
      </c>
      <c r="M15" s="166" t="s">
        <v>116</v>
      </c>
      <c r="N15" s="166" t="s">
        <v>117</v>
      </c>
      <c r="O15" s="166" t="s">
        <v>118</v>
      </c>
      <c r="P15" s="166" t="s">
        <v>119</v>
      </c>
      <c r="Q15" s="166" t="s">
        <v>120</v>
      </c>
      <c r="R15" s="166" t="s">
        <v>121</v>
      </c>
      <c r="S15" s="166" t="s">
        <v>122</v>
      </c>
      <c r="T15" s="166" t="s">
        <v>123</v>
      </c>
      <c r="U15" s="167" t="s">
        <v>124</v>
      </c>
    </row>
    <row r="16" spans="4:59" x14ac:dyDescent="0.25">
      <c r="D16" s="345" t="s">
        <v>125</v>
      </c>
      <c r="E16" s="346"/>
      <c r="F16" s="346"/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7"/>
    </row>
    <row r="17" spans="4:58" x14ac:dyDescent="0.25">
      <c r="D17" s="341">
        <v>2013</v>
      </c>
      <c r="E17" s="361" t="s">
        <v>126</v>
      </c>
      <c r="F17" s="88" t="s">
        <v>127</v>
      </c>
      <c r="G17" s="151">
        <v>252.185048362668</v>
      </c>
      <c r="H17" s="151">
        <v>1.82675017913556</v>
      </c>
      <c r="I17" s="151">
        <v>8.7335459640222997</v>
      </c>
      <c r="J17" s="151">
        <v>3094.22341421791</v>
      </c>
      <c r="K17" s="151">
        <v>169.862846272322</v>
      </c>
      <c r="L17" s="151">
        <v>12.3125066458984</v>
      </c>
      <c r="M17" s="151">
        <v>11.951915371688001</v>
      </c>
      <c r="N17" s="151">
        <v>2.9047650898095299</v>
      </c>
      <c r="O17" s="151">
        <v>3389.7510435847003</v>
      </c>
      <c r="P17" s="151">
        <v>76.674421031904103</v>
      </c>
      <c r="Q17" s="151">
        <v>556.90893104759004</v>
      </c>
      <c r="R17" s="151">
        <v>22.802339331986403</v>
      </c>
      <c r="S17" s="151">
        <v>451.17728046384605</v>
      </c>
      <c r="T17" s="151">
        <v>216.47773858350101</v>
      </c>
      <c r="U17" s="170">
        <f>SUM(G17:T17)</f>
        <v>8267.7925461469804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4:58" x14ac:dyDescent="0.25">
      <c r="D18" s="341"/>
      <c r="E18" s="361"/>
      <c r="F18" t="s">
        <v>88</v>
      </c>
      <c r="G18" s="151">
        <v>53.143956198774802</v>
      </c>
      <c r="H18" s="151">
        <v>0</v>
      </c>
      <c r="I18" s="151">
        <v>0.28891883217525399</v>
      </c>
      <c r="J18" s="151">
        <v>0</v>
      </c>
      <c r="K18" s="151">
        <v>0</v>
      </c>
      <c r="L18" s="151">
        <v>0.21705234011316299</v>
      </c>
      <c r="M18" s="151">
        <v>0</v>
      </c>
      <c r="N18" s="151">
        <v>1.78822226192259</v>
      </c>
      <c r="O18" s="151">
        <v>142.82684896846399</v>
      </c>
      <c r="P18" s="151">
        <v>5.7548899814605696E-2</v>
      </c>
      <c r="Q18" s="151">
        <v>1.0330574013710001E-2</v>
      </c>
      <c r="R18" s="151">
        <v>2.1055143028583498</v>
      </c>
      <c r="S18" s="151">
        <v>1.0658508300781201E-4</v>
      </c>
      <c r="T18" s="151">
        <v>1.80715290443897E-2</v>
      </c>
      <c r="U18" s="170">
        <f t="shared" ref="U18:U22" si="0">SUM(G18:T18)</f>
        <v>200.45657049226389</v>
      </c>
    </row>
    <row r="19" spans="4:58" x14ac:dyDescent="0.25">
      <c r="D19" s="105">
        <v>2013</v>
      </c>
      <c r="E19" s="88"/>
      <c r="F19" t="s">
        <v>128</v>
      </c>
      <c r="G19" s="151">
        <v>305.32900456144296</v>
      </c>
      <c r="H19" s="151">
        <v>1.82675017913556</v>
      </c>
      <c r="I19" s="151">
        <v>9.0224647961975588</v>
      </c>
      <c r="J19" s="151">
        <v>3094.22341421791</v>
      </c>
      <c r="K19" s="151">
        <v>169.862846272322</v>
      </c>
      <c r="L19" s="151">
        <v>12.529558986011601</v>
      </c>
      <c r="M19" s="151">
        <v>11.951915371688001</v>
      </c>
      <c r="N19" s="151">
        <v>4.6929873517321301</v>
      </c>
      <c r="O19" s="151">
        <v>3532.5778925531704</v>
      </c>
      <c r="P19" s="151">
        <v>76.731969931718709</v>
      </c>
      <c r="Q19" s="151">
        <v>556.91926162160394</v>
      </c>
      <c r="R19" s="151">
        <v>24.907853634844798</v>
      </c>
      <c r="S19" s="151">
        <v>451.17738704892895</v>
      </c>
      <c r="T19" s="151">
        <v>216.495810112545</v>
      </c>
      <c r="U19" s="170">
        <f t="shared" si="0"/>
        <v>8468.249116639252</v>
      </c>
    </row>
    <row r="20" spans="4:58" x14ac:dyDescent="0.25">
      <c r="D20" s="341">
        <v>2022</v>
      </c>
      <c r="E20" s="361" t="s">
        <v>126</v>
      </c>
      <c r="F20" s="88" t="s">
        <v>127</v>
      </c>
      <c r="G20" s="163">
        <v>216.49076166788501</v>
      </c>
      <c r="H20" s="163">
        <v>1.23246774601912</v>
      </c>
      <c r="I20" s="163">
        <v>9.5902601729290389</v>
      </c>
      <c r="J20" s="163">
        <v>3639.6531848223099</v>
      </c>
      <c r="K20" s="163">
        <v>196.38713284523698</v>
      </c>
      <c r="L20" s="163">
        <v>10.424982966168201</v>
      </c>
      <c r="M20" s="163">
        <v>3.8684258409180599</v>
      </c>
      <c r="N20" s="163">
        <v>2.5808930222251401</v>
      </c>
      <c r="O20" s="163">
        <v>3152.6267759463299</v>
      </c>
      <c r="P20" s="163">
        <v>159.15475669340398</v>
      </c>
      <c r="Q20" s="163">
        <v>594.01343997657204</v>
      </c>
      <c r="R20" s="163">
        <v>26.1079590580852</v>
      </c>
      <c r="S20" s="163">
        <v>292.63803350917203</v>
      </c>
      <c r="T20" s="163">
        <v>502.65829520042001</v>
      </c>
      <c r="U20" s="170">
        <f t="shared" si="0"/>
        <v>8807.427369467674</v>
      </c>
      <c r="BF20" s="21"/>
    </row>
    <row r="21" spans="4:58" x14ac:dyDescent="0.25">
      <c r="D21" s="341"/>
      <c r="E21" s="361"/>
      <c r="F21" t="s">
        <v>88</v>
      </c>
      <c r="G21" s="163">
        <v>53.190396900833896</v>
      </c>
      <c r="H21" s="163">
        <v>0</v>
      </c>
      <c r="I21" s="163">
        <v>0.554569288380384</v>
      </c>
      <c r="J21" s="163">
        <v>0.41154755854749597</v>
      </c>
      <c r="K21" s="163">
        <v>0.18590685338401702</v>
      </c>
      <c r="L21" s="163">
        <v>0.237721364823818</v>
      </c>
      <c r="M21" s="163">
        <v>0</v>
      </c>
      <c r="N21" s="163">
        <v>1.8000776071071598</v>
      </c>
      <c r="O21" s="163">
        <v>216.12046520670899</v>
      </c>
      <c r="P21" s="163">
        <v>1.4140990288495999E-2</v>
      </c>
      <c r="Q21" s="163">
        <v>1.5240238618572899</v>
      </c>
      <c r="R21" s="163">
        <v>2.0970306132836298</v>
      </c>
      <c r="S21" s="163">
        <v>4.59168224632191</v>
      </c>
      <c r="T21" s="163">
        <v>6.3889762690544097E-2</v>
      </c>
      <c r="U21" s="170">
        <f t="shared" si="0"/>
        <v>280.79145225422769</v>
      </c>
    </row>
    <row r="22" spans="4:58" x14ac:dyDescent="0.25">
      <c r="D22" s="105">
        <v>2022</v>
      </c>
      <c r="F22" t="s">
        <v>128</v>
      </c>
      <c r="G22" s="163">
        <v>269.68115856871901</v>
      </c>
      <c r="H22" s="163">
        <v>1.23246774601912</v>
      </c>
      <c r="I22" s="163">
        <v>10.144829461309399</v>
      </c>
      <c r="J22" s="163">
        <v>3640.0647323808598</v>
      </c>
      <c r="K22" s="163">
        <v>196.57303969862102</v>
      </c>
      <c r="L22" s="163">
        <v>10.662704330992101</v>
      </c>
      <c r="M22" s="163">
        <v>3.8684258409180599</v>
      </c>
      <c r="N22" s="163">
        <v>4.3809706293323005</v>
      </c>
      <c r="O22" s="163">
        <v>3368.7472411530398</v>
      </c>
      <c r="P22" s="163">
        <v>159.16889768369199</v>
      </c>
      <c r="Q22" s="163">
        <v>595.53746383842895</v>
      </c>
      <c r="R22" s="163">
        <v>28.2049896713688</v>
      </c>
      <c r="S22" s="163">
        <v>297.229715755494</v>
      </c>
      <c r="T22" s="163">
        <v>502.72218496311001</v>
      </c>
      <c r="U22" s="170">
        <f t="shared" si="0"/>
        <v>9088.2188217219045</v>
      </c>
    </row>
    <row r="23" spans="4:58" x14ac:dyDescent="0.25">
      <c r="D23" s="348" t="s">
        <v>129</v>
      </c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50"/>
    </row>
    <row r="24" spans="4:58" ht="30" x14ac:dyDescent="0.25">
      <c r="D24" s="152">
        <v>2013</v>
      </c>
      <c r="E24" s="88" t="s">
        <v>126</v>
      </c>
      <c r="F24" s="88" t="s">
        <v>130</v>
      </c>
      <c r="G24" s="161">
        <f>G19</f>
        <v>305.32900456144296</v>
      </c>
      <c r="H24" s="161">
        <f t="shared" ref="H24:U24" si="1">H19</f>
        <v>1.82675017913556</v>
      </c>
      <c r="I24" s="161">
        <f t="shared" si="1"/>
        <v>9.0224647961975588</v>
      </c>
      <c r="J24" s="161">
        <f t="shared" si="1"/>
        <v>3094.22341421791</v>
      </c>
      <c r="K24" s="161">
        <f t="shared" si="1"/>
        <v>169.862846272322</v>
      </c>
      <c r="L24" s="161">
        <f t="shared" si="1"/>
        <v>12.529558986011601</v>
      </c>
      <c r="M24" s="161">
        <f t="shared" si="1"/>
        <v>11.951915371688001</v>
      </c>
      <c r="N24" s="161">
        <f t="shared" si="1"/>
        <v>4.6929873517321301</v>
      </c>
      <c r="O24" s="161">
        <f t="shared" si="1"/>
        <v>3532.5778925531704</v>
      </c>
      <c r="P24" s="161">
        <f t="shared" si="1"/>
        <v>76.731969931718709</v>
      </c>
      <c r="Q24" s="161">
        <f t="shared" si="1"/>
        <v>556.91926162160394</v>
      </c>
      <c r="R24" s="161">
        <f t="shared" si="1"/>
        <v>24.907853634844798</v>
      </c>
      <c r="S24" s="161">
        <f t="shared" si="1"/>
        <v>451.17738704892895</v>
      </c>
      <c r="T24" s="161">
        <f t="shared" si="1"/>
        <v>216.495810112545</v>
      </c>
      <c r="U24" s="168">
        <f t="shared" si="1"/>
        <v>8468.249116639252</v>
      </c>
    </row>
    <row r="25" spans="4:58" ht="30.75" thickBot="1" x14ac:dyDescent="0.3">
      <c r="D25" s="117">
        <v>2022</v>
      </c>
      <c r="E25" s="89" t="s">
        <v>126</v>
      </c>
      <c r="F25" s="89" t="s">
        <v>130</v>
      </c>
      <c r="G25" s="162">
        <f>G22</f>
        <v>269.68115856871901</v>
      </c>
      <c r="H25" s="162">
        <f t="shared" ref="H25:U25" si="2">H22</f>
        <v>1.23246774601912</v>
      </c>
      <c r="I25" s="162">
        <f t="shared" si="2"/>
        <v>10.144829461309399</v>
      </c>
      <c r="J25" s="162">
        <f t="shared" si="2"/>
        <v>3640.0647323808598</v>
      </c>
      <c r="K25" s="162">
        <f t="shared" si="2"/>
        <v>196.57303969862102</v>
      </c>
      <c r="L25" s="162">
        <f t="shared" si="2"/>
        <v>10.662704330992101</v>
      </c>
      <c r="M25" s="162">
        <f t="shared" si="2"/>
        <v>3.8684258409180599</v>
      </c>
      <c r="N25" s="162">
        <f t="shared" si="2"/>
        <v>4.3809706293323005</v>
      </c>
      <c r="O25" s="162">
        <f t="shared" si="2"/>
        <v>3368.7472411530398</v>
      </c>
      <c r="P25" s="162">
        <f t="shared" si="2"/>
        <v>159.16889768369199</v>
      </c>
      <c r="Q25" s="162">
        <f t="shared" si="2"/>
        <v>595.53746383842895</v>
      </c>
      <c r="R25" s="162">
        <f t="shared" si="2"/>
        <v>28.2049896713688</v>
      </c>
      <c r="S25" s="162">
        <f t="shared" si="2"/>
        <v>297.229715755494</v>
      </c>
      <c r="T25" s="162">
        <f t="shared" si="2"/>
        <v>502.72218496311001</v>
      </c>
      <c r="U25" s="169">
        <f t="shared" si="2"/>
        <v>9088.2188217219045</v>
      </c>
    </row>
    <row r="26" spans="4:58" x14ac:dyDescent="0.25">
      <c r="D26" s="88"/>
      <c r="E26" s="88"/>
      <c r="F26" s="88"/>
      <c r="G26" s="88"/>
    </row>
    <row r="28" spans="4:58" ht="15.75" thickBot="1" x14ac:dyDescent="0.3"/>
    <row r="29" spans="4:58" ht="15.75" thickBot="1" x14ac:dyDescent="0.3">
      <c r="D29" s="351" t="s">
        <v>82</v>
      </c>
      <c r="E29" s="353" t="s">
        <v>107</v>
      </c>
      <c r="F29" s="353" t="s">
        <v>108</v>
      </c>
      <c r="G29" s="342" t="s">
        <v>131</v>
      </c>
      <c r="H29" s="343"/>
      <c r="I29" s="343"/>
      <c r="J29" s="343"/>
      <c r="K29" s="343"/>
      <c r="L29" s="343"/>
      <c r="M29" s="343"/>
      <c r="N29" s="343"/>
      <c r="O29" s="343"/>
      <c r="P29" s="344"/>
      <c r="Q29" s="176"/>
    </row>
    <row r="30" spans="4:58" ht="33.75" customHeight="1" thickBot="1" x14ac:dyDescent="0.3">
      <c r="D30" s="352"/>
      <c r="E30" s="354"/>
      <c r="F30" s="354"/>
      <c r="G30" s="177" t="s">
        <v>132</v>
      </c>
      <c r="H30" s="178" t="s">
        <v>133</v>
      </c>
      <c r="I30" s="178" t="s">
        <v>134</v>
      </c>
      <c r="J30" s="178" t="s">
        <v>135</v>
      </c>
      <c r="K30" s="178" t="s">
        <v>136</v>
      </c>
      <c r="L30" s="178" t="s">
        <v>137</v>
      </c>
      <c r="M30" s="178" t="s">
        <v>138</v>
      </c>
      <c r="N30" s="178" t="s">
        <v>139</v>
      </c>
      <c r="O30" s="178" t="s">
        <v>140</v>
      </c>
      <c r="P30" s="179" t="s">
        <v>141</v>
      </c>
      <c r="Q30" s="175" t="s">
        <v>124</v>
      </c>
      <c r="R30" s="103"/>
      <c r="S30" s="103"/>
      <c r="T30" s="103"/>
      <c r="U30" s="103"/>
    </row>
    <row r="31" spans="4:58" x14ac:dyDescent="0.25">
      <c r="D31" s="345" t="s">
        <v>125</v>
      </c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7"/>
      <c r="R31" s="7"/>
      <c r="S31" s="7"/>
      <c r="T31" s="7"/>
      <c r="U31" s="7"/>
    </row>
    <row r="32" spans="4:58" x14ac:dyDescent="0.25">
      <c r="D32" s="341">
        <v>2013</v>
      </c>
      <c r="E32" s="88" t="s">
        <v>126</v>
      </c>
      <c r="F32" s="88" t="s">
        <v>127</v>
      </c>
      <c r="G32" s="151">
        <v>3920.4821115845398</v>
      </c>
      <c r="H32" s="151">
        <v>389.08243590619895</v>
      </c>
      <c r="I32" s="151">
        <v>438.15510280028997</v>
      </c>
      <c r="J32" s="151">
        <v>18.770131629438698</v>
      </c>
      <c r="K32" s="151">
        <v>176.13151263927702</v>
      </c>
      <c r="L32" s="151">
        <v>1.14674463698643</v>
      </c>
      <c r="M32" s="151">
        <v>1319.7643261977898</v>
      </c>
      <c r="N32" s="151">
        <v>460.013790379819</v>
      </c>
      <c r="O32" s="151">
        <v>954.727009060721</v>
      </c>
      <c r="P32" s="151">
        <v>589.51958463088602</v>
      </c>
      <c r="Q32" s="170">
        <f>SUM(G32:P32)</f>
        <v>8267.7927494659452</v>
      </c>
      <c r="R32" s="171"/>
      <c r="S32" s="171"/>
      <c r="T32" s="171"/>
      <c r="U32" s="174"/>
    </row>
    <row r="33" spans="4:56" x14ac:dyDescent="0.25">
      <c r="D33" s="341"/>
      <c r="E33" s="88" t="s">
        <v>126</v>
      </c>
      <c r="F33" t="s">
        <v>88</v>
      </c>
      <c r="G33" s="151">
        <v>1.16855550657463</v>
      </c>
      <c r="H33" s="151">
        <v>16.897435871738697</v>
      </c>
      <c r="I33" s="151">
        <v>0.14575352354240401</v>
      </c>
      <c r="J33" s="151">
        <v>0</v>
      </c>
      <c r="K33" s="151">
        <v>5.4123634201049799E-2</v>
      </c>
      <c r="L33" s="151">
        <v>0</v>
      </c>
      <c r="M33" s="151">
        <v>43.646386383975496</v>
      </c>
      <c r="N33" s="151">
        <v>13.2962052710545</v>
      </c>
      <c r="O33" s="151">
        <v>1.80715290443897E-2</v>
      </c>
      <c r="P33" s="151">
        <v>125.230038772133</v>
      </c>
      <c r="Q33" s="170">
        <f t="shared" ref="Q33:Q37" si="3">SUM(G33:P33)</f>
        <v>200.45657049226418</v>
      </c>
      <c r="R33" s="171"/>
      <c r="S33" s="171"/>
      <c r="T33" s="171"/>
      <c r="U33" s="174"/>
    </row>
    <row r="34" spans="4:56" x14ac:dyDescent="0.25">
      <c r="D34" s="105">
        <v>2013</v>
      </c>
      <c r="E34" s="88"/>
      <c r="F34" t="s">
        <v>128</v>
      </c>
      <c r="G34" s="151">
        <v>3921.6506670911199</v>
      </c>
      <c r="H34" s="151">
        <v>405.979871777938</v>
      </c>
      <c r="I34" s="151">
        <v>438.30085632383299</v>
      </c>
      <c r="J34" s="151">
        <v>18.770131629438698</v>
      </c>
      <c r="K34" s="151">
        <v>176.185636273478</v>
      </c>
      <c r="L34" s="151">
        <v>1.14674463698643</v>
      </c>
      <c r="M34" s="151">
        <v>1363.41071258176</v>
      </c>
      <c r="N34" s="151">
        <v>473.30999565087404</v>
      </c>
      <c r="O34" s="151">
        <v>954.74508058976608</v>
      </c>
      <c r="P34" s="151">
        <v>714.74962340301897</v>
      </c>
      <c r="Q34" s="170">
        <f t="shared" si="3"/>
        <v>8468.2493199582132</v>
      </c>
      <c r="R34" s="171"/>
      <c r="S34" s="171"/>
      <c r="T34" s="171"/>
      <c r="U34" s="174"/>
    </row>
    <row r="35" spans="4:56" x14ac:dyDescent="0.25">
      <c r="D35" s="341">
        <v>2022</v>
      </c>
      <c r="E35" s="88" t="s">
        <v>126</v>
      </c>
      <c r="F35" s="88" t="s">
        <v>127</v>
      </c>
      <c r="G35" s="163">
        <v>3873.4220740542401</v>
      </c>
      <c r="H35" s="163">
        <v>518.86020716190706</v>
      </c>
      <c r="I35" s="163">
        <v>340.09258976355602</v>
      </c>
      <c r="J35" s="163">
        <v>66.038240605587603</v>
      </c>
      <c r="K35" s="163">
        <v>390.60133381829797</v>
      </c>
      <c r="L35" s="163">
        <v>5.0927713009684599</v>
      </c>
      <c r="M35" s="163">
        <v>1128.7521138468298</v>
      </c>
      <c r="N35" s="163">
        <v>544.08022731343999</v>
      </c>
      <c r="O35" s="163">
        <v>1477.50465913224</v>
      </c>
      <c r="P35" s="163">
        <v>462.98378567146403</v>
      </c>
      <c r="Q35" s="170">
        <f t="shared" si="3"/>
        <v>8807.4280026685319</v>
      </c>
      <c r="R35" s="163"/>
      <c r="S35" s="163"/>
      <c r="T35" s="163"/>
      <c r="U35" s="174"/>
    </row>
    <row r="36" spans="4:56" x14ac:dyDescent="0.25">
      <c r="D36" s="341"/>
      <c r="E36" s="88" t="s">
        <v>126</v>
      </c>
      <c r="F36" t="s">
        <v>88</v>
      </c>
      <c r="G36" s="163">
        <v>2.1093009568791299</v>
      </c>
      <c r="H36" s="163">
        <v>35.5778326340373</v>
      </c>
      <c r="I36" s="163">
        <v>4.0249044047937304</v>
      </c>
      <c r="J36" s="163">
        <v>0</v>
      </c>
      <c r="K36" s="163">
        <v>1.7525595090866E-2</v>
      </c>
      <c r="L36" s="163">
        <v>0</v>
      </c>
      <c r="M36" s="163">
        <v>44.594254316294098</v>
      </c>
      <c r="N36" s="163">
        <v>14.599633983498</v>
      </c>
      <c r="O36" s="163">
        <v>6.3889762690544097E-2</v>
      </c>
      <c r="P36" s="163">
        <v>179.80411060094301</v>
      </c>
      <c r="Q36" s="170">
        <f t="shared" si="3"/>
        <v>280.79145225422667</v>
      </c>
      <c r="R36" s="163"/>
      <c r="S36" s="163"/>
      <c r="T36" s="163"/>
      <c r="U36" s="174"/>
    </row>
    <row r="37" spans="4:56" x14ac:dyDescent="0.25">
      <c r="D37" s="105">
        <v>2022</v>
      </c>
      <c r="F37" t="s">
        <v>128</v>
      </c>
      <c r="G37" s="163">
        <v>3875.53137501112</v>
      </c>
      <c r="H37" s="163">
        <v>554.43803979594395</v>
      </c>
      <c r="I37" s="163">
        <v>344.11749416834999</v>
      </c>
      <c r="J37" s="163">
        <v>66.038240605587603</v>
      </c>
      <c r="K37" s="163">
        <v>390.61885941338903</v>
      </c>
      <c r="L37" s="163">
        <v>5.0927713009684599</v>
      </c>
      <c r="M37" s="163">
        <v>1173.3463681631301</v>
      </c>
      <c r="N37" s="163">
        <v>558.67986129693793</v>
      </c>
      <c r="O37" s="163">
        <v>1477.5685488949298</v>
      </c>
      <c r="P37" s="163">
        <v>642.78789627240803</v>
      </c>
      <c r="Q37" s="170">
        <f t="shared" si="3"/>
        <v>9088.2194549227661</v>
      </c>
      <c r="R37" s="163"/>
      <c r="S37" s="163"/>
      <c r="T37" s="163"/>
      <c r="U37" s="174"/>
    </row>
    <row r="38" spans="4:56" x14ac:dyDescent="0.25">
      <c r="D38" s="348" t="s">
        <v>129</v>
      </c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50"/>
      <c r="R38" s="7"/>
      <c r="S38" s="7"/>
      <c r="T38" s="7"/>
      <c r="U38" s="7"/>
    </row>
    <row r="39" spans="4:56" ht="15.75" customHeight="1" x14ac:dyDescent="0.25">
      <c r="D39" s="105">
        <v>2013</v>
      </c>
      <c r="E39" s="88" t="s">
        <v>126</v>
      </c>
      <c r="F39" s="88" t="s">
        <v>130</v>
      </c>
      <c r="G39" s="161">
        <f>G34</f>
        <v>3921.6506670911199</v>
      </c>
      <c r="H39" s="161">
        <f t="shared" ref="H39:P39" si="4">H34</f>
        <v>405.979871777938</v>
      </c>
      <c r="I39" s="161">
        <f t="shared" si="4"/>
        <v>438.30085632383299</v>
      </c>
      <c r="J39" s="161">
        <f t="shared" si="4"/>
        <v>18.770131629438698</v>
      </c>
      <c r="K39" s="161">
        <f t="shared" si="4"/>
        <v>176.185636273478</v>
      </c>
      <c r="L39" s="161">
        <f t="shared" si="4"/>
        <v>1.14674463698643</v>
      </c>
      <c r="M39" s="161">
        <f t="shared" si="4"/>
        <v>1363.41071258176</v>
      </c>
      <c r="N39" s="161">
        <f t="shared" si="4"/>
        <v>473.30999565087404</v>
      </c>
      <c r="O39" s="161">
        <f t="shared" si="4"/>
        <v>954.74508058976608</v>
      </c>
      <c r="P39" s="161">
        <f t="shared" si="4"/>
        <v>714.74962340301897</v>
      </c>
      <c r="Q39" s="170">
        <f>SUM(G39:P39)</f>
        <v>8468.2493199582132</v>
      </c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</row>
    <row r="40" spans="4:56" ht="14.25" customHeight="1" thickBot="1" x14ac:dyDescent="0.3">
      <c r="D40" s="153">
        <v>2022</v>
      </c>
      <c r="E40" s="89" t="s">
        <v>126</v>
      </c>
      <c r="F40" s="89" t="s">
        <v>130</v>
      </c>
      <c r="G40" s="162">
        <f>G37</f>
        <v>3875.53137501112</v>
      </c>
      <c r="H40" s="162">
        <f t="shared" ref="H40:P40" si="5">H37</f>
        <v>554.43803979594395</v>
      </c>
      <c r="I40" s="162">
        <f t="shared" si="5"/>
        <v>344.11749416834999</v>
      </c>
      <c r="J40" s="162">
        <f t="shared" si="5"/>
        <v>66.038240605587603</v>
      </c>
      <c r="K40" s="162">
        <f t="shared" si="5"/>
        <v>390.61885941338903</v>
      </c>
      <c r="L40" s="162">
        <f t="shared" si="5"/>
        <v>5.0927713009684599</v>
      </c>
      <c r="M40" s="162">
        <f t="shared" si="5"/>
        <v>1173.3463681631301</v>
      </c>
      <c r="N40" s="162">
        <f t="shared" si="5"/>
        <v>558.67986129693793</v>
      </c>
      <c r="O40" s="162">
        <f t="shared" si="5"/>
        <v>1477.5685488949298</v>
      </c>
      <c r="P40" s="162">
        <f t="shared" si="5"/>
        <v>642.78789627240803</v>
      </c>
      <c r="Q40" s="173">
        <f>SUM(G40:P40)</f>
        <v>9088.2194549227661</v>
      </c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</row>
    <row r="41" spans="4:56" x14ac:dyDescent="0.25"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</row>
    <row r="42" spans="4:56" x14ac:dyDescent="0.25"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</row>
    <row r="43" spans="4:56" ht="15" customHeight="1" x14ac:dyDescent="0.25"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</row>
    <row r="44" spans="4:56" ht="15" hidden="1" customHeight="1" x14ac:dyDescent="0.25"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</row>
    <row r="45" spans="4:56" ht="30.75" customHeight="1" x14ac:dyDescent="0.25"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</row>
    <row r="46" spans="4:56" ht="30.75" customHeight="1" x14ac:dyDescent="0.25"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</row>
    <row r="47" spans="4:56" x14ac:dyDescent="0.25"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</row>
    <row r="48" spans="4:56" ht="32.25" customHeight="1" x14ac:dyDescent="0.25"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</row>
    <row r="49" spans="21:56" x14ac:dyDescent="0.25"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</row>
    <row r="50" spans="21:56" ht="30.75" customHeight="1" x14ac:dyDescent="0.25"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</row>
    <row r="51" spans="21:56" x14ac:dyDescent="0.25"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</row>
    <row r="52" spans="21:56" x14ac:dyDescent="0.25"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</row>
    <row r="53" spans="21:56" x14ac:dyDescent="0.25"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</row>
    <row r="54" spans="21:56" x14ac:dyDescent="0.25"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</row>
    <row r="55" spans="21:56" x14ac:dyDescent="0.25"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</row>
    <row r="56" spans="21:56" x14ac:dyDescent="0.25"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</row>
    <row r="57" spans="21:56" x14ac:dyDescent="0.25"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</row>
    <row r="58" spans="21:56" x14ac:dyDescent="0.25"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</row>
    <row r="59" spans="21:56" x14ac:dyDescent="0.25"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</row>
    <row r="60" spans="21:56" x14ac:dyDescent="0.25"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</row>
  </sheetData>
  <mergeCells count="27">
    <mergeCell ref="E4:E5"/>
    <mergeCell ref="F4:F5"/>
    <mergeCell ref="H4:I4"/>
    <mergeCell ref="D10:D11"/>
    <mergeCell ref="D4:D5"/>
    <mergeCell ref="D7:D8"/>
    <mergeCell ref="F14:F15"/>
    <mergeCell ref="E17:E18"/>
    <mergeCell ref="E20:E21"/>
    <mergeCell ref="D9:I9"/>
    <mergeCell ref="D6:I6"/>
    <mergeCell ref="W8:AN8"/>
    <mergeCell ref="D35:D36"/>
    <mergeCell ref="G29:P29"/>
    <mergeCell ref="D31:Q31"/>
    <mergeCell ref="D38:Q38"/>
    <mergeCell ref="D29:D30"/>
    <mergeCell ref="E29:E30"/>
    <mergeCell ref="F29:F30"/>
    <mergeCell ref="D32:D33"/>
    <mergeCell ref="D17:D18"/>
    <mergeCell ref="D20:D21"/>
    <mergeCell ref="D16:U16"/>
    <mergeCell ref="D23:U23"/>
    <mergeCell ref="G14:T14"/>
    <mergeCell ref="D14:D15"/>
    <mergeCell ref="E14:E15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9497-4A28-400C-9690-C1FC3586F646}">
  <dimension ref="D2:BG75"/>
  <sheetViews>
    <sheetView topLeftCell="D1" zoomScaleNormal="100" workbookViewId="0">
      <selection activeCell="D3" sqref="A3:XFD3"/>
    </sheetView>
  </sheetViews>
  <sheetFormatPr defaultRowHeight="15" x14ac:dyDescent="0.25"/>
  <cols>
    <col min="4" max="4" width="52.42578125" customWidth="1"/>
    <col min="5" max="5" width="6.42578125" customWidth="1"/>
    <col min="6" max="6" width="17.140625" customWidth="1"/>
    <col min="7" max="7" width="18.5703125" customWidth="1"/>
    <col min="8" max="8" width="20.5703125" customWidth="1"/>
    <col min="9" max="19" width="22" customWidth="1"/>
    <col min="21" max="21" width="8.7109375" customWidth="1"/>
    <col min="22" max="22" width="8.28515625" customWidth="1"/>
    <col min="26" max="26" width="27.28515625" customWidth="1"/>
    <col min="27" max="27" width="6.5703125" customWidth="1"/>
    <col min="28" max="28" width="9.28515625" customWidth="1"/>
    <col min="29" max="29" width="9" customWidth="1"/>
    <col min="30" max="30" width="10.42578125" customWidth="1"/>
    <col min="31" max="31" width="10.7109375" customWidth="1"/>
    <col min="32" max="32" width="11.5703125" customWidth="1"/>
    <col min="33" max="33" width="8.85546875" customWidth="1"/>
    <col min="34" max="34" width="9.85546875" customWidth="1"/>
    <col min="35" max="35" width="7.42578125" customWidth="1"/>
    <col min="36" max="36" width="11.42578125" customWidth="1"/>
    <col min="37" max="37" width="9.140625" customWidth="1"/>
    <col min="38" max="39" width="10" customWidth="1"/>
    <col min="40" max="40" width="12.28515625" customWidth="1"/>
    <col min="41" max="41" width="9.7109375" customWidth="1"/>
    <col min="42" max="42" width="11.42578125" customWidth="1"/>
    <col min="47" max="47" width="29.28515625" customWidth="1"/>
    <col min="49" max="49" width="12.28515625" bestFit="1" customWidth="1"/>
    <col min="50" max="51" width="11.28515625" bestFit="1" customWidth="1"/>
    <col min="52" max="52" width="10.140625" bestFit="1" customWidth="1"/>
    <col min="53" max="53" width="11.28515625" bestFit="1" customWidth="1"/>
    <col min="54" max="54" width="10.140625" bestFit="1" customWidth="1"/>
    <col min="55" max="58" width="11.28515625" bestFit="1" customWidth="1"/>
    <col min="59" max="59" width="12.28515625" bestFit="1" customWidth="1"/>
  </cols>
  <sheetData>
    <row r="2" spans="4:19" x14ac:dyDescent="0.25">
      <c r="D2" t="s">
        <v>142</v>
      </c>
    </row>
    <row r="3" spans="4:19" ht="15.75" thickBot="1" x14ac:dyDescent="0.3"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41"/>
    </row>
    <row r="4" spans="4:19" ht="15.75" thickBot="1" x14ac:dyDescent="0.3">
      <c r="D4" s="400" t="s">
        <v>143</v>
      </c>
      <c r="E4" s="110"/>
      <c r="F4" s="402" t="s">
        <v>85</v>
      </c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3"/>
    </row>
    <row r="5" spans="4:19" s="4" customFormat="1" ht="15.75" thickBot="1" x14ac:dyDescent="0.3">
      <c r="D5" s="401"/>
      <c r="E5" s="106" t="s">
        <v>144</v>
      </c>
      <c r="F5" s="107" t="s">
        <v>91</v>
      </c>
      <c r="G5" s="108" t="s">
        <v>88</v>
      </c>
      <c r="H5" s="108" t="s">
        <v>89</v>
      </c>
      <c r="I5" s="108" t="s">
        <v>92</v>
      </c>
      <c r="J5" s="108" t="s">
        <v>93</v>
      </c>
      <c r="K5" s="108" t="s">
        <v>94</v>
      </c>
      <c r="L5" s="108" t="s">
        <v>95</v>
      </c>
      <c r="M5" s="108" t="s">
        <v>96</v>
      </c>
      <c r="N5" s="108" t="s">
        <v>97</v>
      </c>
      <c r="O5" s="108" t="s">
        <v>98</v>
      </c>
      <c r="P5" s="108" t="s">
        <v>99</v>
      </c>
      <c r="Q5" s="108" t="s">
        <v>100</v>
      </c>
      <c r="R5" s="108" t="s">
        <v>101</v>
      </c>
      <c r="S5" s="109" t="s">
        <v>86</v>
      </c>
    </row>
    <row r="6" spans="4:19" x14ac:dyDescent="0.25">
      <c r="D6" s="111" t="s">
        <v>145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3"/>
    </row>
    <row r="7" spans="4:19" x14ac:dyDescent="0.25">
      <c r="D7" s="270" t="str">
        <f>MainDatabase!C112</f>
        <v>Water yield (Cubic meter)</v>
      </c>
      <c r="E7" s="265">
        <v>2013</v>
      </c>
      <c r="F7" s="266">
        <f>MainDatabase!D112</f>
        <v>18669963000</v>
      </c>
      <c r="G7" s="266">
        <f>MainDatabase!E112</f>
        <v>1728662970</v>
      </c>
      <c r="H7" s="266">
        <f>MainDatabase!F112</f>
        <v>118579421000</v>
      </c>
      <c r="I7" s="266">
        <f>MainDatabase!G112</f>
        <v>11840980400</v>
      </c>
      <c r="J7" s="266">
        <f>MainDatabase!H112</f>
        <v>7361508500</v>
      </c>
      <c r="K7" s="266">
        <f>MainDatabase!I112</f>
        <v>37051753000</v>
      </c>
      <c r="L7" s="266">
        <f>MainDatabase!J112</f>
        <v>9226119100</v>
      </c>
      <c r="M7" s="266">
        <f>MainDatabase!K112</f>
        <v>1368027500</v>
      </c>
      <c r="N7" s="266">
        <f>MainDatabase!L112</f>
        <v>2967475124</v>
      </c>
      <c r="O7" s="266">
        <f>MainDatabase!M112</f>
        <v>61690933000</v>
      </c>
      <c r="P7" s="266">
        <f>MainDatabase!N112</f>
        <v>42757442000</v>
      </c>
      <c r="Q7" s="266">
        <f>MainDatabase!O112</f>
        <v>7169692500</v>
      </c>
      <c r="R7" s="266">
        <f>MainDatabase!P112</f>
        <v>20293586000</v>
      </c>
      <c r="S7" s="267">
        <f>MainDatabase!R112</f>
        <v>340705564094</v>
      </c>
    </row>
    <row r="8" spans="4:19" x14ac:dyDescent="0.25">
      <c r="D8" s="270"/>
      <c r="E8" s="265">
        <v>2022</v>
      </c>
      <c r="F8" s="266">
        <f>MainDatabase!D113</f>
        <v>22959048000</v>
      </c>
      <c r="G8" s="266">
        <f>MainDatabase!E113</f>
        <v>2910176800</v>
      </c>
      <c r="H8" s="266">
        <f>MainDatabase!F113</f>
        <v>132281580000</v>
      </c>
      <c r="I8" s="266">
        <f>MainDatabase!G113</f>
        <v>9387662400</v>
      </c>
      <c r="J8" s="266">
        <f>MainDatabase!H113</f>
        <v>14845182600</v>
      </c>
      <c r="K8" s="266">
        <f>MainDatabase!I113</f>
        <v>38051637000</v>
      </c>
      <c r="L8" s="266">
        <f>MainDatabase!J113</f>
        <v>5164445300</v>
      </c>
      <c r="M8" s="266">
        <f>MainDatabase!K113</f>
        <v>1388244670</v>
      </c>
      <c r="N8" s="266">
        <f>MainDatabase!L113</f>
        <v>4474746730</v>
      </c>
      <c r="O8" s="266">
        <f>MainDatabase!M113</f>
        <v>46810173000</v>
      </c>
      <c r="P8" s="266">
        <f>MainDatabase!N113</f>
        <v>37289832000</v>
      </c>
      <c r="Q8" s="266">
        <f>MainDatabase!O113</f>
        <v>8964655100</v>
      </c>
      <c r="R8" s="266">
        <f>MainDatabase!P113</f>
        <v>19316823000</v>
      </c>
      <c r="S8" s="267">
        <f>MainDatabase!R113</f>
        <v>343844206600</v>
      </c>
    </row>
    <row r="9" spans="4:19" x14ac:dyDescent="0.25">
      <c r="D9" s="111" t="s">
        <v>146</v>
      </c>
      <c r="E9" s="112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5"/>
    </row>
    <row r="10" spans="4:19" ht="30" customHeight="1" x14ac:dyDescent="0.25">
      <c r="D10" s="384" t="str">
        <f>MainDatabase!C108</f>
        <v>Sustained water in dry periods  (baseflow)  (Cubic meter)</v>
      </c>
      <c r="E10" s="112">
        <v>2013</v>
      </c>
      <c r="F10" s="268">
        <f>MainDatabase!D108</f>
        <v>10565424000</v>
      </c>
      <c r="G10" s="268">
        <f>MainDatabase!E108</f>
        <v>1136641400</v>
      </c>
      <c r="H10" s="268">
        <f>MainDatabase!F108</f>
        <v>43559526000</v>
      </c>
      <c r="I10" s="268">
        <f>MainDatabase!G108</f>
        <v>4060378400</v>
      </c>
      <c r="J10" s="268">
        <f>MainDatabase!H108</f>
        <v>4155934500</v>
      </c>
      <c r="K10" s="268">
        <f>MainDatabase!I108</f>
        <v>22682612000</v>
      </c>
      <c r="L10" s="268">
        <f>MainDatabase!J108</f>
        <v>5577697000</v>
      </c>
      <c r="M10" s="268">
        <f>MainDatabase!K108</f>
        <v>657747600</v>
      </c>
      <c r="N10" s="268">
        <f>MainDatabase!L108</f>
        <v>28661124</v>
      </c>
      <c r="O10" s="268">
        <f>MainDatabase!M108</f>
        <v>29688080000</v>
      </c>
      <c r="P10" s="268">
        <f>MainDatabase!N108</f>
        <v>27936035000</v>
      </c>
      <c r="Q10" s="268">
        <f>MainDatabase!O108</f>
        <v>1188381000</v>
      </c>
      <c r="R10" s="268">
        <f>MainDatabase!P108</f>
        <v>10920666000</v>
      </c>
      <c r="S10" s="269">
        <f>MainDatabase!R108</f>
        <v>162157784024</v>
      </c>
    </row>
    <row r="11" spans="4:19" x14ac:dyDescent="0.25">
      <c r="D11" s="384"/>
      <c r="E11" s="112">
        <v>2022</v>
      </c>
      <c r="F11" s="268">
        <f>MainDatabase!D109</f>
        <v>12444460000</v>
      </c>
      <c r="G11" s="268">
        <f>MainDatabase!E109</f>
        <v>1858265700</v>
      </c>
      <c r="H11" s="268">
        <f>MainDatabase!F109</f>
        <v>47355810000</v>
      </c>
      <c r="I11" s="268">
        <f>MainDatabase!G109</f>
        <v>2932598800</v>
      </c>
      <c r="J11" s="268">
        <f>MainDatabase!H109</f>
        <v>9845071000</v>
      </c>
      <c r="K11" s="268">
        <f>MainDatabase!I109</f>
        <v>23192455000</v>
      </c>
      <c r="L11" s="268">
        <f>MainDatabase!J109</f>
        <v>2920160300</v>
      </c>
      <c r="M11" s="268">
        <f>MainDatabase!K109</f>
        <v>675061500</v>
      </c>
      <c r="N11" s="268">
        <f>MainDatabase!L109</f>
        <v>100397730</v>
      </c>
      <c r="O11" s="268">
        <f>MainDatabase!M109</f>
        <v>22349662000</v>
      </c>
      <c r="P11" s="268">
        <f>MainDatabase!N109</f>
        <v>24952084000</v>
      </c>
      <c r="Q11" s="268">
        <f>MainDatabase!O109</f>
        <v>1459584500</v>
      </c>
      <c r="R11" s="268">
        <f>MainDatabase!P109</f>
        <v>10001707000</v>
      </c>
      <c r="S11" s="269">
        <f>MainDatabase!R109</f>
        <v>160087317530</v>
      </c>
    </row>
    <row r="12" spans="4:19" ht="30" customHeight="1" x14ac:dyDescent="0.25">
      <c r="D12" s="384" t="str">
        <f>MainDatabase!$C$110</f>
        <v>Flood mitigation (avoided quick flow) (Cubic meter)</v>
      </c>
      <c r="E12" s="112">
        <v>2013</v>
      </c>
      <c r="F12" s="268">
        <f>MainDatabase!D110</f>
        <v>21296992000</v>
      </c>
      <c r="G12" s="268">
        <f>MainDatabase!E110</f>
        <v>1717478000</v>
      </c>
      <c r="H12" s="268">
        <f>MainDatabase!F110</f>
        <v>34435437000</v>
      </c>
      <c r="I12" s="268">
        <f>MainDatabase!G110</f>
        <v>6428749300</v>
      </c>
      <c r="J12" s="268">
        <f>MainDatabase!H110</f>
        <v>5378880500</v>
      </c>
      <c r="K12" s="268">
        <f>MainDatabase!I110</f>
        <v>45113926000</v>
      </c>
      <c r="L12" s="268">
        <f>MainDatabase!J110</f>
        <v>6469452300</v>
      </c>
      <c r="M12" s="268">
        <f>MainDatabase!K110</f>
        <v>746481000</v>
      </c>
      <c r="N12" s="268">
        <f>MainDatabase!L110</f>
        <v>-1419349900</v>
      </c>
      <c r="O12" s="268">
        <f>MainDatabase!M110</f>
        <v>41168978000</v>
      </c>
      <c r="P12" s="268">
        <f>MainDatabase!N110</f>
        <v>32007471000</v>
      </c>
      <c r="Q12" s="268">
        <f>MainDatabase!O110</f>
        <v>-3103617500</v>
      </c>
      <c r="R12" s="268">
        <f>MainDatabase!P110</f>
        <v>117762440</v>
      </c>
      <c r="S12" s="269">
        <f>MainDatabase!R110</f>
        <v>190358640140</v>
      </c>
    </row>
    <row r="13" spans="4:19" x14ac:dyDescent="0.25">
      <c r="D13" s="384"/>
      <c r="E13" s="112">
        <v>2022</v>
      </c>
      <c r="F13" s="268">
        <f>MainDatabase!D111</f>
        <v>25659288000</v>
      </c>
      <c r="G13" s="268">
        <f>MainDatabase!E111</f>
        <v>2778805000</v>
      </c>
      <c r="H13" s="268">
        <f>MainDatabase!F111</f>
        <v>39265440000</v>
      </c>
      <c r="I13" s="268">
        <f>MainDatabase!G111</f>
        <v>5248267000</v>
      </c>
      <c r="J13" s="268">
        <f>MainDatabase!H111</f>
        <v>9197194000</v>
      </c>
      <c r="K13" s="268">
        <f>MainDatabase!I111</f>
        <v>45600535000</v>
      </c>
      <c r="L13" s="268">
        <f>MainDatabase!J111</f>
        <v>3908062500</v>
      </c>
      <c r="M13" s="268">
        <f>MainDatabase!K111</f>
        <v>740717440</v>
      </c>
      <c r="N13" s="268">
        <f>MainDatabase!L111</f>
        <v>-1984820200</v>
      </c>
      <c r="O13" s="268">
        <f>MainDatabase!M111</f>
        <v>31965469000</v>
      </c>
      <c r="P13" s="268">
        <f>MainDatabase!N111</f>
        <v>26391341000</v>
      </c>
      <c r="Q13" s="268">
        <f>MainDatabase!O111</f>
        <v>-3801114400</v>
      </c>
      <c r="R13" s="268">
        <f>MainDatabase!P111</f>
        <v>193771140</v>
      </c>
      <c r="S13" s="269">
        <f>MainDatabase!R111</f>
        <v>185162955480</v>
      </c>
    </row>
    <row r="14" spans="4:19" ht="30" customHeight="1" x14ac:dyDescent="0.25">
      <c r="D14" s="384" t="str">
        <f>MainDatabase!C106</f>
        <v xml:space="preserve"> Soil protection (avoided erosion)  (Tons)</v>
      </c>
      <c r="E14" s="112">
        <v>2013</v>
      </c>
      <c r="F14" s="114">
        <f>MainDatabase!D106</f>
        <v>2957460000</v>
      </c>
      <c r="G14" s="114">
        <f>MainDatabase!E106</f>
        <v>200456580</v>
      </c>
      <c r="H14" s="114">
        <f>MainDatabase!F106</f>
        <v>8267790000</v>
      </c>
      <c r="I14" s="114">
        <f>MainDatabase!G106</f>
        <v>564001500</v>
      </c>
      <c r="J14" s="114">
        <f>MainDatabase!H106</f>
        <v>500332740</v>
      </c>
      <c r="K14" s="114">
        <f>MainDatabase!I106</f>
        <v>6416423400</v>
      </c>
      <c r="L14" s="114">
        <f>MainDatabase!J106</f>
        <v>1001627260</v>
      </c>
      <c r="M14" s="114">
        <f>MainDatabase!K106</f>
        <v>14772930</v>
      </c>
      <c r="N14" s="114">
        <f>MainDatabase!L106</f>
        <v>58769316</v>
      </c>
      <c r="O14" s="114">
        <f>MainDatabase!M106</f>
        <v>5032993000</v>
      </c>
      <c r="P14" s="114">
        <f>MainDatabase!N106</f>
        <v>4314774000</v>
      </c>
      <c r="Q14" s="114">
        <f>MainDatabase!O106</f>
        <v>28311064</v>
      </c>
      <c r="R14" s="114">
        <f>MainDatabase!P106</f>
        <v>327421730</v>
      </c>
      <c r="S14" s="115">
        <f>MainDatabase!R106</f>
        <v>29685133520</v>
      </c>
    </row>
    <row r="15" spans="4:19" x14ac:dyDescent="0.25">
      <c r="D15" s="384"/>
      <c r="E15" s="112">
        <v>2022</v>
      </c>
      <c r="F15" s="114">
        <f>MainDatabase!D107</f>
        <v>3835871500</v>
      </c>
      <c r="G15" s="114">
        <f>MainDatabase!E107</f>
        <v>280791460</v>
      </c>
      <c r="H15" s="114">
        <f>MainDatabase!F107</f>
        <v>8807426000</v>
      </c>
      <c r="I15" s="114">
        <f>MainDatabase!G107</f>
        <v>444920830</v>
      </c>
      <c r="J15" s="114">
        <f>MainDatabase!H107</f>
        <v>683705600</v>
      </c>
      <c r="K15" s="114">
        <f>MainDatabase!I107</f>
        <v>6149960700</v>
      </c>
      <c r="L15" s="114">
        <f>MainDatabase!J107</f>
        <v>683910200</v>
      </c>
      <c r="M15" s="114">
        <f>MainDatabase!K107</f>
        <v>15030653</v>
      </c>
      <c r="N15" s="114">
        <f>MainDatabase!L107</f>
        <v>101647130</v>
      </c>
      <c r="O15" s="114">
        <f>MainDatabase!M107</f>
        <v>4384051000</v>
      </c>
      <c r="P15" s="114">
        <f>MainDatabase!N107</f>
        <v>3897356500</v>
      </c>
      <c r="Q15" s="114">
        <f>MainDatabase!O107</f>
        <v>39986124</v>
      </c>
      <c r="R15" s="114">
        <f>MainDatabase!P107</f>
        <v>374208480</v>
      </c>
      <c r="S15" s="115">
        <f>MainDatabase!R107</f>
        <v>29698866177</v>
      </c>
    </row>
    <row r="16" spans="4:19" ht="30" customHeight="1" x14ac:dyDescent="0.25">
      <c r="D16" s="384" t="str">
        <f>MainDatabase!C104</f>
        <v>Water quality  (avoided sediment) (Tons)</v>
      </c>
      <c r="E16" s="112">
        <v>2013</v>
      </c>
      <c r="F16" s="268">
        <f>MainDatabase!D104</f>
        <v>574558900</v>
      </c>
      <c r="G16" s="268">
        <f>MainDatabase!E104</f>
        <v>50101736</v>
      </c>
      <c r="H16" s="268">
        <f>MainDatabase!F104</f>
        <v>1992846100</v>
      </c>
      <c r="I16" s="268">
        <f>MainDatabase!G104</f>
        <v>150714600</v>
      </c>
      <c r="J16" s="268">
        <f>MainDatabase!H104</f>
        <v>108447370</v>
      </c>
      <c r="K16" s="268">
        <f>MainDatabase!I104</f>
        <v>1179619700</v>
      </c>
      <c r="L16" s="268">
        <f>MainDatabase!J104</f>
        <v>201630930</v>
      </c>
      <c r="M16" s="268">
        <f>MainDatabase!K104</f>
        <v>5617067.5</v>
      </c>
      <c r="N16" s="268">
        <f>MainDatabase!L104</f>
        <v>6969671</v>
      </c>
      <c r="O16" s="268">
        <f>MainDatabase!M104</f>
        <v>1298774300</v>
      </c>
      <c r="P16" s="268">
        <f>MainDatabase!N104</f>
        <v>946949400</v>
      </c>
      <c r="Q16" s="268">
        <f>MainDatabase!O104</f>
        <v>21345156</v>
      </c>
      <c r="R16" s="268">
        <f>MainDatabase!P104</f>
        <v>179114000</v>
      </c>
      <c r="S16" s="269">
        <f>MainDatabase!R104</f>
        <v>6716688930.5</v>
      </c>
    </row>
    <row r="17" spans="4:19" x14ac:dyDescent="0.25">
      <c r="D17" s="384"/>
      <c r="E17" s="112">
        <v>2022</v>
      </c>
      <c r="F17" s="268">
        <f>MainDatabase!D105</f>
        <v>731190000</v>
      </c>
      <c r="G17" s="268">
        <f>MainDatabase!E105</f>
        <v>72172760</v>
      </c>
      <c r="H17" s="268">
        <f>MainDatabase!F105</f>
        <v>2153354200</v>
      </c>
      <c r="I17" s="268">
        <f>MainDatabase!G105</f>
        <v>124331480</v>
      </c>
      <c r="J17" s="268">
        <f>MainDatabase!H105</f>
        <v>135459400</v>
      </c>
      <c r="K17" s="268">
        <f>MainDatabase!I105</f>
        <v>1119644900</v>
      </c>
      <c r="L17" s="268">
        <f>MainDatabase!J105</f>
        <v>131087310</v>
      </c>
      <c r="M17" s="268">
        <f>MainDatabase!K105</f>
        <v>5764907</v>
      </c>
      <c r="N17" s="268">
        <f>MainDatabase!L105</f>
        <v>13457158</v>
      </c>
      <c r="O17" s="268">
        <f>MainDatabase!M105</f>
        <v>1104645400</v>
      </c>
      <c r="P17" s="268">
        <f>MainDatabase!N105</f>
        <v>865757700</v>
      </c>
      <c r="Q17" s="268">
        <f>MainDatabase!O105</f>
        <v>36697056</v>
      </c>
      <c r="R17" s="268">
        <f>MainDatabase!P105</f>
        <v>207367140</v>
      </c>
      <c r="S17" s="269">
        <f>MainDatabase!R105</f>
        <v>6700929411</v>
      </c>
    </row>
    <row r="18" spans="4:19" ht="15.75" thickBot="1" x14ac:dyDescent="0.3">
      <c r="D18" s="271" t="str">
        <f>MainDatabase!C101</f>
        <v>Carbon sequestration ( Tons of carbon  per year)</v>
      </c>
      <c r="E18" s="272"/>
      <c r="F18" s="273">
        <f>MainDatabase!D101</f>
        <v>93560727.777777776</v>
      </c>
      <c r="G18" s="273">
        <f>MainDatabase!E101</f>
        <v>10201545.722222222</v>
      </c>
      <c r="H18" s="273">
        <f>MainDatabase!F101</f>
        <v>166489641.1111111</v>
      </c>
      <c r="I18" s="273">
        <f>MainDatabase!G101</f>
        <v>-10082344.17777778</v>
      </c>
      <c r="J18" s="273">
        <f>MainDatabase!H101</f>
        <v>18131336.444444444</v>
      </c>
      <c r="K18" s="273">
        <f>MainDatabase!I101</f>
        <v>18241723.333333332</v>
      </c>
      <c r="L18" s="273">
        <f>MainDatabase!J101</f>
        <v>-34371905.222222224</v>
      </c>
      <c r="M18" s="273">
        <f>MainDatabase!K101</f>
        <v>-141738.43000000052</v>
      </c>
      <c r="N18" s="273">
        <f>MainDatabase!L101</f>
        <v>2885232.3555555549</v>
      </c>
      <c r="O18" s="273">
        <f>MainDatabase!M101</f>
        <v>-194821662.22222221</v>
      </c>
      <c r="P18" s="273">
        <f>MainDatabase!N101</f>
        <v>-75235764.444444448</v>
      </c>
      <c r="Q18" s="273">
        <f>MainDatabase!O101</f>
        <v>13982.215555555549</v>
      </c>
      <c r="R18" s="273">
        <f>MainDatabase!P101</f>
        <v>4483850.4300000006</v>
      </c>
      <c r="S18" s="274">
        <f>MainDatabase!R101</f>
        <v>-645375.10666668415</v>
      </c>
    </row>
    <row r="19" spans="4:19" x14ac:dyDescent="0.25"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4:19" ht="15.75" thickBot="1" x14ac:dyDescent="0.3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4:19" ht="15.75" thickBot="1" x14ac:dyDescent="0.3">
      <c r="D21" s="393" t="str">
        <f>D4</f>
        <v xml:space="preserve">Potential supply </v>
      </c>
      <c r="E21" s="119"/>
      <c r="F21" s="395" t="str">
        <f t="shared" ref="F21" si="0">F4</f>
        <v>Ecosystem type</v>
      </c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6"/>
    </row>
    <row r="22" spans="4:19" ht="15.75" thickBot="1" x14ac:dyDescent="0.3">
      <c r="D22" s="394"/>
      <c r="E22" s="120" t="str">
        <f>E5</f>
        <v>Year</v>
      </c>
      <c r="F22" s="121" t="str">
        <f t="shared" ref="F22:S22" si="1">F5</f>
        <v>Moderate forest</v>
      </c>
      <c r="G22" s="122" t="str">
        <f t="shared" si="1"/>
        <v>Perennial crop</v>
      </c>
      <c r="H22" s="122" t="str">
        <f t="shared" si="1"/>
        <v>Annual crop</v>
      </c>
      <c r="I22" s="122" t="str">
        <f t="shared" si="1"/>
        <v>Open grassland</v>
      </c>
      <c r="J22" s="122" t="str">
        <f>J5</f>
        <v>Closed grassland</v>
      </c>
      <c r="K22" s="122" t="str">
        <f t="shared" si="1"/>
        <v>Dense forest</v>
      </c>
      <c r="L22" s="122" t="str">
        <f t="shared" si="1"/>
        <v>Sparse forest</v>
      </c>
      <c r="M22" s="122" t="str">
        <f t="shared" si="1"/>
        <v>Wetland</v>
      </c>
      <c r="N22" s="122" t="str">
        <f t="shared" si="1"/>
        <v>Built up area</v>
      </c>
      <c r="O22" s="122" t="str">
        <f t="shared" si="1"/>
        <v>Open shrubland</v>
      </c>
      <c r="P22" s="122" t="str">
        <f t="shared" si="1"/>
        <v>Closed shrubland</v>
      </c>
      <c r="Q22" s="122" t="str">
        <f t="shared" si="1"/>
        <v>Water body</v>
      </c>
      <c r="R22" s="122" t="str">
        <f t="shared" si="1"/>
        <v>Bare land</v>
      </c>
      <c r="S22" s="123" t="str">
        <f t="shared" si="1"/>
        <v>National</v>
      </c>
    </row>
    <row r="23" spans="4:19" ht="15.75" thickBot="1" x14ac:dyDescent="0.3">
      <c r="D23" s="387" t="str">
        <f>D6</f>
        <v>Provisioning</v>
      </c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9"/>
    </row>
    <row r="24" spans="4:19" ht="16.5" customHeight="1" x14ac:dyDescent="0.25">
      <c r="D24" s="397" t="s">
        <v>147</v>
      </c>
      <c r="E24" s="124">
        <f>E7</f>
        <v>2013</v>
      </c>
      <c r="F24" s="125">
        <f t="shared" ref="F24:S24" si="2">F7/1000000</f>
        <v>18669.963</v>
      </c>
      <c r="G24" s="125">
        <f t="shared" si="2"/>
        <v>1728.6629700000001</v>
      </c>
      <c r="H24" s="125">
        <f t="shared" si="2"/>
        <v>118579.421</v>
      </c>
      <c r="I24" s="125">
        <f t="shared" si="2"/>
        <v>11840.9804</v>
      </c>
      <c r="J24" s="125">
        <f t="shared" si="2"/>
        <v>7361.5084999999999</v>
      </c>
      <c r="K24" s="125">
        <f t="shared" si="2"/>
        <v>37051.752999999997</v>
      </c>
      <c r="L24" s="125">
        <f t="shared" si="2"/>
        <v>9226.1190999999999</v>
      </c>
      <c r="M24" s="125">
        <f t="shared" si="2"/>
        <v>1368.0274999999999</v>
      </c>
      <c r="N24" s="125">
        <f t="shared" si="2"/>
        <v>2967.4751240000001</v>
      </c>
      <c r="O24" s="125">
        <f t="shared" si="2"/>
        <v>61690.932999999997</v>
      </c>
      <c r="P24" s="125">
        <f t="shared" si="2"/>
        <v>42757.442000000003</v>
      </c>
      <c r="Q24" s="125">
        <f t="shared" si="2"/>
        <v>7169.6925000000001</v>
      </c>
      <c r="R24" s="125">
        <f t="shared" si="2"/>
        <v>20293.585999999999</v>
      </c>
      <c r="S24" s="126">
        <f t="shared" si="2"/>
        <v>340705.56409399997</v>
      </c>
    </row>
    <row r="25" spans="4:19" ht="15.75" thickBot="1" x14ac:dyDescent="0.3">
      <c r="D25" s="397"/>
      <c r="E25" s="127">
        <f>E8</f>
        <v>2022</v>
      </c>
      <c r="F25" s="125">
        <f t="shared" ref="F25:S25" si="3">F8/1000000</f>
        <v>22959.047999999999</v>
      </c>
      <c r="G25" s="125">
        <f t="shared" si="3"/>
        <v>2910.1768000000002</v>
      </c>
      <c r="H25" s="125">
        <f t="shared" si="3"/>
        <v>132281.57999999999</v>
      </c>
      <c r="I25" s="125">
        <f t="shared" si="3"/>
        <v>9387.6623999999993</v>
      </c>
      <c r="J25" s="125">
        <f t="shared" si="3"/>
        <v>14845.1826</v>
      </c>
      <c r="K25" s="125">
        <f t="shared" si="3"/>
        <v>38051.637000000002</v>
      </c>
      <c r="L25" s="125">
        <f t="shared" si="3"/>
        <v>5164.4453000000003</v>
      </c>
      <c r="M25" s="125">
        <f t="shared" si="3"/>
        <v>1388.24467</v>
      </c>
      <c r="N25" s="125">
        <f t="shared" si="3"/>
        <v>4474.7467299999998</v>
      </c>
      <c r="O25" s="125">
        <f t="shared" si="3"/>
        <v>46810.173000000003</v>
      </c>
      <c r="P25" s="125">
        <f t="shared" si="3"/>
        <v>37289.832000000002</v>
      </c>
      <c r="Q25" s="125">
        <f t="shared" si="3"/>
        <v>8964.6550999999999</v>
      </c>
      <c r="R25" s="125">
        <f t="shared" si="3"/>
        <v>19316.823</v>
      </c>
      <c r="S25" s="126">
        <f t="shared" si="3"/>
        <v>343844.20659999998</v>
      </c>
    </row>
    <row r="26" spans="4:19" s="7" customFormat="1" ht="18.75" customHeight="1" thickBot="1" x14ac:dyDescent="0.3">
      <c r="D26" s="390" t="s">
        <v>146</v>
      </c>
      <c r="E26" s="391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2"/>
    </row>
    <row r="27" spans="4:19" ht="16.5" customHeight="1" x14ac:dyDescent="0.25">
      <c r="D27" s="398" t="s">
        <v>148</v>
      </c>
      <c r="E27" s="128">
        <f t="shared" ref="E27:E34" si="4">E10</f>
        <v>2013</v>
      </c>
      <c r="F27" s="129">
        <f t="shared" ref="F27:S27" si="5">F10/1000000</f>
        <v>10565.424000000001</v>
      </c>
      <c r="G27" s="129">
        <f t="shared" si="5"/>
        <v>1136.6414</v>
      </c>
      <c r="H27" s="129">
        <f t="shared" si="5"/>
        <v>43559.525999999998</v>
      </c>
      <c r="I27" s="129">
        <f t="shared" si="5"/>
        <v>4060.3784000000001</v>
      </c>
      <c r="J27" s="129">
        <f t="shared" si="5"/>
        <v>4155.9345000000003</v>
      </c>
      <c r="K27" s="129">
        <f t="shared" si="5"/>
        <v>22682.612000000001</v>
      </c>
      <c r="L27" s="129">
        <f t="shared" si="5"/>
        <v>5577.6970000000001</v>
      </c>
      <c r="M27" s="129">
        <f t="shared" si="5"/>
        <v>657.74760000000003</v>
      </c>
      <c r="N27" s="129">
        <f t="shared" si="5"/>
        <v>28.661124000000001</v>
      </c>
      <c r="O27" s="129">
        <f t="shared" si="5"/>
        <v>29688.080000000002</v>
      </c>
      <c r="P27" s="129">
        <f t="shared" si="5"/>
        <v>27936.035</v>
      </c>
      <c r="Q27" s="129">
        <f t="shared" si="5"/>
        <v>1188.3810000000001</v>
      </c>
      <c r="R27" s="129">
        <f t="shared" si="5"/>
        <v>10920.665999999999</v>
      </c>
      <c r="S27" s="130">
        <f t="shared" si="5"/>
        <v>162157.78402399999</v>
      </c>
    </row>
    <row r="28" spans="4:19" x14ac:dyDescent="0.25">
      <c r="D28" s="398"/>
      <c r="E28" s="131">
        <f t="shared" si="4"/>
        <v>2022</v>
      </c>
      <c r="F28" s="129">
        <f t="shared" ref="F28:S28" si="6">F11/1000000</f>
        <v>12444.46</v>
      </c>
      <c r="G28" s="129">
        <f t="shared" si="6"/>
        <v>1858.2656999999999</v>
      </c>
      <c r="H28" s="129">
        <f t="shared" si="6"/>
        <v>47355.81</v>
      </c>
      <c r="I28" s="129">
        <f t="shared" si="6"/>
        <v>2932.5988000000002</v>
      </c>
      <c r="J28" s="129">
        <f t="shared" si="6"/>
        <v>9845.0709999999999</v>
      </c>
      <c r="K28" s="129">
        <f t="shared" si="6"/>
        <v>23192.455000000002</v>
      </c>
      <c r="L28" s="129">
        <f t="shared" si="6"/>
        <v>2920.1603</v>
      </c>
      <c r="M28" s="129">
        <f t="shared" si="6"/>
        <v>675.06150000000002</v>
      </c>
      <c r="N28" s="129">
        <f t="shared" si="6"/>
        <v>100.39773</v>
      </c>
      <c r="O28" s="129">
        <f t="shared" si="6"/>
        <v>22349.662</v>
      </c>
      <c r="P28" s="129">
        <f t="shared" si="6"/>
        <v>24952.083999999999</v>
      </c>
      <c r="Q28" s="129">
        <f t="shared" si="6"/>
        <v>1459.5844999999999</v>
      </c>
      <c r="R28" s="129">
        <f t="shared" si="6"/>
        <v>10001.707</v>
      </c>
      <c r="S28" s="130">
        <f t="shared" si="6"/>
        <v>160087.31753</v>
      </c>
    </row>
    <row r="29" spans="4:19" ht="16.5" customHeight="1" x14ac:dyDescent="0.25">
      <c r="D29" s="399" t="s">
        <v>149</v>
      </c>
      <c r="E29" s="132">
        <f t="shared" si="4"/>
        <v>2013</v>
      </c>
      <c r="F29" s="133">
        <f t="shared" ref="F29:S29" si="7">F12/1000000</f>
        <v>21296.991999999998</v>
      </c>
      <c r="G29" s="133">
        <f t="shared" si="7"/>
        <v>1717.4780000000001</v>
      </c>
      <c r="H29" s="133">
        <f t="shared" si="7"/>
        <v>34435.436999999998</v>
      </c>
      <c r="I29" s="133">
        <f t="shared" si="7"/>
        <v>6428.7493000000004</v>
      </c>
      <c r="J29" s="133">
        <f t="shared" si="7"/>
        <v>5378.8805000000002</v>
      </c>
      <c r="K29" s="133">
        <f t="shared" si="7"/>
        <v>45113.925999999999</v>
      </c>
      <c r="L29" s="133">
        <f t="shared" si="7"/>
        <v>6469.4522999999999</v>
      </c>
      <c r="M29" s="133">
        <f t="shared" si="7"/>
        <v>746.48099999999999</v>
      </c>
      <c r="N29" s="133">
        <f t="shared" si="7"/>
        <v>-1419.3498999999999</v>
      </c>
      <c r="O29" s="133">
        <f t="shared" si="7"/>
        <v>41168.978000000003</v>
      </c>
      <c r="P29" s="133">
        <f t="shared" si="7"/>
        <v>32007.471000000001</v>
      </c>
      <c r="Q29" s="133">
        <f t="shared" si="7"/>
        <v>-3103.6174999999998</v>
      </c>
      <c r="R29" s="133">
        <f t="shared" si="7"/>
        <v>117.76244</v>
      </c>
      <c r="S29" s="134">
        <f t="shared" si="7"/>
        <v>190358.64014</v>
      </c>
    </row>
    <row r="30" spans="4:19" x14ac:dyDescent="0.25">
      <c r="D30" s="399"/>
      <c r="E30" s="132">
        <f t="shared" si="4"/>
        <v>2022</v>
      </c>
      <c r="F30" s="133">
        <f t="shared" ref="F30:S30" si="8">F13/1000000</f>
        <v>25659.288</v>
      </c>
      <c r="G30" s="133">
        <f t="shared" si="8"/>
        <v>2778.8049999999998</v>
      </c>
      <c r="H30" s="133">
        <f t="shared" si="8"/>
        <v>39265.440000000002</v>
      </c>
      <c r="I30" s="133">
        <f t="shared" si="8"/>
        <v>5248.2669999999998</v>
      </c>
      <c r="J30" s="133">
        <f t="shared" si="8"/>
        <v>9197.1939999999995</v>
      </c>
      <c r="K30" s="133">
        <f t="shared" si="8"/>
        <v>45600.535000000003</v>
      </c>
      <c r="L30" s="133">
        <f t="shared" si="8"/>
        <v>3908.0625</v>
      </c>
      <c r="M30" s="133">
        <f t="shared" si="8"/>
        <v>740.71744000000001</v>
      </c>
      <c r="N30" s="133">
        <f t="shared" si="8"/>
        <v>-1984.8202000000001</v>
      </c>
      <c r="O30" s="133">
        <f t="shared" si="8"/>
        <v>31965.469000000001</v>
      </c>
      <c r="P30" s="133">
        <f t="shared" si="8"/>
        <v>26391.341</v>
      </c>
      <c r="Q30" s="133">
        <f t="shared" si="8"/>
        <v>-3801.1143999999999</v>
      </c>
      <c r="R30" s="133">
        <f t="shared" si="8"/>
        <v>193.77114</v>
      </c>
      <c r="S30" s="134">
        <f t="shared" si="8"/>
        <v>185162.95548</v>
      </c>
    </row>
    <row r="31" spans="4:19" x14ac:dyDescent="0.25">
      <c r="D31" s="385" t="s">
        <v>150</v>
      </c>
      <c r="E31" s="135">
        <f t="shared" si="4"/>
        <v>2013</v>
      </c>
      <c r="F31" s="136">
        <f t="shared" ref="F31:S31" si="9">F14/1000000</f>
        <v>2957.46</v>
      </c>
      <c r="G31" s="136">
        <f t="shared" si="9"/>
        <v>200.45658</v>
      </c>
      <c r="H31" s="136">
        <f t="shared" si="9"/>
        <v>8267.7900000000009</v>
      </c>
      <c r="I31" s="136">
        <f t="shared" si="9"/>
        <v>564.00149999999996</v>
      </c>
      <c r="J31" s="136">
        <f t="shared" si="9"/>
        <v>500.33274</v>
      </c>
      <c r="K31" s="136">
        <f t="shared" si="9"/>
        <v>6416.4233999999997</v>
      </c>
      <c r="L31" s="136">
        <f t="shared" si="9"/>
        <v>1001.62726</v>
      </c>
      <c r="M31" s="136">
        <f t="shared" si="9"/>
        <v>14.772930000000001</v>
      </c>
      <c r="N31" s="136">
        <f t="shared" si="9"/>
        <v>58.769316000000003</v>
      </c>
      <c r="O31" s="136">
        <f t="shared" si="9"/>
        <v>5032.9930000000004</v>
      </c>
      <c r="P31" s="136">
        <f t="shared" si="9"/>
        <v>4314.7740000000003</v>
      </c>
      <c r="Q31" s="136">
        <f t="shared" si="9"/>
        <v>28.311063999999998</v>
      </c>
      <c r="R31" s="136">
        <f t="shared" si="9"/>
        <v>327.42173000000003</v>
      </c>
      <c r="S31" s="137">
        <f t="shared" si="9"/>
        <v>29685.133519999999</v>
      </c>
    </row>
    <row r="32" spans="4:19" x14ac:dyDescent="0.25">
      <c r="D32" s="385"/>
      <c r="E32" s="135">
        <f t="shared" si="4"/>
        <v>2022</v>
      </c>
      <c r="F32" s="136">
        <f t="shared" ref="F32:S32" si="10">F15/1000000</f>
        <v>3835.8715000000002</v>
      </c>
      <c r="G32" s="136">
        <f t="shared" si="10"/>
        <v>280.79145999999997</v>
      </c>
      <c r="H32" s="136">
        <f t="shared" si="10"/>
        <v>8807.4259999999995</v>
      </c>
      <c r="I32" s="136">
        <f t="shared" si="10"/>
        <v>444.92083000000002</v>
      </c>
      <c r="J32" s="136">
        <f t="shared" si="10"/>
        <v>683.7056</v>
      </c>
      <c r="K32" s="136">
        <f t="shared" si="10"/>
        <v>6149.9606999999996</v>
      </c>
      <c r="L32" s="136">
        <f t="shared" si="10"/>
        <v>683.91020000000003</v>
      </c>
      <c r="M32" s="136">
        <f t="shared" si="10"/>
        <v>15.030652999999999</v>
      </c>
      <c r="N32" s="136">
        <f t="shared" si="10"/>
        <v>101.64713</v>
      </c>
      <c r="O32" s="136">
        <f t="shared" si="10"/>
        <v>4384.0510000000004</v>
      </c>
      <c r="P32" s="136">
        <f t="shared" si="10"/>
        <v>3897.3564999999999</v>
      </c>
      <c r="Q32" s="136">
        <f t="shared" si="10"/>
        <v>39.986123999999997</v>
      </c>
      <c r="R32" s="136">
        <f t="shared" si="10"/>
        <v>374.20848000000001</v>
      </c>
      <c r="S32" s="137">
        <f t="shared" si="10"/>
        <v>29698.866177</v>
      </c>
    </row>
    <row r="33" spans="4:42" x14ac:dyDescent="0.25">
      <c r="D33" s="386" t="s">
        <v>151</v>
      </c>
      <c r="E33" s="138">
        <f t="shared" si="4"/>
        <v>2013</v>
      </c>
      <c r="F33" s="139">
        <f t="shared" ref="F33:S33" si="11">F16/1000000</f>
        <v>574.55889999999999</v>
      </c>
      <c r="G33" s="139">
        <f t="shared" si="11"/>
        <v>50.101736000000002</v>
      </c>
      <c r="H33" s="139">
        <f t="shared" si="11"/>
        <v>1992.8461</v>
      </c>
      <c r="I33" s="139">
        <f t="shared" si="11"/>
        <v>150.71459999999999</v>
      </c>
      <c r="J33" s="139">
        <f t="shared" si="11"/>
        <v>108.44737000000001</v>
      </c>
      <c r="K33" s="139">
        <f t="shared" si="11"/>
        <v>1179.6197</v>
      </c>
      <c r="L33" s="139">
        <f t="shared" si="11"/>
        <v>201.63093000000001</v>
      </c>
      <c r="M33" s="139">
        <f t="shared" si="11"/>
        <v>5.6170675000000001</v>
      </c>
      <c r="N33" s="139">
        <f t="shared" si="11"/>
        <v>6.9696709999999999</v>
      </c>
      <c r="O33" s="139">
        <f t="shared" si="11"/>
        <v>1298.7743</v>
      </c>
      <c r="P33" s="139">
        <f t="shared" si="11"/>
        <v>946.94939999999997</v>
      </c>
      <c r="Q33" s="139">
        <f t="shared" si="11"/>
        <v>21.345155999999999</v>
      </c>
      <c r="R33" s="139">
        <f t="shared" si="11"/>
        <v>179.114</v>
      </c>
      <c r="S33" s="140">
        <f t="shared" si="11"/>
        <v>6716.6889305000004</v>
      </c>
    </row>
    <row r="34" spans="4:42" x14ac:dyDescent="0.25">
      <c r="D34" s="386"/>
      <c r="E34" s="138">
        <f t="shared" si="4"/>
        <v>2022</v>
      </c>
      <c r="F34" s="139">
        <f t="shared" ref="F34:S34" si="12">F17/1000000</f>
        <v>731.19</v>
      </c>
      <c r="G34" s="139">
        <f t="shared" si="12"/>
        <v>72.172759999999997</v>
      </c>
      <c r="H34" s="139">
        <f t="shared" si="12"/>
        <v>2153.3542000000002</v>
      </c>
      <c r="I34" s="139">
        <f t="shared" si="12"/>
        <v>124.33148</v>
      </c>
      <c r="J34" s="139">
        <f t="shared" si="12"/>
        <v>135.45939999999999</v>
      </c>
      <c r="K34" s="139">
        <f t="shared" si="12"/>
        <v>1119.6449</v>
      </c>
      <c r="L34" s="139">
        <f t="shared" si="12"/>
        <v>131.08731</v>
      </c>
      <c r="M34" s="139">
        <f t="shared" si="12"/>
        <v>5.764907</v>
      </c>
      <c r="N34" s="139">
        <f t="shared" si="12"/>
        <v>13.457158</v>
      </c>
      <c r="O34" s="139">
        <f t="shared" si="12"/>
        <v>1104.6454000000001</v>
      </c>
      <c r="P34" s="139">
        <f t="shared" si="12"/>
        <v>865.7577</v>
      </c>
      <c r="Q34" s="139">
        <f t="shared" si="12"/>
        <v>36.697056000000003</v>
      </c>
      <c r="R34" s="139">
        <f t="shared" si="12"/>
        <v>207.36714000000001</v>
      </c>
      <c r="S34" s="140">
        <f t="shared" si="12"/>
        <v>6700.9294110000001</v>
      </c>
    </row>
    <row r="35" spans="4:42" ht="30.75" thickBot="1" x14ac:dyDescent="0.3">
      <c r="D35" s="118" t="s">
        <v>152</v>
      </c>
      <c r="E35" s="141"/>
      <c r="F35" s="208">
        <f>F18/1000000</f>
        <v>93.560727777777771</v>
      </c>
      <c r="G35" s="208">
        <f>G18/1000000</f>
        <v>10.201545722222223</v>
      </c>
      <c r="H35" s="208">
        <f>H18/1000000</f>
        <v>166.4896411111111</v>
      </c>
      <c r="I35" s="208">
        <v>0</v>
      </c>
      <c r="J35" s="208">
        <f>J18/1000000</f>
        <v>18.131336444444443</v>
      </c>
      <c r="K35" s="208">
        <f>K18/1000000</f>
        <v>18.241723333333333</v>
      </c>
      <c r="L35" s="208">
        <v>0</v>
      </c>
      <c r="M35" s="208">
        <v>0</v>
      </c>
      <c r="N35" s="208">
        <f>N18/1000000</f>
        <v>2.885232355555555</v>
      </c>
      <c r="O35" s="208">
        <v>0</v>
      </c>
      <c r="P35" s="208">
        <v>0</v>
      </c>
      <c r="Q35" s="208">
        <f>Q18/1000000</f>
        <v>1.3982215555555549E-2</v>
      </c>
      <c r="R35" s="208">
        <f>R18/1000000</f>
        <v>4.4838504300000004</v>
      </c>
      <c r="S35" s="209">
        <v>0</v>
      </c>
    </row>
    <row r="40" spans="4:42" x14ac:dyDescent="0.25">
      <c r="Z40" s="382"/>
      <c r="AA40" s="383"/>
      <c r="AB40" s="379"/>
      <c r="AC40" s="379"/>
      <c r="AD40" s="379"/>
      <c r="AE40" s="379"/>
      <c r="AF40" s="379"/>
      <c r="AG40" s="379"/>
      <c r="AH40" s="379"/>
      <c r="AI40" s="379"/>
      <c r="AJ40" s="379"/>
      <c r="AK40" s="379"/>
      <c r="AL40" s="379"/>
      <c r="AM40" s="379"/>
      <c r="AN40" s="379"/>
      <c r="AO40" s="379"/>
      <c r="AP40" s="379"/>
    </row>
    <row r="41" spans="4:42" x14ac:dyDescent="0.25">
      <c r="Z41" s="382"/>
      <c r="AA41" s="383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</row>
    <row r="42" spans="4:42" x14ac:dyDescent="0.25"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</row>
    <row r="43" spans="4:42" ht="15" customHeight="1" x14ac:dyDescent="0.25">
      <c r="Z43" s="378"/>
      <c r="AA43" s="328"/>
      <c r="AB43" s="324"/>
      <c r="AC43" s="324"/>
      <c r="AD43" s="324"/>
      <c r="AE43" s="324"/>
      <c r="AF43" s="324"/>
      <c r="AG43" s="324"/>
      <c r="AH43" s="324"/>
      <c r="AI43" s="324"/>
      <c r="AJ43" s="324"/>
      <c r="AK43" s="324"/>
      <c r="AL43" s="324"/>
      <c r="AM43" s="324"/>
      <c r="AN43" s="324"/>
      <c r="AO43" s="324"/>
      <c r="AP43" s="324"/>
    </row>
    <row r="44" spans="4:42" x14ac:dyDescent="0.25">
      <c r="Z44" s="378"/>
      <c r="AA44" s="328"/>
      <c r="AB44" s="324"/>
      <c r="AC44" s="324"/>
      <c r="AD44" s="324"/>
      <c r="AE44" s="324"/>
      <c r="AF44" s="324"/>
      <c r="AG44" s="324"/>
      <c r="AH44" s="324"/>
      <c r="AI44" s="324"/>
      <c r="AJ44" s="324"/>
      <c r="AK44" s="324"/>
      <c r="AL44" s="324"/>
      <c r="AM44" s="324"/>
      <c r="AN44" s="324"/>
      <c r="AO44" s="324"/>
      <c r="AP44" s="324"/>
    </row>
    <row r="45" spans="4:42" x14ac:dyDescent="0.25">
      <c r="D45" s="292">
        <v>2013</v>
      </c>
      <c r="E45" s="375" t="s">
        <v>153</v>
      </c>
      <c r="F45" s="375"/>
      <c r="G45" s="375"/>
      <c r="H45" s="375"/>
      <c r="I45" s="375"/>
      <c r="J45" s="377" t="s">
        <v>154</v>
      </c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291"/>
      <c r="Z45" s="383"/>
      <c r="AA45" s="383"/>
      <c r="AB45" s="383"/>
      <c r="AC45" s="383"/>
      <c r="AD45" s="383"/>
      <c r="AE45" s="383"/>
      <c r="AF45" s="383"/>
      <c r="AG45" s="383"/>
      <c r="AH45" s="383"/>
      <c r="AI45" s="383"/>
      <c r="AJ45" s="383"/>
      <c r="AK45" s="383"/>
      <c r="AL45" s="383"/>
      <c r="AM45" s="383"/>
      <c r="AN45" s="383"/>
      <c r="AO45" s="383"/>
      <c r="AP45" s="383"/>
    </row>
    <row r="46" spans="4:42" ht="28.5" customHeight="1" x14ac:dyDescent="0.25">
      <c r="D46" s="308"/>
      <c r="E46" s="311" t="s">
        <v>87</v>
      </c>
      <c r="F46" s="311" t="s">
        <v>155</v>
      </c>
      <c r="G46" s="311" t="s">
        <v>90</v>
      </c>
      <c r="H46" s="311" t="s">
        <v>156</v>
      </c>
      <c r="I46" s="311" t="s">
        <v>157</v>
      </c>
      <c r="J46" s="309" t="str">
        <f>F22</f>
        <v>Moderate forest</v>
      </c>
      <c r="K46" s="309" t="str">
        <f t="shared" ref="K46:U46" si="13">G22</f>
        <v>Perennial crop</v>
      </c>
      <c r="L46" s="309" t="str">
        <f t="shared" si="13"/>
        <v>Annual crop</v>
      </c>
      <c r="M46" s="309" t="str">
        <f t="shared" si="13"/>
        <v>Open grassland</v>
      </c>
      <c r="N46" s="309" t="str">
        <f t="shared" si="13"/>
        <v>Closed grassland</v>
      </c>
      <c r="O46" s="309" t="str">
        <f t="shared" si="13"/>
        <v>Dense forest</v>
      </c>
      <c r="P46" s="309" t="str">
        <f t="shared" si="13"/>
        <v>Sparse forest</v>
      </c>
      <c r="Q46" s="309" t="str">
        <f t="shared" si="13"/>
        <v>Wetland</v>
      </c>
      <c r="R46" s="309" t="str">
        <f t="shared" si="13"/>
        <v>Built up area</v>
      </c>
      <c r="S46" s="309" t="str">
        <f t="shared" si="13"/>
        <v>Open shrubland</v>
      </c>
      <c r="T46" s="309" t="str">
        <f t="shared" si="13"/>
        <v>Closed shrubland</v>
      </c>
      <c r="U46" s="309" t="str">
        <f t="shared" si="13"/>
        <v>Water body</v>
      </c>
      <c r="V46" s="309" t="str">
        <f>R22</f>
        <v>Bare land</v>
      </c>
      <c r="W46" s="322" t="str">
        <f t="shared" ref="W46" si="14">S22</f>
        <v>National</v>
      </c>
      <c r="Z46" s="378"/>
      <c r="AA46" s="328"/>
      <c r="AB46" s="324"/>
      <c r="AC46" s="324"/>
      <c r="AD46" s="324"/>
      <c r="AE46" s="324"/>
      <c r="AF46" s="324"/>
      <c r="AG46" s="324"/>
      <c r="AH46" s="324"/>
      <c r="AI46" s="324"/>
      <c r="AJ46" s="324"/>
      <c r="AK46" s="324"/>
      <c r="AL46" s="324"/>
      <c r="AM46" s="324"/>
      <c r="AN46" s="324"/>
      <c r="AO46" s="324"/>
      <c r="AP46" s="324"/>
    </row>
    <row r="47" spans="4:42" x14ac:dyDescent="0.25">
      <c r="D47" s="306" t="s">
        <v>158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T47" s="280"/>
      <c r="W47" s="280"/>
      <c r="Z47" s="378"/>
      <c r="AA47" s="328"/>
      <c r="AB47" s="324"/>
      <c r="AC47" s="324"/>
      <c r="AD47" s="324"/>
      <c r="AE47" s="324"/>
      <c r="AF47" s="324"/>
      <c r="AG47" s="324"/>
      <c r="AH47" s="324"/>
      <c r="AI47" s="324"/>
      <c r="AJ47" s="324"/>
      <c r="AK47" s="324"/>
      <c r="AL47" s="324"/>
      <c r="AM47" s="324"/>
      <c r="AN47" s="324"/>
      <c r="AO47" s="324"/>
      <c r="AP47" s="324"/>
    </row>
    <row r="48" spans="4:42" ht="15" customHeight="1" x14ac:dyDescent="0.25">
      <c r="D48" s="281" t="str">
        <f>D31</f>
        <v>Soil protection (avoided erosion)  (Million Tons)</v>
      </c>
      <c r="E48" s="320"/>
      <c r="F48" s="320"/>
      <c r="G48" s="320"/>
      <c r="H48" s="320"/>
      <c r="I48" s="320"/>
      <c r="J48" s="6">
        <f>F31</f>
        <v>2957.46</v>
      </c>
      <c r="K48" s="6">
        <f t="shared" ref="K48:W48" si="15">G31</f>
        <v>200.45658</v>
      </c>
      <c r="L48" s="6">
        <f t="shared" si="15"/>
        <v>8267.7900000000009</v>
      </c>
      <c r="M48" s="6">
        <f t="shared" si="15"/>
        <v>564.00149999999996</v>
      </c>
      <c r="N48" s="6">
        <f t="shared" si="15"/>
        <v>500.33274</v>
      </c>
      <c r="O48" s="6">
        <f t="shared" si="15"/>
        <v>6416.4233999999997</v>
      </c>
      <c r="P48" s="6">
        <f t="shared" si="15"/>
        <v>1001.62726</v>
      </c>
      <c r="Q48" s="6">
        <f t="shared" si="15"/>
        <v>14.772930000000001</v>
      </c>
      <c r="R48" s="6">
        <f t="shared" si="15"/>
        <v>58.769316000000003</v>
      </c>
      <c r="S48" s="6">
        <f t="shared" si="15"/>
        <v>5032.9930000000004</v>
      </c>
      <c r="T48" s="6">
        <f t="shared" si="15"/>
        <v>4314.7740000000003</v>
      </c>
      <c r="U48" s="6">
        <f t="shared" si="15"/>
        <v>28.311063999999998</v>
      </c>
      <c r="V48" s="6">
        <f t="shared" si="15"/>
        <v>327.42173000000003</v>
      </c>
      <c r="W48" s="307">
        <f t="shared" si="15"/>
        <v>29685.133519999999</v>
      </c>
      <c r="Z48" s="378"/>
      <c r="AA48" s="328"/>
      <c r="AB48" s="324"/>
      <c r="AC48" s="324"/>
      <c r="AD48" s="324"/>
      <c r="AE48" s="324"/>
      <c r="AF48" s="324"/>
      <c r="AG48" s="324"/>
      <c r="AH48" s="324"/>
      <c r="AI48" s="324"/>
      <c r="AJ48" s="324"/>
      <c r="AK48" s="324"/>
      <c r="AL48" s="324"/>
      <c r="AM48" s="324"/>
      <c r="AN48" s="324"/>
      <c r="AO48" s="324"/>
      <c r="AP48" s="324"/>
    </row>
    <row r="49" spans="4:59" x14ac:dyDescent="0.25">
      <c r="D49" s="281" t="str">
        <f>D29</f>
        <v>Flood mitigation (avoided quick flow)  (Million m3)</v>
      </c>
      <c r="E49" s="320"/>
      <c r="F49" s="320"/>
      <c r="G49" s="320"/>
      <c r="H49" s="320"/>
      <c r="I49" s="320"/>
      <c r="J49" s="6">
        <f>F29</f>
        <v>21296.991999999998</v>
      </c>
      <c r="K49" s="6">
        <f t="shared" ref="K49:W49" si="16">G29</f>
        <v>1717.4780000000001</v>
      </c>
      <c r="L49" s="6">
        <f t="shared" si="16"/>
        <v>34435.436999999998</v>
      </c>
      <c r="M49" s="6">
        <f t="shared" si="16"/>
        <v>6428.7493000000004</v>
      </c>
      <c r="N49" s="6">
        <f t="shared" si="16"/>
        <v>5378.8805000000002</v>
      </c>
      <c r="O49" s="6">
        <f t="shared" si="16"/>
        <v>45113.925999999999</v>
      </c>
      <c r="P49" s="6">
        <f t="shared" si="16"/>
        <v>6469.4522999999999</v>
      </c>
      <c r="Q49" s="6">
        <f t="shared" si="16"/>
        <v>746.48099999999999</v>
      </c>
      <c r="R49" s="6">
        <f t="shared" si="16"/>
        <v>-1419.3498999999999</v>
      </c>
      <c r="S49" s="6">
        <f t="shared" si="16"/>
        <v>41168.978000000003</v>
      </c>
      <c r="T49" s="6">
        <f t="shared" si="16"/>
        <v>32007.471000000001</v>
      </c>
      <c r="U49" s="6">
        <f t="shared" si="16"/>
        <v>-3103.6174999999998</v>
      </c>
      <c r="V49" s="6">
        <f t="shared" si="16"/>
        <v>117.76244</v>
      </c>
      <c r="W49" s="307">
        <f t="shared" si="16"/>
        <v>190358.64014</v>
      </c>
      <c r="Z49" s="378"/>
      <c r="AA49" s="328"/>
      <c r="AB49" s="324"/>
      <c r="AC49" s="324"/>
      <c r="AD49" s="324"/>
      <c r="AE49" s="324"/>
      <c r="AF49" s="324"/>
      <c r="AG49" s="324"/>
      <c r="AH49" s="324"/>
      <c r="AI49" s="324"/>
      <c r="AJ49" s="324"/>
      <c r="AK49" s="324"/>
      <c r="AL49" s="324"/>
      <c r="AM49" s="324"/>
      <c r="AN49" s="324"/>
      <c r="AO49" s="324"/>
      <c r="AP49" s="324"/>
    </row>
    <row r="50" spans="4:59" ht="15" customHeight="1" x14ac:dyDescent="0.25">
      <c r="D50" s="281" t="str">
        <f>D27</f>
        <v>Sustained water in dry periods  (baseflow)  (Million m3)</v>
      </c>
      <c r="E50" s="320"/>
      <c r="F50" s="320"/>
      <c r="G50" s="320"/>
      <c r="H50" s="320"/>
      <c r="I50" s="320"/>
      <c r="J50" s="6">
        <f>F27</f>
        <v>10565.424000000001</v>
      </c>
      <c r="K50" s="6">
        <f t="shared" ref="K50:W50" si="17">G27</f>
        <v>1136.6414</v>
      </c>
      <c r="L50" s="6">
        <f t="shared" si="17"/>
        <v>43559.525999999998</v>
      </c>
      <c r="M50" s="6">
        <f t="shared" si="17"/>
        <v>4060.3784000000001</v>
      </c>
      <c r="N50" s="6">
        <f t="shared" si="17"/>
        <v>4155.9345000000003</v>
      </c>
      <c r="O50" s="6">
        <f t="shared" si="17"/>
        <v>22682.612000000001</v>
      </c>
      <c r="P50" s="6">
        <f t="shared" si="17"/>
        <v>5577.6970000000001</v>
      </c>
      <c r="Q50" s="6">
        <f t="shared" si="17"/>
        <v>657.74760000000003</v>
      </c>
      <c r="R50" s="6">
        <f t="shared" si="17"/>
        <v>28.661124000000001</v>
      </c>
      <c r="S50" s="6">
        <f t="shared" si="17"/>
        <v>29688.080000000002</v>
      </c>
      <c r="T50" s="6">
        <f t="shared" si="17"/>
        <v>27936.035</v>
      </c>
      <c r="U50" s="6">
        <f t="shared" si="17"/>
        <v>1188.3810000000001</v>
      </c>
      <c r="V50" s="6">
        <f t="shared" si="17"/>
        <v>10920.665999999999</v>
      </c>
      <c r="W50" s="307">
        <f t="shared" si="17"/>
        <v>162157.78402399999</v>
      </c>
      <c r="Z50" s="380"/>
      <c r="AA50" s="330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</row>
    <row r="51" spans="4:59" x14ac:dyDescent="0.25">
      <c r="D51" s="281" t="str">
        <f>D33</f>
        <v>Water quality regulation (avoided sediment) (Million Tons)</v>
      </c>
      <c r="E51" s="314"/>
      <c r="F51" s="314"/>
      <c r="G51" s="314"/>
      <c r="H51" s="314"/>
      <c r="I51" s="314"/>
      <c r="J51" s="6">
        <f>F33</f>
        <v>574.55889999999999</v>
      </c>
      <c r="K51" s="6">
        <f t="shared" ref="K51:W51" si="18">G33</f>
        <v>50.101736000000002</v>
      </c>
      <c r="L51" s="6">
        <f t="shared" si="18"/>
        <v>1992.8461</v>
      </c>
      <c r="M51" s="6">
        <f t="shared" si="18"/>
        <v>150.71459999999999</v>
      </c>
      <c r="N51" s="6">
        <f t="shared" si="18"/>
        <v>108.44737000000001</v>
      </c>
      <c r="O51" s="6">
        <f t="shared" si="18"/>
        <v>1179.6197</v>
      </c>
      <c r="P51" s="6">
        <f t="shared" si="18"/>
        <v>201.63093000000001</v>
      </c>
      <c r="Q51" s="6">
        <f t="shared" si="18"/>
        <v>5.6170675000000001</v>
      </c>
      <c r="R51" s="6">
        <f t="shared" si="18"/>
        <v>6.9696709999999999</v>
      </c>
      <c r="S51" s="6">
        <f t="shared" si="18"/>
        <v>1298.7743</v>
      </c>
      <c r="T51" s="6">
        <f t="shared" si="18"/>
        <v>946.94939999999997</v>
      </c>
      <c r="U51" s="6">
        <f t="shared" si="18"/>
        <v>21.345155999999999</v>
      </c>
      <c r="V51" s="6">
        <f t="shared" si="18"/>
        <v>179.114</v>
      </c>
      <c r="W51" s="307">
        <f t="shared" si="18"/>
        <v>6716.6889305000004</v>
      </c>
      <c r="Z51" s="380"/>
      <c r="AA51" s="330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</row>
    <row r="52" spans="4:59" ht="15" customHeight="1" x14ac:dyDescent="0.25">
      <c r="D52" s="281" t="str">
        <f>D24</f>
        <v>Water yield (Million m3)</v>
      </c>
      <c r="E52" s="314"/>
      <c r="F52" s="314"/>
      <c r="G52" s="314"/>
      <c r="H52" s="314"/>
      <c r="I52" s="314"/>
      <c r="J52" s="6">
        <f>F24</f>
        <v>18669.963</v>
      </c>
      <c r="K52" s="6">
        <f t="shared" ref="K52:W52" si="19">G24</f>
        <v>1728.6629700000001</v>
      </c>
      <c r="L52" s="6">
        <f t="shared" si="19"/>
        <v>118579.421</v>
      </c>
      <c r="M52" s="6">
        <f t="shared" si="19"/>
        <v>11840.9804</v>
      </c>
      <c r="N52" s="6">
        <f t="shared" si="19"/>
        <v>7361.5084999999999</v>
      </c>
      <c r="O52" s="6">
        <f t="shared" si="19"/>
        <v>37051.752999999997</v>
      </c>
      <c r="P52" s="6">
        <f t="shared" si="19"/>
        <v>9226.1190999999999</v>
      </c>
      <c r="Q52" s="6">
        <f t="shared" si="19"/>
        <v>1368.0274999999999</v>
      </c>
      <c r="R52" s="6">
        <f t="shared" si="19"/>
        <v>2967.4751240000001</v>
      </c>
      <c r="S52" s="6">
        <f t="shared" si="19"/>
        <v>61690.932999999997</v>
      </c>
      <c r="T52" s="6">
        <f t="shared" si="19"/>
        <v>42757.442000000003</v>
      </c>
      <c r="U52" s="6">
        <f t="shared" si="19"/>
        <v>7169.6925000000001</v>
      </c>
      <c r="V52" s="6">
        <f t="shared" si="19"/>
        <v>20293.585999999999</v>
      </c>
      <c r="W52" s="307">
        <f t="shared" si="19"/>
        <v>340705.56409399997</v>
      </c>
      <c r="Z52" s="380"/>
      <c r="AA52" s="330"/>
      <c r="AB52" s="325"/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</row>
    <row r="53" spans="4:59" x14ac:dyDescent="0.25">
      <c r="D53" s="312" t="s">
        <v>159</v>
      </c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298"/>
      <c r="U53" s="313"/>
      <c r="V53" s="313"/>
      <c r="W53" s="291"/>
      <c r="Z53" s="380"/>
      <c r="AA53" s="330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</row>
    <row r="54" spans="4:59" ht="15" customHeight="1" x14ac:dyDescent="0.25">
      <c r="D54" s="281" t="str">
        <f>D48</f>
        <v>Soil protection (avoided erosion)  (Million Tons)</v>
      </c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6"/>
      <c r="U54" s="314"/>
      <c r="V54" s="314"/>
      <c r="W54" s="315"/>
      <c r="Z54" s="329"/>
      <c r="AA54" s="331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  <c r="AL54" s="332"/>
      <c r="AM54" s="332"/>
      <c r="AN54" s="332"/>
      <c r="AO54" s="332"/>
      <c r="AP54" s="332"/>
    </row>
    <row r="55" spans="4:59" x14ac:dyDescent="0.25">
      <c r="D55" s="281" t="str">
        <f t="shared" ref="D55:D58" si="20">D49</f>
        <v>Flood mitigation (avoided quick flow)  (Million m3)</v>
      </c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5"/>
    </row>
    <row r="56" spans="4:59" x14ac:dyDescent="0.25">
      <c r="D56" s="281" t="str">
        <f t="shared" si="20"/>
        <v>Sustained water in dry periods  (baseflow)  (Million m3)</v>
      </c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5"/>
    </row>
    <row r="57" spans="4:59" x14ac:dyDescent="0.25">
      <c r="D57" s="281" t="str">
        <f t="shared" si="20"/>
        <v>Water quality regulation (avoided sediment) (Million Tons)</v>
      </c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5"/>
    </row>
    <row r="58" spans="4:59" x14ac:dyDescent="0.25">
      <c r="D58" s="281" t="str">
        <f t="shared" si="20"/>
        <v>Water yield (Million m3)</v>
      </c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5"/>
    </row>
    <row r="59" spans="4:59" x14ac:dyDescent="0.25">
      <c r="D59" s="281"/>
      <c r="T59" s="284"/>
      <c r="U59" s="284"/>
      <c r="V59" s="284"/>
      <c r="W59" s="285"/>
      <c r="AU59" s="379"/>
      <c r="AV59" s="379"/>
      <c r="AW59" s="379"/>
      <c r="AX59" s="379"/>
      <c r="AY59" s="379"/>
      <c r="AZ59" s="379"/>
      <c r="BA59" s="379"/>
      <c r="BB59" s="379"/>
      <c r="BC59" s="379"/>
      <c r="BD59" s="379"/>
      <c r="BE59" s="379"/>
      <c r="BF59" s="379"/>
      <c r="BG59" s="379"/>
    </row>
    <row r="60" spans="4:59" x14ac:dyDescent="0.25">
      <c r="D60" s="312">
        <v>2022</v>
      </c>
      <c r="E60" s="376" t="s">
        <v>153</v>
      </c>
      <c r="F60" s="376"/>
      <c r="G60" s="376"/>
      <c r="H60" s="376"/>
      <c r="I60" s="376"/>
      <c r="J60" s="376" t="s">
        <v>154</v>
      </c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285"/>
      <c r="AU60" s="379"/>
      <c r="AV60" s="379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4:59" ht="45" x14ac:dyDescent="0.25">
      <c r="D61" s="308"/>
      <c r="E61" s="311" t="s">
        <v>87</v>
      </c>
      <c r="F61" s="311" t="s">
        <v>155</v>
      </c>
      <c r="G61" s="311" t="s">
        <v>90</v>
      </c>
      <c r="H61" s="311" t="s">
        <v>156</v>
      </c>
      <c r="I61" s="311" t="s">
        <v>157</v>
      </c>
      <c r="J61" s="309" t="str">
        <f>J46</f>
        <v>Moderate forest</v>
      </c>
      <c r="K61" s="309" t="str">
        <f t="shared" ref="K61:W61" si="21">K46</f>
        <v>Perennial crop</v>
      </c>
      <c r="L61" s="309" t="str">
        <f t="shared" si="21"/>
        <v>Annual crop</v>
      </c>
      <c r="M61" s="309" t="str">
        <f t="shared" si="21"/>
        <v>Open grassland</v>
      </c>
      <c r="N61" s="309" t="str">
        <f t="shared" si="21"/>
        <v>Closed grassland</v>
      </c>
      <c r="O61" s="309" t="str">
        <f t="shared" si="21"/>
        <v>Dense forest</v>
      </c>
      <c r="P61" s="309" t="str">
        <f t="shared" si="21"/>
        <v>Sparse forest</v>
      </c>
      <c r="Q61" s="309" t="str">
        <f t="shared" si="21"/>
        <v>Wetland</v>
      </c>
      <c r="R61" s="309" t="str">
        <f t="shared" si="21"/>
        <v>Built up area</v>
      </c>
      <c r="S61" s="309" t="str">
        <f t="shared" si="21"/>
        <v>Open shrubland</v>
      </c>
      <c r="T61" s="321" t="str">
        <f t="shared" si="21"/>
        <v>Closed shrubland</v>
      </c>
      <c r="U61" s="321" t="str">
        <f t="shared" si="21"/>
        <v>Water body</v>
      </c>
      <c r="V61" s="321" t="str">
        <f t="shared" si="21"/>
        <v>Bare land</v>
      </c>
      <c r="W61" s="322" t="str">
        <f t="shared" si="21"/>
        <v>National</v>
      </c>
      <c r="AU61" s="379"/>
      <c r="AV61" s="379"/>
      <c r="AW61" s="379"/>
      <c r="AX61" s="379"/>
      <c r="AY61" s="379"/>
      <c r="AZ61" s="379"/>
      <c r="BA61" s="379"/>
      <c r="BB61" s="379"/>
      <c r="BC61" s="379"/>
      <c r="BD61" s="379"/>
      <c r="BE61" s="379"/>
      <c r="BF61" s="379"/>
      <c r="BG61" s="379"/>
    </row>
    <row r="62" spans="4:59" x14ac:dyDescent="0.25">
      <c r="D62" s="306" t="s">
        <v>158</v>
      </c>
      <c r="T62" s="280"/>
      <c r="W62" s="280"/>
      <c r="AU62" s="378"/>
      <c r="AV62" s="263"/>
      <c r="AW62" s="326"/>
      <c r="AX62" s="326"/>
      <c r="AY62" s="326"/>
      <c r="AZ62" s="326"/>
      <c r="BA62" s="326"/>
      <c r="BB62" s="326"/>
      <c r="BC62" s="326"/>
      <c r="BD62" s="326"/>
      <c r="BE62" s="326"/>
      <c r="BF62" s="326"/>
      <c r="BG62" s="326"/>
    </row>
    <row r="63" spans="4:59" x14ac:dyDescent="0.25">
      <c r="D63" s="281" t="str">
        <f>D48</f>
        <v>Soil protection (avoided erosion)  (Million Tons)</v>
      </c>
      <c r="E63" s="314"/>
      <c r="F63" s="314"/>
      <c r="G63" s="314"/>
      <c r="H63" s="314"/>
      <c r="I63" s="314"/>
      <c r="J63" s="6">
        <f>F32</f>
        <v>3835.8715000000002</v>
      </c>
      <c r="K63" s="6">
        <f t="shared" ref="K63:W63" si="22">G32</f>
        <v>280.79145999999997</v>
      </c>
      <c r="L63" s="6">
        <f t="shared" si="22"/>
        <v>8807.4259999999995</v>
      </c>
      <c r="M63" s="6">
        <f t="shared" si="22"/>
        <v>444.92083000000002</v>
      </c>
      <c r="N63" s="6">
        <f t="shared" si="22"/>
        <v>683.7056</v>
      </c>
      <c r="O63" s="6">
        <f t="shared" si="22"/>
        <v>6149.9606999999996</v>
      </c>
      <c r="P63" s="6">
        <f t="shared" si="22"/>
        <v>683.91020000000003</v>
      </c>
      <c r="Q63" s="6">
        <f t="shared" si="22"/>
        <v>15.030652999999999</v>
      </c>
      <c r="R63" s="6">
        <f t="shared" si="22"/>
        <v>101.64713</v>
      </c>
      <c r="S63" s="6">
        <f t="shared" si="22"/>
        <v>4384.0510000000004</v>
      </c>
      <c r="T63" s="6">
        <f t="shared" si="22"/>
        <v>3897.3564999999999</v>
      </c>
      <c r="U63" s="6">
        <f t="shared" si="22"/>
        <v>39.986123999999997</v>
      </c>
      <c r="V63" s="6">
        <f t="shared" si="22"/>
        <v>374.20848000000001</v>
      </c>
      <c r="W63" s="307">
        <f t="shared" si="22"/>
        <v>29698.866177</v>
      </c>
      <c r="AU63" s="378"/>
      <c r="AV63" s="263"/>
      <c r="AW63" s="326"/>
      <c r="AX63" s="326"/>
      <c r="AY63" s="326"/>
      <c r="AZ63" s="326"/>
      <c r="BA63" s="326"/>
      <c r="BB63" s="326"/>
      <c r="BC63" s="326"/>
      <c r="BD63" s="326"/>
      <c r="BE63" s="326"/>
      <c r="BF63" s="326"/>
      <c r="BG63" s="326"/>
    </row>
    <row r="64" spans="4:59" x14ac:dyDescent="0.25">
      <c r="D64" s="281" t="str">
        <f t="shared" ref="D64:D73" si="23">D49</f>
        <v>Flood mitigation (avoided quick flow)  (Million m3)</v>
      </c>
      <c r="E64" s="314"/>
      <c r="F64" s="314"/>
      <c r="G64" s="314"/>
      <c r="H64" s="314"/>
      <c r="I64" s="314"/>
      <c r="J64" s="6">
        <f>F30</f>
        <v>25659.288</v>
      </c>
      <c r="K64" s="6">
        <f t="shared" ref="K64:W64" si="24">G30</f>
        <v>2778.8049999999998</v>
      </c>
      <c r="L64" s="6">
        <f t="shared" si="24"/>
        <v>39265.440000000002</v>
      </c>
      <c r="M64" s="6">
        <f t="shared" si="24"/>
        <v>5248.2669999999998</v>
      </c>
      <c r="N64" s="6">
        <f t="shared" si="24"/>
        <v>9197.1939999999995</v>
      </c>
      <c r="O64" s="6">
        <f t="shared" si="24"/>
        <v>45600.535000000003</v>
      </c>
      <c r="P64" s="6">
        <f t="shared" si="24"/>
        <v>3908.0625</v>
      </c>
      <c r="Q64" s="6">
        <f t="shared" si="24"/>
        <v>740.71744000000001</v>
      </c>
      <c r="R64" s="6">
        <f t="shared" si="24"/>
        <v>-1984.8202000000001</v>
      </c>
      <c r="S64" s="6">
        <f t="shared" si="24"/>
        <v>31965.469000000001</v>
      </c>
      <c r="T64" s="6">
        <f t="shared" si="24"/>
        <v>26391.341</v>
      </c>
      <c r="U64" s="6">
        <f t="shared" si="24"/>
        <v>-3801.1143999999999</v>
      </c>
      <c r="V64" s="6">
        <f t="shared" si="24"/>
        <v>193.77114</v>
      </c>
      <c r="W64" s="307">
        <f t="shared" si="24"/>
        <v>185162.95548</v>
      </c>
      <c r="AU64" s="381"/>
      <c r="AV64" s="381"/>
      <c r="AW64" s="381"/>
      <c r="AX64" s="381"/>
      <c r="AY64" s="381"/>
      <c r="AZ64" s="381"/>
      <c r="BA64" s="381"/>
      <c r="BB64" s="381"/>
      <c r="BC64" s="381"/>
      <c r="BD64" s="381"/>
      <c r="BE64" s="381"/>
      <c r="BF64" s="381"/>
      <c r="BG64" s="381"/>
    </row>
    <row r="65" spans="4:59" x14ac:dyDescent="0.25">
      <c r="D65" s="281" t="str">
        <f t="shared" si="23"/>
        <v>Sustained water in dry periods  (baseflow)  (Million m3)</v>
      </c>
      <c r="E65" s="314"/>
      <c r="F65" s="314"/>
      <c r="G65" s="314"/>
      <c r="H65" s="314"/>
      <c r="I65" s="314"/>
      <c r="J65" s="6">
        <f>F28</f>
        <v>12444.46</v>
      </c>
      <c r="K65" s="6">
        <f t="shared" ref="K65:W65" si="25">G28</f>
        <v>1858.2656999999999</v>
      </c>
      <c r="L65" s="6">
        <f t="shared" si="25"/>
        <v>47355.81</v>
      </c>
      <c r="M65" s="6">
        <f t="shared" si="25"/>
        <v>2932.5988000000002</v>
      </c>
      <c r="N65" s="6">
        <f t="shared" si="25"/>
        <v>9845.0709999999999</v>
      </c>
      <c r="O65" s="6">
        <f t="shared" si="25"/>
        <v>23192.455000000002</v>
      </c>
      <c r="P65" s="6">
        <f t="shared" si="25"/>
        <v>2920.1603</v>
      </c>
      <c r="Q65" s="6">
        <f t="shared" si="25"/>
        <v>675.06150000000002</v>
      </c>
      <c r="R65" s="6">
        <f t="shared" si="25"/>
        <v>100.39773</v>
      </c>
      <c r="S65" s="6">
        <f t="shared" si="25"/>
        <v>22349.662</v>
      </c>
      <c r="T65" s="6">
        <f t="shared" si="25"/>
        <v>24952.083999999999</v>
      </c>
      <c r="U65" s="6">
        <f t="shared" si="25"/>
        <v>1459.5844999999999</v>
      </c>
      <c r="V65" s="6">
        <f t="shared" si="25"/>
        <v>10001.707</v>
      </c>
      <c r="W65" s="307">
        <f t="shared" si="25"/>
        <v>160087.31753</v>
      </c>
      <c r="AU65" s="378"/>
      <c r="AV65" s="263"/>
      <c r="AW65" s="326"/>
      <c r="AX65" s="326"/>
      <c r="AY65" s="326"/>
      <c r="AZ65" s="326"/>
      <c r="BA65" s="326"/>
      <c r="BB65" s="326"/>
      <c r="BC65" s="326"/>
      <c r="BD65" s="326"/>
      <c r="BE65" s="326"/>
      <c r="BF65" s="326"/>
      <c r="BG65" s="326"/>
    </row>
    <row r="66" spans="4:59" x14ac:dyDescent="0.25">
      <c r="D66" s="281" t="str">
        <f t="shared" si="23"/>
        <v>Water quality regulation (avoided sediment) (Million Tons)</v>
      </c>
      <c r="E66" s="314"/>
      <c r="F66" s="314"/>
      <c r="G66" s="314"/>
      <c r="H66" s="314"/>
      <c r="I66" s="314"/>
      <c r="J66" s="6">
        <f>F34</f>
        <v>731.19</v>
      </c>
      <c r="K66" s="6">
        <f t="shared" ref="K66:W66" si="26">G34</f>
        <v>72.172759999999997</v>
      </c>
      <c r="L66" s="6">
        <f t="shared" si="26"/>
        <v>2153.3542000000002</v>
      </c>
      <c r="M66" s="6">
        <f t="shared" si="26"/>
        <v>124.33148</v>
      </c>
      <c r="N66" s="6">
        <f t="shared" si="26"/>
        <v>135.45939999999999</v>
      </c>
      <c r="O66" s="6">
        <f t="shared" si="26"/>
        <v>1119.6449</v>
      </c>
      <c r="P66" s="6">
        <f t="shared" si="26"/>
        <v>131.08731</v>
      </c>
      <c r="Q66" s="6">
        <f t="shared" si="26"/>
        <v>5.764907</v>
      </c>
      <c r="R66" s="6">
        <f t="shared" si="26"/>
        <v>13.457158</v>
      </c>
      <c r="S66" s="6">
        <f t="shared" si="26"/>
        <v>1104.6454000000001</v>
      </c>
      <c r="T66" s="6">
        <f t="shared" si="26"/>
        <v>865.7577</v>
      </c>
      <c r="U66" s="6">
        <f t="shared" si="26"/>
        <v>36.697056000000003</v>
      </c>
      <c r="V66" s="6">
        <f t="shared" si="26"/>
        <v>207.36714000000001</v>
      </c>
      <c r="W66" s="307">
        <f t="shared" si="26"/>
        <v>6700.9294110000001</v>
      </c>
      <c r="AU66" s="378"/>
      <c r="AV66" s="263"/>
      <c r="AW66" s="326"/>
      <c r="AX66" s="326"/>
      <c r="AY66" s="326"/>
      <c r="AZ66" s="326"/>
      <c r="BA66" s="326"/>
      <c r="BB66" s="326"/>
      <c r="BC66" s="326"/>
      <c r="BD66" s="326"/>
      <c r="BE66" s="326"/>
      <c r="BF66" s="326"/>
      <c r="BG66" s="326"/>
    </row>
    <row r="67" spans="4:59" x14ac:dyDescent="0.25">
      <c r="D67" s="281" t="str">
        <f t="shared" si="23"/>
        <v>Water yield (Million m3)</v>
      </c>
      <c r="E67" s="314"/>
      <c r="F67" s="314"/>
      <c r="G67" s="314"/>
      <c r="H67" s="314"/>
      <c r="I67" s="314"/>
      <c r="J67" s="6">
        <f>F25</f>
        <v>22959.047999999999</v>
      </c>
      <c r="K67" s="6">
        <f t="shared" ref="K67:W67" si="27">G25</f>
        <v>2910.1768000000002</v>
      </c>
      <c r="L67" s="6">
        <f t="shared" si="27"/>
        <v>132281.57999999999</v>
      </c>
      <c r="M67" s="6">
        <f t="shared" si="27"/>
        <v>9387.6623999999993</v>
      </c>
      <c r="N67" s="6">
        <f t="shared" si="27"/>
        <v>14845.1826</v>
      </c>
      <c r="O67" s="6">
        <f t="shared" si="27"/>
        <v>38051.637000000002</v>
      </c>
      <c r="P67" s="6">
        <f t="shared" si="27"/>
        <v>5164.4453000000003</v>
      </c>
      <c r="Q67" s="6">
        <f t="shared" si="27"/>
        <v>1388.24467</v>
      </c>
      <c r="R67" s="6">
        <f t="shared" si="27"/>
        <v>4474.7467299999998</v>
      </c>
      <c r="S67" s="6">
        <f t="shared" si="27"/>
        <v>46810.173000000003</v>
      </c>
      <c r="T67" s="6">
        <f t="shared" si="27"/>
        <v>37289.832000000002</v>
      </c>
      <c r="U67" s="6">
        <f t="shared" si="27"/>
        <v>8964.6550999999999</v>
      </c>
      <c r="V67" s="6">
        <f t="shared" si="27"/>
        <v>19316.823</v>
      </c>
      <c r="W67" s="307">
        <f t="shared" si="27"/>
        <v>343844.20659999998</v>
      </c>
      <c r="AU67" s="378"/>
      <c r="AV67" s="263"/>
      <c r="AW67" s="326"/>
      <c r="AX67" s="326"/>
      <c r="AY67" s="326"/>
      <c r="AZ67" s="326"/>
      <c r="BA67" s="326"/>
      <c r="BB67" s="326"/>
      <c r="BC67" s="326"/>
      <c r="BD67" s="326"/>
      <c r="BE67" s="326"/>
      <c r="BF67" s="326"/>
      <c r="BG67" s="326"/>
    </row>
    <row r="68" spans="4:59" x14ac:dyDescent="0.25">
      <c r="D68" s="306" t="str">
        <f t="shared" si="23"/>
        <v>USE</v>
      </c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298"/>
      <c r="U68" s="298"/>
      <c r="V68" s="298"/>
      <c r="W68" s="278"/>
      <c r="AU68" s="378"/>
      <c r="AV68" s="263"/>
      <c r="AW68" s="326"/>
      <c r="AX68" s="326"/>
      <c r="AY68" s="326"/>
      <c r="AZ68" s="326"/>
      <c r="BA68" s="326"/>
      <c r="BB68" s="326"/>
      <c r="BC68" s="326"/>
      <c r="BD68" s="326"/>
      <c r="BE68" s="326"/>
      <c r="BF68" s="326"/>
      <c r="BG68" s="326"/>
    </row>
    <row r="69" spans="4:59" x14ac:dyDescent="0.25">
      <c r="D69" s="281" t="str">
        <f t="shared" si="23"/>
        <v>Soil protection (avoided erosion)  (Million Tons)</v>
      </c>
      <c r="E69" s="298"/>
      <c r="F69" s="298"/>
      <c r="G69" s="298"/>
      <c r="H69" s="298"/>
      <c r="I69" s="298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7"/>
      <c r="AU69" s="380"/>
      <c r="AV69" s="331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27"/>
    </row>
    <row r="70" spans="4:59" x14ac:dyDescent="0.25">
      <c r="D70" s="281" t="str">
        <f t="shared" si="23"/>
        <v>Flood mitigation (avoided quick flow)  (Million m3)</v>
      </c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5"/>
      <c r="AU70" s="380"/>
      <c r="AV70" s="331"/>
      <c r="AW70" s="327"/>
      <c r="AX70" s="327"/>
      <c r="AY70" s="327"/>
      <c r="AZ70" s="327"/>
      <c r="BA70" s="327"/>
      <c r="BB70" s="327"/>
      <c r="BC70" s="327"/>
      <c r="BD70" s="327"/>
      <c r="BE70" s="327"/>
      <c r="BF70" s="327"/>
      <c r="BG70" s="327"/>
    </row>
    <row r="71" spans="4:59" x14ac:dyDescent="0.25">
      <c r="D71" s="281" t="str">
        <f t="shared" si="23"/>
        <v>Sustained water in dry periods  (baseflow)  (Million m3)</v>
      </c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5"/>
      <c r="AU71" s="380"/>
      <c r="AV71" s="331"/>
      <c r="AW71" s="327"/>
      <c r="AX71" s="327"/>
      <c r="AY71" s="327"/>
      <c r="AZ71" s="327"/>
      <c r="BA71" s="327"/>
      <c r="BB71" s="327"/>
      <c r="BC71" s="327"/>
      <c r="BD71" s="327"/>
      <c r="BE71" s="327"/>
      <c r="BF71" s="327"/>
      <c r="BG71" s="327"/>
    </row>
    <row r="72" spans="4:59" x14ac:dyDescent="0.25">
      <c r="D72" s="281" t="str">
        <f t="shared" si="23"/>
        <v>Water quality regulation (avoided sediment) (Million Tons)</v>
      </c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5"/>
      <c r="AU72" s="380"/>
      <c r="AV72" s="331"/>
      <c r="AW72" s="327"/>
      <c r="AX72" s="327"/>
      <c r="AY72" s="327"/>
      <c r="AZ72" s="327"/>
      <c r="BA72" s="327"/>
      <c r="BB72" s="327"/>
      <c r="BC72" s="327"/>
      <c r="BD72" s="327"/>
      <c r="BE72" s="327"/>
      <c r="BF72" s="327"/>
      <c r="BG72" s="327"/>
    </row>
    <row r="73" spans="4:59" ht="15" customHeight="1" x14ac:dyDescent="0.25">
      <c r="D73" s="281" t="str">
        <f t="shared" si="23"/>
        <v>Water yield (Million m3)</v>
      </c>
      <c r="E73" s="284"/>
      <c r="F73" s="284"/>
      <c r="G73" s="284"/>
      <c r="H73" s="284"/>
      <c r="I73" s="284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4"/>
      <c r="U73" s="314"/>
      <c r="V73" s="314"/>
      <c r="W73" s="315"/>
      <c r="AU73" s="329"/>
      <c r="AV73" s="331"/>
      <c r="AW73" s="333"/>
      <c r="AX73" s="333"/>
      <c r="AY73" s="333"/>
      <c r="AZ73" s="333"/>
      <c r="BA73" s="333"/>
      <c r="BB73" s="333"/>
      <c r="BC73" s="333"/>
      <c r="BD73" s="333"/>
      <c r="BE73" s="333"/>
      <c r="BF73" s="333"/>
      <c r="BG73" s="333"/>
    </row>
    <row r="74" spans="4:59" x14ac:dyDescent="0.25">
      <c r="D74" s="281"/>
      <c r="T74" s="298"/>
      <c r="U74" s="298"/>
      <c r="V74" s="298"/>
      <c r="W74" s="278"/>
    </row>
    <row r="75" spans="4:59" x14ac:dyDescent="0.25">
      <c r="D75" s="283" t="s">
        <v>160</v>
      </c>
      <c r="E75" s="284"/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5"/>
    </row>
  </sheetData>
  <mergeCells count="39">
    <mergeCell ref="D4:D5"/>
    <mergeCell ref="F4:S4"/>
    <mergeCell ref="D10:D11"/>
    <mergeCell ref="D12:D13"/>
    <mergeCell ref="D14:D15"/>
    <mergeCell ref="D16:D17"/>
    <mergeCell ref="D31:D32"/>
    <mergeCell ref="D33:D34"/>
    <mergeCell ref="D23:S23"/>
    <mergeCell ref="D26:S26"/>
    <mergeCell ref="D21:D22"/>
    <mergeCell ref="F21:S21"/>
    <mergeCell ref="D24:D25"/>
    <mergeCell ref="D27:D28"/>
    <mergeCell ref="D29:D30"/>
    <mergeCell ref="AV59:AV60"/>
    <mergeCell ref="AW59:BG59"/>
    <mergeCell ref="AB40:AP40"/>
    <mergeCell ref="Z40:Z41"/>
    <mergeCell ref="AA40:AA41"/>
    <mergeCell ref="Z42:AP42"/>
    <mergeCell ref="Z50:Z51"/>
    <mergeCell ref="Z46:Z47"/>
    <mergeCell ref="Z48:Z49"/>
    <mergeCell ref="Z52:Z53"/>
    <mergeCell ref="Z43:Z44"/>
    <mergeCell ref="Z45:AP45"/>
    <mergeCell ref="AU69:AU70"/>
    <mergeCell ref="AU71:AU72"/>
    <mergeCell ref="AU64:BG64"/>
    <mergeCell ref="AU61:BG61"/>
    <mergeCell ref="AU62:AU63"/>
    <mergeCell ref="AU65:AU66"/>
    <mergeCell ref="E45:I45"/>
    <mergeCell ref="E60:I60"/>
    <mergeCell ref="J60:V60"/>
    <mergeCell ref="J45:V45"/>
    <mergeCell ref="AU67:AU68"/>
    <mergeCell ref="AU59:AU60"/>
  </mergeCells>
  <conditionalFormatting sqref="F8:R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{08677F56-0FBA-447F-A32C-3D2172552334}</x14:id>
        </ext>
      </extLst>
    </cfRule>
  </conditionalFormatting>
  <conditionalFormatting sqref="F8:S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{3C2B7441-3F8C-4234-9E55-FCA65411DAFF}</x14:id>
        </ext>
      </extLst>
    </cfRule>
  </conditionalFormatting>
  <conditionalFormatting sqref="F19:S1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{81F747CF-B720-4C99-809C-0A1B94F1E2AE}</x14:id>
        </ext>
      </extLst>
    </cfRule>
  </conditionalFormatting>
  <pageMargins left="0.7" right="0.7" top="0.75" bottom="0.75" header="0.3" footer="0.3"/>
  <headerFooter>
    <oddFooter>&amp;R_x000D_&amp;1#&amp;"Calibri"&amp;10&amp;K000000 Official Use Only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77F56-0FBA-447F-A32C-3D21725523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F8:R8</xm:sqref>
        </x14:conditionalFormatting>
        <x14:conditionalFormatting xmlns:xm="http://schemas.microsoft.com/office/excel/2006/main">
          <x14:cfRule type="dataBar" id="{3C2B7441-3F8C-4234-9E55-FCA65411DA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F8:S8</xm:sqref>
        </x14:conditionalFormatting>
        <x14:conditionalFormatting xmlns:xm="http://schemas.microsoft.com/office/excel/2006/main">
          <x14:cfRule type="dataBar" id="{81F747CF-B720-4C99-809C-0A1B94F1E2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F19:S19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9AB6-8688-44AD-A9AE-12D0E8C080B0}">
  <dimension ref="B3:U30"/>
  <sheetViews>
    <sheetView topLeftCell="F1" workbookViewId="0">
      <selection activeCell="G28" sqref="G28"/>
    </sheetView>
  </sheetViews>
  <sheetFormatPr defaultRowHeight="15" x14ac:dyDescent="0.25"/>
  <cols>
    <col min="2" max="2" width="28.7109375" customWidth="1"/>
    <col min="3" max="7" width="11.7109375" customWidth="1"/>
    <col min="8" max="20" width="15.140625" customWidth="1"/>
  </cols>
  <sheetData>
    <row r="3" spans="2:21" x14ac:dyDescent="0.25">
      <c r="B3" s="252">
        <v>2013</v>
      </c>
      <c r="C3" s="404" t="s">
        <v>153</v>
      </c>
      <c r="D3" s="404"/>
      <c r="E3" s="404"/>
      <c r="F3" s="404"/>
      <c r="G3" s="404"/>
      <c r="H3" s="405" t="s">
        <v>161</v>
      </c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260"/>
    </row>
    <row r="4" spans="2:21" x14ac:dyDescent="0.25">
      <c r="B4" s="253"/>
      <c r="C4" s="255" t="s">
        <v>87</v>
      </c>
      <c r="D4" s="255" t="s">
        <v>155</v>
      </c>
      <c r="E4" s="255" t="s">
        <v>90</v>
      </c>
      <c r="F4" s="255" t="s">
        <v>156</v>
      </c>
      <c r="G4" s="255" t="s">
        <v>157</v>
      </c>
      <c r="H4" s="256" t="s">
        <v>54</v>
      </c>
      <c r="I4" s="235" t="s">
        <v>55</v>
      </c>
      <c r="J4" s="235" t="s">
        <v>56</v>
      </c>
      <c r="K4" s="235" t="s">
        <v>57</v>
      </c>
      <c r="L4" s="235" t="s">
        <v>58</v>
      </c>
      <c r="M4" s="235" t="s">
        <v>59</v>
      </c>
      <c r="N4" s="235" t="s">
        <v>60</v>
      </c>
      <c r="O4" s="235" t="s">
        <v>61</v>
      </c>
      <c r="P4" s="235" t="s">
        <v>62</v>
      </c>
      <c r="Q4" s="235" t="s">
        <v>63</v>
      </c>
      <c r="R4" s="235" t="s">
        <v>64</v>
      </c>
      <c r="S4" s="235" t="s">
        <v>65</v>
      </c>
      <c r="T4" s="235" t="s">
        <v>66</v>
      </c>
      <c r="U4" s="261" t="s">
        <v>67</v>
      </c>
    </row>
    <row r="5" spans="2:21" x14ac:dyDescent="0.25">
      <c r="B5" s="253" t="s">
        <v>162</v>
      </c>
      <c r="H5" s="257"/>
      <c r="U5" s="253"/>
    </row>
    <row r="6" spans="2:21" x14ac:dyDescent="0.25">
      <c r="B6" s="253"/>
      <c r="H6" s="257"/>
      <c r="U6" s="253"/>
    </row>
    <row r="7" spans="2:21" x14ac:dyDescent="0.25">
      <c r="B7" s="253" t="s">
        <v>163</v>
      </c>
      <c r="C7" s="251"/>
      <c r="D7" s="251"/>
      <c r="E7" s="251"/>
      <c r="F7" s="251"/>
      <c r="G7" s="251"/>
      <c r="H7" s="257"/>
      <c r="U7" s="253"/>
    </row>
    <row r="8" spans="2:21" x14ac:dyDescent="0.25">
      <c r="B8" s="253" t="s">
        <v>10</v>
      </c>
      <c r="C8" s="251"/>
      <c r="D8" s="251"/>
      <c r="E8" s="251"/>
      <c r="F8" s="251"/>
      <c r="G8" s="251"/>
      <c r="H8" s="257"/>
      <c r="U8" s="253"/>
    </row>
    <row r="9" spans="2:21" x14ac:dyDescent="0.25">
      <c r="B9" s="254"/>
      <c r="C9" s="258"/>
      <c r="D9" s="258"/>
      <c r="E9" s="258"/>
      <c r="F9" s="258"/>
      <c r="G9" s="258"/>
      <c r="H9" s="259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4"/>
    </row>
    <row r="10" spans="2:21" x14ac:dyDescent="0.25">
      <c r="B10" s="253" t="s">
        <v>159</v>
      </c>
      <c r="H10" s="257"/>
      <c r="U10" s="253"/>
    </row>
    <row r="11" spans="2:21" x14ac:dyDescent="0.25">
      <c r="B11" s="253"/>
      <c r="H11" s="257"/>
      <c r="U11" s="253"/>
    </row>
    <row r="12" spans="2:21" x14ac:dyDescent="0.25">
      <c r="B12" s="253" t="s">
        <v>163</v>
      </c>
      <c r="H12" s="262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3"/>
    </row>
    <row r="13" spans="2:21" x14ac:dyDescent="0.25">
      <c r="B13" s="253" t="s">
        <v>10</v>
      </c>
      <c r="H13" s="262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3"/>
    </row>
    <row r="14" spans="2:21" x14ac:dyDescent="0.25">
      <c r="B14" s="254"/>
      <c r="C14" s="258"/>
      <c r="D14" s="258"/>
      <c r="E14" s="258"/>
      <c r="F14" s="258"/>
      <c r="G14" s="258"/>
      <c r="H14" s="259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4"/>
    </row>
    <row r="16" spans="2:21" x14ac:dyDescent="0.25">
      <c r="B16" s="251" t="s">
        <v>160</v>
      </c>
    </row>
    <row r="19" spans="2:21" x14ac:dyDescent="0.25">
      <c r="B19" s="252">
        <v>2022</v>
      </c>
      <c r="C19" s="404" t="s">
        <v>153</v>
      </c>
      <c r="D19" s="404"/>
      <c r="E19" s="404"/>
      <c r="F19" s="404"/>
      <c r="G19" s="404"/>
      <c r="H19" s="405" t="s">
        <v>161</v>
      </c>
      <c r="I19" s="404"/>
      <c r="J19" s="404"/>
      <c r="K19" s="404"/>
      <c r="L19" s="404"/>
      <c r="M19" s="404"/>
      <c r="N19" s="404"/>
      <c r="O19" s="404"/>
      <c r="P19" s="404"/>
      <c r="Q19" s="404"/>
      <c r="R19" s="404"/>
      <c r="S19" s="404"/>
      <c r="T19" s="404"/>
      <c r="U19" s="260"/>
    </row>
    <row r="20" spans="2:21" x14ac:dyDescent="0.25">
      <c r="B20" s="253"/>
      <c r="C20" s="255" t="s">
        <v>87</v>
      </c>
      <c r="D20" s="255" t="s">
        <v>155</v>
      </c>
      <c r="E20" s="255" t="s">
        <v>90</v>
      </c>
      <c r="F20" s="255" t="s">
        <v>156</v>
      </c>
      <c r="G20" s="255" t="s">
        <v>157</v>
      </c>
      <c r="H20" s="256" t="s">
        <v>54</v>
      </c>
      <c r="I20" s="235" t="s">
        <v>55</v>
      </c>
      <c r="J20" s="235" t="s">
        <v>56</v>
      </c>
      <c r="K20" s="235" t="s">
        <v>57</v>
      </c>
      <c r="L20" s="235" t="s">
        <v>58</v>
      </c>
      <c r="M20" s="235" t="s">
        <v>59</v>
      </c>
      <c r="N20" s="235" t="s">
        <v>60</v>
      </c>
      <c r="O20" s="235" t="s">
        <v>61</v>
      </c>
      <c r="P20" s="235" t="s">
        <v>62</v>
      </c>
      <c r="Q20" s="235" t="s">
        <v>63</v>
      </c>
      <c r="R20" s="235" t="s">
        <v>64</v>
      </c>
      <c r="S20" s="235" t="s">
        <v>65</v>
      </c>
      <c r="T20" s="235" t="s">
        <v>66</v>
      </c>
      <c r="U20" s="261" t="s">
        <v>67</v>
      </c>
    </row>
    <row r="21" spans="2:21" x14ac:dyDescent="0.25">
      <c r="B21" s="253" t="s">
        <v>162</v>
      </c>
      <c r="H21" s="257"/>
      <c r="U21" s="253"/>
    </row>
    <row r="22" spans="2:21" x14ac:dyDescent="0.25">
      <c r="B22" s="253"/>
      <c r="H22" s="257"/>
      <c r="U22" s="253"/>
    </row>
    <row r="23" spans="2:21" x14ac:dyDescent="0.25">
      <c r="B23" s="253" t="s">
        <v>163</v>
      </c>
      <c r="C23" s="251"/>
      <c r="D23" s="251"/>
      <c r="E23" s="251"/>
      <c r="F23" s="251"/>
      <c r="G23" s="251"/>
      <c r="H23" s="257"/>
      <c r="U23" s="253"/>
    </row>
    <row r="24" spans="2:21" x14ac:dyDescent="0.25">
      <c r="B24" s="253" t="s">
        <v>10</v>
      </c>
      <c r="C24" s="251"/>
      <c r="D24" s="251"/>
      <c r="E24" s="251"/>
      <c r="F24" s="251"/>
      <c r="G24" s="251"/>
      <c r="H24" s="257"/>
      <c r="U24" s="253"/>
    </row>
    <row r="25" spans="2:21" x14ac:dyDescent="0.25">
      <c r="B25" s="254"/>
      <c r="C25" s="258"/>
      <c r="D25" s="258"/>
      <c r="E25" s="258"/>
      <c r="F25" s="258"/>
      <c r="G25" s="258"/>
      <c r="H25" s="259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4"/>
    </row>
    <row r="26" spans="2:21" x14ac:dyDescent="0.25">
      <c r="B26" s="253" t="s">
        <v>159</v>
      </c>
      <c r="H26" s="257"/>
      <c r="U26" s="253"/>
    </row>
    <row r="27" spans="2:21" x14ac:dyDescent="0.25">
      <c r="B27" s="253"/>
      <c r="H27" s="257"/>
      <c r="U27" s="253"/>
    </row>
    <row r="28" spans="2:21" x14ac:dyDescent="0.25">
      <c r="B28" s="253" t="s">
        <v>163</v>
      </c>
      <c r="H28" s="262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3"/>
    </row>
    <row r="29" spans="2:21" x14ac:dyDescent="0.25">
      <c r="B29" s="253" t="s">
        <v>10</v>
      </c>
      <c r="H29" s="262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3"/>
    </row>
    <row r="30" spans="2:21" x14ac:dyDescent="0.25">
      <c r="B30" s="254"/>
      <c r="C30" s="258"/>
      <c r="D30" s="258"/>
      <c r="E30" s="258"/>
      <c r="F30" s="258"/>
      <c r="G30" s="258"/>
      <c r="H30" s="259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4"/>
    </row>
  </sheetData>
  <mergeCells count="4">
    <mergeCell ref="C3:G3"/>
    <mergeCell ref="H3:T3"/>
    <mergeCell ref="C19:G19"/>
    <mergeCell ref="H19:T19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02E3-0CAA-4949-BB2B-24F46EA07CD0}">
  <dimension ref="A2:AA87"/>
  <sheetViews>
    <sheetView topLeftCell="I1" zoomScaleNormal="100" workbookViewId="0">
      <selection activeCell="D45" sqref="D45"/>
    </sheetView>
  </sheetViews>
  <sheetFormatPr defaultRowHeight="15" x14ac:dyDescent="0.25"/>
  <cols>
    <col min="1" max="1" width="57.7109375" customWidth="1"/>
    <col min="2" max="2" width="13.5703125" customWidth="1"/>
    <col min="3" max="3" width="17.140625" customWidth="1"/>
    <col min="4" max="4" width="17.85546875" customWidth="1"/>
    <col min="5" max="5" width="17.28515625" customWidth="1"/>
    <col min="6" max="6" width="17.42578125" customWidth="1"/>
    <col min="7" max="7" width="17.85546875" customWidth="1"/>
    <col min="8" max="8" width="16.5703125" customWidth="1"/>
    <col min="9" max="9" width="17.7109375" customWidth="1"/>
    <col min="10" max="10" width="18.5703125" customWidth="1"/>
    <col min="11" max="11" width="22.140625" customWidth="1"/>
    <col min="12" max="12" width="17.140625" customWidth="1"/>
    <col min="13" max="13" width="20.85546875" customWidth="1"/>
    <col min="14" max="15" width="12" bestFit="1" customWidth="1"/>
    <col min="16" max="16" width="11.85546875" customWidth="1"/>
    <col min="20" max="20" width="29.28515625" customWidth="1"/>
    <col min="21" max="21" width="16.140625" bestFit="1" customWidth="1"/>
    <col min="22" max="22" width="38.5703125" customWidth="1"/>
    <col min="23" max="23" width="22.7109375" customWidth="1"/>
    <col min="24" max="24" width="21.7109375" customWidth="1"/>
    <col min="25" max="26" width="26.42578125" customWidth="1"/>
  </cols>
  <sheetData>
    <row r="2" spans="1:27" x14ac:dyDescent="0.25">
      <c r="A2" s="7" t="s">
        <v>164</v>
      </c>
      <c r="B2" s="7" t="s">
        <v>165</v>
      </c>
      <c r="C2" s="7" t="s">
        <v>132</v>
      </c>
      <c r="D2" s="7" t="s">
        <v>133</v>
      </c>
      <c r="E2" s="7" t="s">
        <v>134</v>
      </c>
      <c r="F2" s="7" t="s">
        <v>135</v>
      </c>
      <c r="G2" s="7" t="s">
        <v>136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141</v>
      </c>
      <c r="M2" s="7" t="s">
        <v>86</v>
      </c>
      <c r="V2" s="210"/>
      <c r="W2" s="210"/>
      <c r="X2" s="210"/>
      <c r="Y2" s="210"/>
      <c r="Z2" s="210"/>
      <c r="AA2" s="210"/>
    </row>
    <row r="3" spans="1:27" x14ac:dyDescent="0.25">
      <c r="A3" t="s">
        <v>166</v>
      </c>
      <c r="B3" s="61">
        <v>2013</v>
      </c>
      <c r="C3" s="215">
        <v>9452212224</v>
      </c>
      <c r="D3" s="215">
        <v>1771867904</v>
      </c>
      <c r="E3" s="215">
        <v>3083602176</v>
      </c>
      <c r="F3" s="215">
        <v>710422848</v>
      </c>
      <c r="G3" s="215">
        <v>2712563712</v>
      </c>
      <c r="H3" s="215">
        <v>54218332</v>
      </c>
      <c r="I3" s="215">
        <v>4743874560</v>
      </c>
      <c r="J3" s="215">
        <v>1426229248</v>
      </c>
      <c r="K3" s="215">
        <v>3353309952</v>
      </c>
      <c r="L3" s="215">
        <v>2378451968</v>
      </c>
      <c r="M3" s="215">
        <f>SUBTOTAL(9,C3:L3)</f>
        <v>29686752924</v>
      </c>
      <c r="N3" s="334"/>
      <c r="V3" s="88"/>
      <c r="W3" s="88"/>
      <c r="X3" s="213"/>
      <c r="Y3" s="213"/>
      <c r="Z3" s="213"/>
      <c r="AA3" s="214"/>
    </row>
    <row r="4" spans="1:27" x14ac:dyDescent="0.25">
      <c r="A4" t="s">
        <v>166</v>
      </c>
      <c r="B4" s="61">
        <v>2022</v>
      </c>
      <c r="C4" s="215">
        <v>9491033088</v>
      </c>
      <c r="D4" s="215">
        <v>1782416256</v>
      </c>
      <c r="E4" s="215">
        <v>3096582912</v>
      </c>
      <c r="F4" s="215">
        <v>688770816</v>
      </c>
      <c r="G4" s="215">
        <v>2710088448</v>
      </c>
      <c r="H4" s="215">
        <v>54680460</v>
      </c>
      <c r="I4" s="215">
        <v>4738170368</v>
      </c>
      <c r="J4" s="215">
        <v>1420339072</v>
      </c>
      <c r="K4" s="215">
        <v>3367543808</v>
      </c>
      <c r="L4" s="215">
        <v>2351723520</v>
      </c>
      <c r="M4" s="215">
        <f t="shared" ref="M4:M12" si="0">SUBTOTAL(9,C4:L4)</f>
        <v>29701348748</v>
      </c>
      <c r="N4" s="334"/>
      <c r="V4" s="88"/>
      <c r="W4" s="88"/>
      <c r="X4" s="213"/>
      <c r="Y4" s="213"/>
      <c r="Z4" s="213"/>
      <c r="AA4" s="214"/>
    </row>
    <row r="5" spans="1:27" ht="17.25" customHeight="1" x14ac:dyDescent="0.25">
      <c r="A5" t="s">
        <v>167</v>
      </c>
      <c r="B5" s="61">
        <v>2013</v>
      </c>
      <c r="C5" s="215">
        <v>60435075072</v>
      </c>
      <c r="D5" s="215">
        <v>9482027008</v>
      </c>
      <c r="E5" s="215">
        <v>27054131200</v>
      </c>
      <c r="F5" s="215">
        <v>2185268736</v>
      </c>
      <c r="G5" s="215">
        <v>21603753984</v>
      </c>
      <c r="H5" s="215">
        <v>3923958016</v>
      </c>
      <c r="I5" s="215">
        <v>26813345792</v>
      </c>
      <c r="J5" s="215">
        <v>7712193536</v>
      </c>
      <c r="K5" s="215">
        <v>12460766208</v>
      </c>
      <c r="L5" s="215">
        <v>18687379456</v>
      </c>
      <c r="M5" s="215">
        <f t="shared" si="0"/>
        <v>190357899008</v>
      </c>
      <c r="N5" s="334"/>
      <c r="V5" s="88"/>
      <c r="W5" s="88"/>
      <c r="X5" s="213"/>
      <c r="Y5" s="213"/>
      <c r="Z5" s="213"/>
      <c r="AA5" s="214"/>
    </row>
    <row r="6" spans="1:27" ht="15.75" customHeight="1" x14ac:dyDescent="0.25">
      <c r="A6" t="s">
        <v>167</v>
      </c>
      <c r="B6" s="61">
        <v>2022</v>
      </c>
      <c r="C6" s="215">
        <v>58379915264</v>
      </c>
      <c r="D6" s="215">
        <v>8769882112</v>
      </c>
      <c r="E6" s="215">
        <v>28028143616</v>
      </c>
      <c r="F6" s="215">
        <v>1869210112</v>
      </c>
      <c r="G6" s="215">
        <v>20999348224</v>
      </c>
      <c r="H6" s="215">
        <v>3786143744</v>
      </c>
      <c r="I6" s="215">
        <v>27276242944</v>
      </c>
      <c r="J6" s="215">
        <v>6826515456</v>
      </c>
      <c r="K6" s="215">
        <v>11106921472</v>
      </c>
      <c r="L6" s="215">
        <v>18120753152</v>
      </c>
      <c r="M6" s="215">
        <f t="shared" si="0"/>
        <v>185163076096</v>
      </c>
      <c r="N6" s="334"/>
      <c r="V6" s="88"/>
      <c r="W6" s="88"/>
      <c r="X6" s="213"/>
      <c r="Y6" s="213"/>
      <c r="Z6" s="213"/>
      <c r="AA6" s="214"/>
    </row>
    <row r="7" spans="1:27" ht="15" customHeight="1" x14ac:dyDescent="0.25">
      <c r="A7" t="s">
        <v>168</v>
      </c>
      <c r="B7" s="61">
        <v>2013</v>
      </c>
      <c r="C7" s="215">
        <v>66426433536</v>
      </c>
      <c r="D7" s="215">
        <v>9340621824</v>
      </c>
      <c r="E7" s="215">
        <v>28730511360</v>
      </c>
      <c r="F7" s="215">
        <v>2682900480</v>
      </c>
      <c r="G7" s="215">
        <v>8974980096</v>
      </c>
      <c r="H7" s="215">
        <v>333276544</v>
      </c>
      <c r="I7" s="215">
        <v>24233783296</v>
      </c>
      <c r="J7" s="215">
        <v>7724255744</v>
      </c>
      <c r="K7" s="215">
        <v>10900576256</v>
      </c>
      <c r="L7" s="215">
        <v>5973232128</v>
      </c>
      <c r="M7" s="215">
        <f t="shared" si="0"/>
        <v>165320571264</v>
      </c>
      <c r="N7" s="334"/>
      <c r="V7" s="88"/>
      <c r="W7" s="88"/>
      <c r="X7" s="213"/>
      <c r="Y7" s="213"/>
      <c r="Z7" s="213"/>
      <c r="AA7" s="214"/>
    </row>
    <row r="8" spans="1:27" x14ac:dyDescent="0.25">
      <c r="A8" t="s">
        <v>168</v>
      </c>
      <c r="B8" s="61">
        <v>2022</v>
      </c>
      <c r="C8" s="215">
        <v>62831718400</v>
      </c>
      <c r="D8" s="215">
        <v>8418752000</v>
      </c>
      <c r="E8" s="215">
        <v>29487880192</v>
      </c>
      <c r="F8" s="215">
        <v>2870369280</v>
      </c>
      <c r="G8" s="215">
        <v>8809398272</v>
      </c>
      <c r="H8" s="215">
        <v>245542944</v>
      </c>
      <c r="I8" s="215">
        <v>26057603072</v>
      </c>
      <c r="J8" s="215">
        <v>7730486784</v>
      </c>
      <c r="K8" s="215">
        <v>8651671552</v>
      </c>
      <c r="L8" s="215">
        <v>8054067712</v>
      </c>
      <c r="M8" s="215">
        <f t="shared" si="0"/>
        <v>163157490208</v>
      </c>
      <c r="N8" s="334"/>
      <c r="V8" s="88"/>
      <c r="W8" s="88"/>
      <c r="X8" s="213"/>
      <c r="Y8" s="213"/>
      <c r="Z8" s="213"/>
      <c r="AA8" s="214"/>
    </row>
    <row r="9" spans="1:27" x14ac:dyDescent="0.25">
      <c r="A9" t="s">
        <v>169</v>
      </c>
      <c r="B9" s="61">
        <v>2013</v>
      </c>
      <c r="C9" s="215">
        <v>2218744064</v>
      </c>
      <c r="D9" s="215">
        <v>444264800</v>
      </c>
      <c r="E9" s="215">
        <v>548382144</v>
      </c>
      <c r="F9" s="215">
        <v>244428944</v>
      </c>
      <c r="G9" s="215">
        <v>492824544</v>
      </c>
      <c r="H9" s="215">
        <v>9924839</v>
      </c>
      <c r="I9" s="215">
        <v>1024118592</v>
      </c>
      <c r="J9" s="215">
        <v>302604544</v>
      </c>
      <c r="K9" s="215">
        <v>884835456</v>
      </c>
      <c r="L9" s="215">
        <v>546707456</v>
      </c>
      <c r="M9" s="215">
        <f t="shared" si="0"/>
        <v>6716835383</v>
      </c>
      <c r="N9" s="334"/>
      <c r="V9" s="88"/>
      <c r="W9" s="88"/>
      <c r="X9" s="88"/>
      <c r="Y9" s="88"/>
      <c r="Z9" s="335"/>
      <c r="AA9" s="88"/>
    </row>
    <row r="10" spans="1:27" x14ac:dyDescent="0.25">
      <c r="A10" t="s">
        <v>169</v>
      </c>
      <c r="B10" s="61">
        <v>2022</v>
      </c>
      <c r="C10" s="215">
        <v>2167183104</v>
      </c>
      <c r="D10" s="215">
        <v>435813056</v>
      </c>
      <c r="E10" s="215">
        <v>537544064</v>
      </c>
      <c r="F10" s="215">
        <v>257575248</v>
      </c>
      <c r="G10" s="215">
        <v>499626592</v>
      </c>
      <c r="H10" s="215">
        <v>9495551</v>
      </c>
      <c r="I10" s="215">
        <v>1032808448</v>
      </c>
      <c r="J10" s="215">
        <v>311447360</v>
      </c>
      <c r="K10" s="215">
        <v>877821952</v>
      </c>
      <c r="L10" s="215">
        <v>571759680</v>
      </c>
      <c r="M10" s="215">
        <f t="shared" si="0"/>
        <v>6701075055</v>
      </c>
      <c r="N10" s="334"/>
    </row>
    <row r="11" spans="1:27" x14ac:dyDescent="0.25">
      <c r="A11" t="s">
        <v>170</v>
      </c>
      <c r="B11" s="61">
        <v>2013</v>
      </c>
      <c r="C11" s="215">
        <v>131202932736</v>
      </c>
      <c r="D11" s="215">
        <v>22905791488</v>
      </c>
      <c r="E11" s="215">
        <v>44156446720</v>
      </c>
      <c r="F11" s="215">
        <v>7985887232</v>
      </c>
      <c r="G11" s="215">
        <v>23902480384</v>
      </c>
      <c r="H11" s="215">
        <v>4229106304</v>
      </c>
      <c r="I11" s="215">
        <v>45536620544</v>
      </c>
      <c r="J11" s="215">
        <v>18212853248</v>
      </c>
      <c r="K11" s="215">
        <v>23179860992</v>
      </c>
      <c r="L11" s="215">
        <v>22649133568</v>
      </c>
      <c r="M11" s="215">
        <f t="shared" si="0"/>
        <v>343961113216</v>
      </c>
      <c r="N11" s="334"/>
      <c r="O11" s="3"/>
    </row>
    <row r="12" spans="1:27" x14ac:dyDescent="0.25">
      <c r="A12" t="s">
        <v>170</v>
      </c>
      <c r="B12" s="61">
        <v>2022</v>
      </c>
      <c r="C12" s="215">
        <v>129663250432</v>
      </c>
      <c r="D12" s="215">
        <v>22696073728</v>
      </c>
      <c r="E12" s="215">
        <v>43940946944</v>
      </c>
      <c r="F12" s="215">
        <v>8489487872</v>
      </c>
      <c r="G12" s="215">
        <v>24343774208</v>
      </c>
      <c r="H12" s="215">
        <v>4279051296</v>
      </c>
      <c r="I12" s="215">
        <v>46899068928</v>
      </c>
      <c r="J12" s="215">
        <v>19104788992</v>
      </c>
      <c r="K12" s="215">
        <v>22289369088</v>
      </c>
      <c r="L12" s="215">
        <v>25296574976</v>
      </c>
      <c r="M12" s="215">
        <f t="shared" si="0"/>
        <v>347002386464</v>
      </c>
      <c r="N12" s="334"/>
    </row>
    <row r="13" spans="1:27" x14ac:dyDescent="0.25">
      <c r="A13" t="s">
        <v>171</v>
      </c>
      <c r="B13" s="61">
        <v>2013</v>
      </c>
      <c r="C13" s="215">
        <v>8699236352</v>
      </c>
      <c r="D13" s="215">
        <v>2473657344</v>
      </c>
      <c r="E13" s="215">
        <v>3693455360</v>
      </c>
      <c r="F13" s="215">
        <v>772051328</v>
      </c>
      <c r="G13" s="215">
        <v>4456863744</v>
      </c>
      <c r="H13" s="215">
        <v>1285530496</v>
      </c>
      <c r="I13" s="215">
        <v>3583552768</v>
      </c>
      <c r="J13" s="215">
        <v>2108742656</v>
      </c>
      <c r="K13" s="215">
        <v>2917859072</v>
      </c>
      <c r="L13" s="215">
        <v>4054808064</v>
      </c>
      <c r="M13" s="215">
        <f>SUBTOTAL(9,C13:L13)</f>
        <v>34045757184</v>
      </c>
      <c r="N13" s="334"/>
    </row>
    <row r="14" spans="1:27" x14ac:dyDescent="0.25">
      <c r="A14" t="s">
        <v>171</v>
      </c>
      <c r="B14" s="61">
        <v>2022</v>
      </c>
      <c r="C14" s="215">
        <v>8791343104</v>
      </c>
      <c r="D14" s="215">
        <v>2504052992</v>
      </c>
      <c r="E14" s="215">
        <v>3617610752</v>
      </c>
      <c r="F14" s="215">
        <v>763242432</v>
      </c>
      <c r="G14" s="215">
        <v>4515055616</v>
      </c>
      <c r="H14" s="215">
        <v>1337093504</v>
      </c>
      <c r="I14" s="215">
        <v>3459295232</v>
      </c>
      <c r="J14" s="215">
        <v>2051774208</v>
      </c>
      <c r="K14" s="215">
        <v>3043002624</v>
      </c>
      <c r="L14" s="215">
        <v>3957607168</v>
      </c>
      <c r="M14" s="215">
        <f>SUBTOTAL(9,C14:L14)</f>
        <v>34040077632</v>
      </c>
      <c r="N14" s="334"/>
    </row>
    <row r="15" spans="1:27" x14ac:dyDescent="0.25">
      <c r="A15" t="s">
        <v>172</v>
      </c>
      <c r="B15" s="61" t="s">
        <v>173</v>
      </c>
      <c r="C15" s="215">
        <v>10234083.555555601</v>
      </c>
      <c r="D15" s="215">
        <v>3377294.222222222</v>
      </c>
      <c r="E15" s="215">
        <v>-8427178.666666666</v>
      </c>
      <c r="F15" s="215">
        <v>-978766.22222222225</v>
      </c>
      <c r="G15" s="215">
        <v>6465763.555555556</v>
      </c>
      <c r="H15" s="215">
        <v>5729223.111111111</v>
      </c>
      <c r="I15" s="215">
        <v>-13806392.888888888</v>
      </c>
      <c r="J15" s="215">
        <v>-6329827.555555556</v>
      </c>
      <c r="K15" s="215">
        <v>13904839.111111112</v>
      </c>
      <c r="L15" s="215">
        <v>-10800099.555555601</v>
      </c>
      <c r="M15" s="215">
        <f>SUBTOTAL(9,C15:L15)</f>
        <v>-631061.33333333209</v>
      </c>
      <c r="N15" s="334"/>
    </row>
    <row r="16" spans="1:27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23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9" spans="1:23" x14ac:dyDescent="0.25">
      <c r="A19" s="7" t="s">
        <v>164</v>
      </c>
      <c r="B19" s="7" t="s">
        <v>165</v>
      </c>
      <c r="C19" s="7" t="s">
        <v>132</v>
      </c>
      <c r="D19" s="7" t="s">
        <v>133</v>
      </c>
      <c r="E19" s="7" t="s">
        <v>134</v>
      </c>
      <c r="F19" s="7" t="s">
        <v>135</v>
      </c>
      <c r="G19" s="7" t="s">
        <v>136</v>
      </c>
      <c r="H19" s="7" t="s">
        <v>137</v>
      </c>
      <c r="I19" s="7" t="s">
        <v>138</v>
      </c>
      <c r="J19" s="7" t="s">
        <v>139</v>
      </c>
      <c r="K19" s="7" t="s">
        <v>140</v>
      </c>
      <c r="L19" s="7" t="s">
        <v>141</v>
      </c>
      <c r="M19" s="7" t="s">
        <v>86</v>
      </c>
    </row>
    <row r="20" spans="1:23" x14ac:dyDescent="0.25">
      <c r="A20" t="s">
        <v>174</v>
      </c>
      <c r="B20" s="61">
        <v>2013</v>
      </c>
      <c r="C20" s="6">
        <f>C3/1000000</f>
        <v>9452.2122240000008</v>
      </c>
      <c r="D20" s="6">
        <f t="shared" ref="D20:M20" si="1">D3/1000000</f>
        <v>1771.867904</v>
      </c>
      <c r="E20" s="6">
        <f t="shared" si="1"/>
        <v>3083.6021759999999</v>
      </c>
      <c r="F20" s="6">
        <f t="shared" si="1"/>
        <v>710.42284800000004</v>
      </c>
      <c r="G20" s="6">
        <f t="shared" si="1"/>
        <v>2712.5637120000001</v>
      </c>
      <c r="H20" s="6">
        <f t="shared" si="1"/>
        <v>54.218331999999997</v>
      </c>
      <c r="I20" s="6">
        <f t="shared" si="1"/>
        <v>4743.8745600000002</v>
      </c>
      <c r="J20" s="6">
        <f t="shared" si="1"/>
        <v>1426.2292480000001</v>
      </c>
      <c r="K20" s="6">
        <f t="shared" si="1"/>
        <v>3353.3099520000001</v>
      </c>
      <c r="L20" s="6">
        <f t="shared" si="1"/>
        <v>2378.4519679999999</v>
      </c>
      <c r="M20" s="6">
        <f t="shared" si="1"/>
        <v>29686.752924</v>
      </c>
      <c r="N20" s="6"/>
      <c r="T20" s="1"/>
      <c r="U20" s="6"/>
      <c r="V20" s="3"/>
      <c r="W20" s="79"/>
    </row>
    <row r="21" spans="1:23" x14ac:dyDescent="0.25">
      <c r="A21" t="s">
        <v>174</v>
      </c>
      <c r="B21" s="61">
        <v>2022</v>
      </c>
      <c r="C21" s="6">
        <f t="shared" ref="C21:M21" si="2">C4/1000000</f>
        <v>9491.0330880000001</v>
      </c>
      <c r="D21" s="6">
        <f t="shared" si="2"/>
        <v>1782.416256</v>
      </c>
      <c r="E21" s="6">
        <f t="shared" si="2"/>
        <v>3096.5829119999999</v>
      </c>
      <c r="F21" s="6">
        <f t="shared" si="2"/>
        <v>688.77081599999997</v>
      </c>
      <c r="G21" s="6">
        <f t="shared" si="2"/>
        <v>2710.088448</v>
      </c>
      <c r="H21" s="6">
        <f t="shared" si="2"/>
        <v>54.680459999999997</v>
      </c>
      <c r="I21" s="6">
        <f t="shared" si="2"/>
        <v>4738.1703680000001</v>
      </c>
      <c r="J21" s="6">
        <f t="shared" si="2"/>
        <v>1420.339072</v>
      </c>
      <c r="K21" s="6">
        <f t="shared" si="2"/>
        <v>3367.5438079999999</v>
      </c>
      <c r="L21" s="6">
        <f t="shared" si="2"/>
        <v>2351.72352</v>
      </c>
      <c r="M21" s="6">
        <f t="shared" si="2"/>
        <v>29701.348748</v>
      </c>
      <c r="N21" s="6"/>
      <c r="T21" s="1"/>
      <c r="U21" s="6"/>
      <c r="V21" s="3"/>
      <c r="W21" s="79"/>
    </row>
    <row r="22" spans="1:23" x14ac:dyDescent="0.25">
      <c r="A22" t="s">
        <v>175</v>
      </c>
      <c r="B22" s="61">
        <v>2013</v>
      </c>
      <c r="C22" s="6">
        <f t="shared" ref="C22:M22" si="3">C5/1000000</f>
        <v>60435.075072</v>
      </c>
      <c r="D22" s="6">
        <f t="shared" si="3"/>
        <v>9482.0270079999991</v>
      </c>
      <c r="E22" s="6">
        <f t="shared" si="3"/>
        <v>27054.1312</v>
      </c>
      <c r="F22" s="6">
        <f t="shared" si="3"/>
        <v>2185.268736</v>
      </c>
      <c r="G22" s="6">
        <f t="shared" si="3"/>
        <v>21603.753983999999</v>
      </c>
      <c r="H22" s="6">
        <f t="shared" si="3"/>
        <v>3923.958016</v>
      </c>
      <c r="I22" s="6">
        <f t="shared" si="3"/>
        <v>26813.345792</v>
      </c>
      <c r="J22" s="6">
        <f t="shared" si="3"/>
        <v>7712.1935359999998</v>
      </c>
      <c r="K22" s="6">
        <f t="shared" si="3"/>
        <v>12460.766207999999</v>
      </c>
      <c r="L22" s="6">
        <f t="shared" si="3"/>
        <v>18687.379455999999</v>
      </c>
      <c r="M22" s="6">
        <f t="shared" si="3"/>
        <v>190357.89900800001</v>
      </c>
      <c r="N22" s="6"/>
    </row>
    <row r="23" spans="1:23" x14ac:dyDescent="0.25">
      <c r="A23" t="s">
        <v>175</v>
      </c>
      <c r="B23" s="61">
        <v>2022</v>
      </c>
      <c r="C23" s="6">
        <f t="shared" ref="C23:M23" si="4">C6/1000000</f>
        <v>58379.915264000003</v>
      </c>
      <c r="D23" s="6">
        <f t="shared" si="4"/>
        <v>8769.8821119999993</v>
      </c>
      <c r="E23" s="6">
        <f t="shared" si="4"/>
        <v>28028.143616000001</v>
      </c>
      <c r="F23" s="6">
        <f t="shared" si="4"/>
        <v>1869.210112</v>
      </c>
      <c r="G23" s="6">
        <f t="shared" si="4"/>
        <v>20999.348224000001</v>
      </c>
      <c r="H23" s="6">
        <f t="shared" si="4"/>
        <v>3786.143744</v>
      </c>
      <c r="I23" s="6">
        <f t="shared" si="4"/>
        <v>27276.242944000001</v>
      </c>
      <c r="J23" s="6">
        <f t="shared" si="4"/>
        <v>6826.5154560000001</v>
      </c>
      <c r="K23" s="6">
        <f t="shared" si="4"/>
        <v>11106.921472</v>
      </c>
      <c r="L23" s="6">
        <f t="shared" si="4"/>
        <v>18120.753152000001</v>
      </c>
      <c r="M23" s="6">
        <f t="shared" si="4"/>
        <v>185163.076096</v>
      </c>
      <c r="N23" s="6"/>
    </row>
    <row r="24" spans="1:23" x14ac:dyDescent="0.25">
      <c r="A24" t="s">
        <v>176</v>
      </c>
      <c r="B24" s="61">
        <v>2013</v>
      </c>
      <c r="C24" s="6">
        <f t="shared" ref="C24:M24" si="5">C7/1000000</f>
        <v>66426.433535999997</v>
      </c>
      <c r="D24" s="6">
        <f t="shared" si="5"/>
        <v>9340.6218239999998</v>
      </c>
      <c r="E24" s="6">
        <f t="shared" si="5"/>
        <v>28730.51136</v>
      </c>
      <c r="F24" s="6">
        <f t="shared" si="5"/>
        <v>2682.9004799999998</v>
      </c>
      <c r="G24" s="6">
        <f t="shared" si="5"/>
        <v>8974.9800959999993</v>
      </c>
      <c r="H24" s="6">
        <f t="shared" si="5"/>
        <v>333.276544</v>
      </c>
      <c r="I24" s="6">
        <f t="shared" si="5"/>
        <v>24233.783296000001</v>
      </c>
      <c r="J24" s="6">
        <f t="shared" si="5"/>
        <v>7724.255744</v>
      </c>
      <c r="K24" s="6">
        <f t="shared" si="5"/>
        <v>10900.576256</v>
      </c>
      <c r="L24" s="6">
        <f t="shared" si="5"/>
        <v>5973.2321279999996</v>
      </c>
      <c r="M24" s="6">
        <f t="shared" si="5"/>
        <v>165320.571264</v>
      </c>
      <c r="N24" s="6"/>
    </row>
    <row r="25" spans="1:23" x14ac:dyDescent="0.25">
      <c r="A25" t="s">
        <v>176</v>
      </c>
      <c r="B25" s="61">
        <v>2022</v>
      </c>
      <c r="C25" s="6">
        <f t="shared" ref="C25:M25" si="6">C8/1000000</f>
        <v>62831.718399999998</v>
      </c>
      <c r="D25" s="6">
        <f t="shared" si="6"/>
        <v>8418.7520000000004</v>
      </c>
      <c r="E25" s="6">
        <f t="shared" si="6"/>
        <v>29487.880192000001</v>
      </c>
      <c r="F25" s="6">
        <f t="shared" si="6"/>
        <v>2870.3692799999999</v>
      </c>
      <c r="G25" s="6">
        <f t="shared" si="6"/>
        <v>8809.3982720000004</v>
      </c>
      <c r="H25" s="6">
        <f t="shared" si="6"/>
        <v>245.54294400000001</v>
      </c>
      <c r="I25" s="6">
        <f t="shared" si="6"/>
        <v>26057.603072000002</v>
      </c>
      <c r="J25" s="6">
        <f t="shared" si="6"/>
        <v>7730.4867839999997</v>
      </c>
      <c r="K25" s="6">
        <f t="shared" si="6"/>
        <v>8651.6715519999998</v>
      </c>
      <c r="L25" s="6">
        <f t="shared" si="6"/>
        <v>8054.067712</v>
      </c>
      <c r="M25" s="6">
        <f t="shared" si="6"/>
        <v>163157.490208</v>
      </c>
      <c r="N25" s="6"/>
    </row>
    <row r="26" spans="1:23" x14ac:dyDescent="0.25">
      <c r="A26" t="s">
        <v>177</v>
      </c>
      <c r="B26" s="61">
        <v>2013</v>
      </c>
      <c r="C26" s="6">
        <f t="shared" ref="C26:M26" si="7">C9/1000000</f>
        <v>2218.744064</v>
      </c>
      <c r="D26" s="6">
        <f t="shared" si="7"/>
        <v>444.26479999999998</v>
      </c>
      <c r="E26" s="6">
        <f t="shared" si="7"/>
        <v>548.38214400000004</v>
      </c>
      <c r="F26" s="6">
        <f t="shared" si="7"/>
        <v>244.428944</v>
      </c>
      <c r="G26" s="6">
        <f t="shared" si="7"/>
        <v>492.824544</v>
      </c>
      <c r="H26" s="6">
        <f t="shared" si="7"/>
        <v>9.9248390000000004</v>
      </c>
      <c r="I26" s="6">
        <f t="shared" si="7"/>
        <v>1024.118592</v>
      </c>
      <c r="J26" s="6">
        <f t="shared" si="7"/>
        <v>302.60454399999998</v>
      </c>
      <c r="K26" s="6">
        <f t="shared" si="7"/>
        <v>884.83545600000002</v>
      </c>
      <c r="L26" s="6">
        <f t="shared" si="7"/>
        <v>546.70745599999998</v>
      </c>
      <c r="M26" s="6">
        <f t="shared" si="7"/>
        <v>6716.8353829999996</v>
      </c>
      <c r="N26" s="6"/>
    </row>
    <row r="27" spans="1:23" x14ac:dyDescent="0.25">
      <c r="A27" t="s">
        <v>178</v>
      </c>
      <c r="B27" s="61">
        <v>2022</v>
      </c>
      <c r="C27" s="6">
        <f t="shared" ref="C27:M27" si="8">C10/1000000</f>
        <v>2167.1831040000002</v>
      </c>
      <c r="D27" s="6">
        <f t="shared" si="8"/>
        <v>435.81305600000002</v>
      </c>
      <c r="E27" s="6">
        <f t="shared" si="8"/>
        <v>537.54406400000005</v>
      </c>
      <c r="F27" s="6">
        <f t="shared" si="8"/>
        <v>257.57524799999999</v>
      </c>
      <c r="G27" s="6">
        <f t="shared" si="8"/>
        <v>499.62659200000002</v>
      </c>
      <c r="H27" s="6">
        <f t="shared" si="8"/>
        <v>9.4955510000000007</v>
      </c>
      <c r="I27" s="6">
        <f t="shared" si="8"/>
        <v>1032.808448</v>
      </c>
      <c r="J27" s="6">
        <f t="shared" si="8"/>
        <v>311.44736</v>
      </c>
      <c r="K27" s="6">
        <f t="shared" si="8"/>
        <v>877.82195200000001</v>
      </c>
      <c r="L27" s="6">
        <f t="shared" si="8"/>
        <v>571.75968</v>
      </c>
      <c r="M27" s="6">
        <f t="shared" si="8"/>
        <v>6701.0750550000002</v>
      </c>
      <c r="N27" s="6"/>
    </row>
    <row r="28" spans="1:23" x14ac:dyDescent="0.25">
      <c r="A28" t="s">
        <v>179</v>
      </c>
      <c r="B28" s="61">
        <v>2013</v>
      </c>
      <c r="C28" s="6">
        <f t="shared" ref="C28:M28" si="9">C11/1000000</f>
        <v>131202.93273599999</v>
      </c>
      <c r="D28" s="6">
        <f t="shared" si="9"/>
        <v>22905.791487999999</v>
      </c>
      <c r="E28" s="6">
        <f t="shared" si="9"/>
        <v>44156.44672</v>
      </c>
      <c r="F28" s="6">
        <f t="shared" si="9"/>
        <v>7985.887232</v>
      </c>
      <c r="G28" s="6">
        <f t="shared" si="9"/>
        <v>23902.480383999999</v>
      </c>
      <c r="H28" s="6">
        <f t="shared" si="9"/>
        <v>4229.1063039999999</v>
      </c>
      <c r="I28" s="6">
        <f t="shared" si="9"/>
        <v>45536.620543999998</v>
      </c>
      <c r="J28" s="6">
        <f t="shared" si="9"/>
        <v>18212.853247999999</v>
      </c>
      <c r="K28" s="6">
        <f t="shared" si="9"/>
        <v>23179.860992000002</v>
      </c>
      <c r="L28" s="6">
        <f t="shared" si="9"/>
        <v>22649.133568000001</v>
      </c>
      <c r="M28" s="6">
        <f t="shared" si="9"/>
        <v>343961.11321600003</v>
      </c>
      <c r="N28" s="6"/>
    </row>
    <row r="29" spans="1:23" x14ac:dyDescent="0.25">
      <c r="A29" t="s">
        <v>179</v>
      </c>
      <c r="B29" s="61">
        <v>2022</v>
      </c>
      <c r="C29" s="6">
        <f t="shared" ref="C29:M29" si="10">C12/1000000</f>
        <v>129663.250432</v>
      </c>
      <c r="D29" s="6">
        <f t="shared" si="10"/>
        <v>22696.073727999999</v>
      </c>
      <c r="E29" s="6">
        <f t="shared" si="10"/>
        <v>43940.946944000003</v>
      </c>
      <c r="F29" s="6">
        <f t="shared" si="10"/>
        <v>8489.4878719999997</v>
      </c>
      <c r="G29" s="6">
        <f t="shared" si="10"/>
        <v>24343.774207999999</v>
      </c>
      <c r="H29" s="6">
        <f t="shared" si="10"/>
        <v>4279.0512959999996</v>
      </c>
      <c r="I29" s="6">
        <f t="shared" si="10"/>
        <v>46899.068928000001</v>
      </c>
      <c r="J29" s="6">
        <f t="shared" si="10"/>
        <v>19104.788992000002</v>
      </c>
      <c r="K29" s="6">
        <f t="shared" si="10"/>
        <v>22289.369087999999</v>
      </c>
      <c r="L29" s="6">
        <f t="shared" si="10"/>
        <v>25296.574976</v>
      </c>
      <c r="M29" s="6">
        <f t="shared" si="10"/>
        <v>347002.38646399998</v>
      </c>
      <c r="N29" s="6"/>
    </row>
    <row r="30" spans="1:23" x14ac:dyDescent="0.25">
      <c r="A30" t="s">
        <v>180</v>
      </c>
      <c r="B30" s="61">
        <v>2013</v>
      </c>
      <c r="C30" s="6">
        <f t="shared" ref="C30:M30" si="11">C13/1000000</f>
        <v>8699.2363519999999</v>
      </c>
      <c r="D30" s="6">
        <f t="shared" si="11"/>
        <v>2473.6573440000002</v>
      </c>
      <c r="E30" s="6">
        <f t="shared" si="11"/>
        <v>3693.4553599999999</v>
      </c>
      <c r="F30" s="6">
        <f t="shared" si="11"/>
        <v>772.05132800000001</v>
      </c>
      <c r="G30" s="6">
        <f t="shared" si="11"/>
        <v>4456.8637440000002</v>
      </c>
      <c r="H30" s="6">
        <f t="shared" si="11"/>
        <v>1285.5304960000001</v>
      </c>
      <c r="I30" s="6">
        <f t="shared" si="11"/>
        <v>3583.552768</v>
      </c>
      <c r="J30" s="6">
        <f t="shared" si="11"/>
        <v>2108.7426559999999</v>
      </c>
      <c r="K30" s="6">
        <f t="shared" si="11"/>
        <v>2917.8590720000002</v>
      </c>
      <c r="L30" s="6">
        <f t="shared" si="11"/>
        <v>4054.8080639999998</v>
      </c>
      <c r="M30" s="6">
        <f t="shared" si="11"/>
        <v>34045.757184000002</v>
      </c>
      <c r="N30" s="6"/>
    </row>
    <row r="31" spans="1:23" x14ac:dyDescent="0.25">
      <c r="A31" t="s">
        <v>180</v>
      </c>
      <c r="B31" s="61">
        <v>2022</v>
      </c>
      <c r="C31" s="6">
        <f t="shared" ref="C31:M31" si="12">C14/1000000</f>
        <v>8791.3431039999996</v>
      </c>
      <c r="D31" s="6">
        <f t="shared" si="12"/>
        <v>2504.0529919999999</v>
      </c>
      <c r="E31" s="6">
        <f t="shared" si="12"/>
        <v>3617.610752</v>
      </c>
      <c r="F31" s="6">
        <f t="shared" si="12"/>
        <v>763.24243200000001</v>
      </c>
      <c r="G31" s="6">
        <f t="shared" si="12"/>
        <v>4515.0556159999996</v>
      </c>
      <c r="H31" s="6">
        <f t="shared" si="12"/>
        <v>1337.0935039999999</v>
      </c>
      <c r="I31" s="6">
        <f t="shared" si="12"/>
        <v>3459.2952319999999</v>
      </c>
      <c r="J31" s="6">
        <f t="shared" si="12"/>
        <v>2051.7742079999998</v>
      </c>
      <c r="K31" s="6">
        <f t="shared" si="12"/>
        <v>3043.0026240000002</v>
      </c>
      <c r="L31" s="6">
        <f t="shared" si="12"/>
        <v>3957.607168</v>
      </c>
      <c r="M31" s="6">
        <f t="shared" si="12"/>
        <v>34040.077632</v>
      </c>
      <c r="N31" s="6"/>
    </row>
    <row r="32" spans="1:23" x14ac:dyDescent="0.25">
      <c r="A32" t="s">
        <v>181</v>
      </c>
      <c r="B32" s="61" t="s">
        <v>173</v>
      </c>
      <c r="C32" s="6">
        <f t="shared" ref="C32:M32" si="13">C15/1000000</f>
        <v>10.2340835555556</v>
      </c>
      <c r="D32" s="6">
        <f t="shared" si="13"/>
        <v>3.377294222222222</v>
      </c>
      <c r="E32" s="6">
        <f t="shared" si="13"/>
        <v>-8.4271786666666664</v>
      </c>
      <c r="F32" s="6">
        <f t="shared" si="13"/>
        <v>-0.9787662222222222</v>
      </c>
      <c r="G32" s="6">
        <f t="shared" si="13"/>
        <v>6.4657635555555562</v>
      </c>
      <c r="H32" s="6">
        <f t="shared" si="13"/>
        <v>5.7292231111111107</v>
      </c>
      <c r="I32" s="6">
        <f t="shared" si="13"/>
        <v>-13.806392888888888</v>
      </c>
      <c r="J32" s="6">
        <f t="shared" si="13"/>
        <v>-6.3298275555555561</v>
      </c>
      <c r="K32" s="6">
        <f t="shared" si="13"/>
        <v>13.904839111111112</v>
      </c>
      <c r="L32" s="6">
        <f t="shared" si="13"/>
        <v>-10.800099555555601</v>
      </c>
      <c r="M32" s="6">
        <f t="shared" si="13"/>
        <v>-0.63106133333333214</v>
      </c>
      <c r="N32" s="6"/>
    </row>
    <row r="33" spans="1:13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s="80" customFormat="1" x14ac:dyDescent="0.25">
      <c r="A36" t="str">
        <f>A20</f>
        <v xml:space="preserve"> Soil protection (avoided erosion)  (Million tons)</v>
      </c>
      <c r="B36"/>
      <c r="C36" s="336">
        <f>(C21-C20)/C20</f>
        <v>4.1070664813713928E-3</v>
      </c>
      <c r="D36" s="336">
        <f t="shared" ref="D36:M36" si="14">(D21-D20)/D20</f>
        <v>5.9532383741401204E-3</v>
      </c>
      <c r="E36" s="336">
        <f t="shared" si="14"/>
        <v>4.2096013879580228E-3</v>
      </c>
      <c r="F36" s="336">
        <f>(F21-F20)/F20</f>
        <v>-3.0477668420934675E-2</v>
      </c>
      <c r="G36" s="336">
        <f t="shared" si="14"/>
        <v>-9.1251829000363468E-4</v>
      </c>
      <c r="H36" s="336">
        <f t="shared" si="14"/>
        <v>8.5234639826249157E-3</v>
      </c>
      <c r="I36" s="336">
        <f t="shared" si="14"/>
        <v>-1.2024331435947894E-3</v>
      </c>
      <c r="J36" s="336">
        <f t="shared" si="14"/>
        <v>-4.1298942706860754E-3</v>
      </c>
      <c r="K36" s="336">
        <f t="shared" si="14"/>
        <v>4.244718264564358E-3</v>
      </c>
      <c r="L36" s="336">
        <f t="shared" si="14"/>
        <v>-1.1237749746308876E-2</v>
      </c>
      <c r="M36" s="336">
        <f t="shared" si="14"/>
        <v>4.916611809100929E-4</v>
      </c>
    </row>
    <row r="37" spans="1:13" s="80" customFormat="1" x14ac:dyDescent="0.25">
      <c r="A37" t="str">
        <f>A22</f>
        <v>Flood mitigation (avoided quick flow) (Million cubic meter)</v>
      </c>
      <c r="B37"/>
      <c r="C37" s="336">
        <f>(C23-C22)/C22</f>
        <v>-3.4006076861020841E-2</v>
      </c>
      <c r="D37" s="336">
        <f t="shared" ref="D37:M37" si="15">(D23-D22)/D22</f>
        <v>-7.5104710775360808E-2</v>
      </c>
      <c r="E37" s="336">
        <f t="shared" si="15"/>
        <v>3.6002354272607409E-2</v>
      </c>
      <c r="F37" s="336">
        <f t="shared" si="15"/>
        <v>-0.14463146742241226</v>
      </c>
      <c r="G37" s="336">
        <f t="shared" si="15"/>
        <v>-2.7976885889722129E-2</v>
      </c>
      <c r="H37" s="336">
        <f t="shared" si="15"/>
        <v>-3.5121240196266175E-2</v>
      </c>
      <c r="I37" s="336">
        <f t="shared" si="15"/>
        <v>1.726368486763449E-2</v>
      </c>
      <c r="J37" s="336">
        <f t="shared" si="15"/>
        <v>-0.1148412673859537</v>
      </c>
      <c r="K37" s="336">
        <f t="shared" si="15"/>
        <v>-0.10864859458889538</v>
      </c>
      <c r="L37" s="336">
        <f t="shared" si="15"/>
        <v>-3.0321335601609441E-2</v>
      </c>
      <c r="M37" s="336">
        <f t="shared" si="15"/>
        <v>-2.7289768058333556E-2</v>
      </c>
    </row>
    <row r="38" spans="1:13" s="82" customFormat="1" x14ac:dyDescent="0.25">
      <c r="A38" t="str">
        <f>A24</f>
        <v>Sustained water in dry periods  (baseflow)  (Million cubic meter)</v>
      </c>
      <c r="B38"/>
      <c r="C38" s="336">
        <f>(C25-C24)/C24</f>
        <v>-5.4115732919062E-2</v>
      </c>
      <c r="D38" s="336">
        <f t="shared" ref="D38:M38" si="16">(D25-D24)/D24</f>
        <v>-9.869469521090414E-2</v>
      </c>
      <c r="E38" s="336">
        <f t="shared" si="16"/>
        <v>2.6361133030665281E-2</v>
      </c>
      <c r="F38" s="336">
        <f t="shared" si="16"/>
        <v>6.9875420798314561E-2</v>
      </c>
      <c r="G38" s="336">
        <f t="shared" si="16"/>
        <v>-1.8449269216072806E-2</v>
      </c>
      <c r="H38" s="336">
        <f>(H25-H24)/H24</f>
        <v>-0.2632456486346666</v>
      </c>
      <c r="I38" s="336">
        <f t="shared" si="16"/>
        <v>7.5259391145130763E-2</v>
      </c>
      <c r="J38" s="336">
        <f t="shared" si="16"/>
        <v>8.0668483883897485E-4</v>
      </c>
      <c r="K38" s="336">
        <f t="shared" si="16"/>
        <v>-0.20631062534534692</v>
      </c>
      <c r="L38" s="336">
        <f t="shared" si="16"/>
        <v>0.34836007364353355</v>
      </c>
      <c r="M38" s="336">
        <f t="shared" si="16"/>
        <v>-1.3084161513970193E-2</v>
      </c>
    </row>
    <row r="39" spans="1:13" s="276" customFormat="1" x14ac:dyDescent="0.25">
      <c r="A39" t="str">
        <f>A26</f>
        <v>Water quality  (avoided sediment) (Million tons)</v>
      </c>
      <c r="B39"/>
      <c r="C39" s="336">
        <f>(C27-C26)/C26</f>
        <v>-2.3238804707851061E-2</v>
      </c>
      <c r="D39" s="336">
        <f t="shared" ref="D39:M39" si="17">(D27-D26)/D26</f>
        <v>-1.902411354669549E-2</v>
      </c>
      <c r="E39" s="336">
        <f t="shared" si="17"/>
        <v>-1.9763736143823075E-2</v>
      </c>
      <c r="F39" s="336">
        <f t="shared" si="17"/>
        <v>5.3783745021620623E-2</v>
      </c>
      <c r="G39" s="336">
        <f t="shared" si="17"/>
        <v>1.3802169723105377E-2</v>
      </c>
      <c r="H39" s="336">
        <f t="shared" si="17"/>
        <v>-4.3253900642619962E-2</v>
      </c>
      <c r="I39" s="336">
        <f t="shared" si="17"/>
        <v>8.4852048072182277E-3</v>
      </c>
      <c r="J39" s="336">
        <f t="shared" si="17"/>
        <v>2.9222350342498586E-2</v>
      </c>
      <c r="K39" s="336">
        <f t="shared" si="17"/>
        <v>-7.9263369843986121E-3</v>
      </c>
      <c r="L39" s="336">
        <f t="shared" si="17"/>
        <v>4.5823819896833498E-2</v>
      </c>
      <c r="M39" s="336">
        <f t="shared" si="17"/>
        <v>-2.3463918797069308E-3</v>
      </c>
    </row>
    <row r="40" spans="1:13" s="82" customFormat="1" x14ac:dyDescent="0.25">
      <c r="A40" t="str">
        <f>A28</f>
        <v>Water yield (Million cubic meter)</v>
      </c>
      <c r="B40"/>
      <c r="C40" s="336">
        <f>(C29-C28)/C28</f>
        <v>-1.17351210974686E-2</v>
      </c>
      <c r="D40" s="336">
        <f t="shared" ref="D40:M40" si="18">(D29-D28)/D28</f>
        <v>-9.1556652870898401E-3</v>
      </c>
      <c r="E40" s="336">
        <f t="shared" si="18"/>
        <v>-4.8803695045142644E-3</v>
      </c>
      <c r="F40" s="336">
        <f t="shared" si="18"/>
        <v>6.3061326233362927E-2</v>
      </c>
      <c r="G40" s="336">
        <f t="shared" si="18"/>
        <v>1.8462260690543082E-2</v>
      </c>
      <c r="H40" s="336">
        <f t="shared" si="18"/>
        <v>1.180982184173532E-2</v>
      </c>
      <c r="I40" s="336">
        <f t="shared" si="18"/>
        <v>2.9919839630688672E-2</v>
      </c>
      <c r="J40" s="336">
        <f t="shared" si="18"/>
        <v>4.8972872720969625E-2</v>
      </c>
      <c r="K40" s="336">
        <f t="shared" si="18"/>
        <v>-3.8416619681512977E-2</v>
      </c>
      <c r="L40" s="336">
        <f t="shared" si="18"/>
        <v>0.11688930174973476</v>
      </c>
      <c r="M40" s="336">
        <f t="shared" si="18"/>
        <v>8.8419101204911532E-3</v>
      </c>
    </row>
    <row r="41" spans="1:13" x14ac:dyDescent="0.25">
      <c r="A41" t="str">
        <f>A30</f>
        <v>Climate regulation: Carbon retention ( Million tons of carbon)</v>
      </c>
      <c r="C41" s="336">
        <f>(C31-C30)/C30</f>
        <v>1.0587912349205671E-2</v>
      </c>
      <c r="D41" s="336">
        <f t="shared" ref="D41:M41" si="19">(D31-D30)/D30</f>
        <v>1.2287735839293231E-2</v>
      </c>
      <c r="E41" s="336">
        <f t="shared" si="19"/>
        <v>-2.0534865216294339E-2</v>
      </c>
      <c r="F41" s="336">
        <f t="shared" si="19"/>
        <v>-1.1409728447484781E-2</v>
      </c>
      <c r="G41" s="336">
        <f t="shared" si="19"/>
        <v>1.3056686347734893E-2</v>
      </c>
      <c r="H41" s="336">
        <f t="shared" si="19"/>
        <v>4.0110295446464342E-2</v>
      </c>
      <c r="I41" s="336">
        <f t="shared" si="19"/>
        <v>-3.4674398298130509E-2</v>
      </c>
      <c r="J41" s="336">
        <f t="shared" si="19"/>
        <v>-2.7015362845678636E-2</v>
      </c>
      <c r="K41" s="336">
        <f t="shared" si="19"/>
        <v>4.2888826674628372E-2</v>
      </c>
      <c r="L41" s="336">
        <f t="shared" si="19"/>
        <v>-2.3971762526316175E-2</v>
      </c>
      <c r="M41" s="336">
        <f t="shared" si="19"/>
        <v>-1.6682113924816922E-4</v>
      </c>
    </row>
    <row r="45" spans="1:13" x14ac:dyDescent="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</row>
    <row r="48" spans="1:13" x14ac:dyDescent="0.25"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</row>
    <row r="49" spans="2:24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24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24" x14ac:dyDescent="0.25"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</row>
    <row r="52" spans="2:24" x14ac:dyDescent="0.25">
      <c r="B52" s="292">
        <v>2013</v>
      </c>
      <c r="C52" s="375" t="s">
        <v>153</v>
      </c>
      <c r="D52" s="375"/>
      <c r="E52" s="375"/>
      <c r="F52" s="375"/>
      <c r="G52" s="375"/>
      <c r="H52" s="375" t="s">
        <v>182</v>
      </c>
      <c r="I52" s="375"/>
      <c r="J52" s="375"/>
      <c r="K52" s="375"/>
      <c r="L52" s="375"/>
      <c r="M52" s="375"/>
      <c r="N52" s="375"/>
      <c r="O52" s="375"/>
      <c r="P52" s="375"/>
      <c r="Q52" s="375"/>
      <c r="R52" s="278"/>
    </row>
    <row r="53" spans="2:24" ht="30" x14ac:dyDescent="0.25">
      <c r="B53" s="308"/>
      <c r="C53" s="309" t="s">
        <v>87</v>
      </c>
      <c r="D53" s="309" t="s">
        <v>155</v>
      </c>
      <c r="E53" s="309" t="s">
        <v>90</v>
      </c>
      <c r="F53" s="309" t="s">
        <v>156</v>
      </c>
      <c r="G53" s="309" t="s">
        <v>157</v>
      </c>
      <c r="H53" s="309" t="str">
        <f>C19</f>
        <v>Abbay</v>
      </c>
      <c r="I53" s="309" t="str">
        <f t="shared" ref="I53:R53" si="20">D19</f>
        <v>Awash &amp; north</v>
      </c>
      <c r="J53" s="309" t="str">
        <f t="shared" si="20"/>
        <v>Baro Akobo</v>
      </c>
      <c r="K53" s="309" t="str">
        <f t="shared" si="20"/>
        <v>Denakil &amp; Ayisha</v>
      </c>
      <c r="L53" s="309" t="str">
        <f t="shared" si="20"/>
        <v>Genale Dawa</v>
      </c>
      <c r="M53" s="309" t="str">
        <f t="shared" si="20"/>
        <v>Ogaden</v>
      </c>
      <c r="N53" s="309" t="str">
        <f t="shared" si="20"/>
        <v>Omo Gibe</v>
      </c>
      <c r="O53" s="309" t="str">
        <f t="shared" si="20"/>
        <v>Rift Valley</v>
      </c>
      <c r="P53" s="309" t="str">
        <f t="shared" si="20"/>
        <v>Tekeze &amp; Mereb Gash</v>
      </c>
      <c r="Q53" s="309" t="str">
        <f t="shared" si="20"/>
        <v>Wabi Shebele</v>
      </c>
      <c r="R53" s="310" t="str">
        <f t="shared" si="20"/>
        <v>National</v>
      </c>
      <c r="S53" s="6"/>
      <c r="T53" s="6"/>
      <c r="U53" s="6"/>
      <c r="V53" s="6"/>
      <c r="W53" s="6"/>
      <c r="X53" s="6"/>
    </row>
    <row r="54" spans="2:24" x14ac:dyDescent="0.25">
      <c r="B54" s="306" t="s">
        <v>158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R54" s="280"/>
    </row>
    <row r="55" spans="2:24" x14ac:dyDescent="0.25">
      <c r="B55" s="281" t="s">
        <v>183</v>
      </c>
      <c r="C55" s="320"/>
      <c r="D55" s="320"/>
      <c r="E55" s="320"/>
      <c r="F55" s="320"/>
      <c r="G55" s="320"/>
      <c r="H55" s="6">
        <f>C20</f>
        <v>9452.2122240000008</v>
      </c>
      <c r="I55" s="6">
        <f t="shared" ref="I55:R55" si="21">D20</f>
        <v>1771.867904</v>
      </c>
      <c r="J55" s="6">
        <f t="shared" si="21"/>
        <v>3083.6021759999999</v>
      </c>
      <c r="K55" s="6">
        <f t="shared" si="21"/>
        <v>710.42284800000004</v>
      </c>
      <c r="L55" s="6">
        <f t="shared" si="21"/>
        <v>2712.5637120000001</v>
      </c>
      <c r="M55" s="6">
        <f t="shared" si="21"/>
        <v>54.218331999999997</v>
      </c>
      <c r="N55" s="6">
        <f t="shared" si="21"/>
        <v>4743.8745600000002</v>
      </c>
      <c r="O55" s="6">
        <f t="shared" si="21"/>
        <v>1426.2292480000001</v>
      </c>
      <c r="P55" s="6">
        <f t="shared" si="21"/>
        <v>3353.3099520000001</v>
      </c>
      <c r="Q55" s="6">
        <f t="shared" si="21"/>
        <v>2378.4519679999999</v>
      </c>
      <c r="R55" s="307">
        <f t="shared" si="21"/>
        <v>29686.752924</v>
      </c>
    </row>
    <row r="56" spans="2:24" x14ac:dyDescent="0.25">
      <c r="B56" s="281" t="s">
        <v>175</v>
      </c>
      <c r="C56" s="320"/>
      <c r="D56" s="320"/>
      <c r="E56" s="320"/>
      <c r="F56" s="320"/>
      <c r="G56" s="320"/>
      <c r="H56" s="6">
        <f>C22</f>
        <v>60435.075072</v>
      </c>
      <c r="I56" s="6">
        <f t="shared" ref="I56:R56" si="22">D22</f>
        <v>9482.0270079999991</v>
      </c>
      <c r="J56" s="6">
        <f t="shared" si="22"/>
        <v>27054.1312</v>
      </c>
      <c r="K56" s="6">
        <f t="shared" si="22"/>
        <v>2185.268736</v>
      </c>
      <c r="L56" s="6">
        <f t="shared" si="22"/>
        <v>21603.753983999999</v>
      </c>
      <c r="M56" s="6">
        <f t="shared" si="22"/>
        <v>3923.958016</v>
      </c>
      <c r="N56" s="6">
        <f t="shared" si="22"/>
        <v>26813.345792</v>
      </c>
      <c r="O56" s="6">
        <f t="shared" si="22"/>
        <v>7712.1935359999998</v>
      </c>
      <c r="P56" s="6">
        <f t="shared" si="22"/>
        <v>12460.766207999999</v>
      </c>
      <c r="Q56" s="6">
        <f t="shared" si="22"/>
        <v>18687.379455999999</v>
      </c>
      <c r="R56" s="307">
        <f t="shared" si="22"/>
        <v>190357.89900800001</v>
      </c>
    </row>
    <row r="57" spans="2:24" x14ac:dyDescent="0.25">
      <c r="B57" s="281" t="s">
        <v>176</v>
      </c>
      <c r="C57" s="320"/>
      <c r="D57" s="320"/>
      <c r="E57" s="320"/>
      <c r="F57" s="320"/>
      <c r="G57" s="320"/>
      <c r="H57" s="6">
        <f>C24</f>
        <v>66426.433535999997</v>
      </c>
      <c r="I57" s="6">
        <f t="shared" ref="I57:R57" si="23">D24</f>
        <v>9340.6218239999998</v>
      </c>
      <c r="J57" s="6">
        <f t="shared" si="23"/>
        <v>28730.51136</v>
      </c>
      <c r="K57" s="6">
        <f t="shared" si="23"/>
        <v>2682.9004799999998</v>
      </c>
      <c r="L57" s="6">
        <f t="shared" si="23"/>
        <v>8974.9800959999993</v>
      </c>
      <c r="M57" s="6">
        <f t="shared" si="23"/>
        <v>333.276544</v>
      </c>
      <c r="N57" s="6">
        <f t="shared" si="23"/>
        <v>24233.783296000001</v>
      </c>
      <c r="O57" s="6">
        <f t="shared" si="23"/>
        <v>7724.255744</v>
      </c>
      <c r="P57" s="6">
        <f t="shared" si="23"/>
        <v>10900.576256</v>
      </c>
      <c r="Q57" s="6">
        <f t="shared" si="23"/>
        <v>5973.2321279999996</v>
      </c>
      <c r="R57" s="307">
        <f t="shared" si="23"/>
        <v>165320.571264</v>
      </c>
    </row>
    <row r="58" spans="2:24" x14ac:dyDescent="0.25">
      <c r="B58" s="281" t="s">
        <v>184</v>
      </c>
      <c r="C58" s="314"/>
      <c r="D58" s="314"/>
      <c r="E58" s="314"/>
      <c r="F58" s="314"/>
      <c r="G58" s="314"/>
      <c r="H58" s="6">
        <f>C26</f>
        <v>2218.744064</v>
      </c>
      <c r="I58" s="6">
        <f t="shared" ref="I58:R58" si="24">D26</f>
        <v>444.26479999999998</v>
      </c>
      <c r="J58" s="6">
        <f t="shared" si="24"/>
        <v>548.38214400000004</v>
      </c>
      <c r="K58" s="6">
        <f t="shared" si="24"/>
        <v>244.428944</v>
      </c>
      <c r="L58" s="6">
        <f t="shared" si="24"/>
        <v>492.824544</v>
      </c>
      <c r="M58" s="6">
        <f t="shared" si="24"/>
        <v>9.9248390000000004</v>
      </c>
      <c r="N58" s="6">
        <f t="shared" si="24"/>
        <v>1024.118592</v>
      </c>
      <c r="O58" s="6">
        <f t="shared" si="24"/>
        <v>302.60454399999998</v>
      </c>
      <c r="P58" s="6">
        <f t="shared" si="24"/>
        <v>884.83545600000002</v>
      </c>
      <c r="Q58" s="6">
        <f t="shared" si="24"/>
        <v>546.70745599999998</v>
      </c>
      <c r="R58" s="307">
        <f t="shared" si="24"/>
        <v>6716.8353829999996</v>
      </c>
    </row>
    <row r="59" spans="2:24" x14ac:dyDescent="0.25">
      <c r="B59" t="s">
        <v>179</v>
      </c>
      <c r="C59" s="314"/>
      <c r="D59" s="314"/>
      <c r="E59" s="314"/>
      <c r="F59" s="314"/>
      <c r="G59" s="314"/>
      <c r="H59" s="6">
        <f>C28</f>
        <v>131202.93273599999</v>
      </c>
      <c r="I59" s="6">
        <f t="shared" ref="I59:R59" si="25">D28</f>
        <v>22905.791487999999</v>
      </c>
      <c r="J59" s="6">
        <f t="shared" si="25"/>
        <v>44156.44672</v>
      </c>
      <c r="K59" s="6">
        <f t="shared" si="25"/>
        <v>7985.887232</v>
      </c>
      <c r="L59" s="6">
        <f t="shared" si="25"/>
        <v>23902.480383999999</v>
      </c>
      <c r="M59" s="6">
        <f t="shared" si="25"/>
        <v>4229.1063039999999</v>
      </c>
      <c r="N59" s="6">
        <f t="shared" si="25"/>
        <v>45536.620543999998</v>
      </c>
      <c r="O59" s="6">
        <f t="shared" si="25"/>
        <v>18212.853247999999</v>
      </c>
      <c r="P59" s="6">
        <f t="shared" si="25"/>
        <v>23179.860992000002</v>
      </c>
      <c r="Q59" s="6">
        <f t="shared" si="25"/>
        <v>22649.133568000001</v>
      </c>
      <c r="R59" s="6">
        <f t="shared" si="25"/>
        <v>343961.11321600003</v>
      </c>
    </row>
    <row r="60" spans="2:24" x14ac:dyDescent="0.25">
      <c r="B60" s="308" t="s">
        <v>159</v>
      </c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291"/>
    </row>
    <row r="61" spans="2:24" x14ac:dyDescent="0.25">
      <c r="B61" s="281" t="s">
        <v>183</v>
      </c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5"/>
    </row>
    <row r="62" spans="2:24" x14ac:dyDescent="0.25">
      <c r="B62" s="281" t="s">
        <v>175</v>
      </c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5"/>
    </row>
    <row r="63" spans="2:24" x14ac:dyDescent="0.25">
      <c r="B63" s="281" t="s">
        <v>176</v>
      </c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5"/>
    </row>
    <row r="64" spans="2:24" x14ac:dyDescent="0.25">
      <c r="B64" s="281" t="s">
        <v>184</v>
      </c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5"/>
    </row>
    <row r="65" spans="2:18" x14ac:dyDescent="0.25">
      <c r="B65" s="281" t="s">
        <v>179</v>
      </c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5"/>
    </row>
    <row r="66" spans="2:18" x14ac:dyDescent="0.25">
      <c r="B66" s="281"/>
      <c r="R66" s="280"/>
    </row>
    <row r="67" spans="2:18" x14ac:dyDescent="0.25">
      <c r="B67" s="312">
        <v>2022</v>
      </c>
      <c r="C67" s="376" t="s">
        <v>153</v>
      </c>
      <c r="D67" s="376"/>
      <c r="E67" s="376"/>
      <c r="F67" s="376"/>
      <c r="G67" s="376"/>
      <c r="H67" s="376" t="s">
        <v>182</v>
      </c>
      <c r="I67" s="376"/>
      <c r="J67" s="376"/>
      <c r="K67" s="376"/>
      <c r="L67" s="376"/>
      <c r="M67" s="376"/>
      <c r="N67" s="376"/>
      <c r="O67" s="376"/>
      <c r="P67" s="376"/>
      <c r="Q67" s="376"/>
      <c r="R67" s="291"/>
    </row>
    <row r="68" spans="2:18" ht="30" x14ac:dyDescent="0.25">
      <c r="B68" s="308"/>
      <c r="C68" s="311" t="s">
        <v>87</v>
      </c>
      <c r="D68" s="311" t="s">
        <v>155</v>
      </c>
      <c r="E68" s="311" t="s">
        <v>90</v>
      </c>
      <c r="F68" s="311" t="s">
        <v>156</v>
      </c>
      <c r="G68" s="311" t="s">
        <v>157</v>
      </c>
      <c r="H68" s="309" t="str">
        <f>H53</f>
        <v>Abbay</v>
      </c>
      <c r="I68" s="309" t="str">
        <f t="shared" ref="I68:R68" si="26">I53</f>
        <v>Awash &amp; north</v>
      </c>
      <c r="J68" s="309" t="str">
        <f t="shared" si="26"/>
        <v>Baro Akobo</v>
      </c>
      <c r="K68" s="309" t="str">
        <f t="shared" si="26"/>
        <v>Denakil &amp; Ayisha</v>
      </c>
      <c r="L68" s="309" t="str">
        <f t="shared" si="26"/>
        <v>Genale Dawa</v>
      </c>
      <c r="M68" s="309" t="str">
        <f t="shared" si="26"/>
        <v>Ogaden</v>
      </c>
      <c r="N68" s="309" t="str">
        <f t="shared" si="26"/>
        <v>Omo Gibe</v>
      </c>
      <c r="O68" s="309" t="str">
        <f t="shared" si="26"/>
        <v>Rift Valley</v>
      </c>
      <c r="P68" s="309" t="str">
        <f t="shared" si="26"/>
        <v>Tekeze &amp; Mereb Gash</v>
      </c>
      <c r="Q68" s="309" t="str">
        <f t="shared" si="26"/>
        <v>Wabi Shebele</v>
      </c>
      <c r="R68" s="310" t="str">
        <f t="shared" si="26"/>
        <v>National</v>
      </c>
    </row>
    <row r="69" spans="2:18" x14ac:dyDescent="0.25">
      <c r="B69" s="306" t="s">
        <v>158</v>
      </c>
      <c r="R69" s="280"/>
    </row>
    <row r="70" spans="2:18" x14ac:dyDescent="0.25">
      <c r="B70" s="281" t="s">
        <v>183</v>
      </c>
      <c r="C70" s="314"/>
      <c r="D70" s="314"/>
      <c r="E70" s="314"/>
      <c r="F70" s="314"/>
      <c r="G70" s="314"/>
      <c r="H70" s="6">
        <f>C21</f>
        <v>9491.0330880000001</v>
      </c>
      <c r="I70" s="6">
        <f t="shared" ref="I70:R70" si="27">D21</f>
        <v>1782.416256</v>
      </c>
      <c r="J70" s="6">
        <f t="shared" si="27"/>
        <v>3096.5829119999999</v>
      </c>
      <c r="K70" s="6">
        <f t="shared" si="27"/>
        <v>688.77081599999997</v>
      </c>
      <c r="L70" s="6">
        <f t="shared" si="27"/>
        <v>2710.088448</v>
      </c>
      <c r="M70" s="6">
        <f t="shared" si="27"/>
        <v>54.680459999999997</v>
      </c>
      <c r="N70" s="6">
        <f t="shared" si="27"/>
        <v>4738.1703680000001</v>
      </c>
      <c r="O70" s="6">
        <f t="shared" si="27"/>
        <v>1420.339072</v>
      </c>
      <c r="P70" s="6">
        <f t="shared" si="27"/>
        <v>3367.5438079999999</v>
      </c>
      <c r="Q70" s="6">
        <f t="shared" si="27"/>
        <v>2351.72352</v>
      </c>
      <c r="R70" s="307">
        <f t="shared" si="27"/>
        <v>29701.348748</v>
      </c>
    </row>
    <row r="71" spans="2:18" x14ac:dyDescent="0.25">
      <c r="B71" s="281" t="s">
        <v>185</v>
      </c>
      <c r="C71" s="314"/>
      <c r="D71" s="314"/>
      <c r="E71" s="314"/>
      <c r="F71" s="314"/>
      <c r="G71" s="314"/>
      <c r="H71" s="6">
        <f>C23</f>
        <v>58379.915264000003</v>
      </c>
      <c r="I71" s="6">
        <f t="shared" ref="I71:R71" si="28">D23</f>
        <v>8769.8821119999993</v>
      </c>
      <c r="J71" s="6">
        <f t="shared" si="28"/>
        <v>28028.143616000001</v>
      </c>
      <c r="K71" s="6">
        <f t="shared" si="28"/>
        <v>1869.210112</v>
      </c>
      <c r="L71" s="6">
        <f t="shared" si="28"/>
        <v>20999.348224000001</v>
      </c>
      <c r="M71" s="6">
        <f t="shared" si="28"/>
        <v>3786.143744</v>
      </c>
      <c r="N71" s="6">
        <f t="shared" si="28"/>
        <v>27276.242944000001</v>
      </c>
      <c r="O71" s="6">
        <f t="shared" si="28"/>
        <v>6826.5154560000001</v>
      </c>
      <c r="P71" s="6">
        <f t="shared" si="28"/>
        <v>11106.921472</v>
      </c>
      <c r="Q71" s="6">
        <f t="shared" si="28"/>
        <v>18120.753152000001</v>
      </c>
      <c r="R71" s="307">
        <f t="shared" si="28"/>
        <v>185163.076096</v>
      </c>
    </row>
    <row r="72" spans="2:18" x14ac:dyDescent="0.25">
      <c r="B72" s="281" t="s">
        <v>176</v>
      </c>
      <c r="C72" s="314"/>
      <c r="D72" s="314"/>
      <c r="E72" s="314"/>
      <c r="F72" s="314"/>
      <c r="G72" s="314"/>
      <c r="H72" s="6">
        <f>C25</f>
        <v>62831.718399999998</v>
      </c>
      <c r="I72" s="6">
        <f t="shared" ref="I72:R72" si="29">D25</f>
        <v>8418.7520000000004</v>
      </c>
      <c r="J72" s="6">
        <f t="shared" si="29"/>
        <v>29487.880192000001</v>
      </c>
      <c r="K72" s="6">
        <f t="shared" si="29"/>
        <v>2870.3692799999999</v>
      </c>
      <c r="L72" s="6">
        <f t="shared" si="29"/>
        <v>8809.3982720000004</v>
      </c>
      <c r="M72" s="6">
        <f t="shared" si="29"/>
        <v>245.54294400000001</v>
      </c>
      <c r="N72" s="6">
        <f t="shared" si="29"/>
        <v>26057.603072000002</v>
      </c>
      <c r="O72" s="6">
        <f t="shared" si="29"/>
        <v>7730.4867839999997</v>
      </c>
      <c r="P72" s="6">
        <f t="shared" si="29"/>
        <v>8651.6715519999998</v>
      </c>
      <c r="Q72" s="6">
        <f t="shared" si="29"/>
        <v>8054.067712</v>
      </c>
      <c r="R72" s="307">
        <f t="shared" si="29"/>
        <v>163157.490208</v>
      </c>
    </row>
    <row r="73" spans="2:18" x14ac:dyDescent="0.25">
      <c r="B73" s="281" t="s">
        <v>184</v>
      </c>
      <c r="C73" s="314"/>
      <c r="D73" s="314"/>
      <c r="E73" s="314"/>
      <c r="F73" s="314"/>
      <c r="G73" s="314"/>
      <c r="H73" s="6">
        <f>C27</f>
        <v>2167.1831040000002</v>
      </c>
      <c r="I73" s="6">
        <f t="shared" ref="I73:R73" si="30">D27</f>
        <v>435.81305600000002</v>
      </c>
      <c r="J73" s="6">
        <f t="shared" si="30"/>
        <v>537.54406400000005</v>
      </c>
      <c r="K73" s="6">
        <f t="shared" si="30"/>
        <v>257.57524799999999</v>
      </c>
      <c r="L73" s="6">
        <f t="shared" si="30"/>
        <v>499.62659200000002</v>
      </c>
      <c r="M73" s="6">
        <f t="shared" si="30"/>
        <v>9.4955510000000007</v>
      </c>
      <c r="N73" s="6">
        <f t="shared" si="30"/>
        <v>1032.808448</v>
      </c>
      <c r="O73" s="6">
        <f t="shared" si="30"/>
        <v>311.44736</v>
      </c>
      <c r="P73" s="6">
        <f t="shared" si="30"/>
        <v>877.82195200000001</v>
      </c>
      <c r="Q73" s="6">
        <f t="shared" si="30"/>
        <v>571.75968</v>
      </c>
      <c r="R73" s="307">
        <f t="shared" si="30"/>
        <v>6701.0750550000002</v>
      </c>
    </row>
    <row r="74" spans="2:18" x14ac:dyDescent="0.25">
      <c r="B74" s="281" t="s">
        <v>179</v>
      </c>
      <c r="C74" s="314"/>
      <c r="D74" s="314"/>
      <c r="E74" s="314"/>
      <c r="F74" s="314"/>
      <c r="G74" s="314"/>
      <c r="H74" s="6">
        <f>C29</f>
        <v>129663.250432</v>
      </c>
      <c r="I74" s="6">
        <f t="shared" ref="I74:R74" si="31">D29</f>
        <v>22696.073727999999</v>
      </c>
      <c r="J74" s="6">
        <f t="shared" si="31"/>
        <v>43940.946944000003</v>
      </c>
      <c r="K74" s="6">
        <f t="shared" si="31"/>
        <v>8489.4878719999997</v>
      </c>
      <c r="L74" s="6">
        <f t="shared" si="31"/>
        <v>24343.774207999999</v>
      </c>
      <c r="M74" s="6">
        <f t="shared" si="31"/>
        <v>4279.0512959999996</v>
      </c>
      <c r="N74" s="6">
        <f t="shared" si="31"/>
        <v>46899.068928000001</v>
      </c>
      <c r="O74" s="6">
        <f t="shared" si="31"/>
        <v>19104.788992000002</v>
      </c>
      <c r="P74" s="6">
        <f t="shared" si="31"/>
        <v>22289.369087999999</v>
      </c>
      <c r="Q74" s="6">
        <f t="shared" si="31"/>
        <v>25296.574976</v>
      </c>
      <c r="R74" s="307">
        <f t="shared" si="31"/>
        <v>347002.38646399998</v>
      </c>
    </row>
    <row r="75" spans="2:18" x14ac:dyDescent="0.25">
      <c r="B75" s="308" t="s">
        <v>159</v>
      </c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291"/>
    </row>
    <row r="76" spans="2:18" x14ac:dyDescent="0.25">
      <c r="B76" s="299" t="s">
        <v>183</v>
      </c>
      <c r="C76" s="298"/>
      <c r="D76" s="298"/>
      <c r="E76" s="298"/>
      <c r="F76" s="298"/>
      <c r="G76" s="298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7"/>
    </row>
    <row r="77" spans="2:18" x14ac:dyDescent="0.25">
      <c r="B77" s="281" t="s">
        <v>185</v>
      </c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5"/>
    </row>
    <row r="78" spans="2:18" x14ac:dyDescent="0.25">
      <c r="B78" s="281" t="s">
        <v>176</v>
      </c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5"/>
    </row>
    <row r="79" spans="2:18" x14ac:dyDescent="0.25">
      <c r="B79" s="281" t="s">
        <v>184</v>
      </c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5"/>
    </row>
    <row r="80" spans="2:18" x14ac:dyDescent="0.25">
      <c r="B80" s="300" t="s">
        <v>179</v>
      </c>
      <c r="C80" s="284"/>
      <c r="D80" s="284"/>
      <c r="E80" s="284"/>
      <c r="F80" s="284"/>
      <c r="G80" s="284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9"/>
    </row>
    <row r="81" spans="2:18" x14ac:dyDescent="0.25">
      <c r="B81" s="281"/>
      <c r="R81" s="280"/>
    </row>
    <row r="82" spans="2:18" x14ac:dyDescent="0.25">
      <c r="B82" s="283" t="s">
        <v>160</v>
      </c>
      <c r="R82" s="280"/>
    </row>
    <row r="83" spans="2:18" x14ac:dyDescent="0.25">
      <c r="B83" s="300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5"/>
    </row>
    <row r="87" spans="2:18" x14ac:dyDescent="0.25">
      <c r="E87" s="6"/>
      <c r="F87" s="6"/>
    </row>
  </sheetData>
  <autoFilter ref="A2:M2" xr:uid="{B80A02E3-0CAA-4949-BB2B-24F46EA07CD0}"/>
  <mergeCells count="4">
    <mergeCell ref="H67:Q67"/>
    <mergeCell ref="H52:Q52"/>
    <mergeCell ref="C52:G52"/>
    <mergeCell ref="C67:G67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4E5-54B5-406D-87F4-F5E327B7DECD}">
  <dimension ref="B2:Y83"/>
  <sheetViews>
    <sheetView topLeftCell="I7" zoomScale="96" zoomScaleNormal="96" workbookViewId="0">
      <selection activeCell="F57" sqref="F57"/>
    </sheetView>
  </sheetViews>
  <sheetFormatPr defaultRowHeight="15" x14ac:dyDescent="0.25"/>
  <cols>
    <col min="2" max="2" width="59.7109375" customWidth="1"/>
    <col min="3" max="3" width="12.7109375" customWidth="1"/>
    <col min="4" max="4" width="19.140625" customWidth="1"/>
    <col min="5" max="5" width="56.28515625" customWidth="1"/>
    <col min="6" max="18" width="18.5703125" customWidth="1"/>
    <col min="19" max="19" width="11.42578125" customWidth="1"/>
    <col min="20" max="20" width="9.85546875" customWidth="1"/>
    <col min="22" max="22" width="8.85546875" customWidth="1"/>
    <col min="23" max="23" width="11" customWidth="1"/>
    <col min="25" max="25" width="11" customWidth="1"/>
  </cols>
  <sheetData>
    <row r="2" spans="2:20" s="7" customFormat="1" x14ac:dyDescent="0.25">
      <c r="B2" t="s">
        <v>109</v>
      </c>
      <c r="C2" t="s">
        <v>165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86</v>
      </c>
    </row>
    <row r="3" spans="2:20" x14ac:dyDescent="0.25">
      <c r="B3" t="s">
        <v>186</v>
      </c>
      <c r="C3">
        <v>2013</v>
      </c>
      <c r="D3" s="2">
        <v>467460160</v>
      </c>
      <c r="E3" s="2">
        <v>11284668</v>
      </c>
      <c r="F3" s="2">
        <v>470548864</v>
      </c>
      <c r="G3" s="2">
        <v>7906476544</v>
      </c>
      <c r="H3" s="2">
        <v>1838702080</v>
      </c>
      <c r="I3" s="2">
        <v>22122812</v>
      </c>
      <c r="J3" s="2">
        <v>485293568</v>
      </c>
      <c r="K3" s="2">
        <v>6703134</v>
      </c>
      <c r="L3" s="2">
        <v>10582815744</v>
      </c>
      <c r="M3" s="2">
        <v>275323360</v>
      </c>
      <c r="N3" s="2">
        <v>2099035008</v>
      </c>
      <c r="O3" s="2">
        <v>1179824128</v>
      </c>
      <c r="P3" s="2">
        <v>2922224896</v>
      </c>
      <c r="Q3" s="2">
        <v>1418912256</v>
      </c>
      <c r="R3" s="6">
        <f>SUM(D3:Q3)</f>
        <v>29686727222</v>
      </c>
      <c r="S3" s="3"/>
    </row>
    <row r="4" spans="2:20" x14ac:dyDescent="0.25">
      <c r="B4" t="s">
        <v>186</v>
      </c>
      <c r="C4">
        <v>2022</v>
      </c>
      <c r="D4" s="2">
        <v>470970368</v>
      </c>
      <c r="E4" s="2">
        <v>11565920</v>
      </c>
      <c r="F4" s="2">
        <v>465773056</v>
      </c>
      <c r="G4" s="2">
        <v>7920613376</v>
      </c>
      <c r="H4" s="2">
        <v>1861481216</v>
      </c>
      <c r="I4" s="2">
        <v>22035842</v>
      </c>
      <c r="J4" s="2">
        <v>489878400</v>
      </c>
      <c r="K4" s="2">
        <v>6770849</v>
      </c>
      <c r="L4" s="2">
        <v>10565665792</v>
      </c>
      <c r="M4" s="2">
        <v>271991808</v>
      </c>
      <c r="N4" s="2">
        <v>2099785344</v>
      </c>
      <c r="O4" s="2">
        <v>1176355072</v>
      </c>
      <c r="P4" s="2">
        <v>2913199104</v>
      </c>
      <c r="Q4" s="2">
        <v>1425274368</v>
      </c>
      <c r="R4" s="6">
        <f t="shared" ref="R4:R14" si="0">SUM(D4:Q4)</f>
        <v>29701360515</v>
      </c>
      <c r="S4" s="3"/>
    </row>
    <row r="5" spans="2:20" x14ac:dyDescent="0.25">
      <c r="B5" t="s">
        <v>185</v>
      </c>
      <c r="C5">
        <v>2013</v>
      </c>
      <c r="D5" s="1">
        <v>3051862528</v>
      </c>
      <c r="E5" s="1">
        <v>-95213376</v>
      </c>
      <c r="F5" s="1">
        <v>2084096000</v>
      </c>
      <c r="G5" s="1">
        <v>34101839872</v>
      </c>
      <c r="H5" s="1">
        <v>20390125568</v>
      </c>
      <c r="I5" s="1">
        <v>37676444</v>
      </c>
      <c r="J5" s="1">
        <v>7439709184</v>
      </c>
      <c r="K5" s="1">
        <v>31583864</v>
      </c>
      <c r="L5" s="1">
        <v>69775597568</v>
      </c>
      <c r="M5" s="1">
        <v>1686770560</v>
      </c>
      <c r="N5" s="1">
        <v>11052518400</v>
      </c>
      <c r="O5" s="1">
        <v>16500699136</v>
      </c>
      <c r="P5" s="1">
        <v>19032971264</v>
      </c>
      <c r="Q5" s="1">
        <v>5267421184</v>
      </c>
      <c r="R5" s="6">
        <f t="shared" si="0"/>
        <v>190357658196</v>
      </c>
    </row>
    <row r="6" spans="2:20" x14ac:dyDescent="0.25">
      <c r="B6" t="s">
        <v>185</v>
      </c>
      <c r="C6">
        <v>2022</v>
      </c>
      <c r="D6" s="1">
        <v>3062937344</v>
      </c>
      <c r="E6" s="1">
        <v>-145227280</v>
      </c>
      <c r="F6" s="1">
        <v>2163162112</v>
      </c>
      <c r="G6" s="1">
        <v>30190915584</v>
      </c>
      <c r="H6" s="1">
        <v>19808010240</v>
      </c>
      <c r="I6" s="1">
        <v>36458320</v>
      </c>
      <c r="J6" s="1">
        <v>7790137856</v>
      </c>
      <c r="K6" s="1">
        <v>30743508</v>
      </c>
      <c r="L6" s="1">
        <v>69244280832</v>
      </c>
      <c r="M6" s="1">
        <v>1321052288</v>
      </c>
      <c r="N6" s="1">
        <v>11103072256</v>
      </c>
      <c r="O6" s="1">
        <v>16145696768</v>
      </c>
      <c r="P6" s="1">
        <v>19664224256</v>
      </c>
      <c r="Q6" s="1">
        <v>4747422208</v>
      </c>
      <c r="R6" s="6">
        <f t="shared" si="0"/>
        <v>185162886292</v>
      </c>
    </row>
    <row r="7" spans="2:20" x14ac:dyDescent="0.25">
      <c r="B7" t="s">
        <v>168</v>
      </c>
      <c r="C7">
        <v>2013</v>
      </c>
      <c r="D7" s="1">
        <v>3281717760</v>
      </c>
      <c r="E7" s="1">
        <v>36328784</v>
      </c>
      <c r="F7" s="1">
        <v>4347826176</v>
      </c>
      <c r="G7" s="1">
        <v>34298286080</v>
      </c>
      <c r="H7" s="1">
        <v>19719507968</v>
      </c>
      <c r="I7" s="1">
        <v>28843122</v>
      </c>
      <c r="J7" s="1">
        <v>8610195456</v>
      </c>
      <c r="K7" s="1">
        <v>16855590</v>
      </c>
      <c r="L7" s="1">
        <v>57443065856</v>
      </c>
      <c r="M7" s="1">
        <v>1853257088</v>
      </c>
      <c r="N7" s="1">
        <v>9467627520</v>
      </c>
      <c r="O7" s="1">
        <v>4111051776</v>
      </c>
      <c r="P7" s="1">
        <v>17309761536</v>
      </c>
      <c r="Q7" s="1">
        <v>4794139648</v>
      </c>
      <c r="R7" s="6">
        <f t="shared" si="0"/>
        <v>165318464360</v>
      </c>
      <c r="S7" s="3"/>
    </row>
    <row r="8" spans="2:20" x14ac:dyDescent="0.25">
      <c r="B8" t="s">
        <v>168</v>
      </c>
      <c r="C8">
        <v>2022</v>
      </c>
      <c r="D8" s="1">
        <v>3103173888</v>
      </c>
      <c r="E8" s="1">
        <v>20769602</v>
      </c>
      <c r="F8" s="1">
        <v>4056365312</v>
      </c>
      <c r="G8" s="1">
        <v>30710927360</v>
      </c>
      <c r="H8" s="1">
        <v>17720352768</v>
      </c>
      <c r="I8" s="1">
        <v>37063224</v>
      </c>
      <c r="J8" s="1">
        <v>8543104000</v>
      </c>
      <c r="K8" s="1">
        <v>14871951</v>
      </c>
      <c r="L8" s="1">
        <v>58737152000</v>
      </c>
      <c r="M8" s="1">
        <v>1792466048</v>
      </c>
      <c r="N8" s="1">
        <v>9764314112</v>
      </c>
      <c r="O8" s="1">
        <v>5488828928</v>
      </c>
      <c r="P8" s="1">
        <v>19670601728</v>
      </c>
      <c r="Q8" s="1">
        <v>3495469056</v>
      </c>
      <c r="R8" s="6">
        <f t="shared" si="0"/>
        <v>163155459977</v>
      </c>
      <c r="S8" s="3"/>
      <c r="T8" s="3"/>
    </row>
    <row r="9" spans="2:20" x14ac:dyDescent="0.25">
      <c r="B9" t="s">
        <v>169</v>
      </c>
      <c r="C9">
        <v>2013</v>
      </c>
      <c r="D9" s="1">
        <v>114559584</v>
      </c>
      <c r="E9" s="1">
        <v>1431261.75</v>
      </c>
      <c r="F9" s="1">
        <v>199458256</v>
      </c>
      <c r="G9" s="1">
        <v>2040249344</v>
      </c>
      <c r="H9" s="1">
        <v>350517984</v>
      </c>
      <c r="I9" s="1">
        <v>5817723.5</v>
      </c>
      <c r="J9" s="1">
        <v>78319856</v>
      </c>
      <c r="K9" s="1">
        <v>1526333.5</v>
      </c>
      <c r="L9" s="1">
        <v>2202098432</v>
      </c>
      <c r="M9" s="1">
        <v>57389040</v>
      </c>
      <c r="N9" s="1">
        <v>475537088</v>
      </c>
      <c r="O9" s="1">
        <v>238826272</v>
      </c>
      <c r="P9" s="1">
        <v>573947904</v>
      </c>
      <c r="Q9" s="1">
        <v>377151424</v>
      </c>
      <c r="R9" s="6">
        <f t="shared" si="0"/>
        <v>6716830502.75</v>
      </c>
    </row>
    <row r="10" spans="2:20" x14ac:dyDescent="0.25">
      <c r="B10" t="s">
        <v>169</v>
      </c>
      <c r="C10">
        <v>2022</v>
      </c>
      <c r="D10" s="1">
        <v>108671264</v>
      </c>
      <c r="E10" s="1">
        <v>936559.4375</v>
      </c>
      <c r="F10" s="1">
        <v>200330208</v>
      </c>
      <c r="G10" s="1">
        <v>2027658112</v>
      </c>
      <c r="H10" s="1">
        <v>322244032</v>
      </c>
      <c r="I10" s="1">
        <v>5880873</v>
      </c>
      <c r="J10" s="1">
        <v>73350344</v>
      </c>
      <c r="K10" s="1">
        <v>1457279</v>
      </c>
      <c r="L10" s="1">
        <v>2218972416</v>
      </c>
      <c r="M10" s="1">
        <v>62093792</v>
      </c>
      <c r="N10" s="1">
        <v>478165792</v>
      </c>
      <c r="O10" s="1">
        <v>240669648</v>
      </c>
      <c r="P10" s="1">
        <v>588853376</v>
      </c>
      <c r="Q10" s="1">
        <v>371798560</v>
      </c>
      <c r="R10" s="6">
        <f t="shared" si="0"/>
        <v>6701082255.4375</v>
      </c>
    </row>
    <row r="11" spans="2:20" x14ac:dyDescent="0.25">
      <c r="B11" t="s">
        <v>170</v>
      </c>
      <c r="C11">
        <v>2013</v>
      </c>
      <c r="D11" s="2">
        <v>6846035456</v>
      </c>
      <c r="E11" s="2">
        <v>392167760</v>
      </c>
      <c r="F11" s="2">
        <v>11793271296</v>
      </c>
      <c r="G11" s="2">
        <v>75526516736</v>
      </c>
      <c r="H11" s="2">
        <v>31126650880</v>
      </c>
      <c r="I11" s="2">
        <v>137902250</v>
      </c>
      <c r="J11" s="2">
        <v>11964691712</v>
      </c>
      <c r="K11" s="2">
        <v>56510182</v>
      </c>
      <c r="L11" s="2">
        <v>121163919360</v>
      </c>
      <c r="M11" s="2">
        <v>3555877888</v>
      </c>
      <c r="N11" s="2">
        <v>19818129408</v>
      </c>
      <c r="O11" s="2">
        <v>22119529472</v>
      </c>
      <c r="P11" s="2">
        <v>28835768320</v>
      </c>
      <c r="Q11" s="2">
        <v>10621853696</v>
      </c>
      <c r="R11" s="6">
        <f t="shared" si="0"/>
        <v>343958824416</v>
      </c>
    </row>
    <row r="12" spans="2:20" x14ac:dyDescent="0.25">
      <c r="B12" t="s">
        <v>170</v>
      </c>
      <c r="C12">
        <v>2022</v>
      </c>
      <c r="D12" s="2">
        <v>6656413696</v>
      </c>
      <c r="E12" s="2">
        <v>426622530</v>
      </c>
      <c r="F12" s="2">
        <v>11422765824</v>
      </c>
      <c r="G12" s="2">
        <v>75850465280</v>
      </c>
      <c r="H12" s="2">
        <v>29710028800</v>
      </c>
      <c r="I12" s="2">
        <v>147340480</v>
      </c>
      <c r="J12" s="2">
        <v>11547138560</v>
      </c>
      <c r="K12" s="2">
        <v>55366895</v>
      </c>
      <c r="L12" s="2">
        <v>122990149632</v>
      </c>
      <c r="M12" s="2">
        <v>3860806272</v>
      </c>
      <c r="N12" s="2">
        <v>20064714752</v>
      </c>
      <c r="O12" s="2">
        <v>23854301696</v>
      </c>
      <c r="P12" s="2">
        <v>30567110656</v>
      </c>
      <c r="Q12" s="2">
        <v>9847319552</v>
      </c>
      <c r="R12" s="6">
        <f t="shared" si="0"/>
        <v>347000544625</v>
      </c>
    </row>
    <row r="13" spans="2:20" x14ac:dyDescent="0.25">
      <c r="B13" t="s">
        <v>171</v>
      </c>
      <c r="C13">
        <v>2013</v>
      </c>
      <c r="D13" s="1">
        <v>680737920</v>
      </c>
      <c r="E13" s="1">
        <v>11971667</v>
      </c>
      <c r="F13" s="1">
        <v>1062897984</v>
      </c>
      <c r="G13" s="1">
        <v>6127053824</v>
      </c>
      <c r="H13" s="1">
        <v>2185844480</v>
      </c>
      <c r="I13" s="1">
        <v>24579192</v>
      </c>
      <c r="J13" s="1">
        <v>1326648192</v>
      </c>
      <c r="K13" s="1">
        <v>10389429</v>
      </c>
      <c r="L13" s="1">
        <v>12307325952</v>
      </c>
      <c r="M13" s="1">
        <v>354623776</v>
      </c>
      <c r="N13" s="1">
        <v>1794382976</v>
      </c>
      <c r="O13" s="1">
        <v>4645522944</v>
      </c>
      <c r="P13" s="1">
        <v>2071972096</v>
      </c>
      <c r="Q13" s="1">
        <v>1441754240</v>
      </c>
      <c r="R13" s="6">
        <f t="shared" si="0"/>
        <v>34045704672</v>
      </c>
    </row>
    <row r="14" spans="2:20" x14ac:dyDescent="0.25">
      <c r="B14" t="s">
        <v>171</v>
      </c>
      <c r="C14">
        <v>2022</v>
      </c>
      <c r="D14" s="1">
        <v>703273408</v>
      </c>
      <c r="E14" s="1">
        <v>10063700</v>
      </c>
      <c r="F14" s="1">
        <v>1075958400</v>
      </c>
      <c r="G14" s="1">
        <v>6213792768</v>
      </c>
      <c r="H14" s="1">
        <v>2257760512</v>
      </c>
      <c r="I14" s="1">
        <v>24594352</v>
      </c>
      <c r="J14" s="1">
        <v>1310737792</v>
      </c>
      <c r="K14" s="1">
        <v>11034828</v>
      </c>
      <c r="L14" s="1">
        <v>12137361408</v>
      </c>
      <c r="M14" s="1">
        <v>332336608</v>
      </c>
      <c r="N14" s="1">
        <v>1766240256</v>
      </c>
      <c r="O14" s="1">
        <v>4769181696</v>
      </c>
      <c r="P14" s="1">
        <v>1891781760</v>
      </c>
      <c r="Q14" s="1">
        <v>1535775872</v>
      </c>
      <c r="R14" s="6">
        <f t="shared" si="0"/>
        <v>34039893360</v>
      </c>
    </row>
    <row r="15" spans="2:20" x14ac:dyDescent="0.25">
      <c r="B15" t="s">
        <v>172</v>
      </c>
      <c r="C15" s="61" t="s">
        <v>173</v>
      </c>
      <c r="D15" s="6">
        <f>(D14-D13)/9</f>
        <v>2503943.111111111</v>
      </c>
      <c r="E15" s="6">
        <f t="shared" ref="E15:O15" si="1">(E14-E13)/9</f>
        <v>-211996.33333333334</v>
      </c>
      <c r="F15" s="6">
        <f t="shared" si="1"/>
        <v>1451157.3333333333</v>
      </c>
      <c r="G15" s="6">
        <f t="shared" si="1"/>
        <v>9637660.444444444</v>
      </c>
      <c r="H15" s="6">
        <f t="shared" si="1"/>
        <v>7990670.222222222</v>
      </c>
      <c r="I15" s="6">
        <f t="shared" si="1"/>
        <v>1684.4444444444443</v>
      </c>
      <c r="J15" s="6">
        <f t="shared" si="1"/>
        <v>-1767822.2222222222</v>
      </c>
      <c r="K15" s="6">
        <f t="shared" si="1"/>
        <v>71711</v>
      </c>
      <c r="L15" s="6">
        <f t="shared" si="1"/>
        <v>-18884949.333333332</v>
      </c>
      <c r="M15" s="6">
        <f t="shared" si="1"/>
        <v>-2476352</v>
      </c>
      <c r="N15" s="6">
        <f t="shared" si="1"/>
        <v>-3126968.888888889</v>
      </c>
      <c r="O15" s="6">
        <f t="shared" si="1"/>
        <v>13739861.333333334</v>
      </c>
      <c r="P15" s="6">
        <f>(P14-P13)/9</f>
        <v>-20021148.444444444</v>
      </c>
      <c r="Q15" s="6">
        <f>(Q14-Q13)/9</f>
        <v>10446848</v>
      </c>
      <c r="R15" s="6">
        <f>SUM(D15:Q15)</f>
        <v>-645701.33333333582</v>
      </c>
    </row>
    <row r="16" spans="2:20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8" x14ac:dyDescent="0.25">
      <c r="Q17" s="6"/>
    </row>
    <row r="19" spans="2:18" x14ac:dyDescent="0.25">
      <c r="B19" s="77" t="s">
        <v>187</v>
      </c>
      <c r="C19" s="77" t="s">
        <v>165</v>
      </c>
      <c r="D19" s="77" t="s">
        <v>110</v>
      </c>
      <c r="E19" s="77" t="s">
        <v>111</v>
      </c>
      <c r="F19" s="77" t="s">
        <v>112</v>
      </c>
      <c r="G19" s="77" t="s">
        <v>113</v>
      </c>
      <c r="H19" s="77" t="s">
        <v>114</v>
      </c>
      <c r="I19" s="77" t="s">
        <v>115</v>
      </c>
      <c r="J19" s="77" t="s">
        <v>116</v>
      </c>
      <c r="K19" s="77" t="s">
        <v>117</v>
      </c>
      <c r="L19" s="77" t="s">
        <v>118</v>
      </c>
      <c r="M19" s="77" t="s">
        <v>119</v>
      </c>
      <c r="N19" s="77" t="s">
        <v>120</v>
      </c>
      <c r="O19" s="77" t="s">
        <v>121</v>
      </c>
      <c r="P19" s="77" t="s">
        <v>122</v>
      </c>
      <c r="Q19" s="77" t="s">
        <v>123</v>
      </c>
      <c r="R19" s="77" t="s">
        <v>86</v>
      </c>
    </row>
    <row r="20" spans="2:18" x14ac:dyDescent="0.25">
      <c r="B20" s="77"/>
      <c r="C20" s="77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</row>
    <row r="21" spans="2:18" x14ac:dyDescent="0.25">
      <c r="B21" t="s">
        <v>183</v>
      </c>
      <c r="C21" s="61">
        <v>2013</v>
      </c>
      <c r="D21" s="6">
        <f t="shared" ref="D21:D33" si="2">D3/1000000</f>
        <v>467.46015999999997</v>
      </c>
      <c r="E21" s="6">
        <f t="shared" ref="E21:Q21" si="3">E3/1000000</f>
        <v>11.284668</v>
      </c>
      <c r="F21" s="6">
        <f t="shared" si="3"/>
        <v>470.54886399999998</v>
      </c>
      <c r="G21" s="6">
        <f t="shared" si="3"/>
        <v>7906.4765440000001</v>
      </c>
      <c r="H21" s="6">
        <f t="shared" si="3"/>
        <v>1838.70208</v>
      </c>
      <c r="I21" s="6">
        <f t="shared" si="3"/>
        <v>22.122812</v>
      </c>
      <c r="J21" s="6">
        <f t="shared" si="3"/>
        <v>485.29356799999999</v>
      </c>
      <c r="K21" s="6">
        <f t="shared" si="3"/>
        <v>6.7031340000000004</v>
      </c>
      <c r="L21" s="6">
        <f t="shared" si="3"/>
        <v>10582.815744</v>
      </c>
      <c r="M21" s="6">
        <f t="shared" si="3"/>
        <v>275.32335999999998</v>
      </c>
      <c r="N21" s="6">
        <f t="shared" si="3"/>
        <v>2099.0350079999998</v>
      </c>
      <c r="O21" s="6">
        <f t="shared" si="3"/>
        <v>1179.824128</v>
      </c>
      <c r="P21" s="6">
        <f t="shared" si="3"/>
        <v>2922.2248960000002</v>
      </c>
      <c r="Q21" s="6">
        <f t="shared" si="3"/>
        <v>1418.9122560000001</v>
      </c>
      <c r="R21" s="6">
        <f>R3/1000000</f>
        <v>29686.727222000001</v>
      </c>
    </row>
    <row r="22" spans="2:18" x14ac:dyDescent="0.25">
      <c r="B22" t="s">
        <v>183</v>
      </c>
      <c r="C22" s="61">
        <v>2022</v>
      </c>
      <c r="D22" s="6">
        <f t="shared" si="2"/>
        <v>470.97036800000001</v>
      </c>
      <c r="E22" s="6">
        <f t="shared" ref="E22:R22" si="4">E4/1000000</f>
        <v>11.56592</v>
      </c>
      <c r="F22" s="6">
        <f t="shared" si="4"/>
        <v>465.773056</v>
      </c>
      <c r="G22" s="6">
        <f t="shared" si="4"/>
        <v>7920.6133760000002</v>
      </c>
      <c r="H22" s="6">
        <f t="shared" si="4"/>
        <v>1861.4812159999999</v>
      </c>
      <c r="I22" s="6">
        <f t="shared" si="4"/>
        <v>22.035841999999999</v>
      </c>
      <c r="J22" s="6">
        <f t="shared" si="4"/>
        <v>489.8784</v>
      </c>
      <c r="K22" s="6">
        <f t="shared" si="4"/>
        <v>6.7708490000000001</v>
      </c>
      <c r="L22" s="6">
        <f t="shared" si="4"/>
        <v>10565.665792</v>
      </c>
      <c r="M22" s="6">
        <f t="shared" si="4"/>
        <v>271.99180799999999</v>
      </c>
      <c r="N22" s="6">
        <f t="shared" si="4"/>
        <v>2099.7853439999999</v>
      </c>
      <c r="O22" s="6">
        <f t="shared" si="4"/>
        <v>1176.3550720000001</v>
      </c>
      <c r="P22" s="6">
        <f t="shared" si="4"/>
        <v>2913.1991039999998</v>
      </c>
      <c r="Q22" s="6">
        <f t="shared" si="4"/>
        <v>1425.2743680000001</v>
      </c>
      <c r="R22" s="6">
        <f t="shared" si="4"/>
        <v>29701.360515</v>
      </c>
    </row>
    <row r="23" spans="2:18" x14ac:dyDescent="0.25">
      <c r="B23" t="s">
        <v>175</v>
      </c>
      <c r="C23" s="61">
        <v>2013</v>
      </c>
      <c r="D23" s="6">
        <f>D5/1000000</f>
        <v>3051.8625280000001</v>
      </c>
      <c r="E23" s="6">
        <f t="shared" ref="E23:R23" si="5">E5/1000000</f>
        <v>-95.213375999999997</v>
      </c>
      <c r="F23" s="6">
        <f t="shared" si="5"/>
        <v>2084.096</v>
      </c>
      <c r="G23" s="6">
        <f t="shared" si="5"/>
        <v>34101.839871999997</v>
      </c>
      <c r="H23" s="6">
        <f t="shared" si="5"/>
        <v>20390.125567999999</v>
      </c>
      <c r="I23" s="6">
        <f t="shared" si="5"/>
        <v>37.676443999999996</v>
      </c>
      <c r="J23" s="6">
        <f t="shared" si="5"/>
        <v>7439.7091840000003</v>
      </c>
      <c r="K23" s="6">
        <f t="shared" si="5"/>
        <v>31.583863999999998</v>
      </c>
      <c r="L23" s="6">
        <f t="shared" si="5"/>
        <v>69775.597567999997</v>
      </c>
      <c r="M23" s="6">
        <f t="shared" si="5"/>
        <v>1686.7705599999999</v>
      </c>
      <c r="N23" s="6">
        <f t="shared" si="5"/>
        <v>11052.518400000001</v>
      </c>
      <c r="O23" s="6">
        <f t="shared" si="5"/>
        <v>16500.699135999999</v>
      </c>
      <c r="P23" s="6">
        <f t="shared" si="5"/>
        <v>19032.971264</v>
      </c>
      <c r="Q23" s="6">
        <f t="shared" si="5"/>
        <v>5267.4211839999998</v>
      </c>
      <c r="R23" s="6">
        <f t="shared" si="5"/>
        <v>190357.658196</v>
      </c>
    </row>
    <row r="24" spans="2:18" x14ac:dyDescent="0.25">
      <c r="B24" t="s">
        <v>175</v>
      </c>
      <c r="C24" s="61">
        <v>2022</v>
      </c>
      <c r="D24" s="6">
        <f t="shared" si="2"/>
        <v>3062.9373439999999</v>
      </c>
      <c r="E24" s="6">
        <f t="shared" ref="E24:R24" si="6">E6/1000000</f>
        <v>-145.22728000000001</v>
      </c>
      <c r="F24" s="6">
        <f t="shared" si="6"/>
        <v>2163.162112</v>
      </c>
      <c r="G24" s="6">
        <f t="shared" si="6"/>
        <v>30190.915583999998</v>
      </c>
      <c r="H24" s="6">
        <f t="shared" si="6"/>
        <v>19808.01024</v>
      </c>
      <c r="I24" s="6">
        <f t="shared" si="6"/>
        <v>36.458320000000001</v>
      </c>
      <c r="J24" s="6">
        <f t="shared" si="6"/>
        <v>7790.1378560000003</v>
      </c>
      <c r="K24" s="6">
        <f t="shared" si="6"/>
        <v>30.743507999999999</v>
      </c>
      <c r="L24" s="6">
        <f t="shared" si="6"/>
        <v>69244.280832000004</v>
      </c>
      <c r="M24" s="6">
        <f t="shared" si="6"/>
        <v>1321.0522880000001</v>
      </c>
      <c r="N24" s="6">
        <f t="shared" si="6"/>
        <v>11103.072255999999</v>
      </c>
      <c r="O24" s="6">
        <f t="shared" si="6"/>
        <v>16145.696768</v>
      </c>
      <c r="P24" s="6">
        <f t="shared" si="6"/>
        <v>19664.224256000001</v>
      </c>
      <c r="Q24" s="6">
        <f t="shared" si="6"/>
        <v>4747.422208</v>
      </c>
      <c r="R24" s="6">
        <f t="shared" si="6"/>
        <v>185162.88629200001</v>
      </c>
    </row>
    <row r="25" spans="2:18" x14ac:dyDescent="0.25">
      <c r="B25" t="s">
        <v>176</v>
      </c>
      <c r="C25" s="61">
        <v>2013</v>
      </c>
      <c r="D25" s="6">
        <f t="shared" si="2"/>
        <v>3281.71776</v>
      </c>
      <c r="E25" s="6">
        <f t="shared" ref="E25:R25" si="7">E7/1000000</f>
        <v>36.328783999999999</v>
      </c>
      <c r="F25" s="6">
        <f t="shared" si="7"/>
        <v>4347.8261759999996</v>
      </c>
      <c r="G25" s="6">
        <f t="shared" si="7"/>
        <v>34298.286079999998</v>
      </c>
      <c r="H25" s="6">
        <f t="shared" si="7"/>
        <v>19719.507968000002</v>
      </c>
      <c r="I25" s="6">
        <f t="shared" si="7"/>
        <v>28.843122000000001</v>
      </c>
      <c r="J25" s="6">
        <f t="shared" si="7"/>
        <v>8610.1954559999995</v>
      </c>
      <c r="K25" s="6">
        <f t="shared" si="7"/>
        <v>16.855589999999999</v>
      </c>
      <c r="L25" s="6">
        <f t="shared" si="7"/>
        <v>57443.065856000001</v>
      </c>
      <c r="M25" s="6">
        <f t="shared" si="7"/>
        <v>1853.2570880000001</v>
      </c>
      <c r="N25" s="6">
        <f t="shared" si="7"/>
        <v>9467.62752</v>
      </c>
      <c r="O25" s="6">
        <f t="shared" si="7"/>
        <v>4111.0517760000002</v>
      </c>
      <c r="P25" s="6">
        <f t="shared" si="7"/>
        <v>17309.761536000002</v>
      </c>
      <c r="Q25" s="6">
        <f t="shared" si="7"/>
        <v>4794.1396480000003</v>
      </c>
      <c r="R25" s="6">
        <f t="shared" si="7"/>
        <v>165318.46436000001</v>
      </c>
    </row>
    <row r="26" spans="2:18" x14ac:dyDescent="0.25">
      <c r="B26" t="s">
        <v>176</v>
      </c>
      <c r="C26" s="61">
        <v>2022</v>
      </c>
      <c r="D26" s="6">
        <f t="shared" si="2"/>
        <v>3103.1738879999998</v>
      </c>
      <c r="E26" s="6">
        <f t="shared" ref="E26:R26" si="8">E8/1000000</f>
        <v>20.769601999999999</v>
      </c>
      <c r="F26" s="6">
        <f t="shared" si="8"/>
        <v>4056.3653119999999</v>
      </c>
      <c r="G26" s="6">
        <f t="shared" si="8"/>
        <v>30710.927360000001</v>
      </c>
      <c r="H26" s="6">
        <f t="shared" si="8"/>
        <v>17720.352768000001</v>
      </c>
      <c r="I26" s="6">
        <f t="shared" si="8"/>
        <v>37.063223999999998</v>
      </c>
      <c r="J26" s="6">
        <f t="shared" si="8"/>
        <v>8543.1039999999994</v>
      </c>
      <c r="K26" s="6">
        <f t="shared" si="8"/>
        <v>14.871950999999999</v>
      </c>
      <c r="L26" s="6">
        <f t="shared" si="8"/>
        <v>58737.152000000002</v>
      </c>
      <c r="M26" s="6">
        <f t="shared" si="8"/>
        <v>1792.466048</v>
      </c>
      <c r="N26" s="6">
        <f t="shared" si="8"/>
        <v>9764.314112</v>
      </c>
      <c r="O26" s="6">
        <f t="shared" si="8"/>
        <v>5488.8289279999999</v>
      </c>
      <c r="P26" s="6">
        <f t="shared" si="8"/>
        <v>19670.601728000001</v>
      </c>
      <c r="Q26" s="6">
        <f t="shared" si="8"/>
        <v>3495.4690559999999</v>
      </c>
      <c r="R26" s="6">
        <f t="shared" si="8"/>
        <v>163155.45997699999</v>
      </c>
    </row>
    <row r="27" spans="2:18" x14ac:dyDescent="0.25">
      <c r="B27" t="s">
        <v>184</v>
      </c>
      <c r="C27" s="61">
        <v>2013</v>
      </c>
      <c r="D27" s="6">
        <f t="shared" si="2"/>
        <v>114.559584</v>
      </c>
      <c r="E27" s="6">
        <f t="shared" ref="E27:R27" si="9">E9/1000000</f>
        <v>1.43126175</v>
      </c>
      <c r="F27" s="6">
        <f t="shared" si="9"/>
        <v>199.45825600000001</v>
      </c>
      <c r="G27" s="6">
        <f t="shared" si="9"/>
        <v>2040.2493440000001</v>
      </c>
      <c r="H27" s="6">
        <f t="shared" si="9"/>
        <v>350.51798400000001</v>
      </c>
      <c r="I27" s="6">
        <f t="shared" si="9"/>
        <v>5.8177234999999996</v>
      </c>
      <c r="J27" s="6">
        <f t="shared" si="9"/>
        <v>78.319856000000001</v>
      </c>
      <c r="K27" s="6">
        <f t="shared" si="9"/>
        <v>1.5263335</v>
      </c>
      <c r="L27" s="6">
        <f t="shared" si="9"/>
        <v>2202.0984319999998</v>
      </c>
      <c r="M27" s="6">
        <f t="shared" si="9"/>
        <v>57.389040000000001</v>
      </c>
      <c r="N27" s="6">
        <f t="shared" si="9"/>
        <v>475.53708799999998</v>
      </c>
      <c r="O27" s="6">
        <f t="shared" si="9"/>
        <v>238.82627199999999</v>
      </c>
      <c r="P27" s="6">
        <f t="shared" si="9"/>
        <v>573.94790399999999</v>
      </c>
      <c r="Q27" s="6">
        <f t="shared" si="9"/>
        <v>377.15142400000002</v>
      </c>
      <c r="R27" s="6">
        <f t="shared" si="9"/>
        <v>6716.8305027500001</v>
      </c>
    </row>
    <row r="28" spans="2:18" x14ac:dyDescent="0.25">
      <c r="B28" t="s">
        <v>184</v>
      </c>
      <c r="C28" s="61">
        <v>2022</v>
      </c>
      <c r="D28" s="6">
        <f t="shared" si="2"/>
        <v>108.67126399999999</v>
      </c>
      <c r="E28" s="6">
        <f t="shared" ref="E28:R28" si="10">E10/1000000</f>
        <v>0.93655943750000004</v>
      </c>
      <c r="F28" s="6">
        <f t="shared" si="10"/>
        <v>200.330208</v>
      </c>
      <c r="G28" s="6">
        <f t="shared" si="10"/>
        <v>2027.6581120000001</v>
      </c>
      <c r="H28" s="6">
        <f t="shared" si="10"/>
        <v>322.244032</v>
      </c>
      <c r="I28" s="6">
        <f t="shared" si="10"/>
        <v>5.8808730000000002</v>
      </c>
      <c r="J28" s="6">
        <f t="shared" si="10"/>
        <v>73.350344000000007</v>
      </c>
      <c r="K28" s="6">
        <f t="shared" si="10"/>
        <v>1.457279</v>
      </c>
      <c r="L28" s="6">
        <f t="shared" si="10"/>
        <v>2218.9724160000001</v>
      </c>
      <c r="M28" s="6">
        <f t="shared" si="10"/>
        <v>62.093792000000001</v>
      </c>
      <c r="N28" s="6">
        <f t="shared" si="10"/>
        <v>478.16579200000001</v>
      </c>
      <c r="O28" s="6">
        <f t="shared" si="10"/>
        <v>240.669648</v>
      </c>
      <c r="P28" s="6">
        <f t="shared" si="10"/>
        <v>588.85337600000003</v>
      </c>
      <c r="Q28" s="6">
        <f t="shared" si="10"/>
        <v>371.79856000000001</v>
      </c>
      <c r="R28" s="6">
        <f t="shared" si="10"/>
        <v>6701.0822554375</v>
      </c>
    </row>
    <row r="29" spans="2:18" x14ac:dyDescent="0.25">
      <c r="B29" t="s">
        <v>179</v>
      </c>
      <c r="C29" s="61">
        <v>2013</v>
      </c>
      <c r="D29" s="6">
        <f t="shared" si="2"/>
        <v>6846.0354559999996</v>
      </c>
      <c r="E29" s="6">
        <f t="shared" ref="E29:R29" si="11">E11/1000000</f>
        <v>392.16775999999999</v>
      </c>
      <c r="F29" s="6">
        <f t="shared" si="11"/>
        <v>11793.271296000001</v>
      </c>
      <c r="G29" s="6">
        <f t="shared" si="11"/>
        <v>75526.516736000005</v>
      </c>
      <c r="H29" s="6">
        <f t="shared" si="11"/>
        <v>31126.650880000001</v>
      </c>
      <c r="I29" s="6">
        <f t="shared" si="11"/>
        <v>137.90225000000001</v>
      </c>
      <c r="J29" s="6">
        <f t="shared" si="11"/>
        <v>11964.691712</v>
      </c>
      <c r="K29" s="6">
        <f t="shared" si="11"/>
        <v>56.510182</v>
      </c>
      <c r="L29" s="6">
        <f t="shared" si="11"/>
        <v>121163.91936</v>
      </c>
      <c r="M29" s="6">
        <f t="shared" si="11"/>
        <v>3555.877888</v>
      </c>
      <c r="N29" s="6">
        <f t="shared" si="11"/>
        <v>19818.129408000001</v>
      </c>
      <c r="O29" s="6">
        <f t="shared" si="11"/>
        <v>22119.529471999998</v>
      </c>
      <c r="P29" s="6">
        <f t="shared" si="11"/>
        <v>28835.768319999999</v>
      </c>
      <c r="Q29" s="6">
        <f t="shared" si="11"/>
        <v>10621.853696</v>
      </c>
      <c r="R29" s="6">
        <f t="shared" si="11"/>
        <v>343958.82441599999</v>
      </c>
    </row>
    <row r="30" spans="2:18" x14ac:dyDescent="0.25">
      <c r="B30" t="s">
        <v>179</v>
      </c>
      <c r="C30" s="61">
        <v>2022</v>
      </c>
      <c r="D30" s="6">
        <f t="shared" si="2"/>
        <v>6656.4136959999996</v>
      </c>
      <c r="E30" s="6">
        <f t="shared" ref="E30:R30" si="12">E12/1000000</f>
        <v>426.62252999999998</v>
      </c>
      <c r="F30" s="6">
        <f t="shared" si="12"/>
        <v>11422.765824</v>
      </c>
      <c r="G30" s="6">
        <f t="shared" si="12"/>
        <v>75850.465280000004</v>
      </c>
      <c r="H30" s="6">
        <f t="shared" si="12"/>
        <v>29710.0288</v>
      </c>
      <c r="I30" s="6">
        <f t="shared" si="12"/>
        <v>147.34048000000001</v>
      </c>
      <c r="J30" s="6">
        <f t="shared" si="12"/>
        <v>11547.138559999999</v>
      </c>
      <c r="K30" s="6">
        <f t="shared" si="12"/>
        <v>55.366895</v>
      </c>
      <c r="L30" s="6">
        <f t="shared" si="12"/>
        <v>122990.149632</v>
      </c>
      <c r="M30" s="6">
        <f t="shared" si="12"/>
        <v>3860.8062719999998</v>
      </c>
      <c r="N30" s="6">
        <f t="shared" si="12"/>
        <v>20064.714752</v>
      </c>
      <c r="O30" s="6">
        <f t="shared" si="12"/>
        <v>23854.301695999999</v>
      </c>
      <c r="P30" s="6">
        <f t="shared" si="12"/>
        <v>30567.110656000001</v>
      </c>
      <c r="Q30" s="6">
        <f t="shared" si="12"/>
        <v>9847.3195520000008</v>
      </c>
      <c r="R30" s="6">
        <f t="shared" si="12"/>
        <v>347000.54462499998</v>
      </c>
    </row>
    <row r="31" spans="2:18" x14ac:dyDescent="0.25">
      <c r="B31" t="s">
        <v>180</v>
      </c>
      <c r="C31" s="61">
        <v>2013</v>
      </c>
      <c r="D31" s="6">
        <f t="shared" si="2"/>
        <v>680.73792000000003</v>
      </c>
      <c r="E31" s="6">
        <f t="shared" ref="E31:R31" si="13">E13/1000000</f>
        <v>11.971667</v>
      </c>
      <c r="F31" s="6">
        <f t="shared" si="13"/>
        <v>1062.897984</v>
      </c>
      <c r="G31" s="6">
        <f t="shared" si="13"/>
        <v>6127.0538239999996</v>
      </c>
      <c r="H31" s="6">
        <f t="shared" si="13"/>
        <v>2185.8444800000002</v>
      </c>
      <c r="I31" s="6">
        <f t="shared" si="13"/>
        <v>24.579191999999999</v>
      </c>
      <c r="J31" s="6">
        <f t="shared" si="13"/>
        <v>1326.6481920000001</v>
      </c>
      <c r="K31" s="6">
        <f t="shared" si="13"/>
        <v>10.389429</v>
      </c>
      <c r="L31" s="6">
        <f t="shared" si="13"/>
        <v>12307.325951999999</v>
      </c>
      <c r="M31" s="6">
        <f t="shared" si="13"/>
        <v>354.62377600000002</v>
      </c>
      <c r="N31" s="6">
        <f t="shared" si="13"/>
        <v>1794.3829760000001</v>
      </c>
      <c r="O31" s="6">
        <f t="shared" si="13"/>
        <v>4645.5229440000003</v>
      </c>
      <c r="P31" s="6">
        <f t="shared" si="13"/>
        <v>2071.972096</v>
      </c>
      <c r="Q31" s="6">
        <f t="shared" si="13"/>
        <v>1441.75424</v>
      </c>
      <c r="R31" s="6">
        <f t="shared" si="13"/>
        <v>34045.704672</v>
      </c>
    </row>
    <row r="32" spans="2:18" x14ac:dyDescent="0.25">
      <c r="B32" t="s">
        <v>180</v>
      </c>
      <c r="C32" s="61">
        <v>2022</v>
      </c>
      <c r="D32" s="6">
        <f t="shared" si="2"/>
        <v>703.27340800000002</v>
      </c>
      <c r="E32" s="6">
        <f t="shared" ref="E32:R32" si="14">E14/1000000</f>
        <v>10.063700000000001</v>
      </c>
      <c r="F32" s="6">
        <f t="shared" si="14"/>
        <v>1075.9584</v>
      </c>
      <c r="G32" s="6">
        <f t="shared" si="14"/>
        <v>6213.7927680000003</v>
      </c>
      <c r="H32" s="6">
        <f t="shared" si="14"/>
        <v>2257.7605119999998</v>
      </c>
      <c r="I32" s="6">
        <f t="shared" si="14"/>
        <v>24.594352000000001</v>
      </c>
      <c r="J32" s="6">
        <f t="shared" si="14"/>
        <v>1310.7377919999999</v>
      </c>
      <c r="K32" s="6">
        <f t="shared" si="14"/>
        <v>11.034827999999999</v>
      </c>
      <c r="L32" s="6">
        <f t="shared" si="14"/>
        <v>12137.361408000001</v>
      </c>
      <c r="M32" s="6">
        <f t="shared" si="14"/>
        <v>332.33660800000001</v>
      </c>
      <c r="N32" s="6">
        <f t="shared" si="14"/>
        <v>1766.240256</v>
      </c>
      <c r="O32" s="6">
        <f t="shared" si="14"/>
        <v>4769.1816959999996</v>
      </c>
      <c r="P32" s="6">
        <f t="shared" si="14"/>
        <v>1891.7817600000001</v>
      </c>
      <c r="Q32" s="6">
        <f t="shared" si="14"/>
        <v>1535.7758719999999</v>
      </c>
      <c r="R32" s="6">
        <f t="shared" si="14"/>
        <v>34039.893360000002</v>
      </c>
    </row>
    <row r="33" spans="2:18" x14ac:dyDescent="0.25">
      <c r="B33" t="s">
        <v>181</v>
      </c>
      <c r="C33" s="61" t="s">
        <v>173</v>
      </c>
      <c r="D33" s="84">
        <f t="shared" si="2"/>
        <v>2.503943111111111</v>
      </c>
      <c r="E33" s="84">
        <f t="shared" ref="E33:R33" si="15">E15/1000000</f>
        <v>-0.21199633333333334</v>
      </c>
      <c r="F33" s="84">
        <f t="shared" si="15"/>
        <v>1.4511573333333332</v>
      </c>
      <c r="G33" s="84">
        <f t="shared" si="15"/>
        <v>9.6376604444444443</v>
      </c>
      <c r="H33" s="84">
        <f t="shared" si="15"/>
        <v>7.9906702222222217</v>
      </c>
      <c r="I33" s="84">
        <f t="shared" si="15"/>
        <v>1.6844444444444444E-3</v>
      </c>
      <c r="J33" s="84">
        <f t="shared" si="15"/>
        <v>-1.7678222222222222</v>
      </c>
      <c r="K33" s="84">
        <f t="shared" si="15"/>
        <v>7.1710999999999997E-2</v>
      </c>
      <c r="L33" s="84">
        <f t="shared" si="15"/>
        <v>-18.884949333333331</v>
      </c>
      <c r="M33" s="84">
        <f t="shared" si="15"/>
        <v>-2.4763519999999999</v>
      </c>
      <c r="N33" s="84">
        <f t="shared" si="15"/>
        <v>-3.1269688888888889</v>
      </c>
      <c r="O33" s="84">
        <f t="shared" si="15"/>
        <v>13.739861333333334</v>
      </c>
      <c r="P33" s="84">
        <f t="shared" si="15"/>
        <v>-20.021148444444442</v>
      </c>
      <c r="Q33" s="84">
        <f t="shared" si="15"/>
        <v>10.446847999999999</v>
      </c>
      <c r="R33" s="84">
        <f t="shared" si="15"/>
        <v>-0.64570133333333579</v>
      </c>
    </row>
    <row r="37" spans="2:18" x14ac:dyDescent="0.25">
      <c r="B37" s="80" t="str">
        <f>B21</f>
        <v>Soil protection (avoided erosion)  (Million tons)</v>
      </c>
      <c r="C37" s="80"/>
      <c r="D37" s="81">
        <f>(D22-D21)/D21</f>
        <v>7.5091062305716796E-3</v>
      </c>
      <c r="E37" s="81">
        <f t="shared" ref="E37:R37" si="16">(E22-E21)/E21</f>
        <v>2.4923373908740627E-2</v>
      </c>
      <c r="F37" s="81">
        <f t="shared" si="16"/>
        <v>-1.0149441142843741E-2</v>
      </c>
      <c r="G37" s="81">
        <f t="shared" si="16"/>
        <v>1.788006569212955E-3</v>
      </c>
      <c r="H37" s="81">
        <f t="shared" si="16"/>
        <v>1.2388704101536601E-2</v>
      </c>
      <c r="I37" s="81">
        <f t="shared" si="16"/>
        <v>-3.9312362280166232E-3</v>
      </c>
      <c r="J37" s="81">
        <f t="shared" si="16"/>
        <v>9.4475433064054246E-3</v>
      </c>
      <c r="K37" s="81">
        <f t="shared" si="16"/>
        <v>1.0101991098492099E-2</v>
      </c>
      <c r="L37" s="81">
        <f t="shared" si="16"/>
        <v>-1.6205471601188032E-3</v>
      </c>
      <c r="M37" s="81">
        <f t="shared" si="16"/>
        <v>-1.2100506110342356E-2</v>
      </c>
      <c r="N37" s="81">
        <f t="shared" si="16"/>
        <v>3.5746712043406814E-4</v>
      </c>
      <c r="O37" s="81">
        <f t="shared" si="16"/>
        <v>-2.9403162027890903E-3</v>
      </c>
      <c r="P37" s="81">
        <f t="shared" si="16"/>
        <v>-3.0886712423657224E-3</v>
      </c>
      <c r="Q37" s="81">
        <f t="shared" si="16"/>
        <v>4.4837952263061037E-3</v>
      </c>
      <c r="R37" s="81">
        <f t="shared" si="16"/>
        <v>4.92923753115993E-4</v>
      </c>
    </row>
    <row r="38" spans="2:18" x14ac:dyDescent="0.25">
      <c r="B38" s="80" t="str">
        <f>B23</f>
        <v>Flood mitigation (avoided quick flow) (Million cubic meter)</v>
      </c>
      <c r="C38" s="80"/>
      <c r="D38" s="81">
        <f>(D24-D23)/D23</f>
        <v>3.6288711887876449E-3</v>
      </c>
      <c r="E38" s="81">
        <f t="shared" ref="E38:R38" si="17">(E24-E23)/E23</f>
        <v>0.52528233007933689</v>
      </c>
      <c r="F38" s="81">
        <f t="shared" si="17"/>
        <v>3.793784547352904E-2</v>
      </c>
      <c r="G38" s="81">
        <f t="shared" si="17"/>
        <v>-0.1146836740386885</v>
      </c>
      <c r="H38" s="81">
        <f t="shared" si="17"/>
        <v>-2.8548883922204196E-2</v>
      </c>
      <c r="I38" s="81">
        <f t="shared" si="17"/>
        <v>-3.2331182847298329E-2</v>
      </c>
      <c r="J38" s="81">
        <f t="shared" si="17"/>
        <v>4.710246910640533E-2</v>
      </c>
      <c r="K38" s="81">
        <f t="shared" si="17"/>
        <v>-2.6607130780451686E-2</v>
      </c>
      <c r="L38" s="81">
        <f t="shared" si="17"/>
        <v>-7.6146497417266439E-3</v>
      </c>
      <c r="M38" s="81">
        <f t="shared" si="17"/>
        <v>-0.21681565986069845</v>
      </c>
      <c r="N38" s="81">
        <f t="shared" si="17"/>
        <v>4.5739671421853164E-3</v>
      </c>
      <c r="O38" s="81">
        <f t="shared" si="17"/>
        <v>-2.15143834254563E-2</v>
      </c>
      <c r="P38" s="81">
        <f t="shared" si="17"/>
        <v>3.3166287241445477E-2</v>
      </c>
      <c r="Q38" s="81">
        <f t="shared" si="17"/>
        <v>-9.8719839905629214E-2</v>
      </c>
      <c r="R38" s="81">
        <f t="shared" si="17"/>
        <v>-2.728953462251172E-2</v>
      </c>
    </row>
    <row r="39" spans="2:18" x14ac:dyDescent="0.25">
      <c r="B39" s="82" t="str">
        <f>B25</f>
        <v>Sustained water in dry periods  (baseflow)  (Million cubic meter)</v>
      </c>
      <c r="C39" s="82"/>
      <c r="D39" s="83">
        <f>(D26-D25)/D25</f>
        <v>-5.4405614698565724E-2</v>
      </c>
      <c r="E39" s="83">
        <f t="shared" ref="E39:R39" si="18">(E26-E25)/E25</f>
        <v>-0.42828799334434098</v>
      </c>
      <c r="F39" s="83">
        <f t="shared" si="18"/>
        <v>-6.7035997347102708E-2</v>
      </c>
      <c r="G39" s="83">
        <f t="shared" si="18"/>
        <v>-0.10459294413815784</v>
      </c>
      <c r="H39" s="83">
        <f t="shared" si="18"/>
        <v>-0.10137956805231384</v>
      </c>
      <c r="I39" s="83">
        <f t="shared" si="18"/>
        <v>0.28499348995576818</v>
      </c>
      <c r="J39" s="83">
        <f t="shared" si="18"/>
        <v>-7.7920944237389574E-3</v>
      </c>
      <c r="K39" s="83">
        <f t="shared" si="18"/>
        <v>-0.11768434092191375</v>
      </c>
      <c r="L39" s="83">
        <f t="shared" si="18"/>
        <v>2.2528152436084362E-2</v>
      </c>
      <c r="M39" s="83">
        <f t="shared" si="18"/>
        <v>-3.28022703345517E-2</v>
      </c>
      <c r="N39" s="83">
        <f t="shared" si="18"/>
        <v>3.1336952301224456E-2</v>
      </c>
      <c r="O39" s="83">
        <f t="shared" si="18"/>
        <v>0.33513981994665093</v>
      </c>
      <c r="P39" s="83">
        <f t="shared" si="18"/>
        <v>0.13638779408312696</v>
      </c>
      <c r="Q39" s="83">
        <f t="shared" si="18"/>
        <v>-0.27088710120110382</v>
      </c>
      <c r="R39" s="83">
        <f t="shared" si="18"/>
        <v>-1.3083864475596809E-2</v>
      </c>
    </row>
    <row r="40" spans="2:18" x14ac:dyDescent="0.25">
      <c r="B40" s="82" t="str">
        <f>B27</f>
        <v>Water quality regulation (avoided sediment) (Million tons)</v>
      </c>
      <c r="C40" s="82"/>
      <c r="D40" s="83">
        <f>(D28-D27)/D27</f>
        <v>-5.1399627987475993E-2</v>
      </c>
      <c r="E40" s="83">
        <f t="shared" ref="E40:R40" si="19">(E28-E27)/E27</f>
        <v>-0.34564069954360199</v>
      </c>
      <c r="F40" s="83">
        <f t="shared" si="19"/>
        <v>4.3716014442640727E-3</v>
      </c>
      <c r="G40" s="83">
        <f t="shared" si="19"/>
        <v>-6.1714182323001354E-3</v>
      </c>
      <c r="H40" s="83">
        <f t="shared" si="19"/>
        <v>-8.0663341941393824E-2</v>
      </c>
      <c r="I40" s="83">
        <f t="shared" si="19"/>
        <v>1.0854675372592156E-2</v>
      </c>
      <c r="J40" s="83">
        <f t="shared" si="19"/>
        <v>-6.3451495620727327E-2</v>
      </c>
      <c r="K40" s="83">
        <f t="shared" si="19"/>
        <v>-4.5242078484158288E-2</v>
      </c>
      <c r="L40" s="83">
        <f t="shared" si="19"/>
        <v>7.6626838086774011E-3</v>
      </c>
      <c r="M40" s="83">
        <f t="shared" si="19"/>
        <v>8.1979973876545056E-2</v>
      </c>
      <c r="N40" s="83">
        <f t="shared" si="19"/>
        <v>5.5278632652097735E-3</v>
      </c>
      <c r="O40" s="83">
        <f t="shared" si="19"/>
        <v>7.718480821071504E-3</v>
      </c>
      <c r="P40" s="83">
        <f t="shared" si="19"/>
        <v>2.5970078287802286E-2</v>
      </c>
      <c r="Q40" s="83">
        <f t="shared" si="19"/>
        <v>-1.4192877606634758E-2</v>
      </c>
      <c r="R40" s="83">
        <f t="shared" si="19"/>
        <v>-2.3445950148738249E-3</v>
      </c>
    </row>
    <row r="41" spans="2:18" x14ac:dyDescent="0.25">
      <c r="B41" s="82" t="str">
        <f>B29</f>
        <v>Water yield (Million cubic meter)</v>
      </c>
      <c r="C41" s="82"/>
      <c r="D41" s="83">
        <f>(D30-D29)/D29</f>
        <v>-2.7698039430077998E-2</v>
      </c>
      <c r="E41" s="83">
        <f t="shared" ref="E41:R41" si="20">(E30-E29)/E29</f>
        <v>8.785722212351163E-2</v>
      </c>
      <c r="F41" s="83">
        <f t="shared" si="20"/>
        <v>-3.1416683522380043E-2</v>
      </c>
      <c r="G41" s="83">
        <f t="shared" si="20"/>
        <v>4.2892027595069484E-3</v>
      </c>
      <c r="H41" s="83">
        <f t="shared" si="20"/>
        <v>-4.5511548462485951E-2</v>
      </c>
      <c r="I41" s="83">
        <f t="shared" si="20"/>
        <v>6.8441450375175197E-2</v>
      </c>
      <c r="J41" s="83">
        <f t="shared" si="20"/>
        <v>-3.4898780683267842E-2</v>
      </c>
      <c r="K41" s="83">
        <f t="shared" si="20"/>
        <v>-2.0231522170641759E-2</v>
      </c>
      <c r="L41" s="83">
        <f t="shared" si="20"/>
        <v>1.5072393511586062E-2</v>
      </c>
      <c r="M41" s="83">
        <f t="shared" si="20"/>
        <v>8.5753333945757765E-2</v>
      </c>
      <c r="N41" s="83">
        <f t="shared" si="20"/>
        <v>1.2442412647707299E-2</v>
      </c>
      <c r="O41" s="83">
        <f t="shared" si="20"/>
        <v>7.8427175686352699E-2</v>
      </c>
      <c r="P41" s="83">
        <f t="shared" si="20"/>
        <v>6.0041484478121979E-2</v>
      </c>
      <c r="Q41" s="83">
        <f t="shared" si="20"/>
        <v>-7.2918924150845249E-2</v>
      </c>
      <c r="R41" s="83">
        <f t="shared" si="20"/>
        <v>8.8432684178533887E-3</v>
      </c>
    </row>
    <row r="42" spans="2:18" x14ac:dyDescent="0.25">
      <c r="B42" t="str">
        <f>B31</f>
        <v>Climate regulation: Carbon retention ( Million tons of carbon)</v>
      </c>
      <c r="D42" s="78">
        <f>(D32-D31)/D31</f>
        <v>3.3104499305694597E-2</v>
      </c>
      <c r="E42" s="78">
        <f t="shared" ref="E42:R42" si="21">(E32-E31)/E31</f>
        <v>-0.15937354421902974</v>
      </c>
      <c r="F42" s="78">
        <f t="shared" si="21"/>
        <v>1.2287553647293429E-2</v>
      </c>
      <c r="G42" s="78">
        <f t="shared" si="21"/>
        <v>1.4156713241238312E-2</v>
      </c>
      <c r="H42" s="78">
        <f t="shared" si="21"/>
        <v>3.2900799969080886E-2</v>
      </c>
      <c r="I42" s="78">
        <f t="shared" si="21"/>
        <v>6.1678186980278346E-4</v>
      </c>
      <c r="J42" s="78">
        <f t="shared" si="21"/>
        <v>-1.1992930828190664E-2</v>
      </c>
      <c r="K42" s="78">
        <f t="shared" si="21"/>
        <v>6.2120738300439744E-2</v>
      </c>
      <c r="L42" s="78">
        <f t="shared" si="21"/>
        <v>-1.3810030274885058E-2</v>
      </c>
      <c r="M42" s="78">
        <f t="shared" si="21"/>
        <v>-6.2847359676188222E-2</v>
      </c>
      <c r="N42" s="78">
        <f t="shared" si="21"/>
        <v>-1.5683786781534897E-2</v>
      </c>
      <c r="O42" s="78">
        <f t="shared" si="21"/>
        <v>2.6618908891562536E-2</v>
      </c>
      <c r="P42" s="78">
        <f t="shared" si="21"/>
        <v>-8.6965619058221089E-2</v>
      </c>
      <c r="Q42" s="78">
        <f t="shared" si="21"/>
        <v>6.5213355640972456E-2</v>
      </c>
      <c r="R42" s="78">
        <f t="shared" si="21"/>
        <v>-1.7069148827979347E-4</v>
      </c>
    </row>
    <row r="53" spans="5:25" x14ac:dyDescent="0.25">
      <c r="E53" s="287">
        <v>2013</v>
      </c>
      <c r="F53" s="406" t="s">
        <v>153</v>
      </c>
      <c r="G53" s="407"/>
      <c r="H53" s="407"/>
      <c r="I53" s="407"/>
      <c r="J53" s="408"/>
      <c r="K53" s="406" t="s">
        <v>109</v>
      </c>
      <c r="L53" s="407"/>
      <c r="M53" s="407"/>
      <c r="N53" s="407"/>
      <c r="O53" s="407"/>
      <c r="P53" s="407"/>
      <c r="Q53" s="407"/>
      <c r="R53" s="407"/>
      <c r="S53" s="407"/>
      <c r="T53" s="407"/>
      <c r="U53" s="407"/>
      <c r="V53" s="407"/>
      <c r="W53" s="408"/>
      <c r="X53" s="288"/>
      <c r="Y53" s="289"/>
    </row>
    <row r="54" spans="5:25" ht="32.25" customHeight="1" thickBot="1" x14ac:dyDescent="0.3">
      <c r="E54" s="279"/>
      <c r="F54" s="301" t="s">
        <v>87</v>
      </c>
      <c r="G54" s="301" t="s">
        <v>155</v>
      </c>
      <c r="H54" s="301" t="s">
        <v>90</v>
      </c>
      <c r="I54" s="301" t="s">
        <v>156</v>
      </c>
      <c r="J54" s="301" t="s">
        <v>157</v>
      </c>
      <c r="K54" s="302" t="str">
        <f t="shared" ref="K54:Y54" si="22">D2</f>
        <v>Central Ethiopia</v>
      </c>
      <c r="L54" s="302" t="str">
        <f t="shared" si="22"/>
        <v>Addis Ababa</v>
      </c>
      <c r="M54" s="302" t="str">
        <f t="shared" si="22"/>
        <v>Afar</v>
      </c>
      <c r="N54" s="302" t="str">
        <f t="shared" si="22"/>
        <v>Amhara</v>
      </c>
      <c r="O54" s="302" t="str">
        <f t="shared" si="22"/>
        <v>Benishangul Gumz</v>
      </c>
      <c r="P54" s="302" t="str">
        <f t="shared" si="22"/>
        <v>Dire Dawa</v>
      </c>
      <c r="Q54" s="302" t="str">
        <f t="shared" si="22"/>
        <v>Gambela</v>
      </c>
      <c r="R54" s="302" t="str">
        <f t="shared" si="22"/>
        <v>Harari</v>
      </c>
      <c r="S54" s="302" t="str">
        <f t="shared" si="22"/>
        <v>Oromia</v>
      </c>
      <c r="T54" s="302" t="str">
        <f t="shared" si="22"/>
        <v>Sidama</v>
      </c>
      <c r="U54" s="302" t="str">
        <f t="shared" si="22"/>
        <v>South Ethiopia</v>
      </c>
      <c r="V54" s="302" t="str">
        <f t="shared" si="22"/>
        <v>Somali</v>
      </c>
      <c r="W54" s="302" t="str">
        <f t="shared" si="22"/>
        <v>South West Ethiopia</v>
      </c>
      <c r="X54" s="302" t="str">
        <f t="shared" si="22"/>
        <v>Tigray</v>
      </c>
      <c r="Y54" s="304" t="str">
        <f t="shared" si="22"/>
        <v>National</v>
      </c>
    </row>
    <row r="55" spans="5:25" x14ac:dyDescent="0.25">
      <c r="E55" s="303" t="s">
        <v>158</v>
      </c>
      <c r="K55" s="257"/>
      <c r="X55" s="253"/>
      <c r="Y55" s="280"/>
    </row>
    <row r="56" spans="5:25" x14ac:dyDescent="0.25">
      <c r="E56" s="279" t="str">
        <f>B37</f>
        <v>Soil protection (avoided erosion)  (Million tons)</v>
      </c>
      <c r="K56" s="277">
        <f>D21</f>
        <v>467.46015999999997</v>
      </c>
      <c r="L56" s="277">
        <f>E21</f>
        <v>11.284668</v>
      </c>
      <c r="M56" s="277">
        <f t="shared" ref="M56:Y60" si="23">F21</f>
        <v>470.54886399999998</v>
      </c>
      <c r="N56" s="277">
        <f t="shared" si="23"/>
        <v>7906.4765440000001</v>
      </c>
      <c r="O56" s="277">
        <f t="shared" si="23"/>
        <v>1838.70208</v>
      </c>
      <c r="P56" s="277">
        <f t="shared" si="23"/>
        <v>22.122812</v>
      </c>
      <c r="Q56" s="277">
        <f t="shared" si="23"/>
        <v>485.29356799999999</v>
      </c>
      <c r="R56" s="277">
        <f t="shared" si="23"/>
        <v>6.7031340000000004</v>
      </c>
      <c r="S56" s="277">
        <f t="shared" si="23"/>
        <v>10582.815744</v>
      </c>
      <c r="T56" s="277">
        <f t="shared" si="23"/>
        <v>275.32335999999998</v>
      </c>
      <c r="U56" s="277">
        <f t="shared" si="23"/>
        <v>2099.0350079999998</v>
      </c>
      <c r="V56" s="277">
        <f t="shared" si="23"/>
        <v>1179.824128</v>
      </c>
      <c r="W56" s="277">
        <f t="shared" si="23"/>
        <v>2922.2248960000002</v>
      </c>
      <c r="X56" s="277">
        <f t="shared" si="23"/>
        <v>1418.9122560000001</v>
      </c>
      <c r="Y56" s="277">
        <f t="shared" si="23"/>
        <v>29686.727222000001</v>
      </c>
    </row>
    <row r="57" spans="5:25" x14ac:dyDescent="0.25">
      <c r="E57" s="279" t="str">
        <f t="shared" ref="E57:E59" si="24">B38</f>
        <v>Flood mitigation (avoided quick flow) (Million cubic meter)</v>
      </c>
      <c r="F57" s="251"/>
      <c r="G57" s="251"/>
      <c r="H57" s="251"/>
      <c r="I57" s="251"/>
      <c r="J57" s="251"/>
      <c r="K57" s="277">
        <f>D23</f>
        <v>3051.8625280000001</v>
      </c>
      <c r="L57" s="277">
        <f t="shared" ref="L57:X57" si="25">E23</f>
        <v>-95.213375999999997</v>
      </c>
      <c r="M57" s="277">
        <f t="shared" si="25"/>
        <v>2084.096</v>
      </c>
      <c r="N57" s="277">
        <f t="shared" si="25"/>
        <v>34101.839871999997</v>
      </c>
      <c r="O57" s="277">
        <f t="shared" si="25"/>
        <v>20390.125567999999</v>
      </c>
      <c r="P57" s="277">
        <f t="shared" si="25"/>
        <v>37.676443999999996</v>
      </c>
      <c r="Q57" s="277">
        <f t="shared" si="25"/>
        <v>7439.7091840000003</v>
      </c>
      <c r="R57" s="277">
        <f t="shared" si="25"/>
        <v>31.583863999999998</v>
      </c>
      <c r="S57" s="277">
        <f t="shared" si="25"/>
        <v>69775.597567999997</v>
      </c>
      <c r="T57" s="277">
        <f t="shared" si="25"/>
        <v>1686.7705599999999</v>
      </c>
      <c r="U57" s="277">
        <f t="shared" si="25"/>
        <v>11052.518400000001</v>
      </c>
      <c r="V57" s="277">
        <f t="shared" si="25"/>
        <v>16500.699135999999</v>
      </c>
      <c r="W57" s="277">
        <f t="shared" si="25"/>
        <v>19032.971264</v>
      </c>
      <c r="X57" s="277">
        <f t="shared" si="25"/>
        <v>5267.4211839999998</v>
      </c>
      <c r="Y57" s="277">
        <f t="shared" si="23"/>
        <v>29701.360515</v>
      </c>
    </row>
    <row r="58" spans="5:25" x14ac:dyDescent="0.25">
      <c r="E58" s="279" t="str">
        <f t="shared" si="24"/>
        <v>Sustained water in dry periods  (baseflow)  (Million cubic meter)</v>
      </c>
      <c r="F58" s="251"/>
      <c r="G58" s="251"/>
      <c r="H58" s="251"/>
      <c r="I58" s="251"/>
      <c r="J58" s="251"/>
      <c r="K58" s="277">
        <f>D25</f>
        <v>3281.71776</v>
      </c>
      <c r="L58" s="277">
        <f t="shared" ref="L58:X58" si="26">E25</f>
        <v>36.328783999999999</v>
      </c>
      <c r="M58" s="277">
        <f t="shared" si="26"/>
        <v>4347.8261759999996</v>
      </c>
      <c r="N58" s="277">
        <f t="shared" si="26"/>
        <v>34298.286079999998</v>
      </c>
      <c r="O58" s="277">
        <f t="shared" si="26"/>
        <v>19719.507968000002</v>
      </c>
      <c r="P58" s="277">
        <f t="shared" si="26"/>
        <v>28.843122000000001</v>
      </c>
      <c r="Q58" s="277">
        <f t="shared" si="26"/>
        <v>8610.1954559999995</v>
      </c>
      <c r="R58" s="277">
        <f t="shared" si="26"/>
        <v>16.855589999999999</v>
      </c>
      <c r="S58" s="277">
        <f t="shared" si="26"/>
        <v>57443.065856000001</v>
      </c>
      <c r="T58" s="277">
        <f t="shared" si="26"/>
        <v>1853.2570880000001</v>
      </c>
      <c r="U58" s="277">
        <f t="shared" si="26"/>
        <v>9467.62752</v>
      </c>
      <c r="V58" s="277">
        <f t="shared" si="26"/>
        <v>4111.0517760000002</v>
      </c>
      <c r="W58" s="277">
        <f t="shared" si="26"/>
        <v>17309.761536000002</v>
      </c>
      <c r="X58" s="277">
        <f t="shared" si="26"/>
        <v>4794.1396480000003</v>
      </c>
      <c r="Y58" s="277">
        <f t="shared" si="23"/>
        <v>190357.658196</v>
      </c>
    </row>
    <row r="59" spans="5:25" x14ac:dyDescent="0.25">
      <c r="E59" s="279" t="str">
        <f t="shared" si="24"/>
        <v>Water quality regulation (avoided sediment) (Million tons)</v>
      </c>
      <c r="F59" s="251"/>
      <c r="G59" s="251"/>
      <c r="H59" s="251"/>
      <c r="I59" s="251"/>
      <c r="J59" s="251"/>
      <c r="K59" s="277">
        <f>D27</f>
        <v>114.559584</v>
      </c>
      <c r="L59" s="277">
        <f t="shared" ref="L59:X59" si="27">E27</f>
        <v>1.43126175</v>
      </c>
      <c r="M59" s="277">
        <f t="shared" si="27"/>
        <v>199.45825600000001</v>
      </c>
      <c r="N59" s="277">
        <f t="shared" si="27"/>
        <v>2040.2493440000001</v>
      </c>
      <c r="O59" s="277">
        <f t="shared" si="27"/>
        <v>350.51798400000001</v>
      </c>
      <c r="P59" s="277">
        <f t="shared" si="27"/>
        <v>5.8177234999999996</v>
      </c>
      <c r="Q59" s="277">
        <f t="shared" si="27"/>
        <v>78.319856000000001</v>
      </c>
      <c r="R59" s="277">
        <f t="shared" si="27"/>
        <v>1.5263335</v>
      </c>
      <c r="S59" s="277">
        <f t="shared" si="27"/>
        <v>2202.0984319999998</v>
      </c>
      <c r="T59" s="277">
        <f t="shared" si="27"/>
        <v>57.389040000000001</v>
      </c>
      <c r="U59" s="277">
        <f t="shared" si="27"/>
        <v>475.53708799999998</v>
      </c>
      <c r="V59" s="277">
        <f t="shared" si="27"/>
        <v>238.82627199999999</v>
      </c>
      <c r="W59" s="277">
        <f t="shared" si="27"/>
        <v>573.94790399999999</v>
      </c>
      <c r="X59" s="277">
        <f t="shared" si="27"/>
        <v>377.15142400000002</v>
      </c>
      <c r="Y59" s="277">
        <f t="shared" si="23"/>
        <v>185162.88629200001</v>
      </c>
    </row>
    <row r="60" spans="5:25" x14ac:dyDescent="0.25">
      <c r="E60" s="279" t="str">
        <f>B41</f>
        <v>Water yield (Million cubic meter)</v>
      </c>
      <c r="F60" s="251"/>
      <c r="G60" s="251"/>
      <c r="H60" s="251"/>
      <c r="I60" s="251"/>
      <c r="J60" s="251"/>
      <c r="K60" s="277">
        <f>D29</f>
        <v>6846.0354559999996</v>
      </c>
      <c r="L60" s="277">
        <f t="shared" ref="L60:X60" si="28">E29</f>
        <v>392.16775999999999</v>
      </c>
      <c r="M60" s="277">
        <f t="shared" si="28"/>
        <v>11793.271296000001</v>
      </c>
      <c r="N60" s="277">
        <f t="shared" si="28"/>
        <v>75526.516736000005</v>
      </c>
      <c r="O60" s="277">
        <f t="shared" si="28"/>
        <v>31126.650880000001</v>
      </c>
      <c r="P60" s="277">
        <f t="shared" si="28"/>
        <v>137.90225000000001</v>
      </c>
      <c r="Q60" s="277">
        <f t="shared" si="28"/>
        <v>11964.691712</v>
      </c>
      <c r="R60" s="277">
        <f t="shared" si="28"/>
        <v>56.510182</v>
      </c>
      <c r="S60" s="277">
        <f t="shared" si="28"/>
        <v>121163.91936</v>
      </c>
      <c r="T60" s="277">
        <f t="shared" si="28"/>
        <v>3555.877888</v>
      </c>
      <c r="U60" s="277">
        <f t="shared" si="28"/>
        <v>19818.129408000001</v>
      </c>
      <c r="V60" s="277">
        <f t="shared" si="28"/>
        <v>22119.529471999998</v>
      </c>
      <c r="W60" s="277">
        <f t="shared" si="28"/>
        <v>28835.768319999999</v>
      </c>
      <c r="X60" s="277">
        <f t="shared" si="28"/>
        <v>10621.853696</v>
      </c>
      <c r="Y60" s="277">
        <f t="shared" si="23"/>
        <v>165318.46436000001</v>
      </c>
    </row>
    <row r="61" spans="5:25" x14ac:dyDescent="0.25">
      <c r="E61" s="279" t="s">
        <v>159</v>
      </c>
      <c r="K61" s="257"/>
      <c r="Y61" s="280"/>
    </row>
    <row r="62" spans="5:25" x14ac:dyDescent="0.25">
      <c r="E62" s="279" t="str">
        <f>E56</f>
        <v>Soil protection (avoided erosion)  (Million tons)</v>
      </c>
      <c r="K62" s="262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86"/>
    </row>
    <row r="63" spans="5:25" x14ac:dyDescent="0.25">
      <c r="E63" s="279" t="str">
        <f>E57</f>
        <v>Flood mitigation (avoided quick flow) (Million cubic meter)</v>
      </c>
      <c r="K63" s="262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86"/>
    </row>
    <row r="64" spans="5:25" x14ac:dyDescent="0.25">
      <c r="E64" s="279" t="str">
        <f>E58</f>
        <v>Sustained water in dry periods  (baseflow)  (Million cubic meter)</v>
      </c>
      <c r="K64" s="262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86"/>
    </row>
    <row r="65" spans="5:25" x14ac:dyDescent="0.25">
      <c r="E65" s="279" t="str">
        <f>E59</f>
        <v>Water quality regulation (avoided sediment) (Million tons)</v>
      </c>
      <c r="K65" s="262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86"/>
    </row>
    <row r="66" spans="5:25" x14ac:dyDescent="0.25">
      <c r="E66" s="293" t="str">
        <f>E60</f>
        <v>Water yield (Million cubic meter)</v>
      </c>
      <c r="F66" s="284"/>
      <c r="G66" s="284"/>
      <c r="H66" s="284"/>
      <c r="I66" s="284"/>
      <c r="J66" s="284"/>
      <c r="K66" s="294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51"/>
      <c r="X66" s="251"/>
      <c r="Y66" s="296"/>
    </row>
    <row r="67" spans="5:25" x14ac:dyDescent="0.25">
      <c r="E67" s="281"/>
      <c r="Y67" s="280"/>
    </row>
    <row r="68" spans="5:25" x14ac:dyDescent="0.25">
      <c r="E68" s="292">
        <v>2022</v>
      </c>
      <c r="F68" s="409" t="s">
        <v>153</v>
      </c>
      <c r="G68" s="410"/>
      <c r="H68" s="410"/>
      <c r="I68" s="410"/>
      <c r="J68" s="411"/>
      <c r="K68" s="412" t="s">
        <v>109</v>
      </c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0"/>
      <c r="W68" s="411"/>
      <c r="X68" s="290"/>
      <c r="Y68" s="291"/>
    </row>
    <row r="69" spans="5:25" ht="31.5" customHeight="1" thickBot="1" x14ac:dyDescent="0.3">
      <c r="E69" s="279"/>
      <c r="F69" s="301" t="s">
        <v>87</v>
      </c>
      <c r="G69" s="301" t="s">
        <v>155</v>
      </c>
      <c r="H69" s="301" t="s">
        <v>90</v>
      </c>
      <c r="I69" s="301" t="s">
        <v>156</v>
      </c>
      <c r="J69" s="301" t="s">
        <v>157</v>
      </c>
      <c r="K69" s="302" t="str">
        <f>K54</f>
        <v>Central Ethiopia</v>
      </c>
      <c r="L69" s="302" t="str">
        <f t="shared" ref="L69:Y69" si="29">L54</f>
        <v>Addis Ababa</v>
      </c>
      <c r="M69" s="302" t="str">
        <f t="shared" si="29"/>
        <v>Afar</v>
      </c>
      <c r="N69" s="302" t="str">
        <f t="shared" si="29"/>
        <v>Amhara</v>
      </c>
      <c r="O69" s="302" t="str">
        <f t="shared" si="29"/>
        <v>Benishangul Gumz</v>
      </c>
      <c r="P69" s="302" t="str">
        <f t="shared" si="29"/>
        <v>Dire Dawa</v>
      </c>
      <c r="Q69" s="302" t="str">
        <f t="shared" si="29"/>
        <v>Gambela</v>
      </c>
      <c r="R69" s="302" t="str">
        <f t="shared" si="29"/>
        <v>Harari</v>
      </c>
      <c r="S69" s="302" t="str">
        <f t="shared" si="29"/>
        <v>Oromia</v>
      </c>
      <c r="T69" s="302" t="str">
        <f t="shared" si="29"/>
        <v>Sidama</v>
      </c>
      <c r="U69" s="302" t="str">
        <f t="shared" si="29"/>
        <v>South Ethiopia</v>
      </c>
      <c r="V69" s="302" t="str">
        <f t="shared" si="29"/>
        <v>Somali</v>
      </c>
      <c r="W69" s="302" t="str">
        <f t="shared" si="29"/>
        <v>South West Ethiopia</v>
      </c>
      <c r="X69" s="302" t="str">
        <f t="shared" si="29"/>
        <v>Tigray</v>
      </c>
      <c r="Y69" s="305" t="str">
        <f t="shared" si="29"/>
        <v>National</v>
      </c>
    </row>
    <row r="70" spans="5:25" x14ac:dyDescent="0.25">
      <c r="E70" s="303" t="s">
        <v>158</v>
      </c>
      <c r="K70" s="257"/>
      <c r="X70" s="253"/>
      <c r="Y70" s="280"/>
    </row>
    <row r="71" spans="5:25" x14ac:dyDescent="0.25">
      <c r="E71" s="279" t="str">
        <f t="shared" ref="E71:E81" si="30">E56</f>
        <v>Soil protection (avoided erosion)  (Million tons)</v>
      </c>
      <c r="K71" s="277">
        <f>D22</f>
        <v>470.97036800000001</v>
      </c>
      <c r="L71" s="277">
        <f t="shared" ref="L71:Y71" si="31">E22</f>
        <v>11.56592</v>
      </c>
      <c r="M71" s="277">
        <f t="shared" si="31"/>
        <v>465.773056</v>
      </c>
      <c r="N71" s="277">
        <f t="shared" si="31"/>
        <v>7920.6133760000002</v>
      </c>
      <c r="O71" s="277">
        <f t="shared" si="31"/>
        <v>1861.4812159999999</v>
      </c>
      <c r="P71" s="277">
        <f t="shared" si="31"/>
        <v>22.035841999999999</v>
      </c>
      <c r="Q71" s="277">
        <f t="shared" si="31"/>
        <v>489.8784</v>
      </c>
      <c r="R71" s="277">
        <f t="shared" si="31"/>
        <v>6.7708490000000001</v>
      </c>
      <c r="S71" s="277">
        <f t="shared" si="31"/>
        <v>10565.665792</v>
      </c>
      <c r="T71" s="277">
        <f t="shared" si="31"/>
        <v>271.99180799999999</v>
      </c>
      <c r="U71" s="277">
        <f t="shared" si="31"/>
        <v>2099.7853439999999</v>
      </c>
      <c r="V71" s="277">
        <f t="shared" si="31"/>
        <v>1176.3550720000001</v>
      </c>
      <c r="W71" s="277">
        <f t="shared" si="31"/>
        <v>2913.1991039999998</v>
      </c>
      <c r="X71" s="277">
        <f t="shared" si="31"/>
        <v>1425.2743680000001</v>
      </c>
      <c r="Y71" s="282">
        <f t="shared" si="31"/>
        <v>29701.360515</v>
      </c>
    </row>
    <row r="72" spans="5:25" x14ac:dyDescent="0.25">
      <c r="E72" s="279" t="str">
        <f t="shared" si="30"/>
        <v>Flood mitigation (avoided quick flow) (Million cubic meter)</v>
      </c>
      <c r="F72" s="251"/>
      <c r="G72" s="251"/>
      <c r="H72" s="251"/>
      <c r="I72" s="251"/>
      <c r="J72" s="251"/>
      <c r="K72" s="277">
        <f>D24</f>
        <v>3062.9373439999999</v>
      </c>
      <c r="L72" s="277">
        <f t="shared" ref="L72:Y72" si="32">E24</f>
        <v>-145.22728000000001</v>
      </c>
      <c r="M72" s="277">
        <f t="shared" si="32"/>
        <v>2163.162112</v>
      </c>
      <c r="N72" s="277">
        <f t="shared" si="32"/>
        <v>30190.915583999998</v>
      </c>
      <c r="O72" s="277">
        <f t="shared" si="32"/>
        <v>19808.01024</v>
      </c>
      <c r="P72" s="277">
        <f t="shared" si="32"/>
        <v>36.458320000000001</v>
      </c>
      <c r="Q72" s="277">
        <f t="shared" si="32"/>
        <v>7790.1378560000003</v>
      </c>
      <c r="R72" s="277">
        <f t="shared" si="32"/>
        <v>30.743507999999999</v>
      </c>
      <c r="S72" s="277">
        <f t="shared" si="32"/>
        <v>69244.280832000004</v>
      </c>
      <c r="T72" s="277">
        <f t="shared" si="32"/>
        <v>1321.0522880000001</v>
      </c>
      <c r="U72" s="277">
        <f t="shared" si="32"/>
        <v>11103.072255999999</v>
      </c>
      <c r="V72" s="277">
        <f t="shared" si="32"/>
        <v>16145.696768</v>
      </c>
      <c r="W72" s="277">
        <f t="shared" si="32"/>
        <v>19664.224256000001</v>
      </c>
      <c r="X72" s="277">
        <f t="shared" si="32"/>
        <v>4747.422208</v>
      </c>
      <c r="Y72" s="282">
        <f t="shared" si="32"/>
        <v>185162.88629200001</v>
      </c>
    </row>
    <row r="73" spans="5:25" x14ac:dyDescent="0.25">
      <c r="E73" s="279" t="str">
        <f t="shared" si="30"/>
        <v>Sustained water in dry periods  (baseflow)  (Million cubic meter)</v>
      </c>
      <c r="F73" s="251"/>
      <c r="G73" s="251"/>
      <c r="H73" s="251"/>
      <c r="I73" s="251"/>
      <c r="J73" s="251"/>
      <c r="K73" s="277">
        <f>D26</f>
        <v>3103.1738879999998</v>
      </c>
      <c r="L73" s="277">
        <f t="shared" ref="L73:Y73" si="33">E26</f>
        <v>20.769601999999999</v>
      </c>
      <c r="M73" s="277">
        <f t="shared" si="33"/>
        <v>4056.3653119999999</v>
      </c>
      <c r="N73" s="277">
        <f t="shared" si="33"/>
        <v>30710.927360000001</v>
      </c>
      <c r="O73" s="277">
        <f t="shared" si="33"/>
        <v>17720.352768000001</v>
      </c>
      <c r="P73" s="277">
        <f t="shared" si="33"/>
        <v>37.063223999999998</v>
      </c>
      <c r="Q73" s="277">
        <f t="shared" si="33"/>
        <v>8543.1039999999994</v>
      </c>
      <c r="R73" s="277">
        <f t="shared" si="33"/>
        <v>14.871950999999999</v>
      </c>
      <c r="S73" s="277">
        <f t="shared" si="33"/>
        <v>58737.152000000002</v>
      </c>
      <c r="T73" s="277">
        <f t="shared" si="33"/>
        <v>1792.466048</v>
      </c>
      <c r="U73" s="277">
        <f t="shared" si="33"/>
        <v>9764.314112</v>
      </c>
      <c r="V73" s="277">
        <f t="shared" si="33"/>
        <v>5488.8289279999999</v>
      </c>
      <c r="W73" s="277">
        <f t="shared" si="33"/>
        <v>19670.601728000001</v>
      </c>
      <c r="X73" s="277">
        <f t="shared" si="33"/>
        <v>3495.4690559999999</v>
      </c>
      <c r="Y73" s="282">
        <f t="shared" si="33"/>
        <v>163155.45997699999</v>
      </c>
    </row>
    <row r="74" spans="5:25" x14ac:dyDescent="0.25">
      <c r="E74" s="279" t="str">
        <f t="shared" si="30"/>
        <v>Water quality regulation (avoided sediment) (Million tons)</v>
      </c>
      <c r="F74" s="251"/>
      <c r="G74" s="251"/>
      <c r="H74" s="251"/>
      <c r="I74" s="251"/>
      <c r="J74" s="251"/>
      <c r="K74" s="277">
        <f>D28</f>
        <v>108.67126399999999</v>
      </c>
      <c r="L74" s="277">
        <f t="shared" ref="L74:Y74" si="34">E28</f>
        <v>0.93655943750000004</v>
      </c>
      <c r="M74" s="277">
        <f t="shared" si="34"/>
        <v>200.330208</v>
      </c>
      <c r="N74" s="277">
        <f t="shared" si="34"/>
        <v>2027.6581120000001</v>
      </c>
      <c r="O74" s="277">
        <f t="shared" si="34"/>
        <v>322.244032</v>
      </c>
      <c r="P74" s="277">
        <f t="shared" si="34"/>
        <v>5.8808730000000002</v>
      </c>
      <c r="Q74" s="277">
        <f t="shared" si="34"/>
        <v>73.350344000000007</v>
      </c>
      <c r="R74" s="277">
        <f t="shared" si="34"/>
        <v>1.457279</v>
      </c>
      <c r="S74" s="277">
        <f t="shared" si="34"/>
        <v>2218.9724160000001</v>
      </c>
      <c r="T74" s="277">
        <f t="shared" si="34"/>
        <v>62.093792000000001</v>
      </c>
      <c r="U74" s="277">
        <f t="shared" si="34"/>
        <v>478.16579200000001</v>
      </c>
      <c r="V74" s="277">
        <f t="shared" si="34"/>
        <v>240.669648</v>
      </c>
      <c r="W74" s="277">
        <f t="shared" si="34"/>
        <v>588.85337600000003</v>
      </c>
      <c r="X74" s="277">
        <f t="shared" si="34"/>
        <v>371.79856000000001</v>
      </c>
      <c r="Y74" s="282">
        <f t="shared" si="34"/>
        <v>6701.0822554375</v>
      </c>
    </row>
    <row r="75" spans="5:25" x14ac:dyDescent="0.25">
      <c r="E75" s="279" t="str">
        <f t="shared" si="30"/>
        <v>Water yield (Million cubic meter)</v>
      </c>
      <c r="F75" s="251"/>
      <c r="G75" s="251"/>
      <c r="H75" s="251"/>
      <c r="I75" s="251"/>
      <c r="J75" s="251"/>
      <c r="K75" s="277">
        <f>D30</f>
        <v>6656.4136959999996</v>
      </c>
      <c r="L75" s="277">
        <f t="shared" ref="L75:Y75" si="35">E30</f>
        <v>426.62252999999998</v>
      </c>
      <c r="M75" s="277">
        <f t="shared" si="35"/>
        <v>11422.765824</v>
      </c>
      <c r="N75" s="277">
        <f t="shared" si="35"/>
        <v>75850.465280000004</v>
      </c>
      <c r="O75" s="277">
        <f t="shared" si="35"/>
        <v>29710.0288</v>
      </c>
      <c r="P75" s="277">
        <f t="shared" si="35"/>
        <v>147.34048000000001</v>
      </c>
      <c r="Q75" s="277">
        <f t="shared" si="35"/>
        <v>11547.138559999999</v>
      </c>
      <c r="R75" s="277">
        <f t="shared" si="35"/>
        <v>55.366895</v>
      </c>
      <c r="S75" s="277">
        <f t="shared" si="35"/>
        <v>122990.149632</v>
      </c>
      <c r="T75" s="277">
        <f t="shared" si="35"/>
        <v>3860.8062719999998</v>
      </c>
      <c r="U75" s="277">
        <f t="shared" si="35"/>
        <v>20064.714752</v>
      </c>
      <c r="V75" s="277">
        <f t="shared" si="35"/>
        <v>23854.301695999999</v>
      </c>
      <c r="W75" s="277">
        <f t="shared" si="35"/>
        <v>30567.110656000001</v>
      </c>
      <c r="X75" s="277">
        <f t="shared" si="35"/>
        <v>9847.3195520000008</v>
      </c>
      <c r="Y75" s="282">
        <f t="shared" si="35"/>
        <v>347000.54462499998</v>
      </c>
    </row>
    <row r="76" spans="5:25" x14ac:dyDescent="0.25">
      <c r="E76" s="279" t="str">
        <f t="shared" si="30"/>
        <v>USE</v>
      </c>
      <c r="K76" s="257"/>
      <c r="Y76" s="280"/>
    </row>
    <row r="77" spans="5:25" x14ac:dyDescent="0.25">
      <c r="E77" s="279" t="str">
        <f t="shared" si="30"/>
        <v>Soil protection (avoided erosion)  (Million tons)</v>
      </c>
      <c r="K77" s="257"/>
      <c r="Y77" s="280"/>
    </row>
    <row r="78" spans="5:25" x14ac:dyDescent="0.25">
      <c r="E78" s="279" t="str">
        <f t="shared" si="30"/>
        <v>Flood mitigation (avoided quick flow) (Million cubic meter)</v>
      </c>
      <c r="K78" s="262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</row>
    <row r="79" spans="5:25" x14ac:dyDescent="0.25">
      <c r="E79" s="279" t="str">
        <f t="shared" si="30"/>
        <v>Sustained water in dry periods  (baseflow)  (Million cubic meter)</v>
      </c>
      <c r="K79" s="262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</row>
    <row r="80" spans="5:25" x14ac:dyDescent="0.25">
      <c r="E80" s="279" t="str">
        <f t="shared" si="30"/>
        <v>Water quality regulation (avoided sediment) (Million tons)</v>
      </c>
      <c r="K80" s="262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</row>
    <row r="81" spans="5:25" x14ac:dyDescent="0.25">
      <c r="E81" s="293" t="str">
        <f t="shared" si="30"/>
        <v>Water yield (Million cubic meter)</v>
      </c>
      <c r="F81" s="284"/>
      <c r="G81" s="284"/>
      <c r="H81" s="284"/>
      <c r="I81" s="284"/>
      <c r="J81" s="284"/>
      <c r="K81" s="294"/>
      <c r="L81" s="295"/>
      <c r="M81" s="295"/>
      <c r="N81" s="295"/>
      <c r="O81" s="295"/>
      <c r="P81" s="295"/>
      <c r="Q81" s="295"/>
      <c r="R81" s="295"/>
      <c r="S81" s="295"/>
      <c r="T81" s="251"/>
      <c r="U81" s="251"/>
      <c r="V81" s="251"/>
      <c r="W81" s="251"/>
      <c r="X81" s="251"/>
      <c r="Y81" s="251"/>
    </row>
    <row r="82" spans="5:25" x14ac:dyDescent="0.25">
      <c r="E82" s="281"/>
      <c r="F82" s="299"/>
      <c r="K82" s="297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78"/>
    </row>
    <row r="83" spans="5:25" x14ac:dyDescent="0.25">
      <c r="E83" s="283" t="s">
        <v>160</v>
      </c>
      <c r="F83" s="300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5"/>
    </row>
  </sheetData>
  <autoFilter ref="B2:R2" xr:uid="{302794E5-54B5-406D-87F4-F5E327B7DECD}"/>
  <mergeCells count="4">
    <mergeCell ref="F53:J53"/>
    <mergeCell ref="K53:W53"/>
    <mergeCell ref="F68:J68"/>
    <mergeCell ref="K68:W68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DDE5-4FB4-4044-B0BC-46B10066B18A}">
  <dimension ref="B2:S13"/>
  <sheetViews>
    <sheetView zoomScale="77" zoomScaleNormal="77" workbookViewId="0">
      <selection activeCell="A10" sqref="A10:XFD10"/>
    </sheetView>
  </sheetViews>
  <sheetFormatPr defaultRowHeight="15" x14ac:dyDescent="0.25"/>
  <cols>
    <col min="2" max="2" width="40.85546875" customWidth="1"/>
    <col min="3" max="3" width="12.7109375" customWidth="1"/>
    <col min="4" max="4" width="19.140625" customWidth="1"/>
    <col min="5" max="5" width="21" customWidth="1"/>
    <col min="6" max="6" width="19" customWidth="1"/>
    <col min="7" max="7" width="21.42578125" customWidth="1"/>
    <col min="8" max="8" width="20.85546875" customWidth="1"/>
    <col min="9" max="9" width="16" customWidth="1"/>
    <col min="10" max="10" width="19.5703125" customWidth="1"/>
    <col min="11" max="11" width="16" customWidth="1"/>
    <col min="12" max="12" width="19.5703125" customWidth="1"/>
    <col min="13" max="13" width="20.28515625" customWidth="1"/>
    <col min="14" max="14" width="20.7109375" customWidth="1"/>
    <col min="15" max="15" width="19.140625" customWidth="1"/>
    <col min="16" max="16" width="21.42578125" customWidth="1"/>
    <col min="17" max="17" width="21.5703125" customWidth="1"/>
    <col min="18" max="18" width="20.85546875" customWidth="1"/>
    <col min="19" max="19" width="12.85546875" bestFit="1" customWidth="1"/>
  </cols>
  <sheetData>
    <row r="2" spans="2:19" s="7" customFormat="1" x14ac:dyDescent="0.25">
      <c r="B2" t="s">
        <v>109</v>
      </c>
      <c r="C2" t="s">
        <v>165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86</v>
      </c>
    </row>
    <row r="3" spans="2:19" s="7" customFormat="1" x14ac:dyDescent="0.25">
      <c r="B3"/>
      <c r="C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9" x14ac:dyDescent="0.25">
      <c r="B4" t="s">
        <v>171</v>
      </c>
      <c r="C4">
        <v>2013</v>
      </c>
      <c r="D4" s="1">
        <v>680737920</v>
      </c>
      <c r="E4" s="1">
        <v>11971667</v>
      </c>
      <c r="F4" s="1">
        <v>1062897984</v>
      </c>
      <c r="G4" s="1">
        <v>6127053824</v>
      </c>
      <c r="H4" s="1">
        <v>2185844480</v>
      </c>
      <c r="I4" s="1">
        <v>24579192</v>
      </c>
      <c r="J4" s="1">
        <v>1326648192</v>
      </c>
      <c r="K4" s="1">
        <v>10389429</v>
      </c>
      <c r="L4" s="1">
        <v>12307325952</v>
      </c>
      <c r="M4" s="1">
        <v>354623776</v>
      </c>
      <c r="N4" s="1">
        <v>1794382976</v>
      </c>
      <c r="O4" s="1">
        <v>4645522944</v>
      </c>
      <c r="P4" s="1">
        <v>2071972096</v>
      </c>
      <c r="Q4" s="1">
        <v>1441754240</v>
      </c>
      <c r="R4" s="6">
        <f t="shared" ref="R4:R5" si="0">SUM(D4:Q4)</f>
        <v>34045704672</v>
      </c>
    </row>
    <row r="5" spans="2:19" x14ac:dyDescent="0.25">
      <c r="B5" t="s">
        <v>171</v>
      </c>
      <c r="C5">
        <v>2022</v>
      </c>
      <c r="D5" s="1">
        <v>703273408</v>
      </c>
      <c r="E5" s="1">
        <v>10063700</v>
      </c>
      <c r="F5" s="1">
        <v>1075958400</v>
      </c>
      <c r="G5" s="1">
        <v>6213792768</v>
      </c>
      <c r="H5" s="1">
        <v>2257760512</v>
      </c>
      <c r="I5" s="1">
        <v>24594352</v>
      </c>
      <c r="J5" s="1">
        <v>1310737792</v>
      </c>
      <c r="K5" s="1">
        <v>11034828</v>
      </c>
      <c r="L5" s="1">
        <v>12137361408</v>
      </c>
      <c r="M5" s="1">
        <v>332336608</v>
      </c>
      <c r="N5" s="1">
        <v>1766240256</v>
      </c>
      <c r="O5" s="1">
        <v>4769181696</v>
      </c>
      <c r="P5" s="1">
        <v>1891781760</v>
      </c>
      <c r="Q5" s="1">
        <v>1535775872</v>
      </c>
      <c r="R5" s="6">
        <f t="shared" si="0"/>
        <v>34039893360</v>
      </c>
    </row>
    <row r="6" spans="2:19" x14ac:dyDescent="0.25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2:19" x14ac:dyDescent="0.25">
      <c r="Q7" s="6"/>
    </row>
    <row r="9" spans="2:19" x14ac:dyDescent="0.25">
      <c r="B9" s="77"/>
      <c r="C9" s="77" t="s">
        <v>165</v>
      </c>
      <c r="D9" s="77" t="s">
        <v>110</v>
      </c>
      <c r="E9" s="77" t="s">
        <v>111</v>
      </c>
      <c r="F9" s="77" t="s">
        <v>112</v>
      </c>
      <c r="G9" s="77" t="s">
        <v>113</v>
      </c>
      <c r="H9" s="77" t="s">
        <v>114</v>
      </c>
      <c r="I9" s="77" t="s">
        <v>115</v>
      </c>
      <c r="J9" s="77" t="s">
        <v>116</v>
      </c>
      <c r="K9" s="77" t="s">
        <v>117</v>
      </c>
      <c r="L9" s="77" t="s">
        <v>118</v>
      </c>
      <c r="M9" s="77" t="s">
        <v>119</v>
      </c>
      <c r="N9" s="77" t="s">
        <v>120</v>
      </c>
      <c r="O9" s="77" t="s">
        <v>121</v>
      </c>
      <c r="P9" s="77" t="s">
        <v>122</v>
      </c>
      <c r="Q9" s="77" t="s">
        <v>123</v>
      </c>
      <c r="R9" s="77" t="s">
        <v>86</v>
      </c>
    </row>
    <row r="10" spans="2:19" x14ac:dyDescent="0.25">
      <c r="B10" s="77"/>
      <c r="C10" s="77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</row>
    <row r="11" spans="2:19" x14ac:dyDescent="0.25">
      <c r="B11" t="s">
        <v>180</v>
      </c>
      <c r="C11" s="61">
        <v>2013</v>
      </c>
      <c r="D11" s="6">
        <f t="shared" ref="D11:R11" si="1">D4/1000000</f>
        <v>680.73792000000003</v>
      </c>
      <c r="E11" s="6">
        <f t="shared" si="1"/>
        <v>11.971667</v>
      </c>
      <c r="F11" s="6">
        <f t="shared" si="1"/>
        <v>1062.897984</v>
      </c>
      <c r="G11" s="6">
        <f t="shared" si="1"/>
        <v>6127.0538239999996</v>
      </c>
      <c r="H11" s="6">
        <f t="shared" si="1"/>
        <v>2185.8444800000002</v>
      </c>
      <c r="I11" s="6">
        <f t="shared" si="1"/>
        <v>24.579191999999999</v>
      </c>
      <c r="J11" s="6">
        <f t="shared" si="1"/>
        <v>1326.6481920000001</v>
      </c>
      <c r="K11" s="6">
        <f t="shared" si="1"/>
        <v>10.389429</v>
      </c>
      <c r="L11" s="6">
        <f t="shared" si="1"/>
        <v>12307.325951999999</v>
      </c>
      <c r="M11" s="6">
        <f t="shared" si="1"/>
        <v>354.62377600000002</v>
      </c>
      <c r="N11" s="6">
        <f t="shared" si="1"/>
        <v>1794.3829760000001</v>
      </c>
      <c r="O11" s="6">
        <f t="shared" si="1"/>
        <v>4645.5229440000003</v>
      </c>
      <c r="P11" s="6">
        <f t="shared" si="1"/>
        <v>2071.972096</v>
      </c>
      <c r="Q11" s="6">
        <f t="shared" si="1"/>
        <v>1441.75424</v>
      </c>
      <c r="R11" s="6">
        <f t="shared" si="1"/>
        <v>34045.704672</v>
      </c>
    </row>
    <row r="12" spans="2:19" x14ac:dyDescent="0.25">
      <c r="B12" t="s">
        <v>180</v>
      </c>
      <c r="C12" s="61">
        <v>2022</v>
      </c>
      <c r="D12" s="6">
        <f t="shared" ref="D12:R12" si="2">D5/1000000</f>
        <v>703.27340800000002</v>
      </c>
      <c r="E12" s="6">
        <f t="shared" si="2"/>
        <v>10.063700000000001</v>
      </c>
      <c r="F12" s="6">
        <f t="shared" si="2"/>
        <v>1075.9584</v>
      </c>
      <c r="G12" s="6">
        <f t="shared" si="2"/>
        <v>6213.7927680000003</v>
      </c>
      <c r="H12" s="6">
        <f t="shared" si="2"/>
        <v>2257.7605119999998</v>
      </c>
      <c r="I12" s="6">
        <f t="shared" si="2"/>
        <v>24.594352000000001</v>
      </c>
      <c r="J12" s="6">
        <f t="shared" si="2"/>
        <v>1310.7377919999999</v>
      </c>
      <c r="K12" s="6">
        <f t="shared" si="2"/>
        <v>11.034827999999999</v>
      </c>
      <c r="L12" s="6">
        <f t="shared" si="2"/>
        <v>12137.361408000001</v>
      </c>
      <c r="M12" s="6">
        <f t="shared" si="2"/>
        <v>332.33660800000001</v>
      </c>
      <c r="N12" s="6">
        <f t="shared" si="2"/>
        <v>1766.240256</v>
      </c>
      <c r="O12" s="6">
        <f t="shared" si="2"/>
        <v>4769.1816959999996</v>
      </c>
      <c r="P12" s="6">
        <f t="shared" si="2"/>
        <v>1891.7817600000001</v>
      </c>
      <c r="Q12" s="6">
        <f t="shared" si="2"/>
        <v>1535.7758719999999</v>
      </c>
      <c r="R12" s="6">
        <f t="shared" si="2"/>
        <v>34039.893360000002</v>
      </c>
    </row>
    <row r="13" spans="2:19" x14ac:dyDescent="0.25">
      <c r="B13" t="str">
        <f>B11</f>
        <v>Climate regulation: Carbon retention ( Million tons of carbon)</v>
      </c>
      <c r="D13" s="78">
        <f>(D12-D11)/D11</f>
        <v>3.3104499305694597E-2</v>
      </c>
      <c r="E13" s="78">
        <f t="shared" ref="E13:R13" si="3">(E12-E11)/E11</f>
        <v>-0.15937354421902974</v>
      </c>
      <c r="F13" s="78">
        <f t="shared" si="3"/>
        <v>1.2287553647293429E-2</v>
      </c>
      <c r="G13" s="78">
        <f t="shared" si="3"/>
        <v>1.4156713241238312E-2</v>
      </c>
      <c r="H13" s="78">
        <f t="shared" si="3"/>
        <v>3.2900799969080886E-2</v>
      </c>
      <c r="I13" s="78">
        <f t="shared" si="3"/>
        <v>6.1678186980278346E-4</v>
      </c>
      <c r="J13" s="78">
        <f t="shared" si="3"/>
        <v>-1.1992930828190664E-2</v>
      </c>
      <c r="K13" s="78">
        <f t="shared" si="3"/>
        <v>6.2120738300439744E-2</v>
      </c>
      <c r="L13" s="78">
        <f t="shared" si="3"/>
        <v>-1.3810030274885058E-2</v>
      </c>
      <c r="M13" s="78">
        <f t="shared" si="3"/>
        <v>-6.2847359676188222E-2</v>
      </c>
      <c r="N13" s="78">
        <f t="shared" si="3"/>
        <v>-1.5683786781534897E-2</v>
      </c>
      <c r="O13" s="78">
        <f t="shared" si="3"/>
        <v>2.6618908891562536E-2</v>
      </c>
      <c r="P13" s="78">
        <f t="shared" si="3"/>
        <v>-8.6965619058221089E-2</v>
      </c>
      <c r="Q13" s="78">
        <f t="shared" si="3"/>
        <v>6.5213355640972456E-2</v>
      </c>
      <c r="R13" s="78">
        <f t="shared" si="3"/>
        <v>-1.7069148827979347E-4</v>
      </c>
    </row>
  </sheetData>
  <autoFilter ref="B2:R2" xr:uid="{302794E5-54B5-406D-87F4-F5E327B7DECD}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ADAD-2968-403E-A8A0-6B07C018B9AD}">
  <dimension ref="A2:AA58"/>
  <sheetViews>
    <sheetView zoomScale="80" zoomScaleNormal="80" workbookViewId="0">
      <selection activeCell="A3" sqref="A3:XFD3"/>
    </sheetView>
  </sheetViews>
  <sheetFormatPr defaultRowHeight="15" x14ac:dyDescent="0.25"/>
  <cols>
    <col min="1" max="1" width="41" customWidth="1"/>
    <col min="2" max="2" width="20.140625" customWidth="1"/>
    <col min="3" max="8" width="17.140625" customWidth="1"/>
    <col min="9" max="9" width="22.85546875" customWidth="1"/>
    <col min="10" max="10" width="17.42578125" bestFit="1" customWidth="1"/>
    <col min="11" max="11" width="16.85546875" customWidth="1"/>
    <col min="12" max="12" width="17.42578125" bestFit="1" customWidth="1"/>
    <col min="13" max="13" width="17.85546875" customWidth="1"/>
    <col min="20" max="20" width="29.28515625" customWidth="1"/>
    <col min="21" max="21" width="16.140625" bestFit="1" customWidth="1"/>
    <col min="22" max="22" width="38.5703125" customWidth="1"/>
    <col min="23" max="23" width="22.7109375" customWidth="1"/>
    <col min="24" max="24" width="21.7109375" customWidth="1"/>
    <col min="25" max="26" width="26.42578125" customWidth="1"/>
  </cols>
  <sheetData>
    <row r="2" spans="1:27" x14ac:dyDescent="0.25">
      <c r="A2" s="7"/>
      <c r="B2" s="7" t="s">
        <v>165</v>
      </c>
      <c r="C2" s="7" t="s">
        <v>132</v>
      </c>
      <c r="D2" s="7" t="s">
        <v>133</v>
      </c>
      <c r="E2" s="7" t="s">
        <v>134</v>
      </c>
      <c r="F2" s="7" t="s">
        <v>135</v>
      </c>
      <c r="G2" s="7" t="s">
        <v>136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141</v>
      </c>
      <c r="M2" s="7" t="s">
        <v>86</v>
      </c>
      <c r="V2" s="210"/>
      <c r="W2" s="210"/>
      <c r="X2" s="210"/>
      <c r="Y2" s="210"/>
      <c r="Z2" s="210"/>
      <c r="AA2" s="210"/>
    </row>
    <row r="3" spans="1:27" x14ac:dyDescent="0.25">
      <c r="B3" s="7"/>
      <c r="C3" s="91"/>
      <c r="D3" s="91"/>
      <c r="E3" s="91"/>
      <c r="F3" s="91"/>
      <c r="G3" s="91"/>
      <c r="H3" s="91"/>
      <c r="I3" s="91"/>
      <c r="J3" s="91"/>
      <c r="K3" s="91"/>
      <c r="L3" s="91"/>
      <c r="M3" s="92"/>
      <c r="V3" s="210"/>
      <c r="W3" s="210"/>
      <c r="X3" s="210"/>
      <c r="Y3" s="210"/>
      <c r="Z3" s="210"/>
      <c r="AA3" s="210"/>
    </row>
    <row r="4" spans="1:27" x14ac:dyDescent="0.25">
      <c r="A4" t="s">
        <v>188</v>
      </c>
      <c r="B4" s="61">
        <v>2013</v>
      </c>
      <c r="C4" s="2">
        <v>8699236352</v>
      </c>
      <c r="D4" s="2">
        <v>2473657344</v>
      </c>
      <c r="E4" s="2">
        <v>3693455360</v>
      </c>
      <c r="F4" s="2">
        <v>772051328</v>
      </c>
      <c r="G4" s="2">
        <v>4456863744</v>
      </c>
      <c r="H4" s="2">
        <v>1285530496</v>
      </c>
      <c r="I4" s="2">
        <v>3583552768</v>
      </c>
      <c r="J4" s="2">
        <v>2108742656</v>
      </c>
      <c r="K4" s="2">
        <v>2917859072</v>
      </c>
      <c r="L4" s="2">
        <v>4054808064</v>
      </c>
      <c r="M4" s="215">
        <f>SUBTOTAL(9,C4:L4)</f>
        <v>34045757184</v>
      </c>
    </row>
    <row r="5" spans="1:27" x14ac:dyDescent="0.25">
      <c r="A5" t="s">
        <v>188</v>
      </c>
      <c r="B5" s="61">
        <v>2022</v>
      </c>
      <c r="C5" s="2">
        <v>8791343104</v>
      </c>
      <c r="D5" s="2">
        <v>2504052992</v>
      </c>
      <c r="E5" s="2">
        <v>3617610752</v>
      </c>
      <c r="F5" s="2">
        <v>763242432</v>
      </c>
      <c r="G5" s="2">
        <v>4515055616</v>
      </c>
      <c r="H5" s="2">
        <v>1337093504</v>
      </c>
      <c r="I5" s="2">
        <v>3459295232</v>
      </c>
      <c r="J5" s="2">
        <v>2051774208</v>
      </c>
      <c r="K5" s="2">
        <v>3043002624</v>
      </c>
      <c r="L5" s="2">
        <v>3957607168</v>
      </c>
      <c r="M5" s="215">
        <f>SUBTOTAL(9,C5:L5)</f>
        <v>34040077632</v>
      </c>
    </row>
    <row r="6" spans="1:27" x14ac:dyDescent="0.25"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27" x14ac:dyDescent="0.25"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 spans="1:27" x14ac:dyDescent="0.25">
      <c r="A9" s="7" t="s">
        <v>189</v>
      </c>
      <c r="B9" s="7" t="s">
        <v>165</v>
      </c>
      <c r="C9" s="7" t="s">
        <v>132</v>
      </c>
      <c r="D9" s="7" t="s">
        <v>133</v>
      </c>
      <c r="E9" s="7" t="s">
        <v>134</v>
      </c>
      <c r="F9" s="7" t="s">
        <v>135</v>
      </c>
      <c r="G9" s="7" t="s">
        <v>136</v>
      </c>
      <c r="H9" s="7" t="s">
        <v>137</v>
      </c>
      <c r="I9" s="7" t="s">
        <v>138</v>
      </c>
      <c r="J9" s="7" t="s">
        <v>139</v>
      </c>
      <c r="K9" s="7" t="s">
        <v>140</v>
      </c>
      <c r="L9" s="7" t="s">
        <v>141</v>
      </c>
      <c r="M9" s="7" t="s">
        <v>86</v>
      </c>
    </row>
    <row r="10" spans="1:27" x14ac:dyDescent="0.25">
      <c r="A10" t="s">
        <v>190</v>
      </c>
      <c r="B10" s="61">
        <v>2013</v>
      </c>
      <c r="C10" s="6">
        <f t="shared" ref="C10:M10" si="0">C4/1000000</f>
        <v>8699.2363519999999</v>
      </c>
      <c r="D10" s="6">
        <f t="shared" si="0"/>
        <v>2473.6573440000002</v>
      </c>
      <c r="E10" s="6">
        <f t="shared" si="0"/>
        <v>3693.4553599999999</v>
      </c>
      <c r="F10" s="6">
        <f t="shared" si="0"/>
        <v>772.05132800000001</v>
      </c>
      <c r="G10" s="6">
        <f t="shared" si="0"/>
        <v>4456.8637440000002</v>
      </c>
      <c r="H10" s="6">
        <f t="shared" si="0"/>
        <v>1285.5304960000001</v>
      </c>
      <c r="I10" s="6">
        <f t="shared" si="0"/>
        <v>3583.552768</v>
      </c>
      <c r="J10" s="6">
        <f t="shared" si="0"/>
        <v>2108.7426559999999</v>
      </c>
      <c r="K10" s="6">
        <f t="shared" si="0"/>
        <v>2917.8590720000002</v>
      </c>
      <c r="L10" s="6">
        <f t="shared" si="0"/>
        <v>4054.8080639999998</v>
      </c>
      <c r="M10" s="6">
        <f t="shared" si="0"/>
        <v>34045.757184000002</v>
      </c>
      <c r="N10" s="6"/>
    </row>
    <row r="11" spans="1:27" x14ac:dyDescent="0.25">
      <c r="A11" t="s">
        <v>190</v>
      </c>
      <c r="B11" s="61">
        <v>2022</v>
      </c>
      <c r="C11" s="6">
        <f t="shared" ref="C11:M11" si="1">C5/1000000</f>
        <v>8791.3431039999996</v>
      </c>
      <c r="D11" s="6">
        <f t="shared" si="1"/>
        <v>2504.0529919999999</v>
      </c>
      <c r="E11" s="6">
        <f t="shared" si="1"/>
        <v>3617.610752</v>
      </c>
      <c r="F11" s="6">
        <f t="shared" si="1"/>
        <v>763.24243200000001</v>
      </c>
      <c r="G11" s="6">
        <f t="shared" si="1"/>
        <v>4515.0556159999996</v>
      </c>
      <c r="H11" s="6">
        <f t="shared" si="1"/>
        <v>1337.0935039999999</v>
      </c>
      <c r="I11" s="6">
        <f t="shared" si="1"/>
        <v>3459.2952319999999</v>
      </c>
      <c r="J11" s="6">
        <f t="shared" si="1"/>
        <v>2051.7742079999998</v>
      </c>
      <c r="K11" s="6">
        <f t="shared" si="1"/>
        <v>3043.0026240000002</v>
      </c>
      <c r="L11" s="6">
        <f t="shared" si="1"/>
        <v>3957.607168</v>
      </c>
      <c r="M11" s="6">
        <f t="shared" si="1"/>
        <v>34040.077632</v>
      </c>
      <c r="N11" s="6"/>
    </row>
    <row r="12" spans="1:27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6" spans="1:27" x14ac:dyDescent="0.25"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3:13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3:13" x14ac:dyDescent="0.25"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</row>
    <row r="19" spans="3:13" x14ac:dyDescent="0.25"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</row>
    <row r="20" spans="3:13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3:13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3:13" x14ac:dyDescent="0.25"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</row>
    <row r="23" spans="3:13" x14ac:dyDescent="0.25"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</row>
    <row r="24" spans="3:13" x14ac:dyDescent="0.25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3:13" x14ac:dyDescent="0.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3:13" x14ac:dyDescent="0.25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3:13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3:13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58" spans="5:6" x14ac:dyDescent="0.25">
      <c r="E58" s="6"/>
      <c r="F58" s="6"/>
    </row>
  </sheetData>
  <autoFilter ref="A2:M2" xr:uid="{B80A02E3-0CAA-4949-BB2B-24F46EA07CD0}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E92B-5F83-45E2-AAD9-938E293210CC}">
  <dimension ref="F2:T23"/>
  <sheetViews>
    <sheetView workbookViewId="0">
      <selection activeCell="F14" sqref="F14"/>
    </sheetView>
  </sheetViews>
  <sheetFormatPr defaultRowHeight="15" x14ac:dyDescent="0.25"/>
  <cols>
    <col min="6" max="6" width="41.85546875" customWidth="1"/>
    <col min="7" max="7" width="18.28515625" customWidth="1"/>
    <col min="8" max="8" width="17.140625" customWidth="1"/>
    <col min="9" max="9" width="22" customWidth="1"/>
    <col min="10" max="10" width="16.28515625" customWidth="1"/>
    <col min="11" max="11" width="21" customWidth="1"/>
    <col min="12" max="12" width="17.28515625" customWidth="1"/>
    <col min="13" max="13" width="21.28515625" customWidth="1"/>
    <col min="14" max="14" width="22.140625" customWidth="1"/>
    <col min="15" max="15" width="19.42578125" customWidth="1"/>
    <col min="16" max="16" width="18" bestFit="1" customWidth="1"/>
    <col min="17" max="17" width="17.140625" bestFit="1" customWidth="1"/>
    <col min="18" max="18" width="14.5703125" bestFit="1" customWidth="1"/>
    <col min="19" max="19" width="15.5703125" bestFit="1" customWidth="1"/>
    <col min="20" max="20" width="18.28515625" bestFit="1" customWidth="1"/>
  </cols>
  <sheetData>
    <row r="2" spans="6:20" ht="15.75" thickBot="1" x14ac:dyDescent="0.3">
      <c r="F2" s="379" t="s">
        <v>191</v>
      </c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</row>
    <row r="3" spans="6:20" x14ac:dyDescent="0.25">
      <c r="F3" s="414" t="s">
        <v>192</v>
      </c>
      <c r="G3" s="413" t="s">
        <v>85</v>
      </c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70"/>
    </row>
    <row r="4" spans="6:20" ht="15.75" thickBot="1" x14ac:dyDescent="0.3">
      <c r="F4" s="415"/>
      <c r="G4" s="74" t="s">
        <v>91</v>
      </c>
      <c r="H4" s="66" t="s">
        <v>88</v>
      </c>
      <c r="I4" s="66" t="s">
        <v>89</v>
      </c>
      <c r="J4" s="66" t="s">
        <v>193</v>
      </c>
      <c r="K4" s="66" t="s">
        <v>194</v>
      </c>
      <c r="L4" s="66" t="s">
        <v>94</v>
      </c>
      <c r="M4" s="66" t="s">
        <v>95</v>
      </c>
      <c r="N4" s="66" t="s">
        <v>195</v>
      </c>
      <c r="O4" s="66" t="s">
        <v>97</v>
      </c>
      <c r="P4" s="66" t="s">
        <v>196</v>
      </c>
      <c r="Q4" s="66" t="s">
        <v>197</v>
      </c>
      <c r="R4" s="66" t="s">
        <v>100</v>
      </c>
      <c r="S4" s="66" t="s">
        <v>101</v>
      </c>
      <c r="T4" s="67" t="s">
        <v>198</v>
      </c>
    </row>
    <row r="5" spans="6:20" x14ac:dyDescent="0.25">
      <c r="F5" s="69" t="s">
        <v>199</v>
      </c>
      <c r="G5" s="16">
        <f>MainDatabase!D78</f>
        <v>2973051860</v>
      </c>
      <c r="H5" s="16">
        <f>MainDatabase!E78</f>
        <v>181702018.5</v>
      </c>
      <c r="I5" s="16">
        <f>MainDatabase!F78</f>
        <v>9015407730</v>
      </c>
      <c r="J5" s="16">
        <f>MainDatabase!G78</f>
        <v>820160267</v>
      </c>
      <c r="K5" s="16">
        <f>MainDatabase!H78</f>
        <v>587621928.20000005</v>
      </c>
      <c r="L5" s="16">
        <f>MainDatabase!I78</f>
        <v>6567804910</v>
      </c>
      <c r="M5" s="16">
        <f>MainDatabase!J78</f>
        <v>894072235</v>
      </c>
      <c r="N5" s="16">
        <f>MainDatabase!K78</f>
        <v>232649711.97</v>
      </c>
      <c r="O5" s="16">
        <f>MainDatabase!L78</f>
        <v>49763269.100000001</v>
      </c>
      <c r="P5" s="16">
        <f>MainDatabase!M78</f>
        <v>7632949360</v>
      </c>
      <c r="Q5" s="16">
        <f>MainDatabase!N78</f>
        <v>4376135820</v>
      </c>
      <c r="R5" s="16">
        <f>MainDatabase!O78</f>
        <v>633658.06000000006</v>
      </c>
      <c r="S5" s="16">
        <f>MainDatabase!P78</f>
        <v>713889650.02999997</v>
      </c>
      <c r="T5" s="57">
        <f>SUM(G5:S5)</f>
        <v>34045842417.860001</v>
      </c>
    </row>
    <row r="6" spans="6:20" x14ac:dyDescent="0.25">
      <c r="F6" s="70" t="s">
        <v>200</v>
      </c>
      <c r="G6" s="16">
        <f>MainDatabase!D79</f>
        <v>429956380</v>
      </c>
      <c r="H6" s="16">
        <f>MainDatabase!E79</f>
        <v>188727.45</v>
      </c>
      <c r="I6" s="16">
        <f>MainDatabase!F79</f>
        <v>236970300</v>
      </c>
      <c r="J6" s="16">
        <f>MainDatabase!G79</f>
        <v>5304209.5</v>
      </c>
      <c r="K6" s="16">
        <f>MainDatabase!H79</f>
        <v>3664567.5</v>
      </c>
      <c r="L6" s="16">
        <f>MainDatabase!I79</f>
        <v>740757250</v>
      </c>
      <c r="M6" s="16">
        <f>MainDatabase!J79</f>
        <v>98667704</v>
      </c>
      <c r="N6" s="16">
        <f>MainDatabase!K79</f>
        <v>13380874</v>
      </c>
      <c r="O6" s="16">
        <f>MainDatabase!L79</f>
        <v>5933.03</v>
      </c>
      <c r="P6" s="16">
        <f>MainDatabase!M79</f>
        <v>476684380</v>
      </c>
      <c r="Q6" s="16">
        <f>MainDatabase!N79</f>
        <v>408731970</v>
      </c>
      <c r="R6" s="16">
        <f>MainDatabase!O79</f>
        <v>1220.2850000000001</v>
      </c>
      <c r="S6" s="16">
        <f>MainDatabase!P79</f>
        <v>3572726.5</v>
      </c>
      <c r="T6" s="57">
        <f>SUM(G6:S6)</f>
        <v>2417886242.2649999</v>
      </c>
    </row>
    <row r="7" spans="6:20" x14ac:dyDescent="0.25">
      <c r="F7" s="70" t="s">
        <v>201</v>
      </c>
      <c r="G7" s="16">
        <f>MainDatabase!D80</f>
        <v>59066764</v>
      </c>
      <c r="H7" s="16">
        <f>MainDatabase!E80</f>
        <v>10507495</v>
      </c>
      <c r="I7" s="16">
        <f>MainDatabase!F80</f>
        <v>311527230</v>
      </c>
      <c r="J7" s="16">
        <f>MainDatabase!G80</f>
        <v>369414560</v>
      </c>
      <c r="K7" s="16">
        <f>MainDatabase!H80</f>
        <v>355960600</v>
      </c>
      <c r="L7" s="16">
        <f>MainDatabase!I80</f>
        <v>316958</v>
      </c>
      <c r="M7" s="16">
        <f>MainDatabase!J80</f>
        <v>52676684</v>
      </c>
      <c r="N7" s="16">
        <f>MainDatabase!K80</f>
        <v>307</v>
      </c>
      <c r="O7" s="16">
        <f>MainDatabase!L80</f>
        <v>2945666</v>
      </c>
      <c r="P7" s="16">
        <f>MainDatabase!M80</f>
        <v>724040100</v>
      </c>
      <c r="Q7" s="16">
        <f>MainDatabase!N80</f>
        <v>267119300</v>
      </c>
      <c r="R7" s="16">
        <f>MainDatabase!O80</f>
        <v>16571347</v>
      </c>
      <c r="S7" s="16">
        <f>MainDatabase!P80</f>
        <v>237305600</v>
      </c>
      <c r="T7" s="57">
        <f>SUM(G7:S7)</f>
        <v>2407452611</v>
      </c>
    </row>
    <row r="8" spans="6:20" x14ac:dyDescent="0.25">
      <c r="F8" s="69" t="s">
        <v>202</v>
      </c>
      <c r="G8" s="16">
        <f>MainDatabase!D81</f>
        <v>3815098410</v>
      </c>
      <c r="H8" s="16">
        <f>MainDatabase!E81</f>
        <v>273515930</v>
      </c>
      <c r="I8" s="16">
        <f>MainDatabase!F81</f>
        <v>10513814500</v>
      </c>
      <c r="J8" s="16">
        <f>MainDatabase!G81</f>
        <v>729419169.39999998</v>
      </c>
      <c r="K8" s="16">
        <f>MainDatabase!H81</f>
        <v>750803956.20000005</v>
      </c>
      <c r="L8" s="16">
        <f>MainDatabase!I81</f>
        <v>6731980420</v>
      </c>
      <c r="M8" s="16">
        <f>MainDatabase!J81</f>
        <v>584725088</v>
      </c>
      <c r="N8" s="16">
        <f>MainDatabase!K81</f>
        <v>231374066.09999999</v>
      </c>
      <c r="O8" s="16">
        <f>MainDatabase!L81</f>
        <v>75730360.299999997</v>
      </c>
      <c r="P8" s="16">
        <f>MainDatabase!M81</f>
        <v>5879554400</v>
      </c>
      <c r="Q8" s="16">
        <f>MainDatabase!N81</f>
        <v>3699013940</v>
      </c>
      <c r="R8" s="16">
        <f>MainDatabase!O81</f>
        <v>759498</v>
      </c>
      <c r="S8" s="16">
        <f>MainDatabase!P81</f>
        <v>754244303.89999998</v>
      </c>
      <c r="T8" s="57">
        <f>SUM(G8:S8)</f>
        <v>34040034041.899998</v>
      </c>
    </row>
    <row r="9" spans="6:20" ht="15.75" thickBot="1" x14ac:dyDescent="0.3">
      <c r="F9" s="72" t="s">
        <v>203</v>
      </c>
      <c r="G9" s="68">
        <f>G8-G5</f>
        <v>842046550</v>
      </c>
      <c r="H9" s="68">
        <f t="shared" ref="H9:S9" si="0">H8-H5</f>
        <v>91813911.5</v>
      </c>
      <c r="I9" s="68">
        <f t="shared" si="0"/>
        <v>1498406770</v>
      </c>
      <c r="J9" s="68">
        <f t="shared" si="0"/>
        <v>-90741097.600000024</v>
      </c>
      <c r="K9" s="68">
        <f t="shared" si="0"/>
        <v>163182028</v>
      </c>
      <c r="L9" s="68">
        <f t="shared" si="0"/>
        <v>164175510</v>
      </c>
      <c r="M9" s="68">
        <f t="shared" si="0"/>
        <v>-309347147</v>
      </c>
      <c r="N9" s="68">
        <f t="shared" si="0"/>
        <v>-1275645.8700000048</v>
      </c>
      <c r="O9" s="68">
        <f t="shared" si="0"/>
        <v>25967091.199999996</v>
      </c>
      <c r="P9" s="68">
        <f t="shared" si="0"/>
        <v>-1753394960</v>
      </c>
      <c r="Q9" s="68">
        <f t="shared" si="0"/>
        <v>-677121880</v>
      </c>
      <c r="R9" s="68">
        <f t="shared" si="0"/>
        <v>125839.93999999994</v>
      </c>
      <c r="S9" s="68">
        <f t="shared" si="0"/>
        <v>40354653.870000005</v>
      </c>
      <c r="T9" s="59">
        <f>SUM(G9:S9)</f>
        <v>-5808375.9599999785</v>
      </c>
    </row>
    <row r="10" spans="6:20" x14ac:dyDescent="0.25">
      <c r="F10" s="71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</row>
    <row r="11" spans="6:20" ht="15.75" thickBot="1" x14ac:dyDescent="0.3">
      <c r="F11" s="72" t="s">
        <v>204</v>
      </c>
      <c r="G11" s="68">
        <f>G8-G5</f>
        <v>842046550</v>
      </c>
      <c r="H11" s="68">
        <f t="shared" ref="H11:T11" si="1">H8-H5</f>
        <v>91813911.5</v>
      </c>
      <c r="I11" s="68">
        <f t="shared" si="1"/>
        <v>1498406770</v>
      </c>
      <c r="J11" s="68">
        <f t="shared" si="1"/>
        <v>-90741097.600000024</v>
      </c>
      <c r="K11" s="68">
        <f t="shared" si="1"/>
        <v>163182028</v>
      </c>
      <c r="L11" s="68">
        <f t="shared" si="1"/>
        <v>164175510</v>
      </c>
      <c r="M11" s="68">
        <f t="shared" si="1"/>
        <v>-309347147</v>
      </c>
      <c r="N11" s="68">
        <f t="shared" si="1"/>
        <v>-1275645.8700000048</v>
      </c>
      <c r="O11" s="68">
        <f t="shared" si="1"/>
        <v>25967091.199999996</v>
      </c>
      <c r="P11" s="68">
        <f t="shared" si="1"/>
        <v>-1753394960</v>
      </c>
      <c r="Q11" s="68">
        <f t="shared" si="1"/>
        <v>-677121880</v>
      </c>
      <c r="R11" s="68">
        <f t="shared" si="1"/>
        <v>125839.93999999994</v>
      </c>
      <c r="S11" s="68">
        <f t="shared" si="1"/>
        <v>40354653.870000005</v>
      </c>
      <c r="T11" s="68">
        <f t="shared" si="1"/>
        <v>-5808375.9600028992</v>
      </c>
    </row>
    <row r="16" spans="6:20" ht="15.75" thickBot="1" x14ac:dyDescent="0.3"/>
    <row r="17" spans="6:20" x14ac:dyDescent="0.25">
      <c r="F17" s="414" t="s">
        <v>205</v>
      </c>
      <c r="G17" s="413" t="s">
        <v>85</v>
      </c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70"/>
    </row>
    <row r="18" spans="6:20" ht="15.75" thickBot="1" x14ac:dyDescent="0.3">
      <c r="F18" s="415"/>
      <c r="G18" s="74" t="s">
        <v>91</v>
      </c>
      <c r="H18" s="66" t="s">
        <v>88</v>
      </c>
      <c r="I18" s="66" t="s">
        <v>89</v>
      </c>
      <c r="J18" s="66" t="s">
        <v>193</v>
      </c>
      <c r="K18" s="66" t="s">
        <v>194</v>
      </c>
      <c r="L18" s="66" t="s">
        <v>94</v>
      </c>
      <c r="M18" s="66" t="s">
        <v>95</v>
      </c>
      <c r="N18" s="66" t="s">
        <v>195</v>
      </c>
      <c r="O18" s="66" t="s">
        <v>97</v>
      </c>
      <c r="P18" s="66" t="s">
        <v>196</v>
      </c>
      <c r="Q18" s="66" t="s">
        <v>197</v>
      </c>
      <c r="R18" s="66" t="s">
        <v>100</v>
      </c>
      <c r="S18" s="66" t="s">
        <v>101</v>
      </c>
      <c r="T18" s="67" t="s">
        <v>198</v>
      </c>
    </row>
    <row r="19" spans="6:20" x14ac:dyDescent="0.25">
      <c r="F19" s="69" t="s">
        <v>206</v>
      </c>
      <c r="G19" s="21">
        <f>G5/1000000</f>
        <v>2973.05186</v>
      </c>
      <c r="H19" s="21">
        <f t="shared" ref="H19:T19" si="2">H5/1000000</f>
        <v>181.70201850000001</v>
      </c>
      <c r="I19" s="21">
        <f t="shared" si="2"/>
        <v>9015.4077300000008</v>
      </c>
      <c r="J19" s="21">
        <f t="shared" si="2"/>
        <v>820.16026699999998</v>
      </c>
      <c r="K19" s="21">
        <f t="shared" si="2"/>
        <v>587.62192820000007</v>
      </c>
      <c r="L19" s="21">
        <f t="shared" si="2"/>
        <v>6567.8049099999998</v>
      </c>
      <c r="M19" s="21">
        <f t="shared" si="2"/>
        <v>894.07223499999998</v>
      </c>
      <c r="N19" s="21">
        <f t="shared" si="2"/>
        <v>232.64971197</v>
      </c>
      <c r="O19" s="21">
        <f t="shared" si="2"/>
        <v>49.763269100000002</v>
      </c>
      <c r="P19" s="21">
        <f t="shared" si="2"/>
        <v>7632.9493599999996</v>
      </c>
      <c r="Q19" s="21">
        <f t="shared" si="2"/>
        <v>4376.1358200000004</v>
      </c>
      <c r="R19" s="21">
        <f t="shared" si="2"/>
        <v>0.63365806000000002</v>
      </c>
      <c r="S19" s="21">
        <f t="shared" si="2"/>
        <v>713.88965002999998</v>
      </c>
      <c r="T19" s="21">
        <f t="shared" si="2"/>
        <v>34045.842417860003</v>
      </c>
    </row>
    <row r="20" spans="6:20" x14ac:dyDescent="0.25">
      <c r="F20" s="70" t="s">
        <v>207</v>
      </c>
      <c r="G20" s="21">
        <f t="shared" ref="G20:T22" si="3">G6/1000000</f>
        <v>429.95638000000002</v>
      </c>
      <c r="H20" s="21">
        <f t="shared" si="3"/>
        <v>0.18872745000000002</v>
      </c>
      <c r="I20" s="21">
        <f t="shared" si="3"/>
        <v>236.97030000000001</v>
      </c>
      <c r="J20" s="21">
        <f t="shared" si="3"/>
        <v>5.3042094999999998</v>
      </c>
      <c r="K20" s="21">
        <f t="shared" si="3"/>
        <v>3.6645675</v>
      </c>
      <c r="L20" s="21">
        <f t="shared" si="3"/>
        <v>740.75725</v>
      </c>
      <c r="M20" s="21">
        <f t="shared" si="3"/>
        <v>98.667704000000001</v>
      </c>
      <c r="N20" s="21">
        <f t="shared" si="3"/>
        <v>13.380874</v>
      </c>
      <c r="O20" s="21">
        <f t="shared" si="3"/>
        <v>5.9330299999999997E-3</v>
      </c>
      <c r="P20" s="21">
        <f t="shared" si="3"/>
        <v>476.68437999999998</v>
      </c>
      <c r="Q20" s="21">
        <f t="shared" si="3"/>
        <v>408.73196999999999</v>
      </c>
      <c r="R20" s="21">
        <f t="shared" si="3"/>
        <v>1.220285E-3</v>
      </c>
      <c r="S20" s="21">
        <f t="shared" si="3"/>
        <v>3.5727264999999999</v>
      </c>
      <c r="T20" s="21">
        <f t="shared" si="3"/>
        <v>2417.886242265</v>
      </c>
    </row>
    <row r="21" spans="6:20" x14ac:dyDescent="0.25">
      <c r="F21" s="70" t="s">
        <v>208</v>
      </c>
      <c r="G21" s="21">
        <f t="shared" si="3"/>
        <v>59.066763999999999</v>
      </c>
      <c r="H21" s="21">
        <f t="shared" si="3"/>
        <v>10.507495</v>
      </c>
      <c r="I21" s="21">
        <f t="shared" si="3"/>
        <v>311.52722999999997</v>
      </c>
      <c r="J21" s="21">
        <f t="shared" si="3"/>
        <v>369.41455999999999</v>
      </c>
      <c r="K21" s="21">
        <f t="shared" si="3"/>
        <v>355.9606</v>
      </c>
      <c r="L21" s="21">
        <f t="shared" si="3"/>
        <v>0.31695800000000002</v>
      </c>
      <c r="M21" s="21">
        <f t="shared" si="3"/>
        <v>52.676684000000002</v>
      </c>
      <c r="N21" s="21">
        <f t="shared" si="3"/>
        <v>3.0699999999999998E-4</v>
      </c>
      <c r="O21" s="21">
        <f t="shared" si="3"/>
        <v>2.9456660000000001</v>
      </c>
      <c r="P21" s="21">
        <f t="shared" si="3"/>
        <v>724.04010000000005</v>
      </c>
      <c r="Q21" s="21">
        <f t="shared" si="3"/>
        <v>267.11930000000001</v>
      </c>
      <c r="R21" s="21">
        <f t="shared" si="3"/>
        <v>16.571346999999999</v>
      </c>
      <c r="S21" s="21">
        <f t="shared" si="3"/>
        <v>237.3056</v>
      </c>
      <c r="T21" s="21">
        <f t="shared" si="3"/>
        <v>2407.4526110000002</v>
      </c>
    </row>
    <row r="22" spans="6:20" x14ac:dyDescent="0.25">
      <c r="F22" s="69" t="s">
        <v>209</v>
      </c>
      <c r="G22" s="21">
        <f t="shared" si="3"/>
        <v>3815.0984100000001</v>
      </c>
      <c r="H22" s="21">
        <f t="shared" si="3"/>
        <v>273.51593000000003</v>
      </c>
      <c r="I22" s="21">
        <f t="shared" si="3"/>
        <v>10513.8145</v>
      </c>
      <c r="J22" s="21">
        <f t="shared" si="3"/>
        <v>729.41916939999999</v>
      </c>
      <c r="K22" s="21">
        <f t="shared" si="3"/>
        <v>750.80395620000002</v>
      </c>
      <c r="L22" s="21">
        <f t="shared" si="3"/>
        <v>6731.9804199999999</v>
      </c>
      <c r="M22" s="21">
        <f t="shared" si="3"/>
        <v>584.72508800000003</v>
      </c>
      <c r="N22" s="21">
        <f t="shared" si="3"/>
        <v>231.37406609999999</v>
      </c>
      <c r="O22" s="21">
        <f t="shared" si="3"/>
        <v>75.730360300000001</v>
      </c>
      <c r="P22" s="21">
        <f t="shared" si="3"/>
        <v>5879.5544</v>
      </c>
      <c r="Q22" s="21">
        <f t="shared" si="3"/>
        <v>3699.0139399999998</v>
      </c>
      <c r="R22" s="21">
        <f t="shared" si="3"/>
        <v>0.75949800000000001</v>
      </c>
      <c r="S22" s="21">
        <f t="shared" si="3"/>
        <v>754.24430389999998</v>
      </c>
      <c r="T22" s="21">
        <f t="shared" si="3"/>
        <v>34040.034041899999</v>
      </c>
    </row>
    <row r="23" spans="6:20" ht="15.75" thickBot="1" x14ac:dyDescent="0.3">
      <c r="F23" s="72" t="s">
        <v>203</v>
      </c>
      <c r="G23" s="75">
        <f>G22-G19</f>
        <v>842.04655000000002</v>
      </c>
      <c r="H23" s="75">
        <f t="shared" ref="H23:R23" si="4">H22-H19</f>
        <v>91.813911500000017</v>
      </c>
      <c r="I23" s="75">
        <f t="shared" si="4"/>
        <v>1498.4067699999996</v>
      </c>
      <c r="J23" s="75">
        <f t="shared" si="4"/>
        <v>-90.741097599999989</v>
      </c>
      <c r="K23" s="75">
        <f t="shared" si="4"/>
        <v>163.18202799999995</v>
      </c>
      <c r="L23" s="75">
        <f t="shared" si="4"/>
        <v>164.17551000000003</v>
      </c>
      <c r="M23" s="75">
        <f t="shared" si="4"/>
        <v>-309.34714699999995</v>
      </c>
      <c r="N23" s="75">
        <f t="shared" si="4"/>
        <v>-1.2756458700000053</v>
      </c>
      <c r="O23" s="75">
        <f t="shared" si="4"/>
        <v>25.967091199999999</v>
      </c>
      <c r="P23" s="75">
        <f t="shared" si="4"/>
        <v>-1753.3949599999996</v>
      </c>
      <c r="Q23" s="75">
        <f t="shared" si="4"/>
        <v>-677.1218800000006</v>
      </c>
      <c r="R23" s="75">
        <f t="shared" si="4"/>
        <v>0.12583993999999998</v>
      </c>
      <c r="S23" s="75">
        <f>S22-S19</f>
        <v>40.354653869999993</v>
      </c>
      <c r="T23" s="59">
        <f>SUM(G23:S23)</f>
        <v>-5.8083759600009373</v>
      </c>
    </row>
  </sheetData>
  <mergeCells count="5">
    <mergeCell ref="F2:T2"/>
    <mergeCell ref="G3:T3"/>
    <mergeCell ref="F3:F4"/>
    <mergeCell ref="F17:F18"/>
    <mergeCell ref="G17:T17"/>
  </mergeCells>
  <pageMargins left="0.7" right="0.7" top="0.75" bottom="0.75" header="0.3" footer="0.3"/>
  <headerFooter>
    <oddFooter>&amp;R_x000D_&amp;1#&amp;"Calibri"&amp;10&amp;K000000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C8CC-1BCD-4F76-96DF-865F02A8BAF2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113E-B9AD-41D8-ABD9-BC8DF126B321}">
  <dimension ref="A3:AI252"/>
  <sheetViews>
    <sheetView tabSelected="1" topLeftCell="A99" zoomScale="87" zoomScaleNormal="87" workbookViewId="0">
      <selection activeCell="C114" sqref="C114"/>
    </sheetView>
  </sheetViews>
  <sheetFormatPr defaultRowHeight="15" x14ac:dyDescent="0.25"/>
  <cols>
    <col min="1" max="1" width="11.42578125" customWidth="1"/>
    <col min="2" max="2" width="17.5703125" customWidth="1"/>
    <col min="3" max="3" width="65.28515625" customWidth="1"/>
    <col min="4" max="4" width="19.5703125" customWidth="1"/>
    <col min="5" max="5" width="19.140625" customWidth="1"/>
    <col min="6" max="6" width="23.7109375" customWidth="1"/>
    <col min="7" max="7" width="24.5703125" customWidth="1"/>
    <col min="8" max="8" width="26.28515625" customWidth="1"/>
    <col min="9" max="9" width="19" customWidth="1"/>
    <col min="10" max="10" width="18.5703125" customWidth="1"/>
    <col min="11" max="11" width="24.5703125" customWidth="1"/>
    <col min="12" max="12" width="29" customWidth="1"/>
    <col min="13" max="13" width="27.42578125" customWidth="1"/>
    <col min="14" max="14" width="18.85546875" customWidth="1"/>
    <col min="15" max="15" width="16.42578125" customWidth="1"/>
    <col min="16" max="16" width="17.7109375" customWidth="1"/>
    <col min="17" max="17" width="17.5703125" customWidth="1"/>
    <col min="18" max="18" width="27.42578125" customWidth="1"/>
    <col min="19" max="20" width="22.28515625" customWidth="1"/>
    <col min="21" max="21" width="32.28515625" customWidth="1"/>
    <col min="22" max="22" width="23.5703125" customWidth="1"/>
    <col min="23" max="23" width="18.85546875" customWidth="1"/>
    <col min="24" max="24" width="19.42578125" customWidth="1"/>
    <col min="25" max="25" width="16.85546875" customWidth="1"/>
    <col min="26" max="26" width="27.85546875" customWidth="1"/>
    <col min="27" max="27" width="22" customWidth="1"/>
    <col min="28" max="28" width="20.85546875" customWidth="1"/>
    <col min="29" max="29" width="26.85546875" customWidth="1"/>
    <col min="30" max="30" width="15.5703125" customWidth="1"/>
    <col min="31" max="31" width="19.28515625" customWidth="1"/>
    <col min="32" max="32" width="17.85546875" customWidth="1"/>
    <col min="33" max="33" width="15.140625" customWidth="1"/>
    <col min="34" max="34" width="16.42578125" customWidth="1"/>
    <col min="35" max="35" width="22.7109375" customWidth="1"/>
  </cols>
  <sheetData>
    <row r="3" spans="1:32" x14ac:dyDescent="0.25">
      <c r="C3" t="s">
        <v>210</v>
      </c>
    </row>
    <row r="4" spans="1:32" ht="15.75" thickBot="1" x14ac:dyDescent="0.3">
      <c r="C4" s="5"/>
      <c r="D4" s="5"/>
      <c r="E4" s="5"/>
      <c r="F4" s="416">
        <v>2013</v>
      </c>
      <c r="G4" s="416"/>
      <c r="H4" s="416"/>
      <c r="I4" s="416"/>
      <c r="J4" s="416"/>
      <c r="K4" s="416"/>
      <c r="L4" s="416"/>
      <c r="M4" s="417">
        <v>2022</v>
      </c>
      <c r="N4" s="417"/>
      <c r="O4" s="417"/>
      <c r="P4" s="417"/>
      <c r="Q4" s="417"/>
      <c r="R4" s="417"/>
      <c r="S4" s="417"/>
      <c r="T4" s="28"/>
      <c r="U4" s="28"/>
    </row>
    <row r="5" spans="1:32" x14ac:dyDescent="0.25">
      <c r="C5" s="11" t="s">
        <v>211</v>
      </c>
      <c r="D5" s="420" t="s">
        <v>212</v>
      </c>
      <c r="E5" s="420"/>
      <c r="F5" s="25" t="s">
        <v>213</v>
      </c>
      <c r="G5" s="25" t="s">
        <v>214</v>
      </c>
      <c r="H5" s="25" t="s">
        <v>215</v>
      </c>
      <c r="I5" s="25" t="s">
        <v>216</v>
      </c>
      <c r="J5" s="41"/>
      <c r="K5" s="41"/>
      <c r="L5" s="41" t="s">
        <v>217</v>
      </c>
      <c r="M5" s="29" t="s">
        <v>218</v>
      </c>
      <c r="N5" s="29" t="s">
        <v>219</v>
      </c>
      <c r="O5" s="29" t="s">
        <v>220</v>
      </c>
      <c r="P5" s="29" t="s">
        <v>221</v>
      </c>
      <c r="Q5" s="38"/>
      <c r="R5" s="38"/>
      <c r="S5" s="55" t="s">
        <v>222</v>
      </c>
      <c r="T5" s="55"/>
      <c r="U5" s="55"/>
      <c r="V5" s="418" t="s">
        <v>223</v>
      </c>
      <c r="W5" s="419"/>
      <c r="X5" s="201"/>
      <c r="Y5" s="116"/>
      <c r="Z5" s="116"/>
      <c r="AA5" s="202"/>
    </row>
    <row r="6" spans="1:32" ht="15.75" thickBot="1" x14ac:dyDescent="0.3">
      <c r="A6" s="61"/>
      <c r="C6" s="12" t="s">
        <v>85</v>
      </c>
      <c r="D6" s="23" t="s">
        <v>224</v>
      </c>
      <c r="E6" s="23" t="s">
        <v>225</v>
      </c>
      <c r="F6" s="26" t="s">
        <v>226</v>
      </c>
      <c r="G6" s="27" t="s">
        <v>227</v>
      </c>
      <c r="H6" s="27" t="s">
        <v>228</v>
      </c>
      <c r="I6" s="27" t="s">
        <v>229</v>
      </c>
      <c r="J6" s="42" t="s">
        <v>230</v>
      </c>
      <c r="K6" s="42" t="s">
        <v>231</v>
      </c>
      <c r="L6" s="42" t="s">
        <v>232</v>
      </c>
      <c r="M6" s="30" t="s">
        <v>233</v>
      </c>
      <c r="N6" s="30" t="s">
        <v>227</v>
      </c>
      <c r="O6" s="30" t="s">
        <v>228</v>
      </c>
      <c r="P6" s="30" t="s">
        <v>229</v>
      </c>
      <c r="Q6" s="39" t="s">
        <v>230</v>
      </c>
      <c r="R6" s="40" t="s">
        <v>231</v>
      </c>
      <c r="S6" s="39" t="s">
        <v>232</v>
      </c>
      <c r="T6" s="39" t="s">
        <v>234</v>
      </c>
      <c r="U6" s="39" t="s">
        <v>235</v>
      </c>
      <c r="V6" s="43" t="s">
        <v>236</v>
      </c>
      <c r="W6" s="14" t="s">
        <v>237</v>
      </c>
      <c r="X6" s="12" t="s">
        <v>85</v>
      </c>
      <c r="Y6" s="23" t="s">
        <v>224</v>
      </c>
      <c r="Z6" s="23" t="s">
        <v>225</v>
      </c>
      <c r="AA6" s="14" t="s">
        <v>238</v>
      </c>
    </row>
    <row r="7" spans="1:32" x14ac:dyDescent="0.25">
      <c r="C7" s="15" t="s">
        <v>91</v>
      </c>
      <c r="D7" s="20">
        <v>7905950</v>
      </c>
      <c r="E7" s="20">
        <v>11463689</v>
      </c>
      <c r="F7">
        <v>981390850</v>
      </c>
      <c r="G7">
        <v>298958180</v>
      </c>
      <c r="H7">
        <v>58044930</v>
      </c>
      <c r="I7">
        <v>1634657900</v>
      </c>
      <c r="J7" s="32">
        <f>F7+G7</f>
        <v>1280349030</v>
      </c>
      <c r="K7" s="32">
        <f>H7+I7</f>
        <v>1692702830</v>
      </c>
      <c r="L7" s="32">
        <f>J7+K7</f>
        <v>2973051860</v>
      </c>
      <c r="M7">
        <v>1230647700</v>
      </c>
      <c r="N7">
        <v>380324900</v>
      </c>
      <c r="O7">
        <v>73324110</v>
      </c>
      <c r="P7">
        <v>2130801700</v>
      </c>
      <c r="Q7" s="34">
        <f>M7+N7</f>
        <v>1610972600</v>
      </c>
      <c r="R7" s="35">
        <f>O7+P7</f>
        <v>2204125810</v>
      </c>
      <c r="S7" s="35">
        <f>Q7+R7</f>
        <v>3815098410</v>
      </c>
      <c r="T7" s="35">
        <f>L7</f>
        <v>2973051860</v>
      </c>
      <c r="U7" s="35">
        <f>S7</f>
        <v>3815098410</v>
      </c>
      <c r="V7" s="98">
        <v>59066764</v>
      </c>
      <c r="W7" s="99">
        <v>429956380</v>
      </c>
      <c r="X7" s="15" t="s">
        <v>91</v>
      </c>
      <c r="Y7" s="20">
        <v>7905950</v>
      </c>
      <c r="Z7" s="20">
        <v>11463689</v>
      </c>
      <c r="AA7" s="203">
        <f>(U7-T7)/9</f>
        <v>93560727.777777776</v>
      </c>
      <c r="AB7" s="6"/>
      <c r="AC7" s="35"/>
      <c r="AF7" s="6"/>
    </row>
    <row r="8" spans="1:32" x14ac:dyDescent="0.25">
      <c r="C8" s="15" t="s">
        <v>88</v>
      </c>
      <c r="D8" s="20">
        <v>727338</v>
      </c>
      <c r="E8" s="20">
        <v>1089507</v>
      </c>
      <c r="F8">
        <v>96131130</v>
      </c>
      <c r="G8">
        <v>31926110</v>
      </c>
      <c r="H8">
        <v>5613502.5</v>
      </c>
      <c r="I8">
        <v>48031276</v>
      </c>
      <c r="J8" s="32">
        <f t="shared" ref="J8:J19" si="0">F8+G8</f>
        <v>128057240</v>
      </c>
      <c r="K8" s="32">
        <f t="shared" ref="K8:K19" si="1">H8+I8</f>
        <v>53644778.5</v>
      </c>
      <c r="L8" s="32">
        <f t="shared" ref="L8:L19" si="2">J8+K8</f>
        <v>181702018.5</v>
      </c>
      <c r="M8">
        <v>144731710</v>
      </c>
      <c r="N8">
        <v>48067108</v>
      </c>
      <c r="O8">
        <v>8451492</v>
      </c>
      <c r="P8">
        <v>72265620</v>
      </c>
      <c r="Q8" s="34">
        <f t="shared" ref="Q8:Q19" si="3">M8+N8</f>
        <v>192798818</v>
      </c>
      <c r="R8" s="35">
        <f t="shared" ref="R8:R19" si="4">O8+P8</f>
        <v>80717112</v>
      </c>
      <c r="S8" s="35">
        <f t="shared" ref="S8:S19" si="5">Q8+R8</f>
        <v>273515930</v>
      </c>
      <c r="T8" s="35">
        <f t="shared" ref="T8:T19" si="6">L8</f>
        <v>181702018.5</v>
      </c>
      <c r="U8" s="35">
        <f t="shared" ref="U8:U19" si="7">S8</f>
        <v>273515930</v>
      </c>
      <c r="V8" s="98">
        <v>10507495</v>
      </c>
      <c r="W8" s="99">
        <v>188727.45</v>
      </c>
      <c r="X8" s="15" t="s">
        <v>88</v>
      </c>
      <c r="Y8" s="20">
        <v>727338</v>
      </c>
      <c r="Z8" s="20">
        <v>1089507</v>
      </c>
      <c r="AA8" s="203">
        <f t="shared" ref="AA8:AA19" si="8">(U8-T8)/9</f>
        <v>10201545.722222222</v>
      </c>
      <c r="AB8" s="6"/>
      <c r="AF8" s="6"/>
    </row>
    <row r="9" spans="1:32" x14ac:dyDescent="0.25">
      <c r="C9" s="15" t="s">
        <v>89</v>
      </c>
      <c r="D9" s="20">
        <v>21659926</v>
      </c>
      <c r="E9" s="20">
        <v>25914816</v>
      </c>
      <c r="F9">
        <v>1642842800</v>
      </c>
      <c r="G9">
        <v>492721630</v>
      </c>
      <c r="H9">
        <v>0</v>
      </c>
      <c r="I9">
        <v>6879843300</v>
      </c>
      <c r="J9" s="32">
        <f t="shared" si="0"/>
        <v>2135564430</v>
      </c>
      <c r="K9" s="32">
        <f t="shared" si="1"/>
        <v>6879843300</v>
      </c>
      <c r="L9" s="32">
        <f t="shared" si="2"/>
        <v>9015407730</v>
      </c>
      <c r="M9">
        <v>1906206100</v>
      </c>
      <c r="N9">
        <v>571713100</v>
      </c>
      <c r="O9">
        <v>0</v>
      </c>
      <c r="P9">
        <v>8035895300</v>
      </c>
      <c r="Q9" s="34">
        <f t="shared" si="3"/>
        <v>2477919200</v>
      </c>
      <c r="R9" s="35">
        <f t="shared" si="4"/>
        <v>8035895300</v>
      </c>
      <c r="S9" s="35">
        <f t="shared" si="5"/>
        <v>10513814500</v>
      </c>
      <c r="T9" s="35">
        <f t="shared" si="6"/>
        <v>9015407730</v>
      </c>
      <c r="U9" s="35">
        <f t="shared" si="7"/>
        <v>10513814500</v>
      </c>
      <c r="V9" s="98">
        <v>311527230</v>
      </c>
      <c r="W9" s="99">
        <v>236970300</v>
      </c>
      <c r="X9" s="15" t="s">
        <v>89</v>
      </c>
      <c r="Y9" s="20">
        <v>21659926</v>
      </c>
      <c r="Z9" s="20">
        <v>25914816</v>
      </c>
      <c r="AA9" s="203">
        <f t="shared" si="8"/>
        <v>166489641.1111111</v>
      </c>
      <c r="AB9" s="6"/>
      <c r="AF9" s="6"/>
    </row>
    <row r="10" spans="1:32" x14ac:dyDescent="0.25">
      <c r="C10" s="15" t="s">
        <v>92</v>
      </c>
      <c r="D10" s="20">
        <v>8182519</v>
      </c>
      <c r="E10" s="20">
        <v>7385068</v>
      </c>
      <c r="F10">
        <v>1576960.2</v>
      </c>
      <c r="G10">
        <v>2598660.7999999998</v>
      </c>
      <c r="H10">
        <v>35004616</v>
      </c>
      <c r="I10">
        <v>780980030</v>
      </c>
      <c r="J10" s="32">
        <f t="shared" si="0"/>
        <v>4175621</v>
      </c>
      <c r="K10" s="32">
        <f t="shared" si="1"/>
        <v>815984646</v>
      </c>
      <c r="L10" s="32">
        <f t="shared" si="2"/>
        <v>820160267</v>
      </c>
      <c r="M10">
        <v>1388222.4</v>
      </c>
      <c r="N10">
        <v>2290043</v>
      </c>
      <c r="O10">
        <v>30840604</v>
      </c>
      <c r="P10">
        <v>694900300</v>
      </c>
      <c r="Q10" s="34">
        <f t="shared" si="3"/>
        <v>3678265.4</v>
      </c>
      <c r="R10" s="35">
        <f t="shared" si="4"/>
        <v>725740904</v>
      </c>
      <c r="S10" s="35">
        <f t="shared" si="5"/>
        <v>729419169.39999998</v>
      </c>
      <c r="T10" s="35">
        <f t="shared" si="6"/>
        <v>820160267</v>
      </c>
      <c r="U10" s="35">
        <f t="shared" si="7"/>
        <v>729419169.39999998</v>
      </c>
      <c r="V10" s="98">
        <v>369414560</v>
      </c>
      <c r="W10" s="99">
        <v>5304209.5</v>
      </c>
      <c r="X10" s="15" t="s">
        <v>193</v>
      </c>
      <c r="Y10" s="20">
        <v>8182519</v>
      </c>
      <c r="Z10" s="20">
        <v>7385068</v>
      </c>
      <c r="AA10" s="203">
        <f t="shared" si="8"/>
        <v>-10082344.17777778</v>
      </c>
      <c r="AB10" s="6"/>
      <c r="AF10" s="6"/>
    </row>
    <row r="11" spans="1:32" x14ac:dyDescent="0.25">
      <c r="C11" s="15" t="s">
        <v>93</v>
      </c>
      <c r="D11" s="20">
        <v>4245673</v>
      </c>
      <c r="E11" s="20">
        <v>4914260</v>
      </c>
      <c r="F11">
        <v>1336119.3999999999</v>
      </c>
      <c r="G11">
        <v>2170024.7999999998</v>
      </c>
      <c r="H11">
        <v>29307144</v>
      </c>
      <c r="I11">
        <v>554808640</v>
      </c>
      <c r="J11" s="32">
        <f t="shared" si="0"/>
        <v>3506144.1999999997</v>
      </c>
      <c r="K11" s="32">
        <f t="shared" si="1"/>
        <v>584115784</v>
      </c>
      <c r="L11" s="32">
        <f t="shared" si="2"/>
        <v>587621928.20000005</v>
      </c>
      <c r="M11">
        <v>1787539.2</v>
      </c>
      <c r="N11">
        <v>2901053</v>
      </c>
      <c r="O11">
        <v>39150304</v>
      </c>
      <c r="P11">
        <v>706965060</v>
      </c>
      <c r="Q11" s="34">
        <f t="shared" si="3"/>
        <v>4688592.2</v>
      </c>
      <c r="R11" s="35">
        <f t="shared" si="4"/>
        <v>746115364</v>
      </c>
      <c r="S11" s="35">
        <f t="shared" si="5"/>
        <v>750803956.20000005</v>
      </c>
      <c r="T11" s="35">
        <f t="shared" si="6"/>
        <v>587621928.20000005</v>
      </c>
      <c r="U11" s="35">
        <f t="shared" si="7"/>
        <v>750803956.20000005</v>
      </c>
      <c r="V11" s="98">
        <v>355960600</v>
      </c>
      <c r="W11" s="99">
        <v>3664567.5</v>
      </c>
      <c r="X11" s="15" t="s">
        <v>194</v>
      </c>
      <c r="Y11" s="20">
        <v>4245673</v>
      </c>
      <c r="Z11" s="20">
        <v>4914260</v>
      </c>
      <c r="AA11" s="203">
        <f t="shared" si="8"/>
        <v>18131336.444444444</v>
      </c>
      <c r="AB11" s="6"/>
      <c r="AF11" s="6"/>
    </row>
    <row r="12" spans="1:32" x14ac:dyDescent="0.25">
      <c r="C12" s="15" t="s">
        <v>94</v>
      </c>
      <c r="D12" s="20">
        <v>12164696</v>
      </c>
      <c r="E12" s="20">
        <v>13804835</v>
      </c>
      <c r="F12">
        <v>2599820300</v>
      </c>
      <c r="G12">
        <v>606542800</v>
      </c>
      <c r="H12">
        <v>135497810</v>
      </c>
      <c r="I12">
        <v>3225944000</v>
      </c>
      <c r="J12" s="32">
        <f t="shared" si="0"/>
        <v>3206363100</v>
      </c>
      <c r="K12" s="32">
        <f t="shared" si="1"/>
        <v>3361441810</v>
      </c>
      <c r="L12" s="32">
        <f t="shared" si="2"/>
        <v>6567804910</v>
      </c>
      <c r="M12">
        <v>2625805300</v>
      </c>
      <c r="N12">
        <v>612611300</v>
      </c>
      <c r="O12">
        <v>136852420</v>
      </c>
      <c r="P12">
        <v>3356711400</v>
      </c>
      <c r="Q12" s="34">
        <f t="shared" si="3"/>
        <v>3238416600</v>
      </c>
      <c r="R12" s="35">
        <f t="shared" si="4"/>
        <v>3493563820</v>
      </c>
      <c r="S12" s="35">
        <f t="shared" si="5"/>
        <v>6731980420</v>
      </c>
      <c r="T12" s="35">
        <f t="shared" si="6"/>
        <v>6567804910</v>
      </c>
      <c r="U12" s="35">
        <f t="shared" si="7"/>
        <v>6731980420</v>
      </c>
      <c r="V12" s="98">
        <v>316958</v>
      </c>
      <c r="W12" s="99">
        <v>740757250</v>
      </c>
      <c r="X12" s="15" t="s">
        <v>94</v>
      </c>
      <c r="Y12" s="20">
        <v>12164696</v>
      </c>
      <c r="Z12" s="20">
        <v>13804835</v>
      </c>
      <c r="AA12" s="203">
        <f t="shared" si="8"/>
        <v>18241723.333333332</v>
      </c>
      <c r="AB12" s="6"/>
      <c r="AF12" s="6"/>
    </row>
    <row r="13" spans="1:32" x14ac:dyDescent="0.25">
      <c r="C13" s="15" t="s">
        <v>95</v>
      </c>
      <c r="D13" s="20">
        <v>2197418</v>
      </c>
      <c r="E13" s="20">
        <v>1906516</v>
      </c>
      <c r="F13">
        <v>298148400</v>
      </c>
      <c r="G13">
        <v>80896500</v>
      </c>
      <c r="H13">
        <v>16657835</v>
      </c>
      <c r="I13">
        <v>498369500</v>
      </c>
      <c r="J13" s="32">
        <f t="shared" si="0"/>
        <v>379044900</v>
      </c>
      <c r="K13" s="32">
        <f t="shared" si="1"/>
        <v>515027335</v>
      </c>
      <c r="L13" s="32">
        <f t="shared" si="2"/>
        <v>894072235</v>
      </c>
      <c r="M13">
        <v>184225280</v>
      </c>
      <c r="N13">
        <v>46336520</v>
      </c>
      <c r="O13">
        <v>9934548</v>
      </c>
      <c r="P13">
        <v>344228740</v>
      </c>
      <c r="Q13" s="34">
        <f t="shared" si="3"/>
        <v>230561800</v>
      </c>
      <c r="R13" s="35">
        <f t="shared" si="4"/>
        <v>354163288</v>
      </c>
      <c r="S13" s="35">
        <f t="shared" si="5"/>
        <v>584725088</v>
      </c>
      <c r="T13" s="35">
        <f t="shared" si="6"/>
        <v>894072235</v>
      </c>
      <c r="U13" s="35">
        <f t="shared" si="7"/>
        <v>584725088</v>
      </c>
      <c r="V13" s="98">
        <v>52676684</v>
      </c>
      <c r="W13" s="99">
        <v>98667704</v>
      </c>
      <c r="X13" s="15" t="s">
        <v>95</v>
      </c>
      <c r="Y13" s="20">
        <v>2197418</v>
      </c>
      <c r="Z13" s="20">
        <v>1906516</v>
      </c>
      <c r="AA13" s="203">
        <f t="shared" si="8"/>
        <v>-34371905.222222224</v>
      </c>
      <c r="AB13" s="6"/>
      <c r="AF13" s="6"/>
    </row>
    <row r="14" spans="1:32" x14ac:dyDescent="0.25">
      <c r="C14" s="15" t="s">
        <v>195</v>
      </c>
      <c r="D14" s="20">
        <v>492832</v>
      </c>
      <c r="E14" s="20">
        <v>489999</v>
      </c>
      <c r="F14">
        <v>298038.44</v>
      </c>
      <c r="G14">
        <v>475753.53</v>
      </c>
      <c r="H14">
        <v>0</v>
      </c>
      <c r="I14">
        <v>231875920</v>
      </c>
      <c r="J14" s="32">
        <f t="shared" si="0"/>
        <v>773791.97</v>
      </c>
      <c r="K14" s="32">
        <f t="shared" si="1"/>
        <v>231875920</v>
      </c>
      <c r="L14" s="32">
        <f t="shared" si="2"/>
        <v>232649711.97</v>
      </c>
      <c r="M14">
        <v>296473.21999999997</v>
      </c>
      <c r="N14">
        <v>473242.88</v>
      </c>
      <c r="O14">
        <v>0</v>
      </c>
      <c r="P14">
        <v>230604350</v>
      </c>
      <c r="Q14" s="34">
        <f t="shared" si="3"/>
        <v>769716.1</v>
      </c>
      <c r="R14" s="35">
        <f t="shared" si="4"/>
        <v>230604350</v>
      </c>
      <c r="S14" s="35">
        <f t="shared" si="5"/>
        <v>231374066.09999999</v>
      </c>
      <c r="T14" s="35">
        <f t="shared" si="6"/>
        <v>232649711.97</v>
      </c>
      <c r="U14" s="35">
        <f t="shared" si="7"/>
        <v>231374066.09999999</v>
      </c>
      <c r="V14">
        <v>307</v>
      </c>
      <c r="W14" s="99">
        <v>13380874</v>
      </c>
      <c r="X14" s="15" t="s">
        <v>195</v>
      </c>
      <c r="Y14" s="20">
        <v>492832</v>
      </c>
      <c r="Z14" s="20">
        <v>489999</v>
      </c>
      <c r="AA14" s="203">
        <f t="shared" si="8"/>
        <v>-141738.43000000052</v>
      </c>
      <c r="AB14" s="6"/>
      <c r="AF14" s="6"/>
    </row>
    <row r="15" spans="1:32" x14ac:dyDescent="0.25">
      <c r="C15" s="15" t="s">
        <v>97</v>
      </c>
      <c r="D15" s="20">
        <v>349867</v>
      </c>
      <c r="E15" s="20">
        <v>526244</v>
      </c>
      <c r="F15">
        <v>909516.1</v>
      </c>
      <c r="G15">
        <v>891682.94</v>
      </c>
      <c r="H15">
        <v>353806.06</v>
      </c>
      <c r="I15">
        <v>47608264</v>
      </c>
      <c r="J15" s="32">
        <f t="shared" si="0"/>
        <v>1801199.04</v>
      </c>
      <c r="K15" s="32">
        <f t="shared" si="1"/>
        <v>47962070.060000002</v>
      </c>
      <c r="L15" s="32">
        <f t="shared" si="2"/>
        <v>49763269.100000001</v>
      </c>
      <c r="M15">
        <v>1388614.8</v>
      </c>
      <c r="N15">
        <v>1361415.9</v>
      </c>
      <c r="O15">
        <v>540179.6</v>
      </c>
      <c r="P15">
        <v>72440150</v>
      </c>
      <c r="Q15" s="34">
        <f t="shared" si="3"/>
        <v>2750030.7</v>
      </c>
      <c r="R15" s="35">
        <f t="shared" si="4"/>
        <v>72980329.599999994</v>
      </c>
      <c r="S15" s="35">
        <f t="shared" si="5"/>
        <v>75730360.299999997</v>
      </c>
      <c r="T15" s="35">
        <f t="shared" si="6"/>
        <v>49763269.100000001</v>
      </c>
      <c r="U15" s="35">
        <f t="shared" si="7"/>
        <v>75730360.299999997</v>
      </c>
      <c r="V15" s="98">
        <v>2945666</v>
      </c>
      <c r="W15" s="99">
        <v>5933.03</v>
      </c>
      <c r="X15" s="15" t="s">
        <v>97</v>
      </c>
      <c r="Y15" s="20">
        <v>349867</v>
      </c>
      <c r="Z15" s="20">
        <v>526244</v>
      </c>
      <c r="AA15" s="203">
        <f t="shared" si="8"/>
        <v>2885232.3555555549</v>
      </c>
      <c r="AB15" s="6"/>
      <c r="AF15" s="6"/>
    </row>
    <row r="16" spans="1:32" x14ac:dyDescent="0.25">
      <c r="C16" s="18" t="s">
        <v>98</v>
      </c>
      <c r="D16" s="21">
        <v>33917887</v>
      </c>
      <c r="E16" s="21">
        <v>26241517</v>
      </c>
      <c r="F16">
        <v>2246767000</v>
      </c>
      <c r="G16">
        <v>449280350</v>
      </c>
      <c r="H16">
        <v>202173010</v>
      </c>
      <c r="I16">
        <v>4734729000</v>
      </c>
      <c r="J16" s="32">
        <f t="shared" si="0"/>
        <v>2696047350</v>
      </c>
      <c r="K16" s="32">
        <f t="shared" si="1"/>
        <v>4936902010</v>
      </c>
      <c r="L16" s="32">
        <f t="shared" si="2"/>
        <v>7632949360</v>
      </c>
      <c r="M16">
        <v>1728998700</v>
      </c>
      <c r="N16">
        <v>345743520</v>
      </c>
      <c r="O16">
        <v>155581580</v>
      </c>
      <c r="P16">
        <v>3649230600</v>
      </c>
      <c r="Q16" s="34">
        <f t="shared" si="3"/>
        <v>2074742220</v>
      </c>
      <c r="R16" s="35">
        <f t="shared" si="4"/>
        <v>3804812180</v>
      </c>
      <c r="S16" s="35">
        <f t="shared" si="5"/>
        <v>5879554400</v>
      </c>
      <c r="T16" s="35">
        <f t="shared" si="6"/>
        <v>7632949360</v>
      </c>
      <c r="U16" s="35">
        <f t="shared" si="7"/>
        <v>5879554400</v>
      </c>
      <c r="V16" s="98">
        <v>724040100</v>
      </c>
      <c r="W16" s="99">
        <v>476684380</v>
      </c>
      <c r="X16" s="18" t="s">
        <v>196</v>
      </c>
      <c r="Y16" s="21">
        <v>33917887</v>
      </c>
      <c r="Z16" s="21">
        <v>26241517</v>
      </c>
      <c r="AA16" s="203">
        <f t="shared" si="8"/>
        <v>-194821662.22222221</v>
      </c>
      <c r="AB16" s="6"/>
      <c r="AF16" s="6"/>
    </row>
    <row r="17" spans="3:35" x14ac:dyDescent="0.25">
      <c r="C17" s="18" t="s">
        <v>99</v>
      </c>
      <c r="D17" s="21">
        <v>12423037</v>
      </c>
      <c r="E17" s="21">
        <v>9581980</v>
      </c>
      <c r="F17">
        <v>1454103800</v>
      </c>
      <c r="G17">
        <v>290783330</v>
      </c>
      <c r="H17">
        <v>130847490</v>
      </c>
      <c r="I17">
        <v>2500401200</v>
      </c>
      <c r="J17" s="32">
        <f t="shared" si="0"/>
        <v>1744887130</v>
      </c>
      <c r="K17" s="32">
        <f t="shared" si="1"/>
        <v>2631248690</v>
      </c>
      <c r="L17" s="32">
        <f t="shared" si="2"/>
        <v>4376135820</v>
      </c>
      <c r="M17">
        <v>1249338200</v>
      </c>
      <c r="N17">
        <v>249838670</v>
      </c>
      <c r="O17">
        <v>112421370</v>
      </c>
      <c r="P17">
        <v>2087415700</v>
      </c>
      <c r="Q17" s="34">
        <f t="shared" si="3"/>
        <v>1499176870</v>
      </c>
      <c r="R17" s="35">
        <f t="shared" si="4"/>
        <v>2199837070</v>
      </c>
      <c r="S17" s="35">
        <f t="shared" si="5"/>
        <v>3699013940</v>
      </c>
      <c r="T17" s="35">
        <f t="shared" si="6"/>
        <v>4376135820</v>
      </c>
      <c r="U17" s="35">
        <f t="shared" si="7"/>
        <v>3699013940</v>
      </c>
      <c r="V17" s="98">
        <v>267119300</v>
      </c>
      <c r="W17" s="99">
        <v>408731970</v>
      </c>
      <c r="X17" s="18" t="s">
        <v>197</v>
      </c>
      <c r="Y17" s="21">
        <v>12423037</v>
      </c>
      <c r="Z17" s="21">
        <v>9581980</v>
      </c>
      <c r="AA17" s="203">
        <f t="shared" si="8"/>
        <v>-75235764.444444448</v>
      </c>
      <c r="AB17" s="6"/>
      <c r="AF17" s="6"/>
    </row>
    <row r="18" spans="3:35" x14ac:dyDescent="0.25">
      <c r="C18" s="18" t="s">
        <v>100</v>
      </c>
      <c r="D18" s="21">
        <v>775993</v>
      </c>
      <c r="E18" s="21">
        <v>985134</v>
      </c>
      <c r="F18">
        <v>633658.06000000006</v>
      </c>
      <c r="G18">
        <v>0</v>
      </c>
      <c r="H18">
        <v>0</v>
      </c>
      <c r="I18">
        <v>0</v>
      </c>
      <c r="J18" s="32">
        <f t="shared" si="0"/>
        <v>633658.06000000006</v>
      </c>
      <c r="K18" s="32">
        <f t="shared" si="1"/>
        <v>0</v>
      </c>
      <c r="L18" s="32">
        <f t="shared" si="2"/>
        <v>633658.06000000006</v>
      </c>
      <c r="M18">
        <v>759498</v>
      </c>
      <c r="N18">
        <v>0</v>
      </c>
      <c r="O18">
        <v>0</v>
      </c>
      <c r="P18">
        <v>0</v>
      </c>
      <c r="Q18" s="34">
        <f t="shared" si="3"/>
        <v>759498</v>
      </c>
      <c r="R18" s="35">
        <f t="shared" si="4"/>
        <v>0</v>
      </c>
      <c r="S18" s="35">
        <f t="shared" si="5"/>
        <v>759498</v>
      </c>
      <c r="T18" s="35">
        <f t="shared" si="6"/>
        <v>633658.06000000006</v>
      </c>
      <c r="U18" s="35">
        <f t="shared" si="7"/>
        <v>759498</v>
      </c>
      <c r="V18" s="98">
        <v>16571347</v>
      </c>
      <c r="W18" s="99">
        <v>1220.2850000000001</v>
      </c>
      <c r="X18" s="18" t="s">
        <v>100</v>
      </c>
      <c r="Y18" s="21">
        <v>775993</v>
      </c>
      <c r="Z18" s="21">
        <v>985134</v>
      </c>
      <c r="AA18" s="203">
        <f t="shared" si="8"/>
        <v>13982.215555555549</v>
      </c>
      <c r="AB18" s="6"/>
      <c r="AF18" s="6"/>
    </row>
    <row r="19" spans="3:35" x14ac:dyDescent="0.25">
      <c r="C19" s="18" t="s">
        <v>239</v>
      </c>
      <c r="D19" s="21">
        <v>8264639</v>
      </c>
      <c r="E19" s="21">
        <v>9004210</v>
      </c>
      <c r="F19">
        <v>643471.75</v>
      </c>
      <c r="G19">
        <v>283978.28000000003</v>
      </c>
      <c r="H19">
        <v>0</v>
      </c>
      <c r="I19">
        <v>712962200</v>
      </c>
      <c r="J19" s="32">
        <f t="shared" si="0"/>
        <v>927450.03</v>
      </c>
      <c r="K19" s="32">
        <f t="shared" si="1"/>
        <v>712962200</v>
      </c>
      <c r="L19" s="32">
        <f t="shared" si="2"/>
        <v>713889650.02999997</v>
      </c>
      <c r="M19">
        <v>661796.9</v>
      </c>
      <c r="N19">
        <v>288047</v>
      </c>
      <c r="O19">
        <v>0</v>
      </c>
      <c r="P19">
        <v>753294460</v>
      </c>
      <c r="Q19" s="34">
        <f t="shared" si="3"/>
        <v>949843.9</v>
      </c>
      <c r="R19" s="35">
        <f t="shared" si="4"/>
        <v>753294460</v>
      </c>
      <c r="S19" s="35">
        <f t="shared" si="5"/>
        <v>754244303.89999998</v>
      </c>
      <c r="T19" s="35">
        <f t="shared" si="6"/>
        <v>713889650.02999997</v>
      </c>
      <c r="U19" s="35">
        <f t="shared" si="7"/>
        <v>754244303.89999998</v>
      </c>
      <c r="V19" s="98">
        <v>237305600</v>
      </c>
      <c r="W19" s="99">
        <v>3572726.5</v>
      </c>
      <c r="X19" s="18" t="s">
        <v>101</v>
      </c>
      <c r="Y19" s="21">
        <v>8264639</v>
      </c>
      <c r="Z19" s="21">
        <v>9004210</v>
      </c>
      <c r="AA19" s="203">
        <f t="shared" si="8"/>
        <v>4483850.4300000006</v>
      </c>
      <c r="AB19" s="6"/>
      <c r="AF19" s="6"/>
    </row>
    <row r="20" spans="3:35" ht="15.75" thickBot="1" x14ac:dyDescent="0.3">
      <c r="C20" s="19" t="s">
        <v>86</v>
      </c>
      <c r="D20" s="22">
        <f>SUM(D7:D19)</f>
        <v>113307775</v>
      </c>
      <c r="E20" s="22">
        <f>SUM(E7:E19)</f>
        <v>113307775</v>
      </c>
      <c r="F20" s="22">
        <f t="shared" ref="F20:K20" si="9">SUM(F7:F19)</f>
        <v>9324602043.9499989</v>
      </c>
      <c r="G20" s="22">
        <f t="shared" si="9"/>
        <v>2257529000.3499999</v>
      </c>
      <c r="H20" s="22">
        <f t="shared" si="9"/>
        <v>613500143.55999994</v>
      </c>
      <c r="I20" s="22">
        <f t="shared" si="9"/>
        <v>21850211230</v>
      </c>
      <c r="J20" s="22">
        <f t="shared" si="9"/>
        <v>11582131044.299999</v>
      </c>
      <c r="K20" s="22">
        <f t="shared" si="9"/>
        <v>22463711373.559998</v>
      </c>
      <c r="L20" s="33">
        <f>SUM(L7:L19)</f>
        <v>34045842417.860001</v>
      </c>
      <c r="M20" s="31">
        <v>8877120962.6299992</v>
      </c>
      <c r="N20" s="31">
        <v>2231909609.0300002</v>
      </c>
      <c r="O20" s="31">
        <v>549787384.10000002</v>
      </c>
      <c r="P20" s="31">
        <v>21359167420</v>
      </c>
      <c r="Q20" s="36">
        <f t="shared" ref="Q20" si="10">M20+N20+O20</f>
        <v>11658817955.76</v>
      </c>
      <c r="R20" s="37">
        <f t="shared" ref="R20" si="11">P20</f>
        <v>21359167420</v>
      </c>
      <c r="S20" s="33">
        <f>SUM(S7:S19)</f>
        <v>34040034041.899998</v>
      </c>
      <c r="T20" s="35">
        <f>L20</f>
        <v>34045842417.860001</v>
      </c>
      <c r="U20" s="35">
        <f>S20</f>
        <v>34040034041.899998</v>
      </c>
      <c r="V20" s="59"/>
      <c r="W20" s="58"/>
      <c r="X20" s="19" t="s">
        <v>86</v>
      </c>
      <c r="Y20" s="22">
        <f>SUM(Y7:Y19)</f>
        <v>113307775</v>
      </c>
      <c r="Z20" s="22">
        <f>SUM(Z7:Z19)</f>
        <v>113307775</v>
      </c>
      <c r="AA20" s="204">
        <f>(U20-T20)/9</f>
        <v>-645375.10666698881</v>
      </c>
      <c r="AB20" s="6"/>
    </row>
    <row r="21" spans="3:35" x14ac:dyDescent="0.25">
      <c r="V21" s="1">
        <f>SUM(V7:V20)</f>
        <v>2407452611</v>
      </c>
      <c r="W21" s="1">
        <f>SUM(W7:W20)</f>
        <v>2417886242.2649999</v>
      </c>
    </row>
    <row r="25" spans="3:35" x14ac:dyDescent="0.25">
      <c r="V25" s="15" t="s">
        <v>91</v>
      </c>
      <c r="W25" s="15" t="s">
        <v>88</v>
      </c>
      <c r="X25" s="15" t="s">
        <v>89</v>
      </c>
      <c r="Y25" s="15" t="s">
        <v>193</v>
      </c>
      <c r="Z25" s="15" t="s">
        <v>194</v>
      </c>
      <c r="AA25" s="15" t="s">
        <v>94</v>
      </c>
      <c r="AB25" s="15" t="s">
        <v>95</v>
      </c>
      <c r="AC25" s="15" t="s">
        <v>195</v>
      </c>
      <c r="AD25" s="15" t="s">
        <v>97</v>
      </c>
      <c r="AE25" s="18" t="s">
        <v>196</v>
      </c>
      <c r="AF25" s="18" t="s">
        <v>197</v>
      </c>
      <c r="AG25" s="18" t="s">
        <v>100</v>
      </c>
      <c r="AH25" s="18" t="s">
        <v>101</v>
      </c>
      <c r="AI25" s="18" t="s">
        <v>86</v>
      </c>
    </row>
    <row r="26" spans="3:35" x14ac:dyDescent="0.25">
      <c r="U26" t="s">
        <v>240</v>
      </c>
      <c r="V26" s="57">
        <f>V7</f>
        <v>59066764</v>
      </c>
      <c r="W26" s="57">
        <f>V8</f>
        <v>10507495</v>
      </c>
      <c r="X26" s="57">
        <f>V9</f>
        <v>311527230</v>
      </c>
      <c r="Y26" s="57">
        <f>V10</f>
        <v>369414560</v>
      </c>
      <c r="Z26" s="57">
        <f>V11</f>
        <v>355960600</v>
      </c>
      <c r="AA26" s="57">
        <f>V12</f>
        <v>316958</v>
      </c>
      <c r="AB26" s="57">
        <f>V13</f>
        <v>52676684</v>
      </c>
      <c r="AC26" s="57">
        <f>V14</f>
        <v>307</v>
      </c>
      <c r="AD26" s="57">
        <f>V15</f>
        <v>2945666</v>
      </c>
      <c r="AE26" s="57">
        <f>V16</f>
        <v>724040100</v>
      </c>
      <c r="AF26" s="57">
        <f>V17</f>
        <v>267119300</v>
      </c>
      <c r="AG26" s="57">
        <f>V18</f>
        <v>16571347</v>
      </c>
      <c r="AH26" s="57">
        <f>V19</f>
        <v>237305600</v>
      </c>
      <c r="AI26" s="2">
        <f>SUM(V26:AH26)</f>
        <v>2407452611</v>
      </c>
    </row>
    <row r="27" spans="3:35" x14ac:dyDescent="0.25">
      <c r="U27" t="s">
        <v>241</v>
      </c>
      <c r="V27" s="56">
        <f>W7</f>
        <v>429956380</v>
      </c>
      <c r="W27" s="56">
        <f>W8</f>
        <v>188727.45</v>
      </c>
      <c r="X27" s="56">
        <f>W9</f>
        <v>236970300</v>
      </c>
      <c r="Y27" s="56">
        <f>W10</f>
        <v>5304209.5</v>
      </c>
      <c r="Z27" s="56">
        <f>W11</f>
        <v>3664567.5</v>
      </c>
      <c r="AA27" s="56">
        <f>W12</f>
        <v>740757250</v>
      </c>
      <c r="AB27" s="56">
        <f>W13</f>
        <v>98667704</v>
      </c>
      <c r="AC27" s="56">
        <f>W14</f>
        <v>13380874</v>
      </c>
      <c r="AD27" s="56">
        <f>W15</f>
        <v>5933.03</v>
      </c>
      <c r="AE27" s="56">
        <f>W16</f>
        <v>476684380</v>
      </c>
      <c r="AF27" s="56">
        <f>W17</f>
        <v>408731970</v>
      </c>
      <c r="AG27" s="56">
        <f>W18</f>
        <v>1220.2850000000001</v>
      </c>
      <c r="AH27" s="56">
        <f>W19</f>
        <v>3572726.5</v>
      </c>
      <c r="AI27" s="2">
        <f>SUM(V27:AH27)</f>
        <v>2417886242.2649999</v>
      </c>
    </row>
    <row r="28" spans="3:35" x14ac:dyDescent="0.25">
      <c r="K28" s="3">
        <f>K38/E38</f>
        <v>81.10527217456783</v>
      </c>
      <c r="O28" s="1"/>
      <c r="U28" t="s">
        <v>242</v>
      </c>
      <c r="V28" s="1">
        <f>T7</f>
        <v>2973051860</v>
      </c>
      <c r="W28" s="3">
        <f>T8</f>
        <v>181702018.5</v>
      </c>
      <c r="X28" s="3">
        <f>T9</f>
        <v>9015407730</v>
      </c>
      <c r="Y28" s="3">
        <f>T10</f>
        <v>820160267</v>
      </c>
      <c r="Z28" s="3">
        <f>T11</f>
        <v>587621928.20000005</v>
      </c>
      <c r="AA28" s="3">
        <f>T12</f>
        <v>6567804910</v>
      </c>
      <c r="AB28" s="3">
        <f>T13</f>
        <v>894072235</v>
      </c>
      <c r="AC28" s="3">
        <f>T14</f>
        <v>232649711.97</v>
      </c>
      <c r="AD28" s="3">
        <f>T15</f>
        <v>49763269.100000001</v>
      </c>
      <c r="AE28" s="3">
        <f>T16</f>
        <v>7632949360</v>
      </c>
      <c r="AF28" s="3">
        <f>T17</f>
        <v>4376135820</v>
      </c>
      <c r="AG28" s="3">
        <f>T18</f>
        <v>633658.06000000006</v>
      </c>
      <c r="AH28" s="3">
        <f>T19</f>
        <v>713889650.02999997</v>
      </c>
      <c r="AI28" s="2">
        <f>SUM(V28:AH28)</f>
        <v>34045842417.860001</v>
      </c>
    </row>
    <row r="29" spans="3:35" x14ac:dyDescent="0.25">
      <c r="C29" t="s">
        <v>243</v>
      </c>
      <c r="J29" s="3">
        <f>J35/E35</f>
        <v>339.8606418814627</v>
      </c>
      <c r="K29" s="3">
        <f>K35/E35</f>
        <v>83.093555439482955</v>
      </c>
      <c r="O29" s="1"/>
      <c r="U29" t="s">
        <v>244</v>
      </c>
      <c r="V29" s="1">
        <f>U7</f>
        <v>3815098410</v>
      </c>
      <c r="W29" s="3">
        <f>U8</f>
        <v>273515930</v>
      </c>
      <c r="X29" s="3">
        <f>U9</f>
        <v>10513814500</v>
      </c>
      <c r="Y29" s="3">
        <f>U10</f>
        <v>729419169.39999998</v>
      </c>
      <c r="Z29" s="3">
        <f>U11</f>
        <v>750803956.20000005</v>
      </c>
      <c r="AA29" s="3">
        <f>U12</f>
        <v>6731980420</v>
      </c>
      <c r="AB29" s="3">
        <f>U13</f>
        <v>584725088</v>
      </c>
      <c r="AC29" s="3">
        <f>U14</f>
        <v>231374066.09999999</v>
      </c>
      <c r="AD29" s="3">
        <f>U15</f>
        <v>75730360.299999997</v>
      </c>
      <c r="AE29" s="3">
        <f>U16</f>
        <v>5879554400</v>
      </c>
      <c r="AF29" s="3">
        <f>U17</f>
        <v>3699013940</v>
      </c>
      <c r="AG29" s="3">
        <f>U18</f>
        <v>759498</v>
      </c>
      <c r="AH29" s="3">
        <f>U19</f>
        <v>754244303.89999998</v>
      </c>
      <c r="AI29" s="2">
        <f>SUM(V29:AH29)</f>
        <v>34040034041.899998</v>
      </c>
    </row>
    <row r="30" spans="3:35" x14ac:dyDescent="0.25">
      <c r="O30" s="1"/>
      <c r="U30" t="s">
        <v>245</v>
      </c>
      <c r="V30" s="1">
        <f>V29-V28</f>
        <v>842046550</v>
      </c>
      <c r="W30" s="1">
        <f t="shared" ref="W30:AH30" si="12">W29-W28</f>
        <v>91813911.5</v>
      </c>
      <c r="X30" s="1">
        <f t="shared" si="12"/>
        <v>1498406770</v>
      </c>
      <c r="Y30" s="1">
        <f t="shared" si="12"/>
        <v>-90741097.600000024</v>
      </c>
      <c r="Z30" s="1">
        <f t="shared" si="12"/>
        <v>163182028</v>
      </c>
      <c r="AA30" s="1">
        <f t="shared" si="12"/>
        <v>164175510</v>
      </c>
      <c r="AB30" s="1">
        <f t="shared" si="12"/>
        <v>-309347147</v>
      </c>
      <c r="AC30" s="1">
        <f t="shared" si="12"/>
        <v>-1275645.8700000048</v>
      </c>
      <c r="AD30" s="1">
        <f t="shared" si="12"/>
        <v>25967091.199999996</v>
      </c>
      <c r="AE30" s="1">
        <f t="shared" si="12"/>
        <v>-1753394960</v>
      </c>
      <c r="AF30" s="1">
        <f t="shared" si="12"/>
        <v>-677121880</v>
      </c>
      <c r="AG30" s="1">
        <f t="shared" si="12"/>
        <v>125839.93999999994</v>
      </c>
      <c r="AH30" s="1">
        <f t="shared" si="12"/>
        <v>40354653.870000005</v>
      </c>
      <c r="AI30" s="2">
        <f>SUM(V30:AH30)</f>
        <v>-5808375.9599999785</v>
      </c>
    </row>
    <row r="31" spans="3:35" x14ac:dyDescent="0.25">
      <c r="C31" s="18" t="s">
        <v>211</v>
      </c>
      <c r="D31" s="381"/>
      <c r="E31" s="421"/>
      <c r="F31" s="44" t="s">
        <v>246</v>
      </c>
      <c r="G31" s="45" t="s">
        <v>247</v>
      </c>
      <c r="H31" s="9" t="s">
        <v>248</v>
      </c>
      <c r="I31" s="48" t="s">
        <v>249</v>
      </c>
      <c r="J31" s="44" t="s">
        <v>250</v>
      </c>
      <c r="K31" s="45" t="s">
        <v>251</v>
      </c>
      <c r="L31" s="9" t="s">
        <v>252</v>
      </c>
      <c r="M31" s="48" t="s">
        <v>253</v>
      </c>
      <c r="O31" s="1"/>
      <c r="U31" t="s">
        <v>254</v>
      </c>
      <c r="V31" s="1">
        <f>V26-V27</f>
        <v>-370889616</v>
      </c>
      <c r="W31" s="1">
        <f t="shared" ref="W31:AG31" si="13">W26-W27</f>
        <v>10318767.550000001</v>
      </c>
      <c r="X31" s="1">
        <f t="shared" si="13"/>
        <v>74556930</v>
      </c>
      <c r="Y31" s="1">
        <f t="shared" si="13"/>
        <v>364110350.5</v>
      </c>
      <c r="Z31" s="1">
        <f t="shared" si="13"/>
        <v>352296032.5</v>
      </c>
      <c r="AA31" s="1">
        <f t="shared" si="13"/>
        <v>-740440292</v>
      </c>
      <c r="AB31" s="1">
        <f t="shared" si="13"/>
        <v>-45991020</v>
      </c>
      <c r="AC31" s="1">
        <f t="shared" si="13"/>
        <v>-13380567</v>
      </c>
      <c r="AD31" s="1">
        <f t="shared" si="13"/>
        <v>2939732.97</v>
      </c>
      <c r="AE31" s="1">
        <f t="shared" si="13"/>
        <v>247355720</v>
      </c>
      <c r="AF31" s="1">
        <f t="shared" si="13"/>
        <v>-141612670</v>
      </c>
      <c r="AG31" s="1">
        <f t="shared" si="13"/>
        <v>16570126.715</v>
      </c>
      <c r="AH31" s="1">
        <f>AH26-AH27</f>
        <v>233732873.5</v>
      </c>
      <c r="AI31" s="2">
        <f t="shared" ref="AI31" si="14">AI26-AI27</f>
        <v>-10433631.264999866</v>
      </c>
    </row>
    <row r="32" spans="3:35" ht="15.75" thickBot="1" x14ac:dyDescent="0.3">
      <c r="C32" s="43" t="s">
        <v>85</v>
      </c>
      <c r="D32" s="13" t="s">
        <v>224</v>
      </c>
      <c r="E32" s="13" t="s">
        <v>225</v>
      </c>
      <c r="F32" s="46" t="s">
        <v>255</v>
      </c>
      <c r="G32" s="47" t="s">
        <v>256</v>
      </c>
      <c r="H32" s="49" t="s">
        <v>257</v>
      </c>
      <c r="I32" s="50" t="s">
        <v>258</v>
      </c>
      <c r="J32" s="46" t="s">
        <v>259</v>
      </c>
      <c r="K32" s="47" t="s">
        <v>256</v>
      </c>
      <c r="L32" s="49" t="s">
        <v>257</v>
      </c>
      <c r="M32" s="50" t="s">
        <v>258</v>
      </c>
      <c r="O32" s="1"/>
    </row>
    <row r="33" spans="3:35" x14ac:dyDescent="0.25">
      <c r="C33" s="18" t="s">
        <v>91</v>
      </c>
      <c r="D33">
        <v>7905950</v>
      </c>
      <c r="E33">
        <v>11463689</v>
      </c>
      <c r="F33" s="2">
        <v>2957460000</v>
      </c>
      <c r="G33" s="2">
        <v>574558900</v>
      </c>
      <c r="H33" s="2">
        <v>28922958</v>
      </c>
      <c r="I33" s="94">
        <v>211576020</v>
      </c>
      <c r="J33" s="2">
        <v>3835871500</v>
      </c>
      <c r="K33" s="2">
        <v>731190000</v>
      </c>
      <c r="L33">
        <v>38038484</v>
      </c>
      <c r="M33">
        <v>276523650</v>
      </c>
      <c r="O33" s="1"/>
    </row>
    <row r="34" spans="3:35" x14ac:dyDescent="0.25">
      <c r="C34" s="18" t="s">
        <v>88</v>
      </c>
      <c r="D34">
        <v>727338</v>
      </c>
      <c r="E34">
        <v>1089507</v>
      </c>
      <c r="F34" s="2">
        <v>200456580</v>
      </c>
      <c r="G34" s="2">
        <v>50101736</v>
      </c>
      <c r="H34" s="2">
        <v>3108703.2</v>
      </c>
      <c r="I34" s="94">
        <v>20676058</v>
      </c>
      <c r="J34" s="2">
        <v>280791460</v>
      </c>
      <c r="K34" s="2">
        <v>72172760</v>
      </c>
      <c r="L34">
        <v>4423012.5</v>
      </c>
      <c r="M34">
        <v>29885426</v>
      </c>
      <c r="O34" s="1"/>
      <c r="AI34" s="100">
        <f>AI31/AI29</f>
        <v>-3.0651060019966706E-4</v>
      </c>
    </row>
    <row r="35" spans="3:35" x14ac:dyDescent="0.25">
      <c r="C35" s="18" t="s">
        <v>89</v>
      </c>
      <c r="D35">
        <v>21659926</v>
      </c>
      <c r="E35">
        <v>25914816</v>
      </c>
      <c r="F35" s="2">
        <v>8267790000</v>
      </c>
      <c r="G35" s="2">
        <v>1992846100</v>
      </c>
      <c r="H35" s="2">
        <v>157138560</v>
      </c>
      <c r="I35" s="94">
        <v>1029932860</v>
      </c>
      <c r="J35" s="2">
        <v>8807426000</v>
      </c>
      <c r="K35" s="2">
        <v>2153354200</v>
      </c>
      <c r="L35">
        <v>165918800</v>
      </c>
      <c r="M35">
        <v>1099256400</v>
      </c>
      <c r="O35" s="1"/>
    </row>
    <row r="36" spans="3:35" x14ac:dyDescent="0.25">
      <c r="C36" s="18" t="s">
        <v>92</v>
      </c>
      <c r="D36">
        <v>8182519</v>
      </c>
      <c r="E36">
        <v>7385068</v>
      </c>
      <c r="F36" s="2">
        <v>564001500</v>
      </c>
      <c r="G36" s="2">
        <v>150714600</v>
      </c>
      <c r="H36" s="2">
        <v>10294045</v>
      </c>
      <c r="I36" s="94">
        <v>78216616</v>
      </c>
      <c r="J36" s="2">
        <v>444920830</v>
      </c>
      <c r="K36" s="2">
        <v>124331480</v>
      </c>
      <c r="L36">
        <v>8214432.5</v>
      </c>
      <c r="M36">
        <v>63224852</v>
      </c>
      <c r="O36" s="1"/>
    </row>
    <row r="37" spans="3:35" x14ac:dyDescent="0.25">
      <c r="C37" s="18" t="s">
        <v>93</v>
      </c>
      <c r="D37">
        <v>4245673</v>
      </c>
      <c r="E37">
        <v>4914260</v>
      </c>
      <c r="F37" s="2">
        <v>500332740</v>
      </c>
      <c r="G37" s="2">
        <v>108447370</v>
      </c>
      <c r="H37" s="2">
        <v>6318267</v>
      </c>
      <c r="I37" s="94">
        <v>45658840</v>
      </c>
      <c r="J37" s="2">
        <v>683705600</v>
      </c>
      <c r="K37" s="2">
        <v>135459400</v>
      </c>
      <c r="L37">
        <v>7147744.5</v>
      </c>
      <c r="M37">
        <v>57845440</v>
      </c>
      <c r="O37" s="1"/>
      <c r="W37" s="3"/>
      <c r="Y37" s="3"/>
    </row>
    <row r="38" spans="3:35" x14ac:dyDescent="0.25">
      <c r="C38" s="18" t="s">
        <v>94</v>
      </c>
      <c r="D38">
        <v>12164696</v>
      </c>
      <c r="E38">
        <v>13804835</v>
      </c>
      <c r="F38" s="2">
        <v>6416423400</v>
      </c>
      <c r="G38" s="2">
        <v>1179619700</v>
      </c>
      <c r="H38" s="2">
        <v>36161990</v>
      </c>
      <c r="I38" s="94">
        <v>299569470</v>
      </c>
      <c r="J38" s="2">
        <v>6149960700</v>
      </c>
      <c r="K38" s="2">
        <v>1119644900</v>
      </c>
      <c r="L38">
        <v>34338020</v>
      </c>
      <c r="M38">
        <v>288889180</v>
      </c>
      <c r="O38" s="1"/>
    </row>
    <row r="39" spans="3:35" x14ac:dyDescent="0.25">
      <c r="C39" s="18" t="s">
        <v>95</v>
      </c>
      <c r="D39">
        <v>2197418</v>
      </c>
      <c r="E39">
        <v>1906516</v>
      </c>
      <c r="F39" s="2">
        <v>1001627260</v>
      </c>
      <c r="G39" s="2">
        <v>201630930</v>
      </c>
      <c r="H39" s="2">
        <v>11617161</v>
      </c>
      <c r="I39" s="94">
        <v>83509260</v>
      </c>
      <c r="J39" s="2">
        <v>683910200</v>
      </c>
      <c r="K39" s="2">
        <v>131087310</v>
      </c>
      <c r="L39">
        <v>7887204</v>
      </c>
      <c r="M39">
        <v>56661496</v>
      </c>
      <c r="O39" s="1"/>
    </row>
    <row r="40" spans="3:35" x14ac:dyDescent="0.25">
      <c r="C40" s="18" t="s">
        <v>195</v>
      </c>
      <c r="D40">
        <v>492832</v>
      </c>
      <c r="E40">
        <v>489999</v>
      </c>
      <c r="F40" s="2">
        <v>14772930</v>
      </c>
      <c r="G40" s="2">
        <v>5617067.5</v>
      </c>
      <c r="H40" s="2">
        <v>29213.921999999999</v>
      </c>
      <c r="I40" s="94">
        <v>443490.38</v>
      </c>
      <c r="J40" s="2">
        <v>15030653</v>
      </c>
      <c r="K40" s="2">
        <v>5764907</v>
      </c>
      <c r="L40">
        <v>30858.45</v>
      </c>
      <c r="M40">
        <v>454064.25</v>
      </c>
      <c r="O40" s="1"/>
    </row>
    <row r="41" spans="3:35" x14ac:dyDescent="0.25">
      <c r="C41" s="18" t="s">
        <v>97</v>
      </c>
      <c r="D41">
        <v>349867</v>
      </c>
      <c r="E41">
        <v>526244</v>
      </c>
      <c r="F41" s="2">
        <v>58769316</v>
      </c>
      <c r="G41" s="2">
        <v>6969671</v>
      </c>
      <c r="H41" s="2">
        <v>41712.663999999997</v>
      </c>
      <c r="I41" s="94">
        <v>392445.1</v>
      </c>
      <c r="J41" s="2">
        <v>101647130</v>
      </c>
      <c r="K41" s="2">
        <v>13457158</v>
      </c>
      <c r="L41">
        <v>421353.06</v>
      </c>
      <c r="M41">
        <v>3041192.2</v>
      </c>
    </row>
    <row r="42" spans="3:35" x14ac:dyDescent="0.25">
      <c r="C42" s="18" t="s">
        <v>98</v>
      </c>
      <c r="D42">
        <v>33917887</v>
      </c>
      <c r="E42">
        <v>26241517</v>
      </c>
      <c r="F42" s="2">
        <v>5032993000</v>
      </c>
      <c r="G42" s="2">
        <v>1298774300</v>
      </c>
      <c r="H42" s="2">
        <v>103822810</v>
      </c>
      <c r="I42" s="94">
        <v>694336830</v>
      </c>
      <c r="J42" s="2">
        <v>4384051000</v>
      </c>
      <c r="K42" s="2">
        <v>1104645400</v>
      </c>
      <c r="L42">
        <v>91800920</v>
      </c>
      <c r="M42">
        <v>600954300</v>
      </c>
    </row>
    <row r="43" spans="3:35" x14ac:dyDescent="0.25">
      <c r="C43" s="18" t="s">
        <v>99</v>
      </c>
      <c r="D43">
        <v>12423037</v>
      </c>
      <c r="E43">
        <v>9581980</v>
      </c>
      <c r="F43" s="2">
        <v>4314774000</v>
      </c>
      <c r="G43" s="2">
        <v>946949400</v>
      </c>
      <c r="H43" s="2">
        <v>56854656</v>
      </c>
      <c r="I43" s="94">
        <v>397835140</v>
      </c>
      <c r="J43" s="2">
        <v>3897356500</v>
      </c>
      <c r="K43" s="2">
        <v>865757700</v>
      </c>
      <c r="L43">
        <v>54261664</v>
      </c>
      <c r="M43">
        <v>368452260</v>
      </c>
    </row>
    <row r="44" spans="3:35" x14ac:dyDescent="0.25">
      <c r="C44" s="18" t="s">
        <v>100</v>
      </c>
      <c r="D44">
        <v>775993</v>
      </c>
      <c r="E44">
        <v>985134</v>
      </c>
      <c r="F44" s="76">
        <v>28311064</v>
      </c>
      <c r="G44" s="76">
        <v>21345156</v>
      </c>
      <c r="H44" s="76"/>
      <c r="I44" s="94"/>
      <c r="J44" s="76">
        <v>39986124</v>
      </c>
      <c r="K44" s="76">
        <v>36697056</v>
      </c>
      <c r="L44" s="80"/>
      <c r="M44" s="80"/>
    </row>
    <row r="45" spans="3:35" x14ac:dyDescent="0.25">
      <c r="C45" s="18" t="s">
        <v>239</v>
      </c>
      <c r="D45">
        <v>8264639</v>
      </c>
      <c r="E45">
        <v>9004210</v>
      </c>
      <c r="F45" s="2">
        <v>327421730</v>
      </c>
      <c r="G45" s="2">
        <v>179114000</v>
      </c>
      <c r="H45" s="2">
        <v>41743304</v>
      </c>
      <c r="I45" s="94">
        <v>237538240</v>
      </c>
      <c r="J45" s="2">
        <v>374208480</v>
      </c>
      <c r="K45" s="2">
        <v>207367140</v>
      </c>
      <c r="L45">
        <v>44894280</v>
      </c>
      <c r="M45">
        <v>244315060</v>
      </c>
    </row>
    <row r="46" spans="3:35" ht="15.75" thickBot="1" x14ac:dyDescent="0.3">
      <c r="C46" s="43" t="s">
        <v>86</v>
      </c>
      <c r="D46" s="13">
        <v>113307775</v>
      </c>
      <c r="E46" s="13">
        <v>113307775</v>
      </c>
      <c r="F46" s="95">
        <f t="shared" ref="F46:M46" si="15">SUM(F33:F45)</f>
        <v>29685133520</v>
      </c>
      <c r="G46" s="95">
        <f t="shared" si="15"/>
        <v>6716688930.5</v>
      </c>
      <c r="H46" s="96">
        <f t="shared" si="15"/>
        <v>456053380.78600001</v>
      </c>
      <c r="I46" s="96">
        <f t="shared" si="15"/>
        <v>3099685269.48</v>
      </c>
      <c r="J46" s="95">
        <f t="shared" si="15"/>
        <v>29698866177</v>
      </c>
      <c r="K46" s="95">
        <f t="shared" si="15"/>
        <v>6700929411</v>
      </c>
      <c r="L46" s="96">
        <f t="shared" si="15"/>
        <v>457376773.00999999</v>
      </c>
      <c r="M46" s="96">
        <f t="shared" si="15"/>
        <v>3089503320.4499998</v>
      </c>
    </row>
    <row r="51" spans="1:15" x14ac:dyDescent="0.25">
      <c r="F51" s="3"/>
    </row>
    <row r="52" spans="1:15" x14ac:dyDescent="0.25">
      <c r="C52" t="s">
        <v>260</v>
      </c>
    </row>
    <row r="55" spans="1:15" x14ac:dyDescent="0.25">
      <c r="C55" t="s">
        <v>261</v>
      </c>
    </row>
    <row r="56" spans="1:15" x14ac:dyDescent="0.25">
      <c r="C56" t="s">
        <v>144</v>
      </c>
      <c r="F56" s="97">
        <v>2013</v>
      </c>
      <c r="G56" s="97"/>
      <c r="H56" s="10"/>
      <c r="I56" s="97">
        <v>2022</v>
      </c>
      <c r="J56" s="97"/>
      <c r="K56" s="10"/>
      <c r="L56" t="s">
        <v>262</v>
      </c>
      <c r="M56" t="s">
        <v>263</v>
      </c>
      <c r="N56" t="s">
        <v>264</v>
      </c>
    </row>
    <row r="57" spans="1:15" ht="15.75" thickBot="1" x14ac:dyDescent="0.3">
      <c r="A57" s="3"/>
      <c r="B57" t="s">
        <v>265</v>
      </c>
      <c r="C57" t="s">
        <v>266</v>
      </c>
      <c r="D57" s="13" t="s">
        <v>224</v>
      </c>
      <c r="E57" s="13" t="s">
        <v>225</v>
      </c>
      <c r="F57" t="s">
        <v>267</v>
      </c>
      <c r="G57" t="s">
        <v>268</v>
      </c>
      <c r="H57" t="s">
        <v>269</v>
      </c>
      <c r="I57" t="s">
        <v>267</v>
      </c>
      <c r="J57" t="s">
        <v>268</v>
      </c>
      <c r="K57" t="s">
        <v>269</v>
      </c>
    </row>
    <row r="58" spans="1:15" x14ac:dyDescent="0.25">
      <c r="A58" s="8"/>
      <c r="B58" s="8"/>
      <c r="C58" t="s">
        <v>91</v>
      </c>
      <c r="D58">
        <v>7905950</v>
      </c>
      <c r="E58">
        <v>11463689</v>
      </c>
      <c r="F58" s="76">
        <v>10565424000</v>
      </c>
      <c r="G58" s="2">
        <v>8104539000</v>
      </c>
      <c r="H58" s="2">
        <v>21296992000</v>
      </c>
      <c r="I58" s="2">
        <v>12444460000</v>
      </c>
      <c r="J58" s="2">
        <v>10514588000</v>
      </c>
      <c r="K58" s="2">
        <v>25659288000</v>
      </c>
      <c r="L58" s="2">
        <f>F58+G58</f>
        <v>18669963000</v>
      </c>
      <c r="M58" s="6">
        <f>I58+J58</f>
        <v>22959048000</v>
      </c>
      <c r="N58" s="2">
        <v>29417120000</v>
      </c>
      <c r="O58" t="s">
        <v>266</v>
      </c>
    </row>
    <row r="59" spans="1:15" x14ac:dyDescent="0.25">
      <c r="A59" s="8"/>
      <c r="B59" s="8"/>
      <c r="C59" t="s">
        <v>88</v>
      </c>
      <c r="D59">
        <v>727338</v>
      </c>
      <c r="E59">
        <v>1089507</v>
      </c>
      <c r="F59" s="76">
        <v>1136641400</v>
      </c>
      <c r="G59" s="2">
        <v>592021570</v>
      </c>
      <c r="H59" s="2">
        <v>1717478000</v>
      </c>
      <c r="I59" s="2">
        <v>1858265700</v>
      </c>
      <c r="J59" s="2">
        <v>1051911100</v>
      </c>
      <c r="K59" s="2">
        <v>2778805000</v>
      </c>
      <c r="L59" s="2">
        <f t="shared" ref="L59:L70" si="16">F59+G59</f>
        <v>1728662970</v>
      </c>
      <c r="M59" s="6">
        <f t="shared" ref="M59:M70" si="17">I59+J59</f>
        <v>2910176800</v>
      </c>
      <c r="N59" s="2">
        <v>2309489000</v>
      </c>
      <c r="O59" t="s">
        <v>91</v>
      </c>
    </row>
    <row r="60" spans="1:15" x14ac:dyDescent="0.25">
      <c r="A60" s="8"/>
      <c r="B60" s="8"/>
      <c r="C60" t="s">
        <v>89</v>
      </c>
      <c r="D60">
        <v>21659926</v>
      </c>
      <c r="E60">
        <v>25914816</v>
      </c>
      <c r="F60" s="76">
        <v>43559526000</v>
      </c>
      <c r="G60" s="2">
        <v>75019895000</v>
      </c>
      <c r="H60" s="2">
        <v>34435437000</v>
      </c>
      <c r="I60" s="2">
        <v>47355810000</v>
      </c>
      <c r="J60" s="2">
        <v>84925770000</v>
      </c>
      <c r="K60" s="2">
        <v>39265440000</v>
      </c>
      <c r="L60" s="2">
        <f t="shared" si="16"/>
        <v>118579421000</v>
      </c>
      <c r="M60" s="6">
        <f t="shared" si="17"/>
        <v>132281580000</v>
      </c>
      <c r="N60" s="2">
        <v>109482180000</v>
      </c>
      <c r="O60" t="s">
        <v>88</v>
      </c>
    </row>
    <row r="61" spans="1:15" x14ac:dyDescent="0.25">
      <c r="A61" s="8"/>
      <c r="B61" s="8"/>
      <c r="C61" t="s">
        <v>92</v>
      </c>
      <c r="D61">
        <v>8182519</v>
      </c>
      <c r="E61">
        <v>7385068</v>
      </c>
      <c r="F61" s="76">
        <v>4060378400</v>
      </c>
      <c r="G61" s="2">
        <v>7780602000</v>
      </c>
      <c r="H61" s="2">
        <v>6428749300</v>
      </c>
      <c r="I61" s="2">
        <v>2932598800</v>
      </c>
      <c r="J61" s="2">
        <v>6455063600</v>
      </c>
      <c r="K61" s="2">
        <v>5248267000</v>
      </c>
      <c r="L61" s="2">
        <f t="shared" si="16"/>
        <v>11840980400</v>
      </c>
      <c r="M61" s="6">
        <f t="shared" si="17"/>
        <v>9387662400</v>
      </c>
      <c r="N61" s="2">
        <v>14266685000</v>
      </c>
      <c r="O61" t="s">
        <v>89</v>
      </c>
    </row>
    <row r="62" spans="1:15" x14ac:dyDescent="0.25">
      <c r="A62" s="8"/>
      <c r="B62" s="8"/>
      <c r="C62" t="s">
        <v>93</v>
      </c>
      <c r="D62">
        <v>4245673</v>
      </c>
      <c r="E62">
        <v>4914260</v>
      </c>
      <c r="F62" s="76">
        <v>4155934500</v>
      </c>
      <c r="G62" s="2">
        <v>3205574000</v>
      </c>
      <c r="H62" s="2">
        <v>5378880500</v>
      </c>
      <c r="I62" s="2">
        <v>9845071000</v>
      </c>
      <c r="J62" s="2">
        <v>5000111600</v>
      </c>
      <c r="K62" s="2">
        <v>9197194000</v>
      </c>
      <c r="L62" s="2">
        <f t="shared" si="16"/>
        <v>7361508500</v>
      </c>
      <c r="M62" s="6">
        <f t="shared" si="17"/>
        <v>14845182600</v>
      </c>
      <c r="N62" s="2">
        <v>8610370000</v>
      </c>
      <c r="O62" t="s">
        <v>193</v>
      </c>
    </row>
    <row r="63" spans="1:15" x14ac:dyDescent="0.25">
      <c r="A63" s="8"/>
      <c r="B63" s="8"/>
      <c r="C63" t="s">
        <v>94</v>
      </c>
      <c r="D63">
        <v>12164696</v>
      </c>
      <c r="E63">
        <v>13804835</v>
      </c>
      <c r="F63" s="76">
        <v>22682612000</v>
      </c>
      <c r="G63" s="2">
        <v>14369141000</v>
      </c>
      <c r="H63" s="2">
        <v>45113926000</v>
      </c>
      <c r="I63" s="2">
        <v>23192455000</v>
      </c>
      <c r="J63" s="2">
        <v>14859182000</v>
      </c>
      <c r="K63" s="2">
        <v>45600535000</v>
      </c>
      <c r="L63" s="2">
        <f t="shared" si="16"/>
        <v>37051753000</v>
      </c>
      <c r="M63" s="6">
        <f t="shared" si="17"/>
        <v>38051637000</v>
      </c>
      <c r="N63" s="2">
        <v>59488650000</v>
      </c>
      <c r="O63" t="s">
        <v>194</v>
      </c>
    </row>
    <row r="64" spans="1:15" x14ac:dyDescent="0.25">
      <c r="A64" s="8"/>
      <c r="B64" s="8"/>
      <c r="C64" t="s">
        <v>95</v>
      </c>
      <c r="D64">
        <v>2197418</v>
      </c>
      <c r="E64">
        <v>1906516</v>
      </c>
      <c r="F64" s="76">
        <v>5577697000</v>
      </c>
      <c r="G64" s="2">
        <v>3648422100</v>
      </c>
      <c r="H64" s="2">
        <v>6469452300</v>
      </c>
      <c r="I64" s="2">
        <v>2920160300</v>
      </c>
      <c r="J64" s="2">
        <v>2244285000</v>
      </c>
      <c r="K64" s="2">
        <v>3908062500</v>
      </c>
      <c r="L64" s="2">
        <f t="shared" si="16"/>
        <v>9226119100</v>
      </c>
      <c r="M64" s="6">
        <f t="shared" si="17"/>
        <v>5164445300</v>
      </c>
      <c r="N64" s="2">
        <v>10120165000</v>
      </c>
      <c r="O64" t="s">
        <v>94</v>
      </c>
    </row>
    <row r="65" spans="1:18" x14ac:dyDescent="0.25">
      <c r="A65" s="8"/>
      <c r="B65" s="8"/>
      <c r="C65" t="s">
        <v>195</v>
      </c>
      <c r="D65">
        <v>492832</v>
      </c>
      <c r="E65">
        <v>489999</v>
      </c>
      <c r="F65" s="76">
        <v>657747600</v>
      </c>
      <c r="G65" s="2">
        <v>710279900</v>
      </c>
      <c r="H65" s="2">
        <v>746481000</v>
      </c>
      <c r="I65" s="2">
        <v>675061500</v>
      </c>
      <c r="J65" s="2">
        <v>713183170</v>
      </c>
      <c r="K65" s="2">
        <v>740717440</v>
      </c>
      <c r="L65" s="2">
        <f t="shared" si="16"/>
        <v>1368027500</v>
      </c>
      <c r="M65" s="6">
        <f t="shared" si="17"/>
        <v>1388244670</v>
      </c>
      <c r="N65" s="2">
        <v>1456921700</v>
      </c>
      <c r="O65" t="s">
        <v>95</v>
      </c>
    </row>
    <row r="66" spans="1:18" x14ac:dyDescent="0.25">
      <c r="A66" s="8"/>
      <c r="B66" s="8"/>
      <c r="C66" t="s">
        <v>97</v>
      </c>
      <c r="D66">
        <v>349867</v>
      </c>
      <c r="E66">
        <v>526244</v>
      </c>
      <c r="F66" s="76">
        <v>28661124</v>
      </c>
      <c r="G66" s="2">
        <v>2938814000</v>
      </c>
      <c r="H66" s="2">
        <v>-1419349900</v>
      </c>
      <c r="I66" s="2">
        <v>100397730</v>
      </c>
      <c r="J66" s="2">
        <v>4374349000</v>
      </c>
      <c r="K66" s="2">
        <v>-1984820200</v>
      </c>
      <c r="L66" s="2">
        <f t="shared" si="16"/>
        <v>2967475124</v>
      </c>
      <c r="M66" s="6">
        <f t="shared" si="17"/>
        <v>4474746730</v>
      </c>
      <c r="N66" s="2">
        <v>1519531100</v>
      </c>
      <c r="O66" t="s">
        <v>195</v>
      </c>
    </row>
    <row r="67" spans="1:18" x14ac:dyDescent="0.25">
      <c r="A67" s="8"/>
      <c r="B67" s="8"/>
      <c r="C67" t="s">
        <v>98</v>
      </c>
      <c r="D67">
        <v>33917887</v>
      </c>
      <c r="E67">
        <v>26241517</v>
      </c>
      <c r="F67" s="76">
        <v>29688080000</v>
      </c>
      <c r="G67" s="2">
        <v>32002853000</v>
      </c>
      <c r="H67" s="2">
        <v>41168978000</v>
      </c>
      <c r="I67" s="2">
        <v>22349662000</v>
      </c>
      <c r="J67" s="2">
        <v>24460511000</v>
      </c>
      <c r="K67" s="2">
        <v>31965469000</v>
      </c>
      <c r="L67" s="2">
        <f t="shared" si="16"/>
        <v>61690933000</v>
      </c>
      <c r="M67" s="6">
        <f t="shared" si="17"/>
        <v>46810173000</v>
      </c>
      <c r="N67" s="2">
        <v>73436020000</v>
      </c>
      <c r="O67" t="s">
        <v>97</v>
      </c>
    </row>
    <row r="68" spans="1:18" x14ac:dyDescent="0.25">
      <c r="A68" s="8"/>
      <c r="B68" s="8"/>
      <c r="C68" t="s">
        <v>99</v>
      </c>
      <c r="D68">
        <v>12423037</v>
      </c>
      <c r="E68">
        <v>9581980</v>
      </c>
      <c r="F68" s="76">
        <v>27936035000</v>
      </c>
      <c r="G68" s="2">
        <v>14821407000</v>
      </c>
      <c r="H68" s="2">
        <v>32007471000</v>
      </c>
      <c r="I68" s="2">
        <v>24952084000</v>
      </c>
      <c r="J68" s="2">
        <v>12337748000</v>
      </c>
      <c r="K68" s="2">
        <v>26391341000</v>
      </c>
      <c r="L68" s="2">
        <f t="shared" si="16"/>
        <v>42757442000</v>
      </c>
      <c r="M68" s="6">
        <f t="shared" si="17"/>
        <v>37289832000</v>
      </c>
      <c r="N68" s="2">
        <v>46908125000</v>
      </c>
      <c r="O68" t="s">
        <v>196</v>
      </c>
    </row>
    <row r="69" spans="1:18" x14ac:dyDescent="0.25">
      <c r="A69" s="8"/>
      <c r="B69" s="8"/>
      <c r="C69" t="s">
        <v>100</v>
      </c>
      <c r="D69">
        <v>775993</v>
      </c>
      <c r="E69">
        <v>985134</v>
      </c>
      <c r="F69" s="76">
        <v>1188381000</v>
      </c>
      <c r="G69" s="76">
        <v>5981311500</v>
      </c>
      <c r="H69" s="76">
        <v>-3103617500</v>
      </c>
      <c r="I69" s="76">
        <v>1459584500</v>
      </c>
      <c r="J69" s="76">
        <v>7505070600</v>
      </c>
      <c r="K69" s="76">
        <v>-3801114400</v>
      </c>
      <c r="L69" s="2">
        <f t="shared" si="16"/>
        <v>7169692500</v>
      </c>
      <c r="M69" s="6">
        <f t="shared" si="17"/>
        <v>8964655100</v>
      </c>
      <c r="N69" s="2">
        <v>313576030</v>
      </c>
      <c r="O69" t="s">
        <v>197</v>
      </c>
    </row>
    <row r="70" spans="1:18" x14ac:dyDescent="0.25">
      <c r="A70" s="8"/>
      <c r="B70" s="8"/>
      <c r="C70" t="s">
        <v>101</v>
      </c>
      <c r="D70">
        <v>8264639</v>
      </c>
      <c r="E70">
        <v>9004210</v>
      </c>
      <c r="F70" s="76">
        <v>10920666000</v>
      </c>
      <c r="G70" s="2">
        <v>9372920000</v>
      </c>
      <c r="H70" s="1">
        <v>117762440</v>
      </c>
      <c r="I70" s="2">
        <v>10001707000</v>
      </c>
      <c r="J70" s="2">
        <v>9315116000</v>
      </c>
      <c r="K70" s="2">
        <v>193771140</v>
      </c>
      <c r="L70" s="2">
        <f t="shared" si="16"/>
        <v>20293586000</v>
      </c>
      <c r="M70" s="6">
        <f t="shared" si="17"/>
        <v>19316823000</v>
      </c>
      <c r="N70" s="2">
        <v>9602013000</v>
      </c>
      <c r="O70" t="s">
        <v>100</v>
      </c>
    </row>
    <row r="71" spans="1:18" ht="15.75" thickBot="1" x14ac:dyDescent="0.3">
      <c r="D71" s="13"/>
      <c r="E71" s="13"/>
      <c r="F71" s="2"/>
      <c r="G71" s="2"/>
      <c r="H71" s="1"/>
      <c r="J71" s="2"/>
      <c r="K71" s="1"/>
      <c r="L71" s="2"/>
      <c r="M71" s="6"/>
      <c r="N71" s="2"/>
    </row>
    <row r="72" spans="1:18" x14ac:dyDescent="0.25">
      <c r="F72" s="6"/>
      <c r="G72" s="6"/>
      <c r="H72" s="6"/>
      <c r="I72" s="6"/>
      <c r="J72" s="6"/>
      <c r="K72" s="6"/>
      <c r="L72" s="6"/>
      <c r="M72" s="6"/>
    </row>
    <row r="75" spans="1:18" x14ac:dyDescent="0.25">
      <c r="C75" t="s">
        <v>270</v>
      </c>
    </row>
    <row r="77" spans="1:18" ht="15.75" thickBot="1" x14ac:dyDescent="0.3">
      <c r="A77" s="4"/>
      <c r="B77" s="60"/>
      <c r="C77" s="54" t="s">
        <v>192</v>
      </c>
      <c r="D77" s="18" t="s">
        <v>91</v>
      </c>
      <c r="E77" s="18" t="s">
        <v>88</v>
      </c>
      <c r="F77" s="18" t="s">
        <v>89</v>
      </c>
      <c r="G77" s="18" t="s">
        <v>193</v>
      </c>
      <c r="H77" s="18" t="s">
        <v>194</v>
      </c>
      <c r="I77" s="18" t="s">
        <v>94</v>
      </c>
      <c r="J77" s="18" t="s">
        <v>95</v>
      </c>
      <c r="K77" s="18" t="s">
        <v>195</v>
      </c>
      <c r="L77" s="18" t="s">
        <v>97</v>
      </c>
      <c r="M77" s="18" t="s">
        <v>196</v>
      </c>
      <c r="N77" s="18" t="s">
        <v>197</v>
      </c>
      <c r="O77" s="18" t="s">
        <v>100</v>
      </c>
      <c r="P77" s="18" t="s">
        <v>101</v>
      </c>
      <c r="Q77" s="18"/>
      <c r="R77" s="43" t="s">
        <v>198</v>
      </c>
    </row>
    <row r="78" spans="1:18" x14ac:dyDescent="0.25">
      <c r="A78" s="4"/>
      <c r="B78" s="60"/>
      <c r="C78" s="52" t="s">
        <v>206</v>
      </c>
      <c r="D78" s="57">
        <f>V28</f>
        <v>2973051860</v>
      </c>
      <c r="E78" s="57">
        <f>W28</f>
        <v>181702018.5</v>
      </c>
      <c r="F78" s="57">
        <f t="shared" ref="F78:P78" si="18">X28</f>
        <v>9015407730</v>
      </c>
      <c r="G78" s="57">
        <f t="shared" si="18"/>
        <v>820160267</v>
      </c>
      <c r="H78" s="57">
        <f t="shared" si="18"/>
        <v>587621928.20000005</v>
      </c>
      <c r="I78" s="57">
        <f t="shared" si="18"/>
        <v>6567804910</v>
      </c>
      <c r="J78" s="57">
        <f t="shared" si="18"/>
        <v>894072235</v>
      </c>
      <c r="K78" s="57">
        <f t="shared" si="18"/>
        <v>232649711.97</v>
      </c>
      <c r="L78" s="57">
        <f t="shared" si="18"/>
        <v>49763269.100000001</v>
      </c>
      <c r="M78" s="57">
        <f t="shared" si="18"/>
        <v>7632949360</v>
      </c>
      <c r="N78" s="57">
        <f t="shared" si="18"/>
        <v>4376135820</v>
      </c>
      <c r="O78" s="57">
        <f t="shared" si="18"/>
        <v>633658.06000000006</v>
      </c>
      <c r="P78" s="57">
        <f t="shared" si="18"/>
        <v>713889650.02999997</v>
      </c>
      <c r="Q78" s="57"/>
      <c r="R78" s="1">
        <f>SUM(D78:P78)</f>
        <v>34045842417.860001</v>
      </c>
    </row>
    <row r="79" spans="1:18" x14ac:dyDescent="0.25">
      <c r="A79" s="4"/>
      <c r="B79" s="60"/>
      <c r="C79" s="53" t="s">
        <v>207</v>
      </c>
      <c r="D79" s="56">
        <f>V27</f>
        <v>429956380</v>
      </c>
      <c r="E79" s="56">
        <f t="shared" ref="E79:P79" si="19">W27</f>
        <v>188727.45</v>
      </c>
      <c r="F79" s="56">
        <f t="shared" si="19"/>
        <v>236970300</v>
      </c>
      <c r="G79" s="56">
        <f t="shared" si="19"/>
        <v>5304209.5</v>
      </c>
      <c r="H79" s="56">
        <f t="shared" si="19"/>
        <v>3664567.5</v>
      </c>
      <c r="I79" s="56">
        <f t="shared" si="19"/>
        <v>740757250</v>
      </c>
      <c r="J79" s="56">
        <f t="shared" si="19"/>
        <v>98667704</v>
      </c>
      <c r="K79" s="56">
        <f t="shared" si="19"/>
        <v>13380874</v>
      </c>
      <c r="L79" s="56">
        <f t="shared" si="19"/>
        <v>5933.03</v>
      </c>
      <c r="M79" s="56">
        <f t="shared" si="19"/>
        <v>476684380</v>
      </c>
      <c r="N79" s="56">
        <f t="shared" si="19"/>
        <v>408731970</v>
      </c>
      <c r="O79" s="56">
        <f t="shared" si="19"/>
        <v>1220.2850000000001</v>
      </c>
      <c r="P79" s="56">
        <f t="shared" si="19"/>
        <v>3572726.5</v>
      </c>
      <c r="Q79" s="56"/>
      <c r="R79" s="1">
        <f t="shared" ref="R79:R83" si="20">SUM(D79:P79)</f>
        <v>2417886242.2649999</v>
      </c>
    </row>
    <row r="80" spans="1:18" x14ac:dyDescent="0.25">
      <c r="A80" s="4"/>
      <c r="B80" s="60"/>
      <c r="C80" s="53" t="s">
        <v>271</v>
      </c>
      <c r="D80" s="1">
        <f>V26</f>
        <v>59066764</v>
      </c>
      <c r="E80" s="1">
        <f>W26</f>
        <v>10507495</v>
      </c>
      <c r="F80" s="1">
        <f>X26</f>
        <v>311527230</v>
      </c>
      <c r="G80" s="1">
        <f t="shared" ref="G80:P80" si="21">Y26</f>
        <v>369414560</v>
      </c>
      <c r="H80" s="1">
        <f t="shared" si="21"/>
        <v>355960600</v>
      </c>
      <c r="I80" s="1">
        <f t="shared" si="21"/>
        <v>316958</v>
      </c>
      <c r="J80" s="1">
        <f t="shared" si="21"/>
        <v>52676684</v>
      </c>
      <c r="K80" s="1">
        <f t="shared" si="21"/>
        <v>307</v>
      </c>
      <c r="L80" s="1">
        <f t="shared" si="21"/>
        <v>2945666</v>
      </c>
      <c r="M80" s="1">
        <f t="shared" si="21"/>
        <v>724040100</v>
      </c>
      <c r="N80" s="1">
        <f t="shared" si="21"/>
        <v>267119300</v>
      </c>
      <c r="O80" s="1">
        <f t="shared" si="21"/>
        <v>16571347</v>
      </c>
      <c r="P80" s="1">
        <f t="shared" si="21"/>
        <v>237305600</v>
      </c>
      <c r="Q80" s="1"/>
      <c r="R80" s="1">
        <f t="shared" si="20"/>
        <v>2407452611</v>
      </c>
    </row>
    <row r="81" spans="1:18" x14ac:dyDescent="0.25">
      <c r="A81" s="4"/>
      <c r="B81" s="60"/>
      <c r="C81" s="52" t="s">
        <v>272</v>
      </c>
      <c r="D81" s="1">
        <f>V29</f>
        <v>3815098410</v>
      </c>
      <c r="E81" s="1">
        <f t="shared" ref="E81:P81" si="22">W29</f>
        <v>273515930</v>
      </c>
      <c r="F81" s="1">
        <f t="shared" si="22"/>
        <v>10513814500</v>
      </c>
      <c r="G81" s="1">
        <f t="shared" si="22"/>
        <v>729419169.39999998</v>
      </c>
      <c r="H81" s="1">
        <f t="shared" si="22"/>
        <v>750803956.20000005</v>
      </c>
      <c r="I81" s="1">
        <f t="shared" si="22"/>
        <v>6731980420</v>
      </c>
      <c r="J81" s="1">
        <f t="shared" si="22"/>
        <v>584725088</v>
      </c>
      <c r="K81" s="1">
        <f t="shared" si="22"/>
        <v>231374066.09999999</v>
      </c>
      <c r="L81" s="1">
        <f t="shared" si="22"/>
        <v>75730360.299999997</v>
      </c>
      <c r="M81" s="1">
        <f t="shared" si="22"/>
        <v>5879554400</v>
      </c>
      <c r="N81" s="1">
        <f t="shared" si="22"/>
        <v>3699013940</v>
      </c>
      <c r="O81" s="1">
        <f t="shared" si="22"/>
        <v>759498</v>
      </c>
      <c r="P81" s="1">
        <f t="shared" si="22"/>
        <v>754244303.89999998</v>
      </c>
      <c r="Q81" s="1"/>
      <c r="R81" s="1">
        <f t="shared" si="20"/>
        <v>34040034041.899998</v>
      </c>
    </row>
    <row r="82" spans="1:18" x14ac:dyDescent="0.25">
      <c r="A82" s="4"/>
      <c r="B82" s="60"/>
      <c r="C82" t="s">
        <v>273</v>
      </c>
      <c r="D82" s="1">
        <f>D81-D78</f>
        <v>842046550</v>
      </c>
      <c r="E82" s="1">
        <f t="shared" ref="E82:P82" si="23">E81-E78</f>
        <v>91813911.5</v>
      </c>
      <c r="F82" s="1">
        <f t="shared" si="23"/>
        <v>1498406770</v>
      </c>
      <c r="G82" s="1">
        <f t="shared" si="23"/>
        <v>-90741097.600000024</v>
      </c>
      <c r="H82" s="1">
        <f t="shared" si="23"/>
        <v>163182028</v>
      </c>
      <c r="I82" s="1">
        <f t="shared" si="23"/>
        <v>164175510</v>
      </c>
      <c r="J82" s="1">
        <f t="shared" si="23"/>
        <v>-309347147</v>
      </c>
      <c r="K82" s="1">
        <f t="shared" si="23"/>
        <v>-1275645.8700000048</v>
      </c>
      <c r="L82" s="1">
        <f t="shared" si="23"/>
        <v>25967091.199999996</v>
      </c>
      <c r="M82" s="1">
        <f t="shared" si="23"/>
        <v>-1753394960</v>
      </c>
      <c r="N82" s="1">
        <f t="shared" si="23"/>
        <v>-677121880</v>
      </c>
      <c r="O82" s="1">
        <f t="shared" si="23"/>
        <v>125839.93999999994</v>
      </c>
      <c r="P82" s="1">
        <f t="shared" si="23"/>
        <v>40354653.870000005</v>
      </c>
      <c r="Q82" s="1"/>
      <c r="R82" s="1">
        <f t="shared" si="20"/>
        <v>-5808375.9599999785</v>
      </c>
    </row>
    <row r="83" spans="1:18" x14ac:dyDescent="0.25">
      <c r="A83" s="4"/>
      <c r="B83" s="60"/>
      <c r="C83" t="s">
        <v>274</v>
      </c>
      <c r="D83" s="1">
        <f>D80-D79</f>
        <v>-370889616</v>
      </c>
      <c r="E83" s="1">
        <f t="shared" ref="E83:P83" si="24">E80-E79</f>
        <v>10318767.550000001</v>
      </c>
      <c r="F83" s="1">
        <f t="shared" si="24"/>
        <v>74556930</v>
      </c>
      <c r="G83" s="1">
        <f t="shared" si="24"/>
        <v>364110350.5</v>
      </c>
      <c r="H83" s="1">
        <f t="shared" si="24"/>
        <v>352296032.5</v>
      </c>
      <c r="I83" s="1">
        <f t="shared" si="24"/>
        <v>-740440292</v>
      </c>
      <c r="J83" s="1">
        <f t="shared" si="24"/>
        <v>-45991020</v>
      </c>
      <c r="K83" s="1">
        <f t="shared" si="24"/>
        <v>-13380567</v>
      </c>
      <c r="L83" s="1">
        <f t="shared" si="24"/>
        <v>2939732.97</v>
      </c>
      <c r="M83" s="1">
        <f t="shared" si="24"/>
        <v>247355720</v>
      </c>
      <c r="N83" s="1">
        <f t="shared" si="24"/>
        <v>-141612670</v>
      </c>
      <c r="O83" s="1">
        <f t="shared" si="24"/>
        <v>16570126.715</v>
      </c>
      <c r="P83" s="1">
        <f t="shared" si="24"/>
        <v>233732873.5</v>
      </c>
      <c r="Q83" s="1"/>
      <c r="R83" s="1">
        <f t="shared" si="20"/>
        <v>-10433631.264999956</v>
      </c>
    </row>
    <row r="84" spans="1:18" x14ac:dyDescent="0.25">
      <c r="A84" s="4"/>
      <c r="B84" s="60"/>
      <c r="R84" s="3"/>
    </row>
    <row r="85" spans="1:18" x14ac:dyDescent="0.25">
      <c r="A85" s="4"/>
      <c r="B85" s="60"/>
      <c r="D85" s="6"/>
    </row>
    <row r="86" spans="1:18" x14ac:dyDescent="0.25">
      <c r="A86" s="4"/>
      <c r="B86" s="60"/>
    </row>
    <row r="87" spans="1:18" x14ac:dyDescent="0.25">
      <c r="A87" s="4"/>
      <c r="B87" s="60"/>
      <c r="D87" s="2"/>
      <c r="E87" s="2"/>
      <c r="F87" s="6"/>
      <c r="G87" s="6"/>
    </row>
    <row r="88" spans="1:18" x14ac:dyDescent="0.25">
      <c r="A88" s="4"/>
      <c r="B88" s="60"/>
      <c r="D88" s="2"/>
      <c r="E88" s="2"/>
    </row>
    <row r="89" spans="1:18" x14ac:dyDescent="0.25">
      <c r="A89" s="4"/>
      <c r="B89" s="60"/>
      <c r="D89" s="2"/>
      <c r="E89" s="2"/>
    </row>
    <row r="90" spans="1:18" x14ac:dyDescent="0.25">
      <c r="A90" s="4"/>
      <c r="B90" s="60"/>
      <c r="D90" s="2"/>
      <c r="E90" s="2"/>
    </row>
    <row r="91" spans="1:18" x14ac:dyDescent="0.25">
      <c r="D91" s="2"/>
      <c r="E91" s="2"/>
    </row>
    <row r="92" spans="1:18" x14ac:dyDescent="0.25">
      <c r="D92" s="2"/>
      <c r="E92" s="2"/>
    </row>
    <row r="93" spans="1:18" x14ac:dyDescent="0.25">
      <c r="A93" s="5"/>
      <c r="B93" s="200"/>
      <c r="D93" s="2"/>
      <c r="E93" s="2"/>
    </row>
    <row r="94" spans="1:18" x14ac:dyDescent="0.25">
      <c r="A94" s="5"/>
      <c r="B94" s="200"/>
      <c r="D94" s="2"/>
      <c r="E94" s="2"/>
    </row>
    <row r="95" spans="1:18" x14ac:dyDescent="0.25">
      <c r="A95" s="5"/>
      <c r="B95" s="200"/>
      <c r="D95" s="2"/>
      <c r="E95" s="2"/>
    </row>
    <row r="96" spans="1:18" x14ac:dyDescent="0.25">
      <c r="A96" s="5"/>
      <c r="B96" s="200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20" x14ac:dyDescent="0.25">
      <c r="D97" s="2"/>
      <c r="E97" s="2"/>
    </row>
    <row r="98" spans="1:20" x14ac:dyDescent="0.25">
      <c r="D98" s="2"/>
      <c r="E98" s="2"/>
    </row>
    <row r="99" spans="1:20" x14ac:dyDescent="0.25">
      <c r="D99" s="2"/>
      <c r="E99" s="2"/>
    </row>
    <row r="100" spans="1:20" ht="15.75" thickBot="1" x14ac:dyDescent="0.3">
      <c r="B100" t="s">
        <v>165</v>
      </c>
      <c r="C100" s="7" t="s">
        <v>275</v>
      </c>
      <c r="D100" s="18" t="s">
        <v>91</v>
      </c>
      <c r="E100" s="18" t="s">
        <v>88</v>
      </c>
      <c r="F100" s="18" t="s">
        <v>89</v>
      </c>
      <c r="G100" s="18" t="s">
        <v>92</v>
      </c>
      <c r="H100" s="18" t="s">
        <v>93</v>
      </c>
      <c r="I100" s="18" t="s">
        <v>94</v>
      </c>
      <c r="J100" s="18" t="s">
        <v>95</v>
      </c>
      <c r="K100" s="18" t="s">
        <v>96</v>
      </c>
      <c r="L100" s="18" t="s">
        <v>97</v>
      </c>
      <c r="M100" s="18" t="s">
        <v>98</v>
      </c>
      <c r="N100" s="18" t="s">
        <v>99</v>
      </c>
      <c r="O100" s="18" t="s">
        <v>100</v>
      </c>
      <c r="P100" s="18" t="s">
        <v>239</v>
      </c>
      <c r="Q100" s="43"/>
      <c r="R100" s="43" t="s">
        <v>198</v>
      </c>
    </row>
    <row r="101" spans="1:20" x14ac:dyDescent="0.25">
      <c r="A101" s="62"/>
      <c r="B101" t="s">
        <v>276</v>
      </c>
      <c r="C101" t="s">
        <v>277</v>
      </c>
      <c r="D101" s="6">
        <f>AA7</f>
        <v>93560727.777777776</v>
      </c>
      <c r="E101" s="6">
        <f>AA8</f>
        <v>10201545.722222222</v>
      </c>
      <c r="F101" s="6">
        <f>AA9</f>
        <v>166489641.1111111</v>
      </c>
      <c r="G101" s="6">
        <f>AA10</f>
        <v>-10082344.17777778</v>
      </c>
      <c r="H101" s="6">
        <f>AA11</f>
        <v>18131336.444444444</v>
      </c>
      <c r="I101" s="6">
        <f>AA12</f>
        <v>18241723.333333332</v>
      </c>
      <c r="J101" s="6">
        <f>AA13</f>
        <v>-34371905.222222224</v>
      </c>
      <c r="K101" s="6">
        <f>AA14</f>
        <v>-141738.43000000052</v>
      </c>
      <c r="L101" s="6">
        <f>AA15</f>
        <v>2885232.3555555549</v>
      </c>
      <c r="M101" s="6">
        <f>AA16</f>
        <v>-194821662.22222221</v>
      </c>
      <c r="N101" s="6">
        <f>AA17</f>
        <v>-75235764.444444448</v>
      </c>
      <c r="O101" s="6">
        <f>AA18</f>
        <v>13982.215555555549</v>
      </c>
      <c r="P101" s="6">
        <f>AA19</f>
        <v>4483850.4300000006</v>
      </c>
      <c r="Q101" s="6"/>
      <c r="R101" s="1">
        <f>SUM(D101:Q101)</f>
        <v>-645375.10666668415</v>
      </c>
    </row>
    <row r="102" spans="1:20" x14ac:dyDescent="0.25">
      <c r="A102" s="62"/>
      <c r="B102">
        <v>2013</v>
      </c>
      <c r="C102" t="s">
        <v>278</v>
      </c>
      <c r="D102" s="6">
        <f>D78</f>
        <v>2973051860</v>
      </c>
      <c r="E102" s="6">
        <f t="shared" ref="E102:O102" si="25">E78</f>
        <v>181702018.5</v>
      </c>
      <c r="F102" s="6">
        <f t="shared" si="25"/>
        <v>9015407730</v>
      </c>
      <c r="G102" s="6">
        <f t="shared" si="25"/>
        <v>820160267</v>
      </c>
      <c r="H102" s="6">
        <f t="shared" si="25"/>
        <v>587621928.20000005</v>
      </c>
      <c r="I102" s="6">
        <f t="shared" si="25"/>
        <v>6567804910</v>
      </c>
      <c r="J102" s="6">
        <f t="shared" si="25"/>
        <v>894072235</v>
      </c>
      <c r="K102" s="6">
        <f t="shared" si="25"/>
        <v>232649711.97</v>
      </c>
      <c r="L102" s="6">
        <f>L78</f>
        <v>49763269.100000001</v>
      </c>
      <c r="M102" s="6">
        <f t="shared" si="25"/>
        <v>7632949360</v>
      </c>
      <c r="N102" s="6">
        <f t="shared" si="25"/>
        <v>4376135820</v>
      </c>
      <c r="O102" s="6">
        <f t="shared" si="25"/>
        <v>633658.06000000006</v>
      </c>
      <c r="P102" s="6">
        <f>P78</f>
        <v>713889650.02999997</v>
      </c>
      <c r="Q102" s="6"/>
      <c r="R102" s="1">
        <f>SUM(D102:Q102)</f>
        <v>34045842417.860001</v>
      </c>
    </row>
    <row r="103" spans="1:20" x14ac:dyDescent="0.25">
      <c r="B103">
        <v>2022</v>
      </c>
      <c r="C103" t="s">
        <v>278</v>
      </c>
      <c r="D103" s="6">
        <f>D81</f>
        <v>3815098410</v>
      </c>
      <c r="E103" s="6">
        <f t="shared" ref="E103:O103" si="26">E81</f>
        <v>273515930</v>
      </c>
      <c r="F103" s="6">
        <f t="shared" si="26"/>
        <v>10513814500</v>
      </c>
      <c r="G103" s="6">
        <f t="shared" si="26"/>
        <v>729419169.39999998</v>
      </c>
      <c r="H103" s="6">
        <f t="shared" si="26"/>
        <v>750803956.20000005</v>
      </c>
      <c r="I103" s="6">
        <f t="shared" si="26"/>
        <v>6731980420</v>
      </c>
      <c r="J103" s="6">
        <f t="shared" si="26"/>
        <v>584725088</v>
      </c>
      <c r="K103" s="6">
        <f t="shared" si="26"/>
        <v>231374066.09999999</v>
      </c>
      <c r="L103" s="6">
        <f t="shared" si="26"/>
        <v>75730360.299999997</v>
      </c>
      <c r="M103" s="6">
        <f t="shared" si="26"/>
        <v>5879554400</v>
      </c>
      <c r="N103" s="6">
        <f t="shared" si="26"/>
        <v>3699013940</v>
      </c>
      <c r="O103" s="6">
        <f t="shared" si="26"/>
        <v>759498</v>
      </c>
      <c r="P103" s="6">
        <f>P81</f>
        <v>754244303.89999998</v>
      </c>
      <c r="Q103" s="6"/>
      <c r="R103" s="1">
        <f t="shared" ref="R103:R113" si="27">SUM(D103:Q103)</f>
        <v>34040034041.899998</v>
      </c>
    </row>
    <row r="104" spans="1:20" x14ac:dyDescent="0.25">
      <c r="B104">
        <v>2013</v>
      </c>
      <c r="C104" t="s">
        <v>279</v>
      </c>
      <c r="D104" s="2">
        <f>G33</f>
        <v>574558900</v>
      </c>
      <c r="E104" s="2">
        <f>G34</f>
        <v>50101736</v>
      </c>
      <c r="F104" s="2">
        <f>G35</f>
        <v>1992846100</v>
      </c>
      <c r="G104" s="2">
        <f>G36</f>
        <v>150714600</v>
      </c>
      <c r="H104" s="2">
        <f>G37</f>
        <v>108447370</v>
      </c>
      <c r="I104" s="2">
        <f>G38</f>
        <v>1179619700</v>
      </c>
      <c r="J104" s="2">
        <f>G39</f>
        <v>201630930</v>
      </c>
      <c r="K104" s="2">
        <f>G40</f>
        <v>5617067.5</v>
      </c>
      <c r="L104" s="2">
        <f>G41</f>
        <v>6969671</v>
      </c>
      <c r="M104" s="2">
        <f>G42</f>
        <v>1298774300</v>
      </c>
      <c r="N104" s="2">
        <f>G43</f>
        <v>946949400</v>
      </c>
      <c r="O104" s="2">
        <f>G44</f>
        <v>21345156</v>
      </c>
      <c r="P104" s="2">
        <f>G45</f>
        <v>179114000</v>
      </c>
      <c r="Q104" s="24"/>
      <c r="R104" s="1">
        <f t="shared" si="27"/>
        <v>6716688930.5</v>
      </c>
    </row>
    <row r="105" spans="1:20" x14ac:dyDescent="0.25">
      <c r="B105">
        <v>2022</v>
      </c>
      <c r="C105" t="s">
        <v>280</v>
      </c>
      <c r="D105" s="2">
        <f>K33</f>
        <v>731190000</v>
      </c>
      <c r="E105" s="2">
        <f>K34</f>
        <v>72172760</v>
      </c>
      <c r="F105" s="2">
        <f>K35</f>
        <v>2153354200</v>
      </c>
      <c r="G105" s="2">
        <f>K36</f>
        <v>124331480</v>
      </c>
      <c r="H105" s="2">
        <f>K37</f>
        <v>135459400</v>
      </c>
      <c r="I105" s="2">
        <f>K38</f>
        <v>1119644900</v>
      </c>
      <c r="J105" s="2">
        <f>K39</f>
        <v>131087310</v>
      </c>
      <c r="K105" s="2">
        <f>K40</f>
        <v>5764907</v>
      </c>
      <c r="L105" s="2">
        <f>K41</f>
        <v>13457158</v>
      </c>
      <c r="M105" s="2">
        <f>K42</f>
        <v>1104645400</v>
      </c>
      <c r="N105" s="2">
        <f>K43</f>
        <v>865757700</v>
      </c>
      <c r="O105" s="2">
        <f>K44</f>
        <v>36697056</v>
      </c>
      <c r="P105" s="2">
        <f>K45</f>
        <v>207367140</v>
      </c>
      <c r="Q105" s="24"/>
      <c r="R105" s="1">
        <f t="shared" si="27"/>
        <v>6700929411</v>
      </c>
    </row>
    <row r="106" spans="1:20" x14ac:dyDescent="0.25">
      <c r="B106">
        <v>2013</v>
      </c>
      <c r="C106" t="s">
        <v>281</v>
      </c>
      <c r="D106" s="2">
        <f>F33</f>
        <v>2957460000</v>
      </c>
      <c r="E106" s="2">
        <f>F34</f>
        <v>200456580</v>
      </c>
      <c r="F106" s="2">
        <f>F35</f>
        <v>8267790000</v>
      </c>
      <c r="G106" s="2">
        <f>F36</f>
        <v>564001500</v>
      </c>
      <c r="H106" s="2">
        <f>F37</f>
        <v>500332740</v>
      </c>
      <c r="I106" s="2">
        <f>F38</f>
        <v>6416423400</v>
      </c>
      <c r="J106" s="2">
        <f>F39</f>
        <v>1001627260</v>
      </c>
      <c r="K106" s="2">
        <f>F40</f>
        <v>14772930</v>
      </c>
      <c r="L106" s="2">
        <f>F41</f>
        <v>58769316</v>
      </c>
      <c r="M106" s="2">
        <f>F42</f>
        <v>5032993000</v>
      </c>
      <c r="N106" s="2">
        <f>F43</f>
        <v>4314774000</v>
      </c>
      <c r="O106" s="2">
        <f>F44</f>
        <v>28311064</v>
      </c>
      <c r="P106" s="2">
        <f>F45</f>
        <v>327421730</v>
      </c>
      <c r="Q106" s="51"/>
      <c r="R106" s="1">
        <f t="shared" si="27"/>
        <v>29685133520</v>
      </c>
    </row>
    <row r="107" spans="1:20" s="82" customFormat="1" x14ac:dyDescent="0.25">
      <c r="B107" s="82">
        <v>2022</v>
      </c>
      <c r="C107" s="82" t="s">
        <v>281</v>
      </c>
      <c r="D107" s="85">
        <f>J33</f>
        <v>3835871500</v>
      </c>
      <c r="E107" s="85">
        <f>J34</f>
        <v>280791460</v>
      </c>
      <c r="F107" s="85">
        <f>J35</f>
        <v>8807426000</v>
      </c>
      <c r="G107" s="85">
        <f>J36</f>
        <v>444920830</v>
      </c>
      <c r="H107" s="85">
        <f>J37</f>
        <v>683705600</v>
      </c>
      <c r="I107" s="85">
        <f>J38</f>
        <v>6149960700</v>
      </c>
      <c r="J107" s="85">
        <f>J39</f>
        <v>683910200</v>
      </c>
      <c r="K107" s="85">
        <f>J40</f>
        <v>15030653</v>
      </c>
      <c r="L107" s="85">
        <f>J41</f>
        <v>101647130</v>
      </c>
      <c r="M107" s="85">
        <f>J42</f>
        <v>4384051000</v>
      </c>
      <c r="N107" s="85">
        <f>J43</f>
        <v>3897356500</v>
      </c>
      <c r="O107" s="85">
        <f>J44</f>
        <v>39986124</v>
      </c>
      <c r="P107" s="85">
        <f>J45</f>
        <v>374208480</v>
      </c>
      <c r="Q107" s="86"/>
      <c r="R107" s="87">
        <f t="shared" si="27"/>
        <v>29698866177</v>
      </c>
    </row>
    <row r="108" spans="1:20" x14ac:dyDescent="0.25">
      <c r="B108">
        <v>2013</v>
      </c>
      <c r="C108" t="s">
        <v>168</v>
      </c>
      <c r="D108" s="2">
        <f>F58</f>
        <v>10565424000</v>
      </c>
      <c r="E108" s="2">
        <f>F59</f>
        <v>1136641400</v>
      </c>
      <c r="F108" s="2">
        <f>F60</f>
        <v>43559526000</v>
      </c>
      <c r="G108" s="2">
        <f>F61</f>
        <v>4060378400</v>
      </c>
      <c r="H108" s="2">
        <f>F62</f>
        <v>4155934500</v>
      </c>
      <c r="I108" s="2">
        <f>F63</f>
        <v>22682612000</v>
      </c>
      <c r="J108" s="2">
        <f>F64</f>
        <v>5577697000</v>
      </c>
      <c r="K108" s="2">
        <f>F65</f>
        <v>657747600</v>
      </c>
      <c r="L108" s="2">
        <f>F66</f>
        <v>28661124</v>
      </c>
      <c r="M108" s="2">
        <f>F67</f>
        <v>29688080000</v>
      </c>
      <c r="N108" s="2">
        <f>F68</f>
        <v>27936035000</v>
      </c>
      <c r="O108" s="2">
        <f>F69</f>
        <v>1188381000</v>
      </c>
      <c r="P108" s="2">
        <f>F70</f>
        <v>10920666000</v>
      </c>
      <c r="Q108" s="6"/>
      <c r="R108" s="1">
        <f t="shared" si="27"/>
        <v>162157784024</v>
      </c>
    </row>
    <row r="109" spans="1:20" x14ac:dyDescent="0.25">
      <c r="B109">
        <v>2022</v>
      </c>
      <c r="C109" t="s">
        <v>282</v>
      </c>
      <c r="D109" s="2">
        <f>I58</f>
        <v>12444460000</v>
      </c>
      <c r="E109" s="2">
        <f>I59</f>
        <v>1858265700</v>
      </c>
      <c r="F109" s="2">
        <f>I60</f>
        <v>47355810000</v>
      </c>
      <c r="G109" s="2">
        <f>I61</f>
        <v>2932598800</v>
      </c>
      <c r="H109" s="2">
        <f>I62</f>
        <v>9845071000</v>
      </c>
      <c r="I109" s="2">
        <f>I63</f>
        <v>23192455000</v>
      </c>
      <c r="J109" s="2">
        <f>I64</f>
        <v>2920160300</v>
      </c>
      <c r="K109" s="2">
        <f>I65</f>
        <v>675061500</v>
      </c>
      <c r="L109" s="2">
        <f>I66</f>
        <v>100397730</v>
      </c>
      <c r="M109" s="2">
        <f>I67</f>
        <v>22349662000</v>
      </c>
      <c r="N109" s="2">
        <f>I68</f>
        <v>24952084000</v>
      </c>
      <c r="O109" s="2">
        <f>I69</f>
        <v>1459584500</v>
      </c>
      <c r="P109" s="2">
        <f>I70</f>
        <v>10001707000</v>
      </c>
      <c r="Q109" s="6"/>
      <c r="R109" s="1">
        <f t="shared" si="27"/>
        <v>160087317530</v>
      </c>
    </row>
    <row r="110" spans="1:20" x14ac:dyDescent="0.25">
      <c r="B110">
        <v>2013</v>
      </c>
      <c r="C110" t="s">
        <v>185</v>
      </c>
      <c r="D110" s="2">
        <f>H58</f>
        <v>21296992000</v>
      </c>
      <c r="E110" s="2">
        <f>H59</f>
        <v>1717478000</v>
      </c>
      <c r="F110" s="2">
        <f>H60</f>
        <v>34435437000</v>
      </c>
      <c r="G110" s="2">
        <f>H61</f>
        <v>6428749300</v>
      </c>
      <c r="H110" s="2">
        <f>H62</f>
        <v>5378880500</v>
      </c>
      <c r="I110" s="2">
        <f>H63</f>
        <v>45113926000</v>
      </c>
      <c r="J110" s="2">
        <f>H64</f>
        <v>6469452300</v>
      </c>
      <c r="K110" s="2">
        <f>H65</f>
        <v>746481000</v>
      </c>
      <c r="L110" s="2">
        <f>H66</f>
        <v>-1419349900</v>
      </c>
      <c r="M110" s="2">
        <f>H67</f>
        <v>41168978000</v>
      </c>
      <c r="N110" s="2">
        <f>H68</f>
        <v>32007471000</v>
      </c>
      <c r="O110" s="2">
        <f>H69</f>
        <v>-3103617500</v>
      </c>
      <c r="P110" s="2">
        <f>H70</f>
        <v>117762440</v>
      </c>
      <c r="Q110" s="3"/>
      <c r="R110" s="1">
        <f t="shared" si="27"/>
        <v>190358640140</v>
      </c>
    </row>
    <row r="111" spans="1:20" x14ac:dyDescent="0.25">
      <c r="B111">
        <v>2022</v>
      </c>
      <c r="C111" t="s">
        <v>185</v>
      </c>
      <c r="D111" s="2">
        <f>K58</f>
        <v>25659288000</v>
      </c>
      <c r="E111" s="2">
        <f>K59</f>
        <v>2778805000</v>
      </c>
      <c r="F111" s="2">
        <f>K60</f>
        <v>39265440000</v>
      </c>
      <c r="G111" s="2">
        <f>K61</f>
        <v>5248267000</v>
      </c>
      <c r="H111" s="2">
        <f>K62</f>
        <v>9197194000</v>
      </c>
      <c r="I111" s="2">
        <f>K63</f>
        <v>45600535000</v>
      </c>
      <c r="J111" s="2">
        <f>K64</f>
        <v>3908062500</v>
      </c>
      <c r="K111" s="2">
        <f>K65</f>
        <v>740717440</v>
      </c>
      <c r="L111" s="2">
        <f>K66</f>
        <v>-1984820200</v>
      </c>
      <c r="M111" s="2">
        <f>K67</f>
        <v>31965469000</v>
      </c>
      <c r="N111" s="2">
        <f>K68</f>
        <v>26391341000</v>
      </c>
      <c r="O111" s="2">
        <f>K69</f>
        <v>-3801114400</v>
      </c>
      <c r="P111" s="2">
        <f>K70</f>
        <v>193771140</v>
      </c>
      <c r="Q111" s="3"/>
      <c r="R111" s="1">
        <f t="shared" si="27"/>
        <v>185162955480</v>
      </c>
    </row>
    <row r="112" spans="1:20" x14ac:dyDescent="0.25">
      <c r="B112">
        <v>2013</v>
      </c>
      <c r="C112" t="s">
        <v>170</v>
      </c>
      <c r="D112" s="2">
        <f>L58</f>
        <v>18669963000</v>
      </c>
      <c r="E112" s="2">
        <f>L59</f>
        <v>1728662970</v>
      </c>
      <c r="F112" s="2">
        <f>L60</f>
        <v>118579421000</v>
      </c>
      <c r="G112" s="2">
        <f>L61</f>
        <v>11840980400</v>
      </c>
      <c r="H112" s="2">
        <f>L62</f>
        <v>7361508500</v>
      </c>
      <c r="I112" s="2">
        <f>L63</f>
        <v>37051753000</v>
      </c>
      <c r="J112" s="2">
        <f>L64</f>
        <v>9226119100</v>
      </c>
      <c r="K112" s="2">
        <f>L65</f>
        <v>1368027500</v>
      </c>
      <c r="L112" s="2">
        <f>L66</f>
        <v>2967475124</v>
      </c>
      <c r="M112" s="2">
        <f>L67</f>
        <v>61690933000</v>
      </c>
      <c r="N112" s="2">
        <f>L68</f>
        <v>42757442000</v>
      </c>
      <c r="O112" s="2">
        <f>L69</f>
        <v>7169692500</v>
      </c>
      <c r="P112" s="2">
        <f>L70</f>
        <v>20293586000</v>
      </c>
      <c r="Q112" s="6"/>
      <c r="R112" s="1">
        <f t="shared" si="27"/>
        <v>340705564094</v>
      </c>
      <c r="T112" s="8"/>
    </row>
    <row r="113" spans="2:21" x14ac:dyDescent="0.25">
      <c r="B113">
        <v>2022</v>
      </c>
      <c r="C113" t="s">
        <v>170</v>
      </c>
      <c r="D113" s="2">
        <f>M58</f>
        <v>22959048000</v>
      </c>
      <c r="E113" s="2">
        <f>M59</f>
        <v>2910176800</v>
      </c>
      <c r="F113" s="2">
        <f>M60</f>
        <v>132281580000</v>
      </c>
      <c r="G113" s="2">
        <f>M61</f>
        <v>9387662400</v>
      </c>
      <c r="H113" s="2">
        <f>M62</f>
        <v>14845182600</v>
      </c>
      <c r="I113" s="2">
        <f>M63</f>
        <v>38051637000</v>
      </c>
      <c r="J113" s="2">
        <f>M64</f>
        <v>5164445300</v>
      </c>
      <c r="K113" s="2">
        <f>M65</f>
        <v>1388244670</v>
      </c>
      <c r="L113" s="2">
        <f>M66</f>
        <v>4474746730</v>
      </c>
      <c r="M113" s="2">
        <f>M67</f>
        <v>46810173000</v>
      </c>
      <c r="N113" s="2">
        <f>M68</f>
        <v>37289832000</v>
      </c>
      <c r="O113" s="2">
        <f>M69</f>
        <v>8964655100</v>
      </c>
      <c r="P113" s="2">
        <f>M70</f>
        <v>19316823000</v>
      </c>
      <c r="Q113" s="6"/>
      <c r="R113" s="1">
        <f t="shared" si="27"/>
        <v>343844206600</v>
      </c>
      <c r="U113" s="8"/>
    </row>
    <row r="114" spans="2:21" x14ac:dyDescent="0.25">
      <c r="B114">
        <v>2013</v>
      </c>
      <c r="C114" t="s">
        <v>283</v>
      </c>
      <c r="D114" s="1">
        <v>7905950</v>
      </c>
      <c r="E114" s="1">
        <v>727338</v>
      </c>
      <c r="F114" s="1">
        <v>21659926</v>
      </c>
      <c r="G114" s="1">
        <v>8182519</v>
      </c>
      <c r="H114" s="1">
        <v>4245673</v>
      </c>
      <c r="I114" s="1">
        <v>12164696</v>
      </c>
      <c r="J114" s="1">
        <v>2197418</v>
      </c>
      <c r="K114" s="1">
        <v>492832</v>
      </c>
      <c r="L114" s="1">
        <v>349867</v>
      </c>
      <c r="M114" s="1">
        <v>33917887</v>
      </c>
      <c r="N114" s="1">
        <v>12423037</v>
      </c>
      <c r="O114" s="1">
        <v>775993</v>
      </c>
      <c r="P114" s="1">
        <v>8264639</v>
      </c>
      <c r="Q114" s="1"/>
      <c r="R114" s="1">
        <v>113307775</v>
      </c>
    </row>
    <row r="115" spans="2:21" x14ac:dyDescent="0.25">
      <c r="B115">
        <v>2022</v>
      </c>
      <c r="C115" t="s">
        <v>283</v>
      </c>
      <c r="D115" s="1">
        <v>11463689</v>
      </c>
      <c r="E115" s="1">
        <v>1089507</v>
      </c>
      <c r="F115" s="1">
        <v>25914816</v>
      </c>
      <c r="G115" s="1">
        <v>7385068</v>
      </c>
      <c r="H115" s="1">
        <v>4914260</v>
      </c>
      <c r="I115" s="1">
        <v>13804835</v>
      </c>
      <c r="J115" s="1">
        <v>1906516</v>
      </c>
      <c r="K115" s="1">
        <v>489999</v>
      </c>
      <c r="L115" s="1">
        <v>526244</v>
      </c>
      <c r="M115" s="1">
        <v>26241517</v>
      </c>
      <c r="N115" s="1">
        <v>9581980</v>
      </c>
      <c r="O115" s="1">
        <v>985134</v>
      </c>
      <c r="P115" s="1">
        <v>9004210</v>
      </c>
      <c r="Q115" s="1"/>
      <c r="R115" s="1">
        <v>113307775</v>
      </c>
    </row>
    <row r="116" spans="2:21" x14ac:dyDescent="0.25">
      <c r="D116">
        <f>D107/D115</f>
        <v>334.61056907597543</v>
      </c>
      <c r="E116">
        <f t="shared" ref="E116:R116" si="28">E107/E115</f>
        <v>257.72341068024343</v>
      </c>
      <c r="F116">
        <f t="shared" si="28"/>
        <v>339.8606418814627</v>
      </c>
      <c r="G116">
        <f t="shared" si="28"/>
        <v>60.246003151223526</v>
      </c>
      <c r="H116">
        <f t="shared" si="28"/>
        <v>139.12686752430682</v>
      </c>
      <c r="I116">
        <f t="shared" si="28"/>
        <v>445.49324204164702</v>
      </c>
      <c r="J116">
        <f t="shared" si="28"/>
        <v>358.72250744289585</v>
      </c>
      <c r="K116">
        <f t="shared" si="28"/>
        <v>30.674864642580904</v>
      </c>
      <c r="L116">
        <f t="shared" si="28"/>
        <v>193.15589346386847</v>
      </c>
      <c r="M116">
        <f t="shared" si="28"/>
        <v>167.06545585760153</v>
      </c>
      <c r="N116">
        <f t="shared" si="28"/>
        <v>406.73811675666201</v>
      </c>
      <c r="O116">
        <f t="shared" si="28"/>
        <v>40.589527922089786</v>
      </c>
      <c r="P116">
        <f t="shared" si="28"/>
        <v>41.559279492592907</v>
      </c>
      <c r="R116">
        <f t="shared" si="28"/>
        <v>262.10792840120638</v>
      </c>
    </row>
    <row r="117" spans="2:21" x14ac:dyDescent="0.25">
      <c r="D117" s="6">
        <f>D107-D106</f>
        <v>878411500</v>
      </c>
      <c r="E117" s="6">
        <f t="shared" ref="E117:R117" si="29">E107-E106</f>
        <v>80334880</v>
      </c>
      <c r="F117" s="6">
        <f t="shared" si="29"/>
        <v>539636000</v>
      </c>
      <c r="G117" s="6">
        <f t="shared" si="29"/>
        <v>-119080670</v>
      </c>
      <c r="H117" s="6">
        <f t="shared" si="29"/>
        <v>183372860</v>
      </c>
      <c r="I117" s="6">
        <f t="shared" si="29"/>
        <v>-266462700</v>
      </c>
      <c r="J117" s="6">
        <f t="shared" si="29"/>
        <v>-317717060</v>
      </c>
      <c r="K117" s="6">
        <f t="shared" si="29"/>
        <v>257723</v>
      </c>
      <c r="L117" s="6">
        <f t="shared" si="29"/>
        <v>42877814</v>
      </c>
      <c r="M117" s="6">
        <f t="shared" si="29"/>
        <v>-648942000</v>
      </c>
      <c r="N117" s="6">
        <f t="shared" si="29"/>
        <v>-417417500</v>
      </c>
      <c r="O117" s="6">
        <f t="shared" si="29"/>
        <v>11675060</v>
      </c>
      <c r="P117" s="6">
        <f t="shared" si="29"/>
        <v>46786750</v>
      </c>
      <c r="Q117" s="6"/>
      <c r="R117" s="6">
        <f t="shared" si="29"/>
        <v>13732657</v>
      </c>
    </row>
    <row r="118" spans="2:21" x14ac:dyDescent="0.25">
      <c r="D118" s="3">
        <f>D115-D114</f>
        <v>3557739</v>
      </c>
      <c r="E118" s="3">
        <f t="shared" ref="E118:R118" si="30">E115-E114</f>
        <v>362169</v>
      </c>
      <c r="F118" s="3">
        <f t="shared" si="30"/>
        <v>4254890</v>
      </c>
      <c r="G118" s="3">
        <f t="shared" si="30"/>
        <v>-797451</v>
      </c>
      <c r="H118" s="3">
        <f t="shared" si="30"/>
        <v>668587</v>
      </c>
      <c r="I118" s="3">
        <f t="shared" si="30"/>
        <v>1640139</v>
      </c>
      <c r="J118" s="3">
        <f>J115-J114</f>
        <v>-290902</v>
      </c>
      <c r="K118" s="3">
        <f t="shared" si="30"/>
        <v>-2833</v>
      </c>
      <c r="L118" s="3">
        <f t="shared" si="30"/>
        <v>176377</v>
      </c>
      <c r="M118" s="3">
        <f t="shared" si="30"/>
        <v>-7676370</v>
      </c>
      <c r="N118" s="3">
        <f t="shared" si="30"/>
        <v>-2841057</v>
      </c>
      <c r="O118" s="3">
        <f t="shared" si="30"/>
        <v>209141</v>
      </c>
      <c r="P118" s="3">
        <f t="shared" si="30"/>
        <v>739571</v>
      </c>
      <c r="Q118" s="3"/>
      <c r="R118" s="3">
        <f t="shared" si="30"/>
        <v>0</v>
      </c>
    </row>
    <row r="119" spans="2:21" x14ac:dyDescent="0.25">
      <c r="F119" s="2"/>
    </row>
    <row r="120" spans="2:21" x14ac:dyDescent="0.25">
      <c r="F120" s="2"/>
    </row>
    <row r="121" spans="2:21" x14ac:dyDescent="0.25">
      <c r="F121" s="2"/>
    </row>
    <row r="122" spans="2:21" x14ac:dyDescent="0.25">
      <c r="F122" s="2"/>
    </row>
    <row r="123" spans="2:21" x14ac:dyDescent="0.25">
      <c r="F123" s="2"/>
    </row>
    <row r="124" spans="2:21" x14ac:dyDescent="0.25">
      <c r="F124" s="2"/>
    </row>
    <row r="125" spans="2:21" x14ac:dyDescent="0.25">
      <c r="F125" s="2"/>
    </row>
    <row r="128" spans="2:21" x14ac:dyDescent="0.25">
      <c r="F128" s="6"/>
      <c r="G128" s="6"/>
    </row>
    <row r="232" spans="4:6" x14ac:dyDescent="0.25">
      <c r="D232" t="s">
        <v>85</v>
      </c>
      <c r="E232" t="s">
        <v>224</v>
      </c>
      <c r="F232" t="s">
        <v>225</v>
      </c>
    </row>
    <row r="233" spans="4:6" x14ac:dyDescent="0.25">
      <c r="D233" t="s">
        <v>91</v>
      </c>
      <c r="E233">
        <v>7905950</v>
      </c>
      <c r="F233">
        <v>11463689</v>
      </c>
    </row>
    <row r="234" spans="4:6" x14ac:dyDescent="0.25">
      <c r="D234" t="s">
        <v>88</v>
      </c>
      <c r="E234">
        <v>727338</v>
      </c>
      <c r="F234">
        <v>1089507</v>
      </c>
    </row>
    <row r="235" spans="4:6" x14ac:dyDescent="0.25">
      <c r="D235" t="s">
        <v>89</v>
      </c>
      <c r="E235">
        <v>21659926</v>
      </c>
      <c r="F235">
        <v>25914816</v>
      </c>
    </row>
    <row r="236" spans="4:6" x14ac:dyDescent="0.25">
      <c r="D236" t="s">
        <v>193</v>
      </c>
      <c r="E236">
        <v>8182519</v>
      </c>
      <c r="F236">
        <v>7385068</v>
      </c>
    </row>
    <row r="237" spans="4:6" x14ac:dyDescent="0.25">
      <c r="D237" t="s">
        <v>194</v>
      </c>
      <c r="E237">
        <v>4245673</v>
      </c>
      <c r="F237">
        <v>4914260</v>
      </c>
    </row>
    <row r="238" spans="4:6" x14ac:dyDescent="0.25">
      <c r="D238" t="s">
        <v>94</v>
      </c>
      <c r="E238">
        <v>12164696</v>
      </c>
      <c r="F238">
        <v>13804835</v>
      </c>
    </row>
    <row r="239" spans="4:6" x14ac:dyDescent="0.25">
      <c r="D239" t="s">
        <v>95</v>
      </c>
      <c r="E239">
        <v>2197418</v>
      </c>
      <c r="F239">
        <v>1906516</v>
      </c>
    </row>
    <row r="240" spans="4:6" x14ac:dyDescent="0.25">
      <c r="D240" t="s">
        <v>195</v>
      </c>
      <c r="E240">
        <v>492832</v>
      </c>
      <c r="F240">
        <v>489999</v>
      </c>
    </row>
    <row r="241" spans="4:18" x14ac:dyDescent="0.25">
      <c r="D241" t="s">
        <v>97</v>
      </c>
      <c r="E241">
        <v>349867</v>
      </c>
      <c r="F241">
        <v>526244</v>
      </c>
    </row>
    <row r="242" spans="4:18" x14ac:dyDescent="0.25">
      <c r="D242" t="s">
        <v>196</v>
      </c>
      <c r="E242">
        <v>33917887</v>
      </c>
      <c r="F242">
        <v>26241517</v>
      </c>
    </row>
    <row r="243" spans="4:18" x14ac:dyDescent="0.25">
      <c r="D243" t="s">
        <v>197</v>
      </c>
      <c r="E243">
        <v>12423037</v>
      </c>
      <c r="F243">
        <v>9581980</v>
      </c>
    </row>
    <row r="244" spans="4:18" x14ac:dyDescent="0.25">
      <c r="D244" t="s">
        <v>100</v>
      </c>
      <c r="E244">
        <v>775993</v>
      </c>
      <c r="F244">
        <v>985134</v>
      </c>
    </row>
    <row r="245" spans="4:18" x14ac:dyDescent="0.25">
      <c r="D245" t="s">
        <v>101</v>
      </c>
      <c r="E245">
        <v>8264639</v>
      </c>
      <c r="F245">
        <v>9004210</v>
      </c>
    </row>
    <row r="246" spans="4:18" x14ac:dyDescent="0.25">
      <c r="D246" t="s">
        <v>86</v>
      </c>
      <c r="E246">
        <v>113307775</v>
      </c>
      <c r="F246">
        <v>113307775</v>
      </c>
    </row>
    <row r="250" spans="4:18" x14ac:dyDescent="0.25">
      <c r="D250" t="s">
        <v>85</v>
      </c>
      <c r="E250" t="s">
        <v>91</v>
      </c>
      <c r="F250" t="s">
        <v>88</v>
      </c>
      <c r="G250" t="s">
        <v>89</v>
      </c>
      <c r="H250" t="s">
        <v>193</v>
      </c>
      <c r="I250" t="s">
        <v>194</v>
      </c>
      <c r="J250" t="s">
        <v>94</v>
      </c>
      <c r="K250" t="s">
        <v>95</v>
      </c>
      <c r="L250" t="s">
        <v>195</v>
      </c>
      <c r="M250" t="s">
        <v>97</v>
      </c>
      <c r="N250" t="s">
        <v>196</v>
      </c>
      <c r="O250" t="s">
        <v>197</v>
      </c>
      <c r="P250" t="s">
        <v>100</v>
      </c>
      <c r="Q250" t="s">
        <v>101</v>
      </c>
      <c r="R250" t="s">
        <v>86</v>
      </c>
    </row>
    <row r="251" spans="4:18" x14ac:dyDescent="0.25">
      <c r="D251" t="s">
        <v>224</v>
      </c>
      <c r="E251">
        <v>7905950</v>
      </c>
      <c r="F251">
        <v>727338</v>
      </c>
      <c r="G251">
        <v>21659926</v>
      </c>
      <c r="H251">
        <v>8182519</v>
      </c>
      <c r="I251">
        <v>4245673</v>
      </c>
      <c r="J251">
        <v>12164696</v>
      </c>
      <c r="K251">
        <v>2197418</v>
      </c>
      <c r="L251">
        <v>492832</v>
      </c>
      <c r="M251">
        <v>349867</v>
      </c>
      <c r="N251">
        <v>33917887</v>
      </c>
      <c r="O251">
        <v>12423037</v>
      </c>
      <c r="P251">
        <v>775993</v>
      </c>
      <c r="Q251">
        <v>8264639</v>
      </c>
      <c r="R251">
        <v>113307775</v>
      </c>
    </row>
    <row r="252" spans="4:18" x14ac:dyDescent="0.25">
      <c r="D252" t="s">
        <v>225</v>
      </c>
      <c r="E252">
        <v>11463689</v>
      </c>
      <c r="F252">
        <v>1089507</v>
      </c>
      <c r="G252">
        <v>25914816</v>
      </c>
      <c r="H252">
        <v>7385068</v>
      </c>
      <c r="I252">
        <v>4914260</v>
      </c>
      <c r="J252">
        <v>13804835</v>
      </c>
      <c r="K252">
        <v>1906516</v>
      </c>
      <c r="L252">
        <v>489999</v>
      </c>
      <c r="M252">
        <v>526244</v>
      </c>
      <c r="N252">
        <v>26241517</v>
      </c>
      <c r="O252">
        <v>9581980</v>
      </c>
      <c r="P252">
        <v>985134</v>
      </c>
      <c r="Q252">
        <v>9004210</v>
      </c>
      <c r="R252">
        <v>113307775</v>
      </c>
    </row>
  </sheetData>
  <autoFilter ref="B100:R100" xr:uid="{6AEB113E-B9AD-41D8-ABD9-BC8DF126B321}"/>
  <mergeCells count="5">
    <mergeCell ref="F4:L4"/>
    <mergeCell ref="M4:S4"/>
    <mergeCell ref="V5:W5"/>
    <mergeCell ref="D5:E5"/>
    <mergeCell ref="D31:E31"/>
  </mergeCells>
  <phoneticPr fontId="22" type="noConversion"/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8425A79FD135438AEE1B8BF881F5F2" ma:contentTypeVersion="14" ma:contentTypeDescription="Create a new document." ma:contentTypeScope="" ma:versionID="b58eefe7fb252ba2da86bb1e6d394763">
  <xsd:schema xmlns:xsd="http://www.w3.org/2001/XMLSchema" xmlns:xs="http://www.w3.org/2001/XMLSchema" xmlns:p="http://schemas.microsoft.com/office/2006/metadata/properties" xmlns:ns2="03253c0c-ee18-4879-b594-5084202917c2" xmlns:ns3="5d8039ad-371e-4560-9db9-c762ba445936" targetNamespace="http://schemas.microsoft.com/office/2006/metadata/properties" ma:root="true" ma:fieldsID="f60e2051f9574957a70d1bbd74404236" ns2:_="" ns3:_="">
    <xsd:import namespace="03253c0c-ee18-4879-b594-5084202917c2"/>
    <xsd:import namespace="5d8039ad-371e-4560-9db9-c762ba4459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53c0c-ee18-4879-b594-508420291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700d688-38bf-4fe6-b3f9-97df48919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039ad-371e-4560-9db9-c762ba44593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73d364b-79b2-4150-8ea9-655c7a6c4275}" ma:internalName="TaxCatchAll" ma:showField="CatchAllData" ma:web="5d8039ad-371e-4560-9db9-c762ba4459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253c0c-ee18-4879-b594-5084202917c2">
      <Terms xmlns="http://schemas.microsoft.com/office/infopath/2007/PartnerControls"/>
    </lcf76f155ced4ddcb4097134ff3c332f>
    <TaxCatchAll xmlns="5d8039ad-371e-4560-9db9-c762ba445936" xsi:nil="true"/>
  </documentManagement>
</p:properties>
</file>

<file path=customXml/itemProps1.xml><?xml version="1.0" encoding="utf-8"?>
<ds:datastoreItem xmlns:ds="http://schemas.openxmlformats.org/officeDocument/2006/customXml" ds:itemID="{6C8EAB0B-0E12-4C19-B382-E58F7DCE2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253c0c-ee18-4879-b594-5084202917c2"/>
    <ds:schemaRef ds:uri="5d8039ad-371e-4560-9db9-c762ba4459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2E7882-F6E9-43D9-81B2-94C1BDBAF6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D21F99-CD5F-49E2-992C-93C669DF0438}">
  <ds:schemaRefs>
    <ds:schemaRef ds:uri="http://schemas.microsoft.com/office/2006/metadata/properties"/>
    <ds:schemaRef ds:uri="http://schemas.microsoft.com/office/infopath/2007/PartnerControls"/>
    <ds:schemaRef ds:uri="03253c0c-ee18-4879-b594-5084202917c2"/>
    <ds:schemaRef ds:uri="5d8039ad-371e-4560-9db9-c762ba4459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NationalSummary_Services</vt:lpstr>
      <vt:lpstr>Land cover account 2012 t0 2022</vt:lpstr>
      <vt:lpstr>Realized_FullTable</vt:lpstr>
      <vt:lpstr>ServPotSupply_byEcType</vt:lpstr>
      <vt:lpstr>ES SUT</vt:lpstr>
      <vt:lpstr>ServPotSupply_byRiverBasin</vt:lpstr>
      <vt:lpstr>ServPotSupply_byRegion</vt:lpstr>
      <vt:lpstr>CarbAsset_byRegions</vt:lpstr>
      <vt:lpstr>CarbAsset_byBasin</vt:lpstr>
      <vt:lpstr>CarbonAsset_Stock</vt:lpstr>
      <vt:lpstr>Sheet1</vt:lpstr>
      <vt:lpstr>MainDatabase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Dawit Woubishet Mulatu</dc:creator>
  <cp:keywords/>
  <dc:description/>
  <cp:lastModifiedBy>Yurani Arias Granada</cp:lastModifiedBy>
  <cp:revision/>
  <dcterms:created xsi:type="dcterms:W3CDTF">2025-06-20T11:35:00Z</dcterms:created>
  <dcterms:modified xsi:type="dcterms:W3CDTF">2026-02-18T16:03:19Z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0x010100E98425A79FD135438AEE1B8BF881F5F2</vt:lpwstr>
  </property>
  <property fmtid="{D5CDD505-2E9C-101B-9397-08002B2CF9AE}" pid="3" name="MediaServiceImageTags">
    <vt:lpwstr/>
  </property>
  <property fmtid="{D5CDD505-2E9C-101B-9397-08002B2CF9AE}" pid="4" name="MSIP_Label_f1bf45b6-5649-4236-82a3-f45024cd282e_Enabled">
    <vt:lpwstr>true</vt:lpwstr>
  </property>
  <property fmtid="{D5CDD505-2E9C-101B-9397-08002B2CF9AE}" pid="5" name="MSIP_Label_f1bf45b6-5649-4236-82a3-f45024cd282e_SetDate">
    <vt:lpwstr>2025-11-17T10:30:59Z</vt:lpwstr>
  </property>
  <property fmtid="{D5CDD505-2E9C-101B-9397-08002B2CF9AE}" pid="6" name="MSIP_Label_f1bf45b6-5649-4236-82a3-f45024cd282e_Method">
    <vt:lpwstr>Standard</vt:lpwstr>
  </property>
  <property fmtid="{D5CDD505-2E9C-101B-9397-08002B2CF9AE}" pid="7" name="MSIP_Label_f1bf45b6-5649-4236-82a3-f45024cd282e_Name">
    <vt:lpwstr>Official Use Only</vt:lpwstr>
  </property>
  <property fmtid="{D5CDD505-2E9C-101B-9397-08002B2CF9AE}" pid="8" name="MSIP_Label_f1bf45b6-5649-4236-82a3-f45024cd282e_SiteId">
    <vt:lpwstr>31a2fec0-266b-4c67-b56e-2796d8f59c36</vt:lpwstr>
  </property>
  <property fmtid="{D5CDD505-2E9C-101B-9397-08002B2CF9AE}" pid="9" name="MSIP_Label_f1bf45b6-5649-4236-82a3-f45024cd282e_ActionId">
    <vt:lpwstr>3d4ba6be-439c-4c3a-afcc-7fe89ed84299</vt:lpwstr>
  </property>
  <property fmtid="{D5CDD505-2E9C-101B-9397-08002B2CF9AE}" pid="10" name="MSIP_Label_f1bf45b6-5649-4236-82a3-f45024cd282e_ContentBits">
    <vt:lpwstr>2</vt:lpwstr>
  </property>
  <property fmtid="{D5CDD505-2E9C-101B-9397-08002B2CF9AE}" pid="11" name="MSIP_Label_f1bf45b6-5649-4236-82a3-f45024cd282e_Tag">
    <vt:lpwstr>10, 3, 0, 1</vt:lpwstr>
  </property>
</Properties>
</file>