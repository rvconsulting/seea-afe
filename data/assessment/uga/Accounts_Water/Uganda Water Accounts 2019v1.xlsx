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SEEA\Water-Accounts\2019 Accounts\"/>
    </mc:Choice>
  </mc:AlternateContent>
  <bookViews>
    <workbookView xWindow="0" yWindow="0" windowWidth="25200" windowHeight="11685" tabRatio="827" firstSheet="4" activeTab="7"/>
  </bookViews>
  <sheets>
    <sheet name="Introduction" sheetId="3" r:id="rId1"/>
    <sheet name="Meta data" sheetId="9" r:id="rId2"/>
    <sheet name="Table 2 Ph IO Table" sheetId="8" r:id="rId3"/>
    <sheet name="Table 3 Mon IO Table" sheetId="7" r:id="rId4"/>
    <sheet name="Table 1  Water Input table" sheetId="5" r:id="rId5"/>
    <sheet name="Table 4 Water Prices" sheetId="6" r:id="rId6"/>
    <sheet name="Aggregates" sheetId="10" r:id="rId7"/>
    <sheet name="Table 5&amp; 6 PSUT " sheetId="14" r:id="rId8"/>
    <sheet name="Graphs" sheetId="12" r:id="rId9"/>
    <sheet name="PSUT-Calc"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57" i="5" l="1"/>
  <c r="AH64" i="5" l="1"/>
  <c r="B52" i="14" l="1"/>
  <c r="B56" i="14"/>
  <c r="B51" i="10" l="1"/>
  <c r="B52" i="10"/>
  <c r="B50" i="10"/>
  <c r="B49" i="10"/>
  <c r="B48" i="10"/>
  <c r="B47" i="10"/>
  <c r="B45" i="10"/>
  <c r="B44" i="10"/>
  <c r="B41" i="10"/>
  <c r="B42" i="10"/>
  <c r="B43" i="10"/>
  <c r="B40" i="10"/>
  <c r="B38" i="10"/>
  <c r="B37" i="10"/>
  <c r="B36" i="10"/>
  <c r="B35" i="10"/>
  <c r="B34" i="10"/>
  <c r="B33" i="10"/>
  <c r="R49" i="5" l="1"/>
  <c r="Q49" i="5"/>
  <c r="Q48" i="5"/>
  <c r="O49" i="5"/>
  <c r="N49" i="5"/>
  <c r="N48" i="5"/>
  <c r="M49" i="5"/>
  <c r="M48" i="5"/>
  <c r="L49" i="5"/>
  <c r="L48" i="5"/>
  <c r="K49" i="5"/>
  <c r="K48" i="5"/>
  <c r="N44" i="5" l="1"/>
  <c r="N43" i="5"/>
  <c r="AF78" i="5" l="1"/>
  <c r="AJ64" i="5" l="1"/>
  <c r="AI64" i="5"/>
  <c r="AJ63" i="5"/>
  <c r="AI63" i="5"/>
  <c r="AH63" i="5"/>
  <c r="AJ62" i="5"/>
  <c r="AI62" i="5"/>
  <c r="AH62" i="5"/>
  <c r="AD57" i="5" l="1"/>
  <c r="AC57" i="5"/>
  <c r="AB57" i="5"/>
  <c r="AA57" i="5"/>
  <c r="Z57" i="5"/>
  <c r="Y57" i="5"/>
  <c r="W57" i="5"/>
  <c r="V57" i="5"/>
  <c r="U57" i="5"/>
  <c r="J77" i="5" l="1"/>
  <c r="J76" i="5"/>
  <c r="J75" i="5"/>
  <c r="J74" i="5"/>
  <c r="J73" i="5"/>
  <c r="J72" i="5"/>
  <c r="J71" i="5"/>
  <c r="J69" i="5"/>
  <c r="J68" i="5"/>
  <c r="J67" i="5"/>
  <c r="J63" i="5"/>
  <c r="AE56" i="5"/>
  <c r="AD56" i="5"/>
  <c r="AC56" i="5"/>
  <c r="AB56" i="5"/>
  <c r="AA56" i="5"/>
  <c r="Z56" i="5"/>
  <c r="Y56" i="5"/>
  <c r="X56" i="5"/>
  <c r="V56" i="5"/>
  <c r="W56" i="5"/>
  <c r="U56" i="5"/>
  <c r="T56" i="5"/>
  <c r="Q56" i="5"/>
  <c r="X55" i="5"/>
  <c r="S55" i="5" l="1"/>
  <c r="R55" i="5"/>
  <c r="Q55" i="5"/>
  <c r="P55" i="5"/>
  <c r="AE54" i="5" l="1"/>
  <c r="AD54" i="5"/>
  <c r="Y54" i="5"/>
  <c r="T54" i="5"/>
  <c r="S54" i="5" l="1"/>
  <c r="N45" i="5" s="1"/>
  <c r="AE52" i="5" l="1"/>
  <c r="AE51" i="5"/>
  <c r="AD52" i="5"/>
  <c r="AD51" i="5"/>
  <c r="T52" i="5"/>
  <c r="T51" i="5"/>
  <c r="Y52" i="5"/>
  <c r="Y51" i="5"/>
  <c r="S48" i="5"/>
  <c r="T48" i="5"/>
  <c r="AD48" i="5"/>
  <c r="AE48" i="5"/>
  <c r="AC48" i="5"/>
  <c r="AB48" i="5"/>
  <c r="AA48" i="5"/>
  <c r="Z48" i="5"/>
  <c r="Y48" i="5"/>
  <c r="X49" i="5"/>
  <c r="X48" i="5"/>
  <c r="W48" i="5"/>
  <c r="V48" i="5"/>
  <c r="U48" i="5"/>
  <c r="R48" i="5"/>
  <c r="O48" i="5"/>
  <c r="AE49" i="5"/>
  <c r="AD49" i="5"/>
  <c r="AC49" i="5"/>
  <c r="AB49" i="5"/>
  <c r="AA49" i="5"/>
  <c r="Z49" i="5"/>
  <c r="Y49" i="5"/>
  <c r="W49" i="5"/>
  <c r="V49" i="5"/>
  <c r="U49" i="5"/>
  <c r="T49" i="5"/>
  <c r="S49" i="5"/>
  <c r="B33" i="14" l="1"/>
  <c r="R81" i="14" l="1"/>
  <c r="S81" i="14"/>
  <c r="T81" i="14"/>
  <c r="C28" i="14" l="1"/>
  <c r="T57" i="5" l="1"/>
  <c r="C22" i="10" l="1"/>
  <c r="D31" i="10" l="1"/>
  <c r="C31" i="10"/>
  <c r="F51" i="14" l="1"/>
  <c r="S80" i="5" l="1"/>
  <c r="F28" i="14" s="1"/>
  <c r="AE41" i="5" l="1"/>
  <c r="S78" i="5" l="1"/>
  <c r="F34" i="14" s="1"/>
  <c r="F33" i="14" s="1"/>
  <c r="V121" i="15" l="1"/>
  <c r="U121" i="15"/>
  <c r="T121" i="15"/>
  <c r="S121" i="15"/>
  <c r="R121" i="15"/>
  <c r="Q121" i="15"/>
  <c r="P121" i="15"/>
  <c r="O121" i="15"/>
  <c r="N121" i="15"/>
  <c r="M121" i="15"/>
  <c r="L121" i="15"/>
  <c r="K121" i="15"/>
  <c r="J121" i="15"/>
  <c r="I121" i="15"/>
  <c r="H121" i="15"/>
  <c r="G121" i="15"/>
  <c r="F121" i="15"/>
  <c r="E121" i="15"/>
  <c r="D121" i="15"/>
  <c r="C121" i="15"/>
  <c r="B121" i="15"/>
  <c r="V120" i="15"/>
  <c r="U120" i="15"/>
  <c r="T120" i="15"/>
  <c r="S120" i="15"/>
  <c r="R120" i="15"/>
  <c r="Q120" i="15"/>
  <c r="P120" i="15"/>
  <c r="O120" i="15"/>
  <c r="N120" i="15"/>
  <c r="M120" i="15"/>
  <c r="L120" i="15"/>
  <c r="K120" i="15"/>
  <c r="J120" i="15"/>
  <c r="I120" i="15"/>
  <c r="H120" i="15"/>
  <c r="G120" i="15"/>
  <c r="F120" i="15"/>
  <c r="E120" i="15"/>
  <c r="D120" i="15"/>
  <c r="C120" i="15"/>
  <c r="B120" i="15"/>
  <c r="V117" i="15"/>
  <c r="U117" i="15"/>
  <c r="T117" i="15"/>
  <c r="S117" i="15"/>
  <c r="R117" i="15"/>
  <c r="Q117" i="15"/>
  <c r="P117" i="15"/>
  <c r="O117" i="15"/>
  <c r="N117" i="15"/>
  <c r="M117" i="15"/>
  <c r="L117" i="15"/>
  <c r="K117" i="15"/>
  <c r="J117" i="15"/>
  <c r="I117" i="15"/>
  <c r="H117" i="15"/>
  <c r="G117" i="15"/>
  <c r="F117" i="15"/>
  <c r="E117" i="15"/>
  <c r="D117" i="15"/>
  <c r="C117" i="15"/>
  <c r="B117" i="15"/>
  <c r="V116" i="15"/>
  <c r="U116" i="15"/>
  <c r="T116" i="15"/>
  <c r="S116" i="15"/>
  <c r="R116" i="15"/>
  <c r="Q116" i="15"/>
  <c r="P116" i="15"/>
  <c r="O116" i="15"/>
  <c r="N116" i="15"/>
  <c r="M116" i="15"/>
  <c r="L116" i="15"/>
  <c r="K116" i="15"/>
  <c r="J116" i="15"/>
  <c r="I116" i="15"/>
  <c r="H116" i="15"/>
  <c r="G116" i="15"/>
  <c r="F116" i="15"/>
  <c r="E116" i="15"/>
  <c r="D116" i="15"/>
  <c r="C116" i="15"/>
  <c r="B116" i="15"/>
  <c r="V115" i="15"/>
  <c r="U115" i="15"/>
  <c r="T115" i="15"/>
  <c r="S115" i="15"/>
  <c r="R115" i="15"/>
  <c r="Q115" i="15"/>
  <c r="P115" i="15"/>
  <c r="O115" i="15"/>
  <c r="N115" i="15"/>
  <c r="M115" i="15"/>
  <c r="L115" i="15"/>
  <c r="K115" i="15"/>
  <c r="J115" i="15"/>
  <c r="I115" i="15"/>
  <c r="H115" i="15"/>
  <c r="G115" i="15"/>
  <c r="F115" i="15"/>
  <c r="E115" i="15"/>
  <c r="D115" i="15"/>
  <c r="C115" i="15"/>
  <c r="B115" i="15"/>
  <c r="V114" i="15"/>
  <c r="U114" i="15"/>
  <c r="T114" i="15"/>
  <c r="S114" i="15"/>
  <c r="R114" i="15"/>
  <c r="Q114" i="15"/>
  <c r="P114" i="15"/>
  <c r="O114" i="15"/>
  <c r="N114" i="15"/>
  <c r="M114" i="15"/>
  <c r="L114" i="15"/>
  <c r="K114" i="15"/>
  <c r="J114" i="15"/>
  <c r="I114" i="15"/>
  <c r="H114" i="15"/>
  <c r="G114" i="15"/>
  <c r="F114" i="15"/>
  <c r="E114" i="15"/>
  <c r="D114" i="15"/>
  <c r="C114" i="15"/>
  <c r="B114" i="15"/>
  <c r="V108" i="15"/>
  <c r="U108" i="15"/>
  <c r="T108" i="15"/>
  <c r="S108" i="15"/>
  <c r="R108" i="15"/>
  <c r="Q108" i="15"/>
  <c r="P108" i="15"/>
  <c r="O108" i="15"/>
  <c r="N108" i="15"/>
  <c r="M108" i="15"/>
  <c r="L108" i="15"/>
  <c r="K108" i="15"/>
  <c r="J108" i="15"/>
  <c r="I108" i="15"/>
  <c r="H108" i="15"/>
  <c r="G108" i="15"/>
  <c r="F108" i="15"/>
  <c r="E108" i="15"/>
  <c r="D108" i="15"/>
  <c r="C108" i="15"/>
  <c r="B108" i="15"/>
  <c r="V107" i="15"/>
  <c r="U107" i="15"/>
  <c r="T107" i="15"/>
  <c r="S107" i="15"/>
  <c r="R107" i="15"/>
  <c r="Q107" i="15"/>
  <c r="P107" i="15"/>
  <c r="O107" i="15"/>
  <c r="N107" i="15"/>
  <c r="M107" i="15"/>
  <c r="L107" i="15"/>
  <c r="K107" i="15"/>
  <c r="J107" i="15"/>
  <c r="I107" i="15"/>
  <c r="H107" i="15"/>
  <c r="G107" i="15"/>
  <c r="F107" i="15"/>
  <c r="E107" i="15"/>
  <c r="D107" i="15"/>
  <c r="C107" i="15"/>
  <c r="B107" i="15"/>
  <c r="V104" i="15"/>
  <c r="U104" i="15"/>
  <c r="T104" i="15"/>
  <c r="S104" i="15"/>
  <c r="R104" i="15"/>
  <c r="Q104" i="15"/>
  <c r="P104" i="15"/>
  <c r="O104" i="15"/>
  <c r="N104" i="15"/>
  <c r="M104" i="15"/>
  <c r="L104" i="15"/>
  <c r="K104" i="15"/>
  <c r="J104" i="15"/>
  <c r="I104" i="15"/>
  <c r="H104" i="15"/>
  <c r="G104" i="15"/>
  <c r="F104" i="15"/>
  <c r="E104" i="15"/>
  <c r="D104" i="15"/>
  <c r="C104" i="15"/>
  <c r="B104" i="15"/>
  <c r="V103" i="15"/>
  <c r="U103" i="15"/>
  <c r="T103" i="15"/>
  <c r="S103" i="15"/>
  <c r="R103" i="15"/>
  <c r="Q103" i="15"/>
  <c r="P103" i="15"/>
  <c r="O103" i="15"/>
  <c r="N103" i="15"/>
  <c r="M103" i="15"/>
  <c r="L103" i="15"/>
  <c r="K103" i="15"/>
  <c r="J103" i="15"/>
  <c r="I103" i="15"/>
  <c r="H103" i="15"/>
  <c r="G103" i="15"/>
  <c r="F103" i="15"/>
  <c r="E103" i="15"/>
  <c r="D103" i="15"/>
  <c r="C103" i="15"/>
  <c r="B103" i="15"/>
  <c r="V102" i="15"/>
  <c r="U102" i="15"/>
  <c r="T102" i="15"/>
  <c r="S102" i="15"/>
  <c r="R102" i="15"/>
  <c r="Q102" i="15"/>
  <c r="P102" i="15"/>
  <c r="O102" i="15"/>
  <c r="N102" i="15"/>
  <c r="M102" i="15"/>
  <c r="L102" i="15"/>
  <c r="K102" i="15"/>
  <c r="J102" i="15"/>
  <c r="I102" i="15"/>
  <c r="H102" i="15"/>
  <c r="G102" i="15"/>
  <c r="F102" i="15"/>
  <c r="E102" i="15"/>
  <c r="D102" i="15"/>
  <c r="C102" i="15"/>
  <c r="B102" i="15"/>
  <c r="V101" i="15"/>
  <c r="U101" i="15"/>
  <c r="T101" i="15"/>
  <c r="S101" i="15"/>
  <c r="R101" i="15"/>
  <c r="Q101" i="15"/>
  <c r="P101" i="15"/>
  <c r="O101" i="15"/>
  <c r="N101" i="15"/>
  <c r="M101" i="15"/>
  <c r="L101" i="15"/>
  <c r="K101" i="15"/>
  <c r="J101" i="15"/>
  <c r="I101" i="15"/>
  <c r="H101" i="15"/>
  <c r="G101" i="15"/>
  <c r="F101" i="15"/>
  <c r="E101" i="15"/>
  <c r="D101" i="15"/>
  <c r="C101" i="15"/>
  <c r="B101" i="15"/>
  <c r="V94" i="15"/>
  <c r="R94" i="15"/>
  <c r="Q94" i="15"/>
  <c r="P94" i="15"/>
  <c r="O94" i="15"/>
  <c r="N94" i="15"/>
  <c r="M94" i="15"/>
  <c r="L94" i="15"/>
  <c r="K94" i="15"/>
  <c r="J94" i="15"/>
  <c r="I94" i="15"/>
  <c r="H94" i="15"/>
  <c r="G94" i="15"/>
  <c r="F94" i="15"/>
  <c r="E94" i="15"/>
  <c r="D94" i="15"/>
  <c r="C94" i="15"/>
  <c r="B94" i="15"/>
  <c r="V93" i="15"/>
  <c r="R93" i="15"/>
  <c r="Q93" i="15"/>
  <c r="P93" i="15"/>
  <c r="O93" i="15"/>
  <c r="N93" i="15"/>
  <c r="M93" i="15"/>
  <c r="L93" i="15"/>
  <c r="K93" i="15"/>
  <c r="J93" i="15"/>
  <c r="I93" i="15"/>
  <c r="H93" i="15"/>
  <c r="G93" i="15"/>
  <c r="F93" i="15"/>
  <c r="E93" i="15"/>
  <c r="D93" i="15"/>
  <c r="C93" i="15"/>
  <c r="B93" i="15"/>
  <c r="V91" i="15"/>
  <c r="R91" i="15"/>
  <c r="Q91" i="15"/>
  <c r="P91" i="15"/>
  <c r="O91" i="15"/>
  <c r="N91" i="15"/>
  <c r="M91" i="15"/>
  <c r="L91" i="15"/>
  <c r="K91" i="15"/>
  <c r="J91" i="15"/>
  <c r="I91" i="15"/>
  <c r="H91" i="15"/>
  <c r="G91" i="15"/>
  <c r="F91" i="15"/>
  <c r="E91" i="15"/>
  <c r="D91" i="15"/>
  <c r="C91" i="15"/>
  <c r="B91" i="15"/>
  <c r="V90" i="15"/>
  <c r="R90" i="15"/>
  <c r="Q90" i="15"/>
  <c r="P90" i="15"/>
  <c r="O90" i="15"/>
  <c r="N90" i="15"/>
  <c r="M90" i="15"/>
  <c r="L90" i="15"/>
  <c r="K90" i="15"/>
  <c r="J90" i="15"/>
  <c r="I90" i="15"/>
  <c r="H90" i="15"/>
  <c r="G90" i="15"/>
  <c r="F90" i="15"/>
  <c r="E90" i="15"/>
  <c r="D90" i="15"/>
  <c r="C90" i="15"/>
  <c r="B90" i="15"/>
  <c r="V89" i="15"/>
  <c r="R89" i="15"/>
  <c r="Q89" i="15"/>
  <c r="P89" i="15"/>
  <c r="O89" i="15"/>
  <c r="N89" i="15"/>
  <c r="M89" i="15"/>
  <c r="L89" i="15"/>
  <c r="K89" i="15"/>
  <c r="J89" i="15"/>
  <c r="I89" i="15"/>
  <c r="H89" i="15"/>
  <c r="G89" i="15"/>
  <c r="F89" i="15"/>
  <c r="E89" i="15"/>
  <c r="D89" i="15"/>
  <c r="C89" i="15"/>
  <c r="B89" i="15"/>
  <c r="V88" i="15"/>
  <c r="R88" i="15"/>
  <c r="Q88" i="15"/>
  <c r="P88" i="15"/>
  <c r="O88" i="15"/>
  <c r="N88" i="15"/>
  <c r="M88" i="15"/>
  <c r="L88" i="15"/>
  <c r="K88" i="15"/>
  <c r="J88" i="15"/>
  <c r="I88" i="15"/>
  <c r="H88" i="15"/>
  <c r="G88" i="15"/>
  <c r="F88" i="15"/>
  <c r="E88" i="15"/>
  <c r="D88" i="15"/>
  <c r="C88" i="15"/>
  <c r="B88" i="15"/>
  <c r="V87" i="15"/>
  <c r="R87" i="15"/>
  <c r="Q87" i="15"/>
  <c r="P87" i="15"/>
  <c r="O87" i="15"/>
  <c r="N87" i="15"/>
  <c r="M87" i="15"/>
  <c r="L87" i="15"/>
  <c r="K87" i="15"/>
  <c r="J87" i="15"/>
  <c r="I87" i="15"/>
  <c r="H87" i="15"/>
  <c r="G87" i="15"/>
  <c r="F87" i="15"/>
  <c r="E87" i="15"/>
  <c r="D87" i="15"/>
  <c r="C87" i="15"/>
  <c r="B87" i="15"/>
  <c r="E21" i="15"/>
  <c r="D21" i="15"/>
  <c r="C21" i="15"/>
  <c r="E20" i="15"/>
  <c r="D20" i="15"/>
  <c r="C20" i="15"/>
  <c r="E17" i="15"/>
  <c r="D17" i="15"/>
  <c r="C17" i="15"/>
  <c r="E16" i="15"/>
  <c r="D16" i="15"/>
  <c r="C16" i="15"/>
  <c r="E15" i="15"/>
  <c r="D15" i="15"/>
  <c r="C15" i="15"/>
  <c r="E14" i="15"/>
  <c r="D14" i="15"/>
  <c r="C14" i="15"/>
  <c r="G5" i="15"/>
  <c r="E109" i="12"/>
  <c r="D109" i="12"/>
  <c r="C109" i="12"/>
  <c r="B109" i="12"/>
  <c r="J97" i="12"/>
  <c r="I97" i="12"/>
  <c r="H97" i="12"/>
  <c r="G97" i="12"/>
  <c r="P84" i="12"/>
  <c r="O84" i="12"/>
  <c r="N84" i="12"/>
  <c r="M84" i="12"/>
  <c r="J84" i="12"/>
  <c r="I84" i="12"/>
  <c r="H84" i="12"/>
  <c r="P83" i="12"/>
  <c r="O83" i="12"/>
  <c r="N83" i="12"/>
  <c r="M83" i="12"/>
  <c r="J83" i="12"/>
  <c r="I83" i="12"/>
  <c r="H83" i="12"/>
  <c r="P82" i="12"/>
  <c r="O82" i="12"/>
  <c r="N82" i="12"/>
  <c r="M82" i="12"/>
  <c r="J82" i="12"/>
  <c r="I82" i="12"/>
  <c r="H82" i="12"/>
  <c r="P81" i="12"/>
  <c r="O81" i="12"/>
  <c r="N81" i="12"/>
  <c r="M81" i="12"/>
  <c r="J81" i="12"/>
  <c r="I81" i="12"/>
  <c r="H81" i="12"/>
  <c r="P80" i="12"/>
  <c r="O80" i="12"/>
  <c r="N80" i="12"/>
  <c r="M80" i="12"/>
  <c r="J80" i="12"/>
  <c r="I80" i="12"/>
  <c r="H80" i="12"/>
  <c r="P79" i="12"/>
  <c r="O79" i="12"/>
  <c r="N79" i="12"/>
  <c r="M79" i="12"/>
  <c r="J79" i="12"/>
  <c r="I79" i="12"/>
  <c r="H79" i="12"/>
  <c r="P78" i="12"/>
  <c r="O78" i="12"/>
  <c r="N78" i="12"/>
  <c r="M78" i="12"/>
  <c r="J78" i="12"/>
  <c r="I78" i="12"/>
  <c r="H78" i="12"/>
  <c r="P77" i="12"/>
  <c r="O77" i="12"/>
  <c r="N77" i="12"/>
  <c r="M77" i="12"/>
  <c r="J77" i="12"/>
  <c r="I77" i="12"/>
  <c r="H77" i="12"/>
  <c r="P76" i="12"/>
  <c r="O76" i="12"/>
  <c r="N76" i="12"/>
  <c r="M76" i="12"/>
  <c r="J76" i="12"/>
  <c r="I76" i="12"/>
  <c r="H76" i="12"/>
  <c r="P75" i="12"/>
  <c r="O75" i="12"/>
  <c r="N75" i="12"/>
  <c r="M75" i="12"/>
  <c r="J75" i="12"/>
  <c r="I75" i="12"/>
  <c r="H75" i="12"/>
  <c r="P74" i="12"/>
  <c r="O74" i="12"/>
  <c r="N74" i="12"/>
  <c r="M74" i="12"/>
  <c r="J74" i="12"/>
  <c r="I74" i="12"/>
  <c r="H74" i="12"/>
  <c r="P73" i="12"/>
  <c r="O73" i="12"/>
  <c r="N73" i="12"/>
  <c r="M73" i="12"/>
  <c r="J73" i="12"/>
  <c r="I73" i="12"/>
  <c r="H73" i="12"/>
  <c r="P72" i="12"/>
  <c r="O72" i="12"/>
  <c r="N72" i="12"/>
  <c r="M72" i="12"/>
  <c r="J72" i="12"/>
  <c r="I72" i="12"/>
  <c r="H72" i="12"/>
  <c r="P71" i="12"/>
  <c r="O71" i="12"/>
  <c r="N71" i="12"/>
  <c r="M71" i="12"/>
  <c r="J71" i="12"/>
  <c r="I71" i="12"/>
  <c r="H71" i="12"/>
  <c r="P70" i="12"/>
  <c r="O70" i="12"/>
  <c r="N70" i="12"/>
  <c r="M70" i="12"/>
  <c r="J70" i="12"/>
  <c r="I70" i="12"/>
  <c r="H70" i="12"/>
  <c r="P69" i="12"/>
  <c r="O69" i="12"/>
  <c r="N69" i="12"/>
  <c r="M69" i="12"/>
  <c r="J69" i="12"/>
  <c r="I69" i="12"/>
  <c r="H69" i="12"/>
  <c r="P68" i="12"/>
  <c r="O68" i="12"/>
  <c r="N68" i="12"/>
  <c r="M68" i="12"/>
  <c r="J68" i="12"/>
  <c r="I68" i="12"/>
  <c r="H68" i="12"/>
  <c r="P67" i="12"/>
  <c r="O67" i="12"/>
  <c r="N67" i="12"/>
  <c r="M67" i="12"/>
  <c r="J67" i="12"/>
  <c r="I67" i="12"/>
  <c r="H67" i="12"/>
  <c r="K39" i="12"/>
  <c r="J39" i="12"/>
  <c r="I39" i="12"/>
  <c r="H39" i="12"/>
  <c r="K38" i="12"/>
  <c r="J38" i="12"/>
  <c r="I38" i="12"/>
  <c r="H38" i="12"/>
  <c r="K37" i="12"/>
  <c r="J37" i="12"/>
  <c r="I37" i="12"/>
  <c r="H37" i="12"/>
  <c r="K36" i="12"/>
  <c r="J36" i="12"/>
  <c r="I36" i="12"/>
  <c r="H36" i="12"/>
  <c r="K35" i="12"/>
  <c r="J35" i="12"/>
  <c r="I35" i="12"/>
  <c r="H35" i="12"/>
  <c r="K34" i="12"/>
  <c r="J34" i="12"/>
  <c r="I34" i="12"/>
  <c r="H34" i="12"/>
  <c r="K33" i="12"/>
  <c r="J33" i="12"/>
  <c r="I33" i="12"/>
  <c r="H33" i="12"/>
  <c r="K32" i="12"/>
  <c r="J32" i="12"/>
  <c r="I32" i="12"/>
  <c r="H32" i="12"/>
  <c r="K31" i="12"/>
  <c r="J31" i="12"/>
  <c r="I31" i="12"/>
  <c r="H31" i="12"/>
  <c r="E31" i="12"/>
  <c r="D31" i="12"/>
  <c r="C31" i="12"/>
  <c r="B31" i="12"/>
  <c r="K30" i="12"/>
  <c r="J30" i="12"/>
  <c r="I30" i="12"/>
  <c r="H30" i="12"/>
  <c r="E30" i="12"/>
  <c r="D30" i="12"/>
  <c r="C30" i="12"/>
  <c r="B30" i="12"/>
  <c r="K29" i="12"/>
  <c r="J29" i="12"/>
  <c r="I29" i="12"/>
  <c r="H29" i="12"/>
  <c r="E29" i="12"/>
  <c r="D29" i="12"/>
  <c r="C29" i="12"/>
  <c r="B29" i="12"/>
  <c r="K28" i="12"/>
  <c r="J28" i="12"/>
  <c r="I28" i="12"/>
  <c r="H28" i="12"/>
  <c r="E28" i="12"/>
  <c r="D28" i="12"/>
  <c r="C28" i="12"/>
  <c r="B28" i="12"/>
  <c r="K27" i="12"/>
  <c r="J27" i="12"/>
  <c r="I27" i="12"/>
  <c r="H27" i="12"/>
  <c r="E27" i="12"/>
  <c r="D27" i="12"/>
  <c r="C27" i="12"/>
  <c r="B27" i="12"/>
  <c r="K18" i="12"/>
  <c r="K17" i="12"/>
  <c r="J17" i="12"/>
  <c r="I17" i="12"/>
  <c r="U88" i="14"/>
  <c r="T88" i="14"/>
  <c r="S88" i="14"/>
  <c r="U87" i="14"/>
  <c r="T87" i="14"/>
  <c r="S87" i="14"/>
  <c r="T85" i="14"/>
  <c r="S85" i="14"/>
  <c r="U84" i="14"/>
  <c r="T84" i="14"/>
  <c r="S84" i="14"/>
  <c r="U83" i="14"/>
  <c r="T83" i="14"/>
  <c r="S83" i="14"/>
  <c r="U82" i="14"/>
  <c r="T82" i="14"/>
  <c r="S82" i="14"/>
  <c r="U81" i="14"/>
  <c r="S78" i="14"/>
  <c r="T66" i="14"/>
  <c r="R66" i="14"/>
  <c r="Q66" i="14"/>
  <c r="P66" i="14"/>
  <c r="O66" i="14"/>
  <c r="N66" i="14"/>
  <c r="M66" i="14"/>
  <c r="L66" i="14"/>
  <c r="J66" i="14"/>
  <c r="I66" i="14"/>
  <c r="H66" i="14"/>
  <c r="G66" i="14"/>
  <c r="F66" i="14"/>
  <c r="E66" i="14"/>
  <c r="D66" i="14"/>
  <c r="C66" i="14"/>
  <c r="B66" i="14"/>
  <c r="V65" i="14"/>
  <c r="V64" i="14"/>
  <c r="V62" i="14"/>
  <c r="T58" i="14"/>
  <c r="K56" i="14"/>
  <c r="F56" i="14"/>
  <c r="E56" i="14"/>
  <c r="D56" i="14"/>
  <c r="C56" i="14"/>
  <c r="G55" i="14"/>
  <c r="F55" i="14"/>
  <c r="E55" i="14"/>
  <c r="D55" i="14"/>
  <c r="C55" i="14"/>
  <c r="B55" i="14"/>
  <c r="Q52" i="14"/>
  <c r="P52" i="14"/>
  <c r="O52" i="14"/>
  <c r="N52" i="14"/>
  <c r="M52" i="14"/>
  <c r="L52" i="14"/>
  <c r="J52" i="14"/>
  <c r="I52" i="14"/>
  <c r="H52" i="14"/>
  <c r="G52" i="14"/>
  <c r="F52" i="14"/>
  <c r="C49" i="14"/>
  <c r="V48" i="14"/>
  <c r="C47" i="14"/>
  <c r="C46" i="14"/>
  <c r="X36" i="14"/>
  <c r="X35" i="14"/>
  <c r="X34" i="14"/>
  <c r="J30" i="14"/>
  <c r="B30" i="14"/>
  <c r="R29" i="14"/>
  <c r="Q29" i="14"/>
  <c r="P29" i="14"/>
  <c r="O29" i="14"/>
  <c r="N29" i="14"/>
  <c r="M29" i="14"/>
  <c r="L29" i="14"/>
  <c r="J29" i="14"/>
  <c r="I29" i="14"/>
  <c r="G29" i="14"/>
  <c r="R28" i="14"/>
  <c r="Q28" i="14"/>
  <c r="P28" i="14"/>
  <c r="O28" i="14"/>
  <c r="N28" i="14"/>
  <c r="M28" i="14"/>
  <c r="L28" i="14"/>
  <c r="G28" i="14"/>
  <c r="B28" i="14"/>
  <c r="X27" i="14"/>
  <c r="X26" i="14"/>
  <c r="X24" i="14"/>
  <c r="V24" i="14"/>
  <c r="X23" i="14"/>
  <c r="V23" i="14"/>
  <c r="X22" i="14"/>
  <c r="X21" i="14"/>
  <c r="V21" i="14"/>
  <c r="K20" i="14"/>
  <c r="G20" i="14"/>
  <c r="F20" i="14"/>
  <c r="E20" i="14"/>
  <c r="C20" i="14"/>
  <c r="B20" i="14"/>
  <c r="X18" i="14"/>
  <c r="T17" i="14"/>
  <c r="X13" i="14"/>
  <c r="X9" i="14"/>
  <c r="X7" i="14"/>
  <c r="V7" i="14"/>
  <c r="U7" i="14"/>
  <c r="Q56" i="10"/>
  <c r="S52" i="10"/>
  <c r="N9" i="10"/>
  <c r="N13" i="10" s="1"/>
  <c r="K32" i="6"/>
  <c r="K31" i="6"/>
  <c r="K30" i="6"/>
  <c r="K29" i="6"/>
  <c r="K28" i="6"/>
  <c r="K27" i="6"/>
  <c r="K26" i="6"/>
  <c r="K25" i="6"/>
  <c r="K24" i="6"/>
  <c r="K23" i="6"/>
  <c r="K22" i="6"/>
  <c r="AE16" i="6"/>
  <c r="AD16" i="6"/>
  <c r="Z16" i="6"/>
  <c r="Y16" i="6"/>
  <c r="U16" i="6"/>
  <c r="AE15" i="6"/>
  <c r="AD15" i="6"/>
  <c r="AC15" i="6"/>
  <c r="AB15" i="6"/>
  <c r="Z15" i="6"/>
  <c r="Y15" i="6"/>
  <c r="U15" i="6"/>
  <c r="AD14" i="6"/>
  <c r="AC14" i="6"/>
  <c r="AB14" i="6"/>
  <c r="AA14" i="6"/>
  <c r="Z14" i="6"/>
  <c r="AE13" i="6"/>
  <c r="AD14" i="7" s="1"/>
  <c r="AD13" i="6"/>
  <c r="AC13" i="6"/>
  <c r="AB13" i="6"/>
  <c r="AA13" i="6"/>
  <c r="Z13" i="6"/>
  <c r="Y13" i="6"/>
  <c r="X13" i="6"/>
  <c r="W13" i="6"/>
  <c r="V13" i="6"/>
  <c r="U13" i="6"/>
  <c r="AE12" i="6"/>
  <c r="AD12" i="6"/>
  <c r="AC12" i="6"/>
  <c r="AB12" i="6"/>
  <c r="AA12" i="6"/>
  <c r="Z12" i="6"/>
  <c r="Y12" i="6"/>
  <c r="X12" i="6"/>
  <c r="W12" i="6"/>
  <c r="V12" i="6"/>
  <c r="U12" i="6"/>
  <c r="T13" i="7" s="1"/>
  <c r="AD11" i="6"/>
  <c r="AC12" i="7" s="1"/>
  <c r="AC11" i="6"/>
  <c r="AB12" i="7" s="1"/>
  <c r="AB11" i="6"/>
  <c r="AA12" i="7" s="1"/>
  <c r="Z11" i="6"/>
  <c r="Y12" i="7" s="1"/>
  <c r="Y11" i="6"/>
  <c r="X12" i="7" s="1"/>
  <c r="X11" i="6"/>
  <c r="W11" i="6"/>
  <c r="V12" i="7" s="1"/>
  <c r="V11" i="6"/>
  <c r="U12" i="7" s="1"/>
  <c r="U11" i="6"/>
  <c r="T12" i="7" s="1"/>
  <c r="P11" i="6"/>
  <c r="O12" i="7" s="1"/>
  <c r="M11" i="6"/>
  <c r="M12" i="7" s="1"/>
  <c r="L11" i="6"/>
  <c r="L12" i="7" s="1"/>
  <c r="K11" i="6"/>
  <c r="K12" i="7" s="1"/>
  <c r="I2" i="6"/>
  <c r="C1" i="6"/>
  <c r="D95" i="5"/>
  <c r="O90" i="5"/>
  <c r="AJ84" i="5"/>
  <c r="AI84" i="5"/>
  <c r="AH84" i="5"/>
  <c r="AG84" i="5"/>
  <c r="H84" i="5"/>
  <c r="H83" i="5"/>
  <c r="AM79" i="5"/>
  <c r="AL79" i="5"/>
  <c r="AK79" i="5"/>
  <c r="J25" i="9"/>
  <c r="Q20" i="14"/>
  <c r="P20" i="14"/>
  <c r="O20" i="14"/>
  <c r="N20" i="14"/>
  <c r="M72" i="5"/>
  <c r="M20" i="14"/>
  <c r="L20" i="14"/>
  <c r="J20" i="14"/>
  <c r="I20" i="14"/>
  <c r="D20" i="14"/>
  <c r="J56" i="14"/>
  <c r="I56" i="14"/>
  <c r="H56" i="14"/>
  <c r="G56" i="14"/>
  <c r="R55" i="14"/>
  <c r="Q55" i="14"/>
  <c r="P55" i="14"/>
  <c r="O55" i="14"/>
  <c r="N55" i="14"/>
  <c r="M55" i="14"/>
  <c r="L55" i="14"/>
  <c r="J55" i="14"/>
  <c r="I55" i="14"/>
  <c r="H55" i="14"/>
  <c r="AE55" i="5"/>
  <c r="AK50" i="5"/>
  <c r="P47" i="14"/>
  <c r="O47" i="14"/>
  <c r="N47" i="14"/>
  <c r="M47" i="14"/>
  <c r="J47" i="14"/>
  <c r="I47" i="14"/>
  <c r="H47" i="14"/>
  <c r="E47" i="14"/>
  <c r="O46" i="14"/>
  <c r="L46" i="14"/>
  <c r="J46" i="14"/>
  <c r="I46" i="14"/>
  <c r="E46" i="14"/>
  <c r="AM46" i="5"/>
  <c r="AL46" i="5"/>
  <c r="AK46" i="5"/>
  <c r="H46" i="5"/>
  <c r="AK44" i="5"/>
  <c r="F44" i="5"/>
  <c r="F84" i="5" s="1"/>
  <c r="AL44" i="5" s="1"/>
  <c r="C39" i="5"/>
  <c r="I37" i="5"/>
  <c r="L2" i="5"/>
  <c r="G1" i="5"/>
  <c r="AD16" i="7"/>
  <c r="AC16" i="7"/>
  <c r="X16" i="7"/>
  <c r="T16" i="7"/>
  <c r="AE15" i="7"/>
  <c r="W12" i="7"/>
  <c r="I3" i="7"/>
  <c r="C2" i="7"/>
  <c r="I2" i="8"/>
  <c r="C1" i="8"/>
  <c r="E55" i="9"/>
  <c r="F52" i="9"/>
  <c r="F48" i="9"/>
  <c r="K42" i="9"/>
  <c r="J42" i="9"/>
  <c r="C36" i="9"/>
  <c r="C35" i="9"/>
  <c r="C34" i="9"/>
  <c r="C33" i="9"/>
  <c r="C32" i="9"/>
  <c r="C31" i="9"/>
  <c r="E30" i="9"/>
  <c r="C29" i="9"/>
  <c r="P28" i="9"/>
  <c r="E28" i="9"/>
  <c r="C28" i="9"/>
  <c r="P27" i="9"/>
  <c r="K27" i="9"/>
  <c r="E27" i="9"/>
  <c r="C27" i="9"/>
  <c r="S26" i="9"/>
  <c r="P26" i="9"/>
  <c r="E26" i="9"/>
  <c r="C26" i="9"/>
  <c r="E25" i="9"/>
  <c r="E24" i="9"/>
  <c r="C24" i="9"/>
  <c r="E23" i="9"/>
  <c r="J22" i="9"/>
  <c r="I22" i="9"/>
  <c r="E22" i="9"/>
  <c r="C22" i="9"/>
  <c r="E21" i="9"/>
  <c r="E20" i="9"/>
  <c r="J19" i="9"/>
  <c r="E19" i="9"/>
  <c r="J18" i="9"/>
  <c r="I18" i="9"/>
  <c r="J17" i="9"/>
  <c r="I17" i="9"/>
  <c r="J16" i="9"/>
  <c r="I16" i="9"/>
  <c r="E16" i="9"/>
  <c r="E14" i="9"/>
  <c r="E11" i="9"/>
  <c r="E10" i="9"/>
  <c r="E8" i="9"/>
  <c r="E7" i="9"/>
  <c r="P5" i="9"/>
  <c r="E5" i="9"/>
  <c r="B32" i="10" l="1"/>
  <c r="F46" i="14"/>
  <c r="S83" i="5"/>
  <c r="I43" i="5"/>
  <c r="I42" i="5"/>
  <c r="P32" i="9" s="1"/>
  <c r="B39" i="10"/>
  <c r="S47" i="5"/>
  <c r="S60" i="5" s="1"/>
  <c r="S84" i="5" s="1"/>
  <c r="AL65" i="5" s="1"/>
  <c r="AC13" i="7"/>
  <c r="Z14" i="7"/>
  <c r="K47" i="5"/>
  <c r="K84" i="5" s="1"/>
  <c r="AL57" i="5" s="1"/>
  <c r="T47" i="5"/>
  <c r="T60" i="5" s="1"/>
  <c r="Z13" i="7"/>
  <c r="AB13" i="7"/>
  <c r="Y14" i="7"/>
  <c r="O49" i="14"/>
  <c r="O53" i="14" s="1"/>
  <c r="O81" i="14" s="1"/>
  <c r="W14" i="7"/>
  <c r="AA13" i="7"/>
  <c r="X14" i="7"/>
  <c r="R20" i="14"/>
  <c r="V13" i="7"/>
  <c r="AD13" i="7"/>
  <c r="AA14" i="7"/>
  <c r="W13" i="7"/>
  <c r="T14" i="7"/>
  <c r="AB14" i="7"/>
  <c r="AA47" i="5"/>
  <c r="AA60" i="5" s="1"/>
  <c r="N57" i="14" s="1"/>
  <c r="N16" i="14" s="1"/>
  <c r="N17" i="14" s="1"/>
  <c r="X13" i="7"/>
  <c r="U14" i="7"/>
  <c r="AC14" i="7"/>
  <c r="X70" i="5"/>
  <c r="Y13" i="7"/>
  <c r="V14" i="7"/>
  <c r="B46" i="10"/>
  <c r="H20" i="14"/>
  <c r="E34" i="9"/>
  <c r="F20" i="9" s="1"/>
  <c r="U13" i="7"/>
  <c r="N47" i="5"/>
  <c r="E29" i="9"/>
  <c r="X47" i="5"/>
  <c r="AE47" i="5"/>
  <c r="AE60" i="5" s="1"/>
  <c r="R57" i="14" s="1"/>
  <c r="M47" i="5"/>
  <c r="M84" i="5" s="1"/>
  <c r="AL59" i="5" s="1"/>
  <c r="I49" i="14"/>
  <c r="I53" i="14" s="1"/>
  <c r="I81" i="14" s="1"/>
  <c r="Z83" i="5"/>
  <c r="AD47" i="5"/>
  <c r="AD60" i="5" s="1"/>
  <c r="AC17" i="7" s="1"/>
  <c r="W47" i="5"/>
  <c r="W59" i="5" s="1"/>
  <c r="J57" i="14" s="1"/>
  <c r="K47" i="14"/>
  <c r="J56" i="5"/>
  <c r="V55" i="14"/>
  <c r="E49" i="14"/>
  <c r="E92" i="14" s="1"/>
  <c r="G46" i="14"/>
  <c r="R47" i="5"/>
  <c r="Z47" i="5"/>
  <c r="Z60" i="5" s="1"/>
  <c r="M57" i="14" s="1"/>
  <c r="M16" i="14" s="1"/>
  <c r="M17" i="14" s="1"/>
  <c r="J49" i="14"/>
  <c r="J53" i="14" s="1"/>
  <c r="J81" i="14" s="1"/>
  <c r="AA83" i="5"/>
  <c r="AK48" i="5"/>
  <c r="V83" i="5"/>
  <c r="V47" i="5"/>
  <c r="V60" i="5" s="1"/>
  <c r="AJ68" i="5" s="1"/>
  <c r="I30" i="14" s="1"/>
  <c r="L47" i="5"/>
  <c r="Y58" i="5" s="1"/>
  <c r="L56" i="14" s="1"/>
  <c r="U83" i="5"/>
  <c r="Y47" i="5"/>
  <c r="Y60" i="5" s="1"/>
  <c r="AC47" i="5"/>
  <c r="AC60" i="5" s="1"/>
  <c r="P57" i="14" s="1"/>
  <c r="P16" i="14" s="1"/>
  <c r="P17" i="14" s="1"/>
  <c r="K46" i="14"/>
  <c r="AB83" i="5"/>
  <c r="AM44" i="5"/>
  <c r="G47" i="14"/>
  <c r="Q53" i="5"/>
  <c r="L47" i="14"/>
  <c r="P46" i="14"/>
  <c r="P49" i="14" s="1"/>
  <c r="P53" i="14" s="1"/>
  <c r="P81" i="14" s="1"/>
  <c r="O47" i="5"/>
  <c r="O51" i="5" s="1"/>
  <c r="AB47" i="5"/>
  <c r="AB60" i="5" s="1"/>
  <c r="O57" i="14" s="1"/>
  <c r="O16" i="14" s="1"/>
  <c r="O17" i="14" s="1"/>
  <c r="AK49" i="5"/>
  <c r="Q47" i="14"/>
  <c r="F47" i="14"/>
  <c r="AE83" i="5"/>
  <c r="W83" i="5"/>
  <c r="AC83" i="5"/>
  <c r="D46" i="14"/>
  <c r="H46" i="14"/>
  <c r="H49" i="14" s="1"/>
  <c r="H53" i="14" s="1"/>
  <c r="H81" i="14" s="1"/>
  <c r="M46" i="14"/>
  <c r="M49" i="14" s="1"/>
  <c r="M53" i="14" s="1"/>
  <c r="M81" i="14" s="1"/>
  <c r="B47" i="14"/>
  <c r="Q47" i="5"/>
  <c r="U47" i="5"/>
  <c r="U60" i="5" s="1"/>
  <c r="N46" i="14"/>
  <c r="N49" i="14" s="1"/>
  <c r="N53" i="14" s="1"/>
  <c r="N81" i="14" s="1"/>
  <c r="T83" i="5"/>
  <c r="AK52" i="5"/>
  <c r="F83" i="5"/>
  <c r="AD83" i="5"/>
  <c r="Q46" i="14"/>
  <c r="Y83" i="5"/>
  <c r="AK54" i="5"/>
  <c r="F49" i="14" l="1"/>
  <c r="F53" i="14" s="1"/>
  <c r="F81" i="14" s="1"/>
  <c r="B53" i="10"/>
  <c r="B54" i="10" s="1"/>
  <c r="N42" i="5"/>
  <c r="N37" i="5" s="1"/>
  <c r="O83" i="5"/>
  <c r="K14" i="14"/>
  <c r="V14" i="14" s="1"/>
  <c r="X14" i="14" s="1"/>
  <c r="C52" i="10"/>
  <c r="AK53" i="5"/>
  <c r="B46" i="14"/>
  <c r="C49" i="10"/>
  <c r="C48" i="10"/>
  <c r="C50" i="10"/>
  <c r="C47" i="10"/>
  <c r="V20" i="14"/>
  <c r="K61" i="14" s="1"/>
  <c r="V61" i="14" s="1"/>
  <c r="AI57" i="5"/>
  <c r="AK57" i="5" s="1"/>
  <c r="AM57" i="5" s="1"/>
  <c r="O60" i="5"/>
  <c r="O84" i="5" s="1"/>
  <c r="F16" i="9"/>
  <c r="F19" i="9"/>
  <c r="F28" i="9"/>
  <c r="I84" i="5"/>
  <c r="AL47" i="5" s="1"/>
  <c r="F22" i="9"/>
  <c r="F21" i="9"/>
  <c r="F24" i="9"/>
  <c r="AH68" i="5"/>
  <c r="AK68" i="5" s="1"/>
  <c r="F25" i="9"/>
  <c r="Q49" i="14"/>
  <c r="Q53" i="14" s="1"/>
  <c r="Q81" i="14" s="1"/>
  <c r="L84" i="5"/>
  <c r="AL58" i="5" s="1"/>
  <c r="AB58" i="5"/>
  <c r="O56" i="14" s="1"/>
  <c r="O58" i="14" s="1"/>
  <c r="F33" i="9"/>
  <c r="F14" i="9"/>
  <c r="F32" i="9"/>
  <c r="F17" i="9"/>
  <c r="F31" i="9"/>
  <c r="F23" i="9"/>
  <c r="F18" i="9"/>
  <c r="F15" i="9"/>
  <c r="F26" i="9"/>
  <c r="I57" i="14"/>
  <c r="I58" i="14" s="1"/>
  <c r="F29" i="9"/>
  <c r="F27" i="9"/>
  <c r="F30" i="9"/>
  <c r="AI59" i="5"/>
  <c r="AK59" i="5" s="1"/>
  <c r="AM59" i="5" s="1"/>
  <c r="AH69" i="5"/>
  <c r="J28" i="14" s="1"/>
  <c r="J31" i="14" s="1"/>
  <c r="J82" i="14" s="1"/>
  <c r="D43" i="10" s="1"/>
  <c r="G49" i="14"/>
  <c r="G53" i="14" s="1"/>
  <c r="G81" i="14" s="1"/>
  <c r="AD58" i="5"/>
  <c r="AC15" i="7" s="1"/>
  <c r="Z58" i="5"/>
  <c r="AJ72" i="5" s="1"/>
  <c r="AA58" i="5"/>
  <c r="N56" i="14" s="1"/>
  <c r="N58" i="14" s="1"/>
  <c r="K49" i="14"/>
  <c r="Q25" i="9"/>
  <c r="AK47" i="5"/>
  <c r="L49" i="14"/>
  <c r="L53" i="14" s="1"/>
  <c r="L81" i="14" s="1"/>
  <c r="AE58" i="5"/>
  <c r="R56" i="14" s="1"/>
  <c r="AC58" i="5"/>
  <c r="P56" i="14" s="1"/>
  <c r="P58" i="14" s="1"/>
  <c r="P78" i="14" s="1"/>
  <c r="AK51" i="5"/>
  <c r="D47" i="14"/>
  <c r="V47" i="14" s="1"/>
  <c r="Q57" i="14"/>
  <c r="Q16" i="14" s="1"/>
  <c r="Q17" i="14" s="1"/>
  <c r="AE17" i="7"/>
  <c r="AJ67" i="5"/>
  <c r="H30" i="14" s="1"/>
  <c r="AH67" i="5"/>
  <c r="AI67" i="5"/>
  <c r="H29" i="14" s="1"/>
  <c r="H57" i="14"/>
  <c r="AK45" i="5"/>
  <c r="AL54" i="5" s="1"/>
  <c r="G45" i="5"/>
  <c r="P33" i="9"/>
  <c r="AK43" i="5"/>
  <c r="E43" i="5"/>
  <c r="J58" i="14"/>
  <c r="J16" i="14"/>
  <c r="J17" i="14" s="1"/>
  <c r="AJ66" i="5"/>
  <c r="G57" i="14"/>
  <c r="T17" i="7"/>
  <c r="L57" i="14"/>
  <c r="L16" i="14" s="1"/>
  <c r="L17" i="14" s="1"/>
  <c r="X17" i="7"/>
  <c r="AJ71" i="5"/>
  <c r="F57" i="14"/>
  <c r="AH65" i="5"/>
  <c r="AJ65" i="5"/>
  <c r="AI65" i="5"/>
  <c r="D42" i="5" l="1"/>
  <c r="D83" i="5" s="1"/>
  <c r="AL42" i="5" s="1"/>
  <c r="F92" i="14"/>
  <c r="G38" i="10" s="1"/>
  <c r="V46" i="14"/>
  <c r="B49" i="14"/>
  <c r="B53" i="14" s="1"/>
  <c r="B81" i="14" s="1"/>
  <c r="B83" i="14" s="1"/>
  <c r="AK42" i="5"/>
  <c r="U5" i="14" s="1"/>
  <c r="V5" i="14" s="1"/>
  <c r="AI61" i="5"/>
  <c r="B29" i="14" s="1"/>
  <c r="V25" i="14"/>
  <c r="N83" i="14"/>
  <c r="E48" i="10" s="1"/>
  <c r="B57" i="14"/>
  <c r="B16" i="14" s="1"/>
  <c r="B17" i="14" s="1"/>
  <c r="O83" i="14"/>
  <c r="C45" i="10"/>
  <c r="L83" i="14"/>
  <c r="C51" i="10"/>
  <c r="AF15" i="7"/>
  <c r="P83" i="14"/>
  <c r="E50" i="10" s="1"/>
  <c r="J83" i="14"/>
  <c r="J84" i="14" s="1"/>
  <c r="L43" i="10" s="1"/>
  <c r="C43" i="10"/>
  <c r="K66" i="14"/>
  <c r="AA15" i="7"/>
  <c r="AJ74" i="5"/>
  <c r="O30" i="14" s="1"/>
  <c r="O31" i="14" s="1"/>
  <c r="O82" i="14" s="1"/>
  <c r="D49" i="10" s="1"/>
  <c r="I16" i="14"/>
  <c r="I17" i="14" s="1"/>
  <c r="AB15" i="7"/>
  <c r="X25" i="9"/>
  <c r="Y15" i="7"/>
  <c r="I28" i="14"/>
  <c r="I31" i="14" s="1"/>
  <c r="I82" i="14" s="1"/>
  <c r="D42" i="10" s="1"/>
  <c r="AM47" i="5"/>
  <c r="R58" i="14"/>
  <c r="R92" i="14"/>
  <c r="G52" i="10" s="1"/>
  <c r="H52" i="10" s="1"/>
  <c r="AK69" i="5"/>
  <c r="H38" i="10"/>
  <c r="AJ76" i="5"/>
  <c r="AK76" i="5" s="1"/>
  <c r="Q56" i="14"/>
  <c r="Q58" i="14" s="1"/>
  <c r="Q78" i="14" s="1"/>
  <c r="N78" i="14"/>
  <c r="Z15" i="7"/>
  <c r="AJ73" i="5"/>
  <c r="N30" i="14" s="1"/>
  <c r="N31" i="14" s="1"/>
  <c r="N82" i="14" s="1"/>
  <c r="D48" i="10" s="1"/>
  <c r="AJ75" i="5"/>
  <c r="AK75" i="5" s="1"/>
  <c r="D84" i="5"/>
  <c r="M56" i="14"/>
  <c r="AD15" i="7"/>
  <c r="AJ77" i="5"/>
  <c r="J26" i="9"/>
  <c r="J27" i="9" s="1"/>
  <c r="J28" i="9" s="1"/>
  <c r="J29" i="9" s="1"/>
  <c r="K28" i="9" s="1"/>
  <c r="V66" i="14"/>
  <c r="X20" i="14"/>
  <c r="D49" i="14"/>
  <c r="D92" i="14" s="1"/>
  <c r="G35" i="10" s="1"/>
  <c r="H35" i="10" s="1"/>
  <c r="V49" i="14"/>
  <c r="AI58" i="5"/>
  <c r="L58" i="14"/>
  <c r="I78" i="14"/>
  <c r="J78" i="14"/>
  <c r="U6" i="14"/>
  <c r="G84" i="5"/>
  <c r="AL45" i="5" s="1"/>
  <c r="AM45" i="5" s="1"/>
  <c r="G83" i="5"/>
  <c r="H28" i="14"/>
  <c r="AK67" i="5"/>
  <c r="P34" i="9"/>
  <c r="Q32" i="9" s="1"/>
  <c r="AA27" i="9" s="1"/>
  <c r="AL49" i="5"/>
  <c r="AL53" i="5" s="1"/>
  <c r="H58" i="14"/>
  <c r="H16" i="14"/>
  <c r="H17" i="14" s="1"/>
  <c r="E84" i="5"/>
  <c r="AL43" i="5" s="1"/>
  <c r="AM43" i="5" s="1"/>
  <c r="E83" i="5"/>
  <c r="AK71" i="5"/>
  <c r="L30" i="14"/>
  <c r="L31" i="14" s="1"/>
  <c r="L82" i="14" s="1"/>
  <c r="D45" i="10" s="1"/>
  <c r="G58" i="14"/>
  <c r="G16" i="14"/>
  <c r="G17" i="14" s="1"/>
  <c r="G30" i="14"/>
  <c r="G31" i="14" s="1"/>
  <c r="G82" i="14" s="1"/>
  <c r="D40" i="10" s="1"/>
  <c r="AK66" i="5"/>
  <c r="M30" i="14"/>
  <c r="M31" i="14" s="1"/>
  <c r="M82" i="14" s="1"/>
  <c r="D47" i="10" s="1"/>
  <c r="AK72" i="5"/>
  <c r="O78" i="14"/>
  <c r="AK65" i="5"/>
  <c r="AM65" i="5" s="1"/>
  <c r="F16" i="14"/>
  <c r="F17" i="14" s="1"/>
  <c r="F58" i="14"/>
  <c r="X5" i="14" l="1"/>
  <c r="B58" i="14"/>
  <c r="AK61" i="5"/>
  <c r="X25" i="14"/>
  <c r="AL51" i="5"/>
  <c r="AM42" i="5"/>
  <c r="AK37" i="5"/>
  <c r="B31" i="14"/>
  <c r="B37" i="14" s="1"/>
  <c r="H31" i="14"/>
  <c r="H82" i="14" s="1"/>
  <c r="D41" i="10" s="1"/>
  <c r="O84" i="14"/>
  <c r="L49" i="10" s="1"/>
  <c r="Q83" i="14"/>
  <c r="E51" i="10" s="1"/>
  <c r="L84" i="14"/>
  <c r="L45" i="10" s="1"/>
  <c r="C38" i="10"/>
  <c r="F83" i="14"/>
  <c r="R78" i="14"/>
  <c r="R83" i="14"/>
  <c r="G83" i="14"/>
  <c r="G84" i="14" s="1"/>
  <c r="L40" i="10" s="1"/>
  <c r="C40" i="10"/>
  <c r="C42" i="10"/>
  <c r="I83" i="14"/>
  <c r="I84" i="14" s="1"/>
  <c r="L42" i="10" s="1"/>
  <c r="M58" i="14"/>
  <c r="M78" i="14" s="1"/>
  <c r="M83" i="14"/>
  <c r="M84" i="14" s="1"/>
  <c r="L47" i="10" s="1"/>
  <c r="C33" i="10"/>
  <c r="H83" i="14"/>
  <c r="C41" i="10"/>
  <c r="N84" i="14"/>
  <c r="L48" i="10" s="1"/>
  <c r="G50" i="10"/>
  <c r="H50" i="10" s="1"/>
  <c r="G48" i="10"/>
  <c r="H48" i="10" s="1"/>
  <c r="AK74" i="5"/>
  <c r="AK73" i="5"/>
  <c r="P30" i="14"/>
  <c r="P31" i="14" s="1"/>
  <c r="P82" i="14" s="1"/>
  <c r="D50" i="10" s="1"/>
  <c r="Q30" i="14"/>
  <c r="Q31" i="14" s="1"/>
  <c r="Q82" i="14" s="1"/>
  <c r="D51" i="10" s="1"/>
  <c r="L78" i="14"/>
  <c r="V56" i="14"/>
  <c r="I48" i="10"/>
  <c r="K48" i="10"/>
  <c r="I50" i="10"/>
  <c r="K50" i="10"/>
  <c r="R30" i="14"/>
  <c r="R31" i="14" s="1"/>
  <c r="R82" i="14" s="1"/>
  <c r="D52" i="10" s="1"/>
  <c r="AK77" i="5"/>
  <c r="Q33" i="9"/>
  <c r="AK58" i="5"/>
  <c r="AM58" i="5" s="1"/>
  <c r="U8" i="14"/>
  <c r="V8" i="14" s="1"/>
  <c r="X8" i="14" s="1"/>
  <c r="V6" i="14"/>
  <c r="X6" i="14" s="1"/>
  <c r="H78" i="14"/>
  <c r="E43" i="10"/>
  <c r="G78" i="14"/>
  <c r="E49" i="10"/>
  <c r="E45" i="10"/>
  <c r="B78" i="14"/>
  <c r="F31" i="14"/>
  <c r="F82" i="14" s="1"/>
  <c r="D38" i="10" s="1"/>
  <c r="F78" i="14"/>
  <c r="H84" i="14" l="1"/>
  <c r="L41" i="10" s="1"/>
  <c r="B82" i="14"/>
  <c r="B84" i="14" s="1"/>
  <c r="K15" i="14"/>
  <c r="V15" i="14" s="1"/>
  <c r="X15" i="14" s="1"/>
  <c r="Q84" i="14"/>
  <c r="R84" i="14"/>
  <c r="L52" i="10" s="1"/>
  <c r="E47" i="10"/>
  <c r="E52" i="10"/>
  <c r="F84" i="14"/>
  <c r="L38" i="10" s="1"/>
  <c r="E42" i="10"/>
  <c r="P84" i="14"/>
  <c r="G51" i="10"/>
  <c r="H51" i="10" s="1"/>
  <c r="G45" i="10"/>
  <c r="H45" i="10" s="1"/>
  <c r="K49" i="10"/>
  <c r="G49" i="10"/>
  <c r="H49" i="10" s="1"/>
  <c r="L88" i="14"/>
  <c r="I45" i="10"/>
  <c r="K45" i="10"/>
  <c r="I51" i="10"/>
  <c r="K51" i="10"/>
  <c r="I43" i="10"/>
  <c r="K43" i="10"/>
  <c r="E41" i="10"/>
  <c r="I88" i="14"/>
  <c r="J88" i="14"/>
  <c r="E40" i="10"/>
  <c r="Q57" i="10"/>
  <c r="Q58" i="10" s="1"/>
  <c r="S53" i="10"/>
  <c r="Q54" i="10" s="1"/>
  <c r="E33" i="10"/>
  <c r="E38" i="10"/>
  <c r="F37" i="14"/>
  <c r="F79" i="14" s="1"/>
  <c r="C69" i="10" l="1"/>
  <c r="K47" i="10"/>
  <c r="G42" i="10"/>
  <c r="H42" i="10" s="1"/>
  <c r="G33" i="10"/>
  <c r="G32" i="10" s="1"/>
  <c r="I52" i="10"/>
  <c r="D33" i="10"/>
  <c r="L33" i="10"/>
  <c r="L57" i="10"/>
  <c r="L58" i="10" s="1"/>
  <c r="L59" i="10" s="1"/>
  <c r="L50" i="10"/>
  <c r="Q88" i="14"/>
  <c r="L51" i="10"/>
  <c r="E46" i="10"/>
  <c r="G47" i="10"/>
  <c r="H47" i="10" s="1"/>
  <c r="I42" i="10"/>
  <c r="K42" i="10"/>
  <c r="I47" i="10"/>
  <c r="G41" i="10"/>
  <c r="H41" i="10" s="1"/>
  <c r="N48" i="10"/>
  <c r="G40" i="10"/>
  <c r="H40" i="10" s="1"/>
  <c r="N49" i="10"/>
  <c r="N88" i="14"/>
  <c r="O88" i="14"/>
  <c r="D46" i="10"/>
  <c r="K33" i="10"/>
  <c r="P38" i="10"/>
  <c r="N45" i="10"/>
  <c r="M88" i="14"/>
  <c r="I87" i="14"/>
  <c r="J87" i="14"/>
  <c r="P88" i="14"/>
  <c r="N87" i="14"/>
  <c r="O87" i="14"/>
  <c r="R88" i="14"/>
  <c r="N52" i="10"/>
  <c r="K38" i="10"/>
  <c r="I41" i="10"/>
  <c r="K41" i="10"/>
  <c r="I40" i="10"/>
  <c r="K40" i="10"/>
  <c r="I33" i="10"/>
  <c r="I38" i="10"/>
  <c r="P43" i="10"/>
  <c r="N43" i="10"/>
  <c r="P42" i="10"/>
  <c r="N42" i="10"/>
  <c r="H88" i="14"/>
  <c r="G88" i="14"/>
  <c r="P47" i="10"/>
  <c r="N47" i="10"/>
  <c r="I46" i="10" l="1"/>
  <c r="P51" i="10"/>
  <c r="P50" i="10"/>
  <c r="P33" i="10"/>
  <c r="B88" i="14"/>
  <c r="N50" i="10"/>
  <c r="N33" i="10"/>
  <c r="L46" i="10"/>
  <c r="G46" i="10"/>
  <c r="H46" i="10" s="1"/>
  <c r="P48" i="10"/>
  <c r="P49" i="10"/>
  <c r="P87" i="14"/>
  <c r="F87" i="14"/>
  <c r="H33" i="10"/>
  <c r="H32" i="10"/>
  <c r="N38" i="10"/>
  <c r="F88" i="14"/>
  <c r="F85" i="14"/>
  <c r="N51" i="10"/>
  <c r="P45" i="10"/>
  <c r="L87" i="14"/>
  <c r="H87" i="14"/>
  <c r="G87" i="14"/>
  <c r="B87" i="14"/>
  <c r="R87" i="14"/>
  <c r="M87" i="14"/>
  <c r="B56" i="10"/>
  <c r="B57" i="10" s="1"/>
  <c r="B58" i="10" s="1"/>
  <c r="P52" i="10"/>
  <c r="C70" i="10"/>
  <c r="C25" i="10"/>
  <c r="Q87" i="14"/>
  <c r="P41" i="10"/>
  <c r="N41" i="10"/>
  <c r="P40" i="10"/>
  <c r="N40" i="10"/>
  <c r="N46" i="10" l="1"/>
  <c r="C46" i="10"/>
  <c r="AF84" i="5"/>
  <c r="E51" i="14" l="1"/>
  <c r="E52" i="14" s="1"/>
  <c r="E53" i="14" s="1"/>
  <c r="E81" i="14" s="1"/>
  <c r="E83" i="14" s="1"/>
  <c r="R83" i="5"/>
  <c r="R60" i="5"/>
  <c r="C30" i="14"/>
  <c r="P83" i="5"/>
  <c r="D51" i="14"/>
  <c r="D52" i="14" s="1"/>
  <c r="D53" i="14" s="1"/>
  <c r="D81" i="14" s="1"/>
  <c r="Q60" i="5"/>
  <c r="D57" i="14" s="1"/>
  <c r="Q83" i="5"/>
  <c r="D29" i="14"/>
  <c r="E29" i="14"/>
  <c r="D30" i="14"/>
  <c r="C29" i="14"/>
  <c r="C31" i="14" s="1"/>
  <c r="E28" i="14" l="1"/>
  <c r="D28" i="14"/>
  <c r="D31" i="14" s="1"/>
  <c r="D82" i="14" s="1"/>
  <c r="D35" i="10" s="1"/>
  <c r="AK63" i="5"/>
  <c r="D58" i="14"/>
  <c r="D16" i="14"/>
  <c r="D17" i="14" s="1"/>
  <c r="E57" i="14"/>
  <c r="E30" i="14"/>
  <c r="V30" i="14" s="1"/>
  <c r="AK62" i="5"/>
  <c r="C51" i="14"/>
  <c r="P60" i="5"/>
  <c r="E31" i="14" l="1"/>
  <c r="E82" i="14" s="1"/>
  <c r="E84" i="14" s="1"/>
  <c r="D83" i="14"/>
  <c r="D84" i="14" s="1"/>
  <c r="L35" i="10" s="1"/>
  <c r="C35" i="10"/>
  <c r="C52" i="14"/>
  <c r="C53" i="14" s="1"/>
  <c r="C81" i="14" s="1"/>
  <c r="V72" i="14"/>
  <c r="X30" i="14" s="1"/>
  <c r="U72" i="14"/>
  <c r="C57" i="14"/>
  <c r="C82" i="14"/>
  <c r="D34" i="10" s="1"/>
  <c r="D78" i="14"/>
  <c r="E58" i="14"/>
  <c r="E16" i="14"/>
  <c r="E17" i="14" s="1"/>
  <c r="AK64" i="5"/>
  <c r="D37" i="10"/>
  <c r="E35" i="10" l="1"/>
  <c r="L37" i="10"/>
  <c r="C37" i="10"/>
  <c r="D88" i="14"/>
  <c r="C58" i="14"/>
  <c r="C16" i="14"/>
  <c r="E78" i="14"/>
  <c r="K35" i="10" l="1"/>
  <c r="I35" i="10"/>
  <c r="N35" i="10"/>
  <c r="D32" i="10"/>
  <c r="C78" i="14"/>
  <c r="E37" i="10"/>
  <c r="C17" i="14"/>
  <c r="C83" i="14" l="1"/>
  <c r="C34" i="10"/>
  <c r="P35" i="10"/>
  <c r="D87" i="14"/>
  <c r="K37" i="10"/>
  <c r="I37" i="10"/>
  <c r="E88" i="14"/>
  <c r="C84" i="14" l="1"/>
  <c r="E34" i="10"/>
  <c r="C87" i="14"/>
  <c r="E87" i="14"/>
  <c r="P37" i="10"/>
  <c r="N37" i="10"/>
  <c r="L34" i="10" l="1"/>
  <c r="L32" i="10" s="1"/>
  <c r="I34" i="10"/>
  <c r="K34" i="10"/>
  <c r="E32" i="10"/>
  <c r="C88" i="14"/>
  <c r="C32" i="10"/>
  <c r="N41" i="5"/>
  <c r="C41" i="5" s="1"/>
  <c r="I32" i="10" l="1"/>
  <c r="N32" i="10"/>
  <c r="P34" i="10"/>
  <c r="N34" i="10"/>
  <c r="AH70" i="5"/>
  <c r="K51" i="14"/>
  <c r="V51" i="14" s="1"/>
  <c r="X60" i="5"/>
  <c r="X83" i="5"/>
  <c r="AK55" i="5"/>
  <c r="AE78" i="5" l="1"/>
  <c r="AK41" i="5"/>
  <c r="K52" i="14"/>
  <c r="K53" i="14" s="1"/>
  <c r="K81" i="14" s="1"/>
  <c r="V52" i="14"/>
  <c r="X78" i="5"/>
  <c r="AC78" i="5"/>
  <c r="AD78" i="5"/>
  <c r="Y78" i="5"/>
  <c r="Q78" i="5"/>
  <c r="V78" i="5"/>
  <c r="AB78" i="5"/>
  <c r="W78" i="5"/>
  <c r="T78" i="5"/>
  <c r="Z78" i="5"/>
  <c r="U78" i="5"/>
  <c r="P78" i="5"/>
  <c r="P84" i="5" s="1"/>
  <c r="B34" i="14"/>
  <c r="R78" i="5"/>
  <c r="AA78" i="5"/>
  <c r="K57" i="14"/>
  <c r="AK60" i="5"/>
  <c r="K28" i="14"/>
  <c r="V28" i="14" s="1"/>
  <c r="AK70" i="5"/>
  <c r="V53" i="14" l="1"/>
  <c r="B79" i="14"/>
  <c r="B85" i="14"/>
  <c r="V84" i="5"/>
  <c r="AL68" i="5" s="1"/>
  <c r="AM68" i="5" s="1"/>
  <c r="I34" i="14"/>
  <c r="I33" i="14" s="1"/>
  <c r="T84" i="5"/>
  <c r="AL66" i="5" s="1"/>
  <c r="AM66" i="5" s="1"/>
  <c r="G34" i="14"/>
  <c r="G33" i="14" s="1"/>
  <c r="X84" i="5"/>
  <c r="AL70" i="5" s="1"/>
  <c r="AM70" i="5" s="1"/>
  <c r="K34" i="14"/>
  <c r="K33" i="14" s="1"/>
  <c r="R84" i="5"/>
  <c r="AL64" i="5" s="1"/>
  <c r="AM64" i="5" s="1"/>
  <c r="E34" i="14"/>
  <c r="E33" i="14" s="1"/>
  <c r="AE84" i="5"/>
  <c r="AL77" i="5" s="1"/>
  <c r="AM77" i="5" s="1"/>
  <c r="R34" i="14"/>
  <c r="R33" i="14" s="1"/>
  <c r="AB84" i="5"/>
  <c r="AL74" i="5" s="1"/>
  <c r="AM74" i="5" s="1"/>
  <c r="O34" i="14"/>
  <c r="O33" i="14" s="1"/>
  <c r="AD84" i="5"/>
  <c r="AL76" i="5" s="1"/>
  <c r="AM76" i="5" s="1"/>
  <c r="Q34" i="14"/>
  <c r="Q33" i="14" s="1"/>
  <c r="Z84" i="5"/>
  <c r="AL72" i="5" s="1"/>
  <c r="AM72" i="5" s="1"/>
  <c r="M34" i="14"/>
  <c r="M33" i="14" s="1"/>
  <c r="AC84" i="5"/>
  <c r="AL75" i="5" s="1"/>
  <c r="AM75" i="5" s="1"/>
  <c r="P34" i="14"/>
  <c r="P33" i="14" s="1"/>
  <c r="AL62" i="5"/>
  <c r="AM62" i="5" s="1"/>
  <c r="C34" i="14"/>
  <c r="C33" i="14" s="1"/>
  <c r="Q84" i="5"/>
  <c r="AL63" i="5" s="1"/>
  <c r="AM63" i="5" s="1"/>
  <c r="D34" i="14"/>
  <c r="D33" i="14" s="1"/>
  <c r="AA84" i="5"/>
  <c r="AL73" i="5" s="1"/>
  <c r="AM73" i="5" s="1"/>
  <c r="N34" i="14"/>
  <c r="N33" i="14" s="1"/>
  <c r="U84" i="5"/>
  <c r="AL67" i="5" s="1"/>
  <c r="AM67" i="5" s="1"/>
  <c r="H34" i="14"/>
  <c r="H33" i="14" s="1"/>
  <c r="W84" i="5"/>
  <c r="AL69" i="5" s="1"/>
  <c r="AM69" i="5" s="1"/>
  <c r="J34" i="14"/>
  <c r="Y84" i="5"/>
  <c r="AL71" i="5" s="1"/>
  <c r="AM71" i="5" s="1"/>
  <c r="L34" i="14"/>
  <c r="L33" i="14" s="1"/>
  <c r="U70" i="14"/>
  <c r="C88" i="5"/>
  <c r="C84" i="5"/>
  <c r="C86" i="5" s="1"/>
  <c r="C83" i="5"/>
  <c r="K16" i="14"/>
  <c r="K58" i="14"/>
  <c r="K78" i="14" s="1"/>
  <c r="V57" i="14"/>
  <c r="U10" i="14"/>
  <c r="V58" i="14" l="1"/>
  <c r="V83" i="14" s="1"/>
  <c r="J33" i="14"/>
  <c r="V33" i="14" s="1"/>
  <c r="G44" i="10"/>
  <c r="H44" i="10" s="1"/>
  <c r="G43" i="10"/>
  <c r="N37" i="14"/>
  <c r="N79" i="14" s="1"/>
  <c r="N85" i="14"/>
  <c r="C37" i="14"/>
  <c r="C79" i="14" s="1"/>
  <c r="C85" i="14"/>
  <c r="M37" i="14"/>
  <c r="M79" i="14" s="1"/>
  <c r="M85" i="14"/>
  <c r="O37" i="14"/>
  <c r="O79" i="14" s="1"/>
  <c r="O85" i="14"/>
  <c r="E37" i="14"/>
  <c r="E79" i="14" s="1"/>
  <c r="E85" i="14"/>
  <c r="G37" i="14"/>
  <c r="G79" i="14" s="1"/>
  <c r="G85" i="14"/>
  <c r="L37" i="14"/>
  <c r="L79" i="14" s="1"/>
  <c r="L85" i="14"/>
  <c r="H37" i="14"/>
  <c r="H79" i="14" s="1"/>
  <c r="H85" i="14"/>
  <c r="D37" i="14"/>
  <c r="D79" i="14" s="1"/>
  <c r="D85" i="14"/>
  <c r="P37" i="14"/>
  <c r="P79" i="14" s="1"/>
  <c r="P85" i="14"/>
  <c r="Q37" i="14"/>
  <c r="Q79" i="14" s="1"/>
  <c r="Q85" i="14"/>
  <c r="R37" i="14"/>
  <c r="R79" i="14" s="1"/>
  <c r="R85" i="14"/>
  <c r="I37" i="14"/>
  <c r="I79" i="14" s="1"/>
  <c r="I85" i="14"/>
  <c r="U11" i="14"/>
  <c r="V10" i="14"/>
  <c r="X10" i="14" s="1"/>
  <c r="AL61" i="5"/>
  <c r="V70" i="14"/>
  <c r="K17" i="14"/>
  <c r="V16" i="14"/>
  <c r="J37" i="14" l="1"/>
  <c r="J79" i="14" s="1"/>
  <c r="U74" i="14"/>
  <c r="V74" i="14" s="1"/>
  <c r="J85" i="14"/>
  <c r="H43" i="10"/>
  <c r="G39" i="10"/>
  <c r="X28" i="14"/>
  <c r="AM61" i="5"/>
  <c r="V17" i="14"/>
  <c r="X17" i="14" s="1"/>
  <c r="X16" i="14"/>
  <c r="V11" i="14"/>
  <c r="X11" i="14" s="1"/>
  <c r="U12" i="14"/>
  <c r="K83" i="14" l="1"/>
  <c r="C44" i="10"/>
  <c r="C15" i="10"/>
  <c r="H39" i="10"/>
  <c r="G53" i="10"/>
  <c r="K87" i="14"/>
  <c r="V52" i="10"/>
  <c r="V50" i="10"/>
  <c r="V48" i="10"/>
  <c r="V51" i="10"/>
  <c r="V43" i="10"/>
  <c r="V45" i="10"/>
  <c r="V47" i="10"/>
  <c r="V42" i="10"/>
  <c r="V49" i="10"/>
  <c r="V33" i="10"/>
  <c r="V40" i="10"/>
  <c r="V38" i="10"/>
  <c r="V41" i="10"/>
  <c r="V35" i="10"/>
  <c r="V34" i="10"/>
  <c r="V37" i="10"/>
  <c r="X33" i="14"/>
  <c r="V12" i="14"/>
  <c r="U37" i="14"/>
  <c r="E44" i="10" l="1"/>
  <c r="C39" i="10"/>
  <c r="H53" i="10"/>
  <c r="C3" i="10"/>
  <c r="C2" i="10" s="1"/>
  <c r="X12" i="14"/>
  <c r="C66" i="10" l="1"/>
  <c r="C53" i="10"/>
  <c r="I44" i="10"/>
  <c r="E39" i="10"/>
  <c r="K44" i="10"/>
  <c r="V44" i="10"/>
  <c r="E53" i="10" l="1"/>
  <c r="I39" i="10"/>
  <c r="F51" i="10" l="1"/>
  <c r="J51" i="10" s="1"/>
  <c r="W51" i="10" s="1"/>
  <c r="F37" i="10"/>
  <c r="J37" i="10" s="1"/>
  <c r="W37" i="10" s="1"/>
  <c r="F45" i="10"/>
  <c r="J45" i="10" s="1"/>
  <c r="W45" i="10" s="1"/>
  <c r="H57" i="10"/>
  <c r="H58" i="10" s="1"/>
  <c r="H59" i="10" s="1"/>
  <c r="F49" i="10"/>
  <c r="J49" i="10" s="1"/>
  <c r="W49" i="10" s="1"/>
  <c r="F41" i="10"/>
  <c r="J41" i="10" s="1"/>
  <c r="W41" i="10" s="1"/>
  <c r="F35" i="10"/>
  <c r="J35" i="10" s="1"/>
  <c r="W35" i="10" s="1"/>
  <c r="K53" i="10"/>
  <c r="F52" i="10"/>
  <c r="W52" i="10" s="1"/>
  <c r="F34" i="10"/>
  <c r="J34" i="10" s="1"/>
  <c r="W34" i="10" s="1"/>
  <c r="I53" i="10"/>
  <c r="F50" i="10"/>
  <c r="J50" i="10" s="1"/>
  <c r="W50" i="10" s="1"/>
  <c r="F47" i="10"/>
  <c r="F33" i="10"/>
  <c r="C67" i="10"/>
  <c r="F48" i="10"/>
  <c r="J48" i="10" s="1"/>
  <c r="W48" i="10" s="1"/>
  <c r="F38" i="10"/>
  <c r="J38" i="10" s="1"/>
  <c r="W38" i="10" s="1"/>
  <c r="F40" i="10"/>
  <c r="F42" i="10"/>
  <c r="J42" i="10" s="1"/>
  <c r="W42" i="10" s="1"/>
  <c r="F43" i="10"/>
  <c r="J43" i="10" s="1"/>
  <c r="W43" i="10" s="1"/>
  <c r="F44" i="10"/>
  <c r="J44" i="10" s="1"/>
  <c r="W44" i="10" s="1"/>
  <c r="F69" i="10" l="1"/>
  <c r="F32" i="10"/>
  <c r="J32" i="10" s="1"/>
  <c r="J33" i="10"/>
  <c r="W33" i="10" s="1"/>
  <c r="J47" i="10"/>
  <c r="W47" i="10" s="1"/>
  <c r="F46" i="10"/>
  <c r="J40" i="10"/>
  <c r="W40" i="10" s="1"/>
  <c r="F39" i="10"/>
  <c r="J39" i="10" s="1"/>
  <c r="J46" i="10" l="1"/>
  <c r="F53" i="10"/>
  <c r="J53" i="10" s="1"/>
  <c r="J49" i="5" l="1"/>
  <c r="N68" i="5" s="1"/>
  <c r="J48" i="5"/>
  <c r="N69" i="5" l="1"/>
  <c r="N84" i="5" s="1"/>
  <c r="AL60" i="5" s="1"/>
  <c r="AM60" i="5" s="1"/>
  <c r="J47" i="5"/>
  <c r="J84" i="5"/>
  <c r="AL56" i="5" s="1"/>
  <c r="AL84" i="5" l="1"/>
  <c r="Q24" i="9"/>
  <c r="AI56" i="5"/>
  <c r="AK56" i="5" l="1"/>
  <c r="K29" i="14"/>
  <c r="K85" i="14"/>
  <c r="K32" i="14" s="1"/>
  <c r="C71" i="10" s="1"/>
  <c r="R26" i="9"/>
  <c r="R24" i="9" s="1"/>
  <c r="X24" i="9"/>
  <c r="AM56" i="5" l="1"/>
  <c r="AK84" i="5"/>
  <c r="AM84" i="5" s="1"/>
  <c r="R25" i="9"/>
  <c r="S27" i="9"/>
  <c r="V32" i="14"/>
  <c r="K31" i="14"/>
  <c r="V29" i="14"/>
  <c r="K37" i="14" l="1"/>
  <c r="K79" i="14" s="1"/>
  <c r="K82" i="14"/>
  <c r="V71" i="14"/>
  <c r="U71" i="14"/>
  <c r="U73" i="14" s="1"/>
  <c r="V31" i="14"/>
  <c r="Q26" i="9"/>
  <c r="Q27" i="9"/>
  <c r="Q28" i="9" l="1"/>
  <c r="X28" i="9" s="1"/>
  <c r="U27" i="9"/>
  <c r="V27" i="9" s="1"/>
  <c r="X29" i="14"/>
  <c r="V73" i="14"/>
  <c r="V78" i="14" s="1"/>
  <c r="K80" i="14"/>
  <c r="AN65" i="5"/>
  <c r="U26" i="9"/>
  <c r="V26" i="9" s="1"/>
  <c r="X26" i="9"/>
  <c r="Q29" i="9"/>
  <c r="C9" i="10"/>
  <c r="C8" i="10" s="1"/>
  <c r="U78" i="14"/>
  <c r="V82" i="14"/>
  <c r="V37" i="14"/>
  <c r="W37" i="14"/>
  <c r="D44" i="10"/>
  <c r="K84" i="14"/>
  <c r="X31" i="14" l="1"/>
  <c r="D39" i="10"/>
  <c r="V84" i="14"/>
  <c r="V79" i="14"/>
  <c r="C63" i="10"/>
  <c r="U79" i="14"/>
  <c r="Y38" i="14"/>
  <c r="X37" i="14"/>
  <c r="S30" i="9"/>
  <c r="AA26" i="9"/>
  <c r="AB26" i="9" s="1"/>
  <c r="X29" i="9"/>
  <c r="L44" i="10"/>
  <c r="K88" i="14"/>
  <c r="M90" i="14" s="1"/>
  <c r="P25" i="9"/>
  <c r="P24" i="9"/>
  <c r="V88" i="14" l="1"/>
  <c r="V81" i="14"/>
  <c r="D53" i="10"/>
  <c r="Y27" i="9"/>
  <c r="Y25" i="9"/>
  <c r="Y24" i="9"/>
  <c r="Y26" i="9"/>
  <c r="L39" i="10"/>
  <c r="N44" i="10"/>
  <c r="P44" i="10"/>
  <c r="C62" i="10" l="1"/>
  <c r="V87" i="14"/>
  <c r="L53" i="10"/>
  <c r="N39" i="10"/>
  <c r="C64" i="10" l="1"/>
  <c r="M49" i="10"/>
  <c r="M47" i="10"/>
  <c r="M33" i="10"/>
  <c r="M41" i="10"/>
  <c r="C68" i="10"/>
  <c r="M50" i="10"/>
  <c r="M45" i="10"/>
  <c r="M40" i="10"/>
  <c r="M38" i="10"/>
  <c r="M51" i="10"/>
  <c r="F55" i="10"/>
  <c r="N53" i="10"/>
  <c r="M48" i="10"/>
  <c r="M34" i="10"/>
  <c r="M42" i="10"/>
  <c r="M52" i="10"/>
  <c r="C24" i="10"/>
  <c r="M37" i="10"/>
  <c r="M43" i="10"/>
  <c r="J54" i="10"/>
  <c r="M35" i="10"/>
  <c r="M44" i="10"/>
  <c r="C65" i="10" l="1"/>
  <c r="F64" i="10"/>
  <c r="M39" i="10"/>
  <c r="M32" i="10"/>
  <c r="M46" i="10"/>
  <c r="M53" i="10" l="1"/>
</calcChain>
</file>

<file path=xl/comments1.xml><?xml version="1.0" encoding="utf-8"?>
<comments xmlns="http://schemas.openxmlformats.org/spreadsheetml/2006/main">
  <authors>
    <author>Margaret Nakirya</author>
  </authors>
  <commentList>
    <comment ref="E25" authorId="0" shapeId="0">
      <text>
        <r>
          <rPr>
            <b/>
            <sz val="9"/>
            <color indexed="81"/>
            <rFont val="Tahoma"/>
            <family val="2"/>
          </rPr>
          <t>Margaret Nakirya:</t>
        </r>
        <r>
          <rPr>
            <sz val="9"/>
            <color indexed="81"/>
            <rFont val="Tahoma"/>
            <family val="2"/>
          </rPr>
          <t xml:space="preserve">
Excludes social security</t>
        </r>
      </text>
    </comment>
    <comment ref="S27" authorId="0" shapeId="0">
      <text>
        <r>
          <rPr>
            <b/>
            <sz val="9"/>
            <color indexed="81"/>
            <rFont val="Tahoma"/>
            <family val="2"/>
          </rPr>
          <t>Margaret Nakirya:</t>
        </r>
        <r>
          <rPr>
            <sz val="9"/>
            <color indexed="81"/>
            <rFont val="Tahoma"/>
            <family val="2"/>
          </rPr>
          <t xml:space="preserve">
Vol of water for @ % point</t>
        </r>
      </text>
    </comment>
    <comment ref="P28" authorId="0" shapeId="0">
      <text>
        <r>
          <rPr>
            <b/>
            <sz val="9"/>
            <color indexed="81"/>
            <rFont val="Tahoma"/>
            <family val="2"/>
          </rPr>
          <t>Margaret Nakirya:</t>
        </r>
        <r>
          <rPr>
            <sz val="9"/>
            <color indexed="81"/>
            <rFont val="Tahoma"/>
            <family val="2"/>
          </rPr>
          <t xml:space="preserve">
assumed rainfall for 5.5 months in a yr.</t>
        </r>
      </text>
    </comment>
  </commentList>
</comments>
</file>

<file path=xl/comments2.xml><?xml version="1.0" encoding="utf-8"?>
<comments xmlns="http://schemas.openxmlformats.org/spreadsheetml/2006/main">
  <authors>
    <author>Jackie Crafford</author>
  </authors>
  <commentList>
    <comment ref="B1" authorId="0" shapeId="0">
      <text>
        <r>
          <rPr>
            <b/>
            <sz val="9"/>
            <color indexed="81"/>
            <rFont val="Tahoma"/>
            <family val="2"/>
          </rPr>
          <t>Classification may change from Table 1 depending on data from Table 3</t>
        </r>
      </text>
    </comment>
    <comment ref="T10" authorId="0" shapeId="0">
      <text>
        <r>
          <rPr>
            <b/>
            <sz val="9"/>
            <color indexed="81"/>
            <rFont val="Tahoma"/>
            <family val="2"/>
          </rPr>
          <t>Large scale mines</t>
        </r>
      </text>
    </comment>
    <comment ref="T13" authorId="0" shapeId="0">
      <text>
        <r>
          <rPr>
            <b/>
            <sz val="9"/>
            <color indexed="81"/>
            <rFont val="Tahoma"/>
            <family val="2"/>
          </rPr>
          <t xml:space="preserve">Small miners
</t>
        </r>
      </text>
    </comment>
    <comment ref="T14" authorId="0" shapeId="0">
      <text>
        <r>
          <rPr>
            <b/>
            <sz val="9"/>
            <color indexed="81"/>
            <rFont val="Tahoma"/>
            <family val="2"/>
          </rPr>
          <t xml:space="preserve">Small miners
</t>
        </r>
      </text>
    </comment>
    <comment ref="AC14" authorId="0" shapeId="0">
      <text>
        <r>
          <rPr>
            <b/>
            <sz val="9"/>
            <color indexed="81"/>
            <rFont val="Tahoma"/>
            <family val="2"/>
          </rPr>
          <t>Rainwater harvesting</t>
        </r>
      </text>
    </comment>
  </commentList>
</comments>
</file>

<file path=xl/comments3.xml><?xml version="1.0" encoding="utf-8"?>
<comments xmlns="http://schemas.openxmlformats.org/spreadsheetml/2006/main">
  <authors>
    <author>Jackie Crafford</author>
    <author>Margaret Nakirya</author>
    <author>Christopher Tumuhirwe</author>
  </authors>
  <commentList>
    <comment ref="Y10" authorId="0" shapeId="0">
      <text>
        <r>
          <rPr>
            <b/>
            <sz val="9"/>
            <color indexed="81"/>
            <rFont val="Tahoma"/>
            <family val="2"/>
          </rPr>
          <t>Large scale mines</t>
        </r>
      </text>
    </comment>
    <comment ref="Y13" authorId="0" shapeId="0">
      <text>
        <r>
          <rPr>
            <b/>
            <sz val="9"/>
            <color indexed="81"/>
            <rFont val="Tahoma"/>
            <family val="2"/>
          </rPr>
          <t xml:space="preserve">Small miners
</t>
        </r>
      </text>
    </comment>
    <comment ref="Y14" authorId="0" shapeId="0">
      <text>
        <r>
          <rPr>
            <b/>
            <sz val="9"/>
            <color indexed="81"/>
            <rFont val="Tahoma"/>
            <family val="2"/>
          </rPr>
          <t xml:space="preserve">Small miners
</t>
        </r>
      </text>
    </comment>
    <comment ref="AJ14" authorId="0" shapeId="0">
      <text>
        <r>
          <rPr>
            <b/>
            <sz val="9"/>
            <color indexed="81"/>
            <rFont val="Tahoma"/>
            <family val="2"/>
          </rPr>
          <t>Rainwater harvesting</t>
        </r>
      </text>
    </comment>
    <comment ref="X40" authorId="0" shapeId="0">
      <text>
        <r>
          <rPr>
            <b/>
            <sz val="9"/>
            <color indexed="81"/>
            <rFont val="Tahoma"/>
            <family val="2"/>
          </rPr>
          <t>Jackie Crafford:</t>
        </r>
        <r>
          <rPr>
            <sz val="9"/>
            <color indexed="81"/>
            <rFont val="Tahoma"/>
            <family val="2"/>
          </rPr>
          <t xml:space="preserve">
This sector is "replaced by the "Dstribution" Sectors</t>
        </r>
      </text>
    </comment>
    <comment ref="N41" authorId="0" shapeId="0">
      <text>
        <r>
          <rPr>
            <b/>
            <sz val="9"/>
            <color indexed="81"/>
            <rFont val="Tahoma"/>
            <family val="2"/>
          </rPr>
          <t>Inserted these here to link to "From Environment"</t>
        </r>
      </text>
    </comment>
    <comment ref="I42" authorId="1" shapeId="0">
      <text>
        <r>
          <rPr>
            <b/>
            <sz val="9"/>
            <color indexed="81"/>
            <rFont val="Tahoma"/>
            <family val="2"/>
          </rPr>
          <t>Margaret Nakirya:</t>
        </r>
        <r>
          <rPr>
            <sz val="9"/>
            <color indexed="81"/>
            <rFont val="Tahoma"/>
            <family val="2"/>
          </rPr>
          <t xml:space="preserve">
</t>
        </r>
      </text>
    </comment>
    <comment ref="N44" authorId="0" shapeId="0">
      <text>
        <r>
          <rPr>
            <b/>
            <sz val="9"/>
            <color indexed="81"/>
            <rFont val="Tahoma"/>
            <family val="2"/>
          </rPr>
          <t>Inserted these here to link to "From Environment"</t>
        </r>
      </text>
    </comment>
    <comment ref="J47" authorId="1" shapeId="0">
      <text>
        <r>
          <rPr>
            <b/>
            <sz val="9"/>
            <color indexed="81"/>
            <rFont val="Tahoma"/>
            <family val="2"/>
          </rPr>
          <t>Margaret Nakirya:</t>
        </r>
        <r>
          <rPr>
            <sz val="9"/>
            <color indexed="81"/>
            <rFont val="Tahoma"/>
            <family val="2"/>
          </rPr>
          <t xml:space="preserve">
Water losses or non revenue water was 28% of billed water for 2015/16.
</t>
        </r>
      </text>
    </comment>
    <comment ref="K47" authorId="1" shapeId="0">
      <text>
        <r>
          <rPr>
            <b/>
            <sz val="9"/>
            <color indexed="81"/>
            <rFont val="Tahoma"/>
            <family val="2"/>
          </rPr>
          <t>Margaret Nakirya:</t>
        </r>
        <r>
          <rPr>
            <sz val="9"/>
            <color indexed="81"/>
            <rFont val="Tahoma"/>
            <family val="2"/>
          </rPr>
          <t xml:space="preserve">
2,520 from MWE report seems too low when compared to popn served by DWD &amp; NWSC. But may be realistic given the nature of service and the income inequality. Therefore, took 3,282 from DWRM records.</t>
        </r>
      </text>
    </comment>
    <comment ref="X56" authorId="0" shapeId="0">
      <text>
        <r>
          <rPr>
            <b/>
            <sz val="9"/>
            <color indexed="81"/>
            <rFont val="Tahoma"/>
            <family val="2"/>
          </rPr>
          <t>Inserted this as a balancing item. The current structure represents Sewage effluent as both a Distribution "Sector" (NWSC) and an ISIC "Sector" (Water Supply Sewage and</t>
        </r>
      </text>
    </comment>
    <comment ref="T59" authorId="0" shapeId="0">
      <text>
        <r>
          <rPr>
            <b/>
            <sz val="9"/>
            <color indexed="81"/>
            <rFont val="Tahoma"/>
            <family val="2"/>
          </rPr>
          <t xml:space="preserve">Small miners
</t>
        </r>
      </text>
    </comment>
    <comment ref="O60" authorId="1" shapeId="0">
      <text>
        <r>
          <rPr>
            <b/>
            <sz val="9"/>
            <color indexed="81"/>
            <rFont val="Tahoma"/>
            <family val="2"/>
          </rPr>
          <t>Margaret Nakirya:</t>
        </r>
        <r>
          <rPr>
            <sz val="9"/>
            <color indexed="81"/>
            <rFont val="Tahoma"/>
            <family val="2"/>
          </rPr>
          <t xml:space="preserve">
Unlicensed irrigators+licesnsed irrigators
</t>
        </r>
      </text>
    </comment>
    <comment ref="AH70" authorId="0" shapeId="0">
      <text>
        <r>
          <rPr>
            <b/>
            <sz val="9"/>
            <color indexed="81"/>
            <rFont val="Tahoma"/>
            <family val="2"/>
          </rPr>
          <t>Jackie Crafford:</t>
        </r>
        <r>
          <rPr>
            <sz val="9"/>
            <color indexed="81"/>
            <rFont val="Tahoma"/>
            <family val="2"/>
          </rPr>
          <t xml:space="preserve">
There was a double accounting mistake here, I corrected it.</t>
        </r>
      </text>
    </comment>
    <comment ref="AI70" authorId="0" shapeId="0">
      <text>
        <r>
          <rPr>
            <b/>
            <sz val="9"/>
            <color indexed="81"/>
            <rFont val="Tahoma"/>
            <family val="2"/>
          </rPr>
          <t>Jackie Crafford:</t>
        </r>
        <r>
          <rPr>
            <sz val="9"/>
            <color indexed="81"/>
            <rFont val="Tahoma"/>
            <family val="2"/>
          </rPr>
          <t xml:space="preserve">
The formula entered here (in the previous version) I did not understand. So I deleted it. (It was double accounting unless I am mistaken something.)</t>
        </r>
      </text>
    </comment>
    <comment ref="O80" authorId="0" shapeId="0">
      <text>
        <r>
          <rPr>
            <b/>
            <sz val="9"/>
            <color indexed="81"/>
            <rFont val="Tahoma"/>
            <family val="2"/>
          </rPr>
          <t>Jackie Crafford:
Hi margaret, this would be double accounting as we already have transactions between the environment and sectors on roes 47-55</t>
        </r>
      </text>
    </comment>
    <comment ref="W82" authorId="1" shapeId="0">
      <text>
        <r>
          <rPr>
            <b/>
            <sz val="9"/>
            <color indexed="81"/>
            <rFont val="Tahoma"/>
            <family val="2"/>
          </rPr>
          <t>Margaret Nakirya:</t>
        </r>
        <r>
          <rPr>
            <sz val="9"/>
            <color indexed="81"/>
            <rFont val="Tahoma"/>
            <family val="2"/>
          </rPr>
          <t xml:space="preserve">
Evaporation during generation
</t>
        </r>
      </text>
    </comment>
    <comment ref="C87" authorId="2" shapeId="0">
      <text>
        <r>
          <rPr>
            <b/>
            <sz val="9"/>
            <color indexed="81"/>
            <rFont val="Tahoma"/>
            <family val="2"/>
          </rPr>
          <t>Christopher Tumuhirwe:</t>
        </r>
        <r>
          <rPr>
            <sz val="9"/>
            <color indexed="81"/>
            <rFont val="Tahoma"/>
            <family val="2"/>
          </rPr>
          <t xml:space="preserve">
Evapotranspiration rates</t>
        </r>
      </text>
    </comment>
    <comment ref="O87" authorId="2" shapeId="0">
      <text>
        <r>
          <rPr>
            <b/>
            <sz val="9"/>
            <color indexed="81"/>
            <rFont val="Tahoma"/>
            <family val="2"/>
          </rPr>
          <t>Christopher Tumuhirwe:</t>
        </r>
        <r>
          <rPr>
            <sz val="9"/>
            <color indexed="81"/>
            <rFont val="Tahoma"/>
            <family val="2"/>
          </rPr>
          <t xml:space="preserve">
Evapotranspiration rates
by sector
</t>
        </r>
      </text>
    </comment>
  </commentList>
</comments>
</file>

<file path=xl/comments4.xml><?xml version="1.0" encoding="utf-8"?>
<comments xmlns="http://schemas.openxmlformats.org/spreadsheetml/2006/main">
  <authors>
    <author>Margaret Nakirya</author>
  </authors>
  <commentList>
    <comment ref="B14" authorId="0" shapeId="0">
      <text>
        <r>
          <rPr>
            <b/>
            <sz val="9"/>
            <color indexed="81"/>
            <rFont val="Tahoma"/>
            <family val="2"/>
          </rPr>
          <t>Margaret Nakirya:</t>
        </r>
        <r>
          <rPr>
            <sz val="9"/>
            <color indexed="81"/>
            <rFont val="Tahoma"/>
            <family val="2"/>
          </rPr>
          <t xml:space="preserve">
2500= to 3500= is the charge for 50 jerrycans for 20litres@ for 2017. Decided to use price for NWSC for a jerry to a household for 2015 and it compares well with that of DWD.</t>
        </r>
      </text>
    </comment>
  </commentList>
</comments>
</file>

<file path=xl/comments5.xml><?xml version="1.0" encoding="utf-8"?>
<comments xmlns="http://schemas.openxmlformats.org/spreadsheetml/2006/main">
  <authors>
    <author>Margaret Nakirya</author>
    <author>Microsoft</author>
  </authors>
  <commentList>
    <comment ref="J28" authorId="0" shapeId="0">
      <text>
        <r>
          <rPr>
            <b/>
            <sz val="9"/>
            <color indexed="81"/>
            <rFont val="Tahoma"/>
            <family val="2"/>
          </rPr>
          <t>Margaret Nakirya:</t>
        </r>
        <r>
          <rPr>
            <sz val="9"/>
            <color indexed="81"/>
            <rFont val="Tahoma"/>
            <family val="2"/>
          </rPr>
          <t xml:space="preserve">
Assume 1% evaporates</t>
        </r>
      </text>
    </comment>
    <comment ref="K32" authorId="1" shapeId="0">
      <text>
        <r>
          <rPr>
            <b/>
            <sz val="9"/>
            <color indexed="81"/>
            <rFont val="Tahoma"/>
            <family val="2"/>
          </rPr>
          <t>Microsoft:</t>
        </r>
        <r>
          <rPr>
            <sz val="9"/>
            <color indexed="81"/>
            <rFont val="Tahoma"/>
            <family val="2"/>
          </rPr>
          <t xml:space="preserve">
Includes losses due to illegal tapping and meter malfunction. Cld not separate them.</t>
        </r>
      </text>
    </comment>
    <comment ref="K33" authorId="1" shapeId="0">
      <text>
        <r>
          <rPr>
            <b/>
            <sz val="9"/>
            <color indexed="81"/>
            <rFont val="Tahoma"/>
            <family val="2"/>
          </rPr>
          <t>Microsoft:</t>
        </r>
        <r>
          <rPr>
            <sz val="9"/>
            <color indexed="81"/>
            <rFont val="Tahoma"/>
            <family val="2"/>
          </rPr>
          <t xml:space="preserve">
Due to sewerage actiities</t>
        </r>
      </text>
    </comment>
    <comment ref="L46" authorId="0" shapeId="0">
      <text>
        <r>
          <rPr>
            <b/>
            <sz val="9"/>
            <color indexed="81"/>
            <rFont val="Tahoma"/>
            <family val="2"/>
          </rPr>
          <t>Margaret Nakirya:</t>
        </r>
        <r>
          <rPr>
            <sz val="9"/>
            <color indexed="81"/>
            <rFont val="Tahoma"/>
            <family val="2"/>
          </rPr>
          <t xml:space="preserve">
remove 4312</t>
        </r>
      </text>
    </comment>
    <comment ref="A83"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K85" authorId="0" shapeId="0">
      <text>
        <r>
          <rPr>
            <b/>
            <sz val="9"/>
            <color indexed="81"/>
            <rFont val="Tahoma"/>
            <family val="2"/>
          </rPr>
          <t>Margaret Nakirya:</t>
        </r>
        <r>
          <rPr>
            <sz val="9"/>
            <color indexed="81"/>
            <rFont val="Tahoma"/>
            <family val="2"/>
          </rPr>
          <t xml:space="preserve">
NWSC 2015/16 report- 28% losses (tech and commercial losses)</t>
        </r>
      </text>
    </comment>
  </commentList>
</comments>
</file>

<file path=xl/comments6.xml><?xml version="1.0" encoding="utf-8"?>
<comments xmlns="http://schemas.openxmlformats.org/spreadsheetml/2006/main">
  <authors>
    <author>Margaret Nakirya</author>
  </authors>
  <commentList>
    <comment ref="A5"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A16"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A47"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K49" authorId="0" shapeId="0">
      <text>
        <r>
          <rPr>
            <b/>
            <sz val="9"/>
            <color indexed="81"/>
            <rFont val="Tahoma"/>
            <family val="2"/>
          </rPr>
          <t>Margaret Nakirya:</t>
        </r>
        <r>
          <rPr>
            <sz val="9"/>
            <color indexed="81"/>
            <rFont val="Tahoma"/>
            <family val="2"/>
          </rPr>
          <t xml:space="preserve">
NWSC 2015/16 report- 28% losses (tech and commercial losses)</t>
        </r>
      </text>
    </comment>
    <comment ref="A63"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K65" authorId="0" shapeId="0">
      <text>
        <r>
          <rPr>
            <b/>
            <sz val="9"/>
            <color indexed="81"/>
            <rFont val="Tahoma"/>
            <family val="2"/>
          </rPr>
          <t>Margaret Nakirya:</t>
        </r>
        <r>
          <rPr>
            <sz val="9"/>
            <color indexed="81"/>
            <rFont val="Tahoma"/>
            <family val="2"/>
          </rPr>
          <t xml:space="preserve">
NWSC 2015/16 report- 28% losses (tech and commercial losses)</t>
        </r>
      </text>
    </comment>
    <comment ref="A76"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A89"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A103"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 ref="A116" authorId="0" shapeId="0">
      <text>
        <r>
          <rPr>
            <b/>
            <sz val="9"/>
            <color indexed="81"/>
            <rFont val="Tahoma"/>
            <family val="2"/>
          </rPr>
          <t>Margaret Nakirya:</t>
        </r>
        <r>
          <rPr>
            <sz val="9"/>
            <color indexed="81"/>
            <rFont val="Tahoma"/>
            <family val="2"/>
          </rPr>
          <t xml:space="preserve">
=use of water recived from other econ units+ abstraction for use+abstraction for distn +colln of precipitation</t>
        </r>
      </text>
    </comment>
  </commentList>
</comments>
</file>

<file path=xl/sharedStrings.xml><?xml version="1.0" encoding="utf-8"?>
<sst xmlns="http://schemas.openxmlformats.org/spreadsheetml/2006/main" count="1314" uniqueCount="336">
  <si>
    <t>Other</t>
  </si>
  <si>
    <t>Industries by SIC</t>
  </si>
  <si>
    <t>Households</t>
  </si>
  <si>
    <t>Rest of the World</t>
  </si>
  <si>
    <t>Total</t>
  </si>
  <si>
    <t>Agriculture (Irrigation)</t>
  </si>
  <si>
    <t>Manufacturing (Food and Beverages)</t>
  </si>
  <si>
    <t>Manufacturing (Other)</t>
  </si>
  <si>
    <t>Electricity</t>
  </si>
  <si>
    <t>Construction</t>
  </si>
  <si>
    <t>Accommodation</t>
  </si>
  <si>
    <t>Inland Water Resources</t>
  </si>
  <si>
    <t>Surface Water</t>
  </si>
  <si>
    <t>Groundwater</t>
  </si>
  <si>
    <t>Soil Water</t>
  </si>
  <si>
    <t>Other water sources</t>
  </si>
  <si>
    <t>Precipitation</t>
  </si>
  <si>
    <t>Total Use of Abstracted Water</t>
  </si>
  <si>
    <t>(I) Sources of Abstracted Water</t>
  </si>
  <si>
    <t>(II) Abstracted water</t>
  </si>
  <si>
    <t>Own use</t>
  </si>
  <si>
    <t>(III) Wastewater and reused water</t>
  </si>
  <si>
    <t>Wastewater</t>
  </si>
  <si>
    <t>Wastewater received from other units</t>
  </si>
  <si>
    <t>Own treatment</t>
  </si>
  <si>
    <t>Reused water</t>
  </si>
  <si>
    <t>(IV) Return flows of water</t>
  </si>
  <si>
    <t>Return flows of water to the environment</t>
  </si>
  <si>
    <t>To inland water resources</t>
  </si>
  <si>
    <t>To other sources</t>
  </si>
  <si>
    <t>Total returns flows</t>
  </si>
  <si>
    <t>(V) Evaporation of abstracted water, transpiration and water incorporated into products</t>
  </si>
  <si>
    <t>Transpiration</t>
  </si>
  <si>
    <t>Water incorporated into products</t>
  </si>
  <si>
    <t>Total use</t>
  </si>
  <si>
    <t>Accumulation</t>
  </si>
  <si>
    <t>Water Supply; Sewerage and Waste Management Activities</t>
  </si>
  <si>
    <t>Flows to the environment</t>
  </si>
  <si>
    <t>Uganda Bureau of Statistics</t>
  </si>
  <si>
    <t>Draft Water Accounts Framework</t>
  </si>
  <si>
    <t>27/9/2017</t>
  </si>
  <si>
    <t>For comment</t>
  </si>
  <si>
    <t>This draft structure of Water Accounts for Uganda was constructed based on the UN SEEA Central Framwork recommendations, as well as the structure of the Uganda Supply and Use Tables.</t>
  </si>
  <si>
    <t>The structure of the water accounts need to be revised an updated during the development of the first draft set of water accounts, and is subject to data availability and the strcuture of the Uganda water economy.</t>
  </si>
  <si>
    <t>The following steps to completion of Water Accounts are proposed:</t>
  </si>
  <si>
    <t>It is proposed that Water Asset Accounts are premature at this stage, and should follow at a later stage.</t>
  </si>
  <si>
    <t>Drafted by Jackie Crafford, j.crafford@primeafrica.net</t>
  </si>
  <si>
    <t>A. Physical Supply Table</t>
  </si>
  <si>
    <t>For distribution</t>
  </si>
  <si>
    <t>For own use</t>
  </si>
  <si>
    <t>Wastewater to treatment</t>
  </si>
  <si>
    <t>of which: Losses in distribution</t>
  </si>
  <si>
    <t>Total supply</t>
  </si>
  <si>
    <t>From the Environment</t>
  </si>
  <si>
    <t>Distribution</t>
  </si>
  <si>
    <t>Use of Water (IC)</t>
  </si>
  <si>
    <t>Final consumption</t>
  </si>
  <si>
    <t>Exports</t>
  </si>
  <si>
    <t>Classification of hydrological (water) assets</t>
  </si>
  <si>
    <t>Rivers</t>
  </si>
  <si>
    <t>Wetlands and swamps</t>
  </si>
  <si>
    <t>Dams</t>
  </si>
  <si>
    <t>Lakes</t>
  </si>
  <si>
    <t>Springs, fountains, wells</t>
  </si>
  <si>
    <t>Surface water (Rivers, wetlands, dams, estuaries)</t>
  </si>
  <si>
    <t>Groundwater (springs, fountains, wells, soil water)</t>
  </si>
  <si>
    <t>Rainwater (harvested)</t>
  </si>
  <si>
    <t>DWRM</t>
  </si>
  <si>
    <t>NWSC</t>
  </si>
  <si>
    <t>RWS</t>
  </si>
  <si>
    <t>Community Schemes</t>
  </si>
  <si>
    <t>Own Supply</t>
  </si>
  <si>
    <t>Agriculture (Rainfed crops)</t>
  </si>
  <si>
    <t>Manufacturing (Non-food)</t>
  </si>
  <si>
    <t>Agriculture (Livestock)</t>
  </si>
  <si>
    <t>Manufacturing (Food and beverages)</t>
  </si>
  <si>
    <t>Forestry</t>
  </si>
  <si>
    <t>Fishing</t>
  </si>
  <si>
    <t>Crude oil and Mining</t>
  </si>
  <si>
    <t>Public Administration</t>
  </si>
  <si>
    <t>Health</t>
  </si>
  <si>
    <t>Education</t>
  </si>
  <si>
    <t>Electricity, Gas, Steam &amp; Air Conditioning Supply</t>
  </si>
  <si>
    <t>(Water, Sewerage)</t>
  </si>
  <si>
    <t>Return flows</t>
  </si>
  <si>
    <t>Distribution (Water, Sewerage)</t>
  </si>
  <si>
    <t>XXX</t>
  </si>
  <si>
    <t>Rainwater (harvested &amp; precipitation)</t>
  </si>
  <si>
    <t>Soil water</t>
  </si>
  <si>
    <t>XXX?</t>
  </si>
  <si>
    <t>Notes:</t>
  </si>
  <si>
    <t>Note</t>
  </si>
  <si>
    <t>1. Redesign Water Accounts Architechture</t>
  </si>
  <si>
    <t>3. Populate Table 1 using physical flow data from various sources</t>
  </si>
  <si>
    <t>Valley Dams</t>
  </si>
  <si>
    <t>2. Note to confirm classification (nomenclature) of Tables 1, 2 and 3 as we start populating data - it is possible that classification of T1 may be different to T2 and T3.</t>
  </si>
  <si>
    <t>4. Populate Table 3 using monetary data principally from UBOS</t>
  </si>
  <si>
    <t>Licence fee</t>
  </si>
  <si>
    <t xml:space="preserve"> Marketed</t>
  </si>
  <si>
    <t>Own Acct.</t>
  </si>
  <si>
    <t>Gift/Received</t>
  </si>
  <si>
    <t>Subsidy</t>
  </si>
  <si>
    <t>0?</t>
  </si>
  <si>
    <t>Water users</t>
  </si>
  <si>
    <t>T4. Water Charge Table</t>
  </si>
  <si>
    <t>T3. Monetary values (Million UGX)</t>
  </si>
  <si>
    <t>Table 2. Physical Accounts (million m3)</t>
  </si>
  <si>
    <t>5. Complete Water Price Table 4 in order to bridge Tables 1 and 3</t>
  </si>
  <si>
    <t>6. Complete Table 2 (we may have independent data sets for Table 2)</t>
  </si>
  <si>
    <t>Iterative approach</t>
  </si>
  <si>
    <t>8. Develop back-working tables, links and do balancing of all tables</t>
  </si>
  <si>
    <t>Completed</t>
  </si>
  <si>
    <t>9. Fill in Tables 5 &amp; 6</t>
  </si>
  <si>
    <t>10. Develop key indicators</t>
  </si>
  <si>
    <t>7. Develop Meta-data description &amp; data quality assessment</t>
  </si>
  <si>
    <t>Ground water</t>
  </si>
  <si>
    <t>2015 License daily amount- Gabba plant</t>
  </si>
  <si>
    <t>2015 License amount- Gabba plant</t>
  </si>
  <si>
    <t>NAS data records for 2015 water pdn</t>
  </si>
  <si>
    <t>Kampala pdn to toal pdn-%</t>
  </si>
  <si>
    <t>Estimated Kampala pdn to toal pdn-Volume</t>
  </si>
  <si>
    <t>Assummed pdn for other areas- A1</t>
  </si>
  <si>
    <t>Assummed pdn for other areas- A2</t>
  </si>
  <si>
    <t>2. NWSC paid a license for only Gabba plant for 2015  of 25000 cubic metres per day, equivalent to 91,250,000 cubic metres.- Ignored</t>
  </si>
  <si>
    <t>4. From prevoius records, Kampala water pdn by NWSC accounts for about 65% of total water pdn by NWSC</t>
  </si>
  <si>
    <t>5. Therefore, 36,233,164 cubic metres were producde by NWSC for other areas.</t>
  </si>
  <si>
    <t>3. From NAS, NWSC provided data indicating that it produced 103,523,325 cubic metres of water for 2015- Used to compile acs</t>
  </si>
  <si>
    <t>6. Therefore, total abstraction as lincensed by DWRM have been adjusted to add the difference between data in 3. and 2. above</t>
  </si>
  <si>
    <t>7. Breakdwon for bills by of NWSC for supplies by industry/ institutionsl unit were used to estimate amount supplied. Assumed that amount supplied includes thefts by hh. Phsyical losses not recognised as supplies bse no ss is made.</t>
  </si>
  <si>
    <t>8. Use IC water % by industry for SUT 2009/10 to breakdwon the NWSC supplies to industries.</t>
  </si>
  <si>
    <t>Water source</t>
  </si>
  <si>
    <t>Urban</t>
  </si>
  <si>
    <t>Rural</t>
  </si>
  <si>
    <t>Safe Sources</t>
  </si>
  <si>
    <t>    Piped Water</t>
  </si>
  <si>
    <t>    Borehole</t>
  </si>
  <si>
    <t>    Protected String/Well</t>
  </si>
  <si>
    <t>    GFS</t>
  </si>
  <si>
    <t>    Bottled Water</t>
  </si>
  <si>
    <t>-</t>
  </si>
  <si>
    <t>Unsafe sources</t>
  </si>
  <si>
    <t>From SUT 2009/10</t>
  </si>
  <si>
    <t>Total Economy</t>
  </si>
  <si>
    <t>Final Consumption</t>
  </si>
  <si>
    <t>Market</t>
  </si>
  <si>
    <t>Non Market</t>
  </si>
  <si>
    <t>Intermediate consumption for water- Industries</t>
  </si>
  <si>
    <t>million shillings</t>
  </si>
  <si>
    <t>% share</t>
  </si>
  <si>
    <t xml:space="preserve">Impotant notes/assumptions for estimations and reconciliation </t>
  </si>
  <si>
    <t>9. Control total for water use/IC in water balance table for NWSC column is water sold by NWSC.</t>
  </si>
  <si>
    <t xml:space="preserve">10. Control total for water distribution for NWSC row is water supply for NWSC. </t>
  </si>
  <si>
    <t>11. Distribution ratios for 9 above are from USE table of 2009/10 SUT.</t>
  </si>
  <si>
    <t>12. Distribution ratios for 10 above are from USE table of 2009/10 SUT and NWSC annual reports.</t>
  </si>
  <si>
    <t>1. Rural/urban domestic and rural/urban supply purposes  has been used as a proxy for Rural Water Supply, i.e, all abstraction for ss/distn purposes that is not NWSC, is assumed RWS.</t>
  </si>
  <si>
    <t>1.1 Assumed that 80% of this RWS is for domestic consumption, 5% for Public Admin, 5% for Health, 3% for Accomodation, 4% for Other and 3% for Education.</t>
  </si>
  <si>
    <t>Suggested breakdown for water ss from RWS</t>
  </si>
  <si>
    <t>Accomodation</t>
  </si>
  <si>
    <t>Public Adminsitration</t>
  </si>
  <si>
    <t>HH consumption of water , '000m3</t>
  </si>
  <si>
    <t>Community schemes</t>
  </si>
  <si>
    <t>Estimation for Vol of water supplied from community schemes, M3</t>
  </si>
  <si>
    <t>National % hh abstracting by source type, 2014 census</t>
  </si>
  <si>
    <t>Assumed that 0.25 of the boreholes are under RWS</t>
  </si>
  <si>
    <t>Assumed that 0.10 of the GFS are under RWS and NWSC</t>
  </si>
  <si>
    <t>Assumed % of hh that have own supply.</t>
  </si>
  <si>
    <t>42.68 % of hh water consumption is from Community schemes. Seems justified since 78.6 % of the popn is rural.</t>
  </si>
  <si>
    <t>13. Assumed that 42.68% of the water consumed by hh is from commuity schemes (boreholes, protected wells/springs and gravitational flow), 28% is from own supply . Impying that 28.42% of the water consumed by HH is from NWSC and RWS. Seems realistic since 78.6% of the population is rural.</t>
  </si>
  <si>
    <t>Comm.schemes</t>
  </si>
  <si>
    <t>Own supply</t>
  </si>
  <si>
    <t>%</t>
  </si>
  <si>
    <t>000M3</t>
  </si>
  <si>
    <t>Total water</t>
  </si>
  <si>
    <t>By source type</t>
  </si>
  <si>
    <t xml:space="preserve">Surface </t>
  </si>
  <si>
    <t>Ground</t>
  </si>
  <si>
    <t>Ratios for source type</t>
  </si>
  <si>
    <t>Comm. scheme</t>
  </si>
  <si>
    <t>Own ss</t>
  </si>
  <si>
    <t>Surface water</t>
  </si>
  <si>
    <t>14. 90 % of the water abstracted via community schemes is for hh consumption and 100% abtsracted via own supply is for hh consumption.</t>
  </si>
  <si>
    <t>Mining</t>
  </si>
  <si>
    <t xml:space="preserve">Other </t>
  </si>
  <si>
    <t>Household</t>
  </si>
  <si>
    <t>Assumed ratios for distribution</t>
  </si>
  <si>
    <t>Return to envt</t>
  </si>
  <si>
    <t>Other Urban/DWD</t>
  </si>
  <si>
    <t>IOP-index shares for manufacturing- NAS</t>
  </si>
  <si>
    <t xml:space="preserve">    Formal</t>
  </si>
  <si>
    <t xml:space="preserve">    Informal</t>
  </si>
  <si>
    <t>GO Non food manufacturing</t>
  </si>
  <si>
    <t xml:space="preserve"> GO Food Manufacuring- bill shs</t>
  </si>
  <si>
    <t>National % of hh abstracting by source type, 2014 census</t>
  </si>
  <si>
    <t>15. Assumed that all water in valley tanks and earth dams is for livestock, despite the neglieable vol used for hh consumption, aquaculture and irrigation.</t>
  </si>
  <si>
    <t>Manufacturing</t>
  </si>
  <si>
    <t>Water price</t>
  </si>
  <si>
    <t xml:space="preserve">16. All water licenses in the database are permanently active from the year of first permit on wards. </t>
  </si>
  <si>
    <t>17. Annual maintainence fee formotorised borhole is between 2 million shs to 15 million shs.</t>
  </si>
  <si>
    <t>18. For RWS and Community schemes, there is a charge per institutional unit of about 1,000 UGX per month.</t>
  </si>
  <si>
    <t>Monthly charge</t>
  </si>
  <si>
    <t>months</t>
  </si>
  <si>
    <t>No.of households served</t>
  </si>
  <si>
    <t>% of hh served</t>
  </si>
  <si>
    <t>Number of hh</t>
  </si>
  <si>
    <t>% of hh which pay</t>
  </si>
  <si>
    <t>Daily water usage/ hh, Litres</t>
  </si>
  <si>
    <t>Monthly water used, litres</t>
  </si>
  <si>
    <t>Annual water used, litres</t>
  </si>
  <si>
    <t>Annual water used, m3</t>
  </si>
  <si>
    <t>Annual charge</t>
  </si>
  <si>
    <t>Charge/ m3</t>
  </si>
  <si>
    <t>NWSC- per m3</t>
  </si>
  <si>
    <t>DWRM= Total annual charge</t>
  </si>
  <si>
    <t>Other Urban/DWD per m3</t>
  </si>
  <si>
    <t>RWS- per m3</t>
  </si>
  <si>
    <t>Community Schemes-m3</t>
  </si>
  <si>
    <t>(Water)</t>
  </si>
  <si>
    <t>Waste water/ Reused Water produced</t>
  </si>
  <si>
    <t>Total- ROW</t>
  </si>
  <si>
    <t>Total- Column</t>
  </si>
  <si>
    <t>Flows from the environment</t>
  </si>
  <si>
    <t>Total Supply</t>
  </si>
  <si>
    <t xml:space="preserve">     Surface Water</t>
  </si>
  <si>
    <t xml:space="preserve">     Ground water</t>
  </si>
  <si>
    <t>B. Physical Use Table</t>
  </si>
  <si>
    <t xml:space="preserve"> </t>
  </si>
  <si>
    <t>Total Use</t>
  </si>
  <si>
    <t>Evapotranspiration of abstracted water</t>
  </si>
  <si>
    <t xml:space="preserve">      Precipitation</t>
  </si>
  <si>
    <t>Gross Water Input</t>
  </si>
  <si>
    <t>Net Domestic Water</t>
  </si>
  <si>
    <t>Final Water Use</t>
  </si>
  <si>
    <t>Total abstracted water</t>
  </si>
  <si>
    <t>Imports</t>
  </si>
  <si>
    <t>All return flows to envt</t>
  </si>
  <si>
    <t>Evaporation</t>
  </si>
  <si>
    <t>Water incorporated in pdts</t>
  </si>
  <si>
    <t>Total Supply Abstracted Water</t>
  </si>
  <si>
    <t>Agriculture (Rainfed crop)</t>
  </si>
  <si>
    <t>Agriculture (Forestry)</t>
  </si>
  <si>
    <t>Agriculture (Fishing)</t>
  </si>
  <si>
    <t>Total abstraction</t>
  </si>
  <si>
    <t>Total use of water</t>
  </si>
  <si>
    <t>Consumption= Total use- Total Supply</t>
  </si>
  <si>
    <t>Collection of Precipitation</t>
  </si>
  <si>
    <t>Water consumption '000 cubic metres</t>
  </si>
  <si>
    <t>Water use '000 cubic metres</t>
  </si>
  <si>
    <t>% of industry Value Added</t>
  </si>
  <si>
    <t>Industry</t>
  </si>
  <si>
    <t>Percentage of water consumption</t>
  </si>
  <si>
    <t>Value Added(shs) per cubic metre of water consumption</t>
  </si>
  <si>
    <t>Percentage of water use</t>
  </si>
  <si>
    <t>Population</t>
  </si>
  <si>
    <t>Annual Water consumption per capita, cubic metres</t>
  </si>
  <si>
    <t>Annual Water consumption per household, cubic metres</t>
  </si>
  <si>
    <t>Diff/Residual</t>
  </si>
  <si>
    <t>Notes</t>
  </si>
  <si>
    <t>Revised estimate</t>
  </si>
  <si>
    <t>Embedded water/Evapotranspiration</t>
  </si>
  <si>
    <t>No balancing required</t>
  </si>
  <si>
    <t>Total ss</t>
  </si>
  <si>
    <t xml:space="preserve">      Valley Dams &amp; Other Water</t>
  </si>
  <si>
    <t xml:space="preserve">      Springs, fountains, wells</t>
  </si>
  <si>
    <t>Abstraction</t>
  </si>
  <si>
    <t xml:space="preserve">      Ground water</t>
  </si>
  <si>
    <t>Other- Unlicensed abstraction</t>
  </si>
  <si>
    <t>Own supply column missing own abtraction licensed by DWRM. Needs restructing columns.</t>
  </si>
  <si>
    <t>For distribution-NWSC</t>
  </si>
  <si>
    <t>For distribution- Other distributors</t>
  </si>
  <si>
    <t>Other sources</t>
  </si>
  <si>
    <t>Distributed Water-NWSC</t>
  </si>
  <si>
    <t>Distributed Water- other Water supply industry</t>
  </si>
  <si>
    <t>Difference</t>
  </si>
  <si>
    <t>Balance identity -LHS</t>
  </si>
  <si>
    <t>Balance identity -RHS</t>
  </si>
  <si>
    <t>Total/Own Abstraction</t>
  </si>
  <si>
    <t>Households, 2014 census report</t>
  </si>
  <si>
    <t>Average Daily Water Use per hh, litres, UNHS 2016/17-unweighted</t>
  </si>
  <si>
    <t xml:space="preserve">     o/w Losses in distribution-</t>
  </si>
  <si>
    <t>Comments</t>
  </si>
  <si>
    <t>Assume that all grasslands are for livestock grazing.</t>
  </si>
  <si>
    <t>000 CUBIC M</t>
  </si>
  <si>
    <t>LITRES PER HH PER YR</t>
  </si>
  <si>
    <t>LITRES PER HH PER DAY</t>
  </si>
  <si>
    <t>LITRES PER CAPITA PER YR</t>
  </si>
  <si>
    <t>Sch children</t>
  </si>
  <si>
    <t>ltrs per child per year</t>
  </si>
  <si>
    <t>ltrs per child per day</t>
  </si>
  <si>
    <t>Sch children exclu pre-primary and tartiary</t>
  </si>
  <si>
    <t>Water use indicators</t>
  </si>
  <si>
    <t>LITRES PER CAPITA PER day</t>
  </si>
  <si>
    <t>DERIVED AGGREGATES AND INDICATORS</t>
  </si>
  <si>
    <t>Gross Water Input '000 cubic metres</t>
  </si>
  <si>
    <t>% of losses in the supply and distribution chain</t>
  </si>
  <si>
    <t>Water productivity- Value added per cubic metre of water used, shs</t>
  </si>
  <si>
    <t>Water use per HH per day, Litres</t>
  </si>
  <si>
    <t>Water Consumption per HH per day, Litres</t>
  </si>
  <si>
    <t>Net Domestic Water  use '000 cubic metres</t>
  </si>
  <si>
    <t>Water Consumption '000 cubic metres</t>
  </si>
  <si>
    <t>Distributed reused</t>
  </si>
  <si>
    <t>(('Table 1  Water Input table'!N42-'Table 1  Water Input table'!O51)*0.6)</t>
  </si>
  <si>
    <t>(0.6*'Table 1  Water Input table'!N43)</t>
  </si>
  <si>
    <t>Water Efficiency-Ltrs (Ltr/VA)</t>
  </si>
  <si>
    <t>(III) Supply of water to other economic unitsof which:</t>
  </si>
  <si>
    <t>RWS, Other urban</t>
  </si>
  <si>
    <t>Other Urban</t>
  </si>
  <si>
    <t>Own Supply-HEP</t>
  </si>
  <si>
    <t>Own Supply-Other</t>
  </si>
  <si>
    <t>Valley Dams &amp; Earth tanks</t>
  </si>
  <si>
    <t>Own Supply-HEP &amp; NWSC</t>
  </si>
  <si>
    <t>Industry Value Added- mill. shs</t>
  </si>
  <si>
    <t>Water consumption</t>
  </si>
  <si>
    <t>Water profile and water productivity , 2018</t>
  </si>
  <si>
    <t xml:space="preserve">Percentage Change </t>
  </si>
  <si>
    <t>Water use '000 cubic metres (Others)</t>
  </si>
  <si>
    <t>Water use '000 cubic metres (others)</t>
  </si>
  <si>
    <t>Water consumption % Changes</t>
  </si>
  <si>
    <t>Water use '000 cubic metres (Dominant sectors)-shares</t>
  </si>
  <si>
    <t>Percentage Change 2018 anf 2017</t>
  </si>
  <si>
    <t>Percentage Change 2017 anf 2016</t>
  </si>
  <si>
    <t>Proportion</t>
  </si>
  <si>
    <t xml:space="preserve"> Annual Water use per capita, Litres</t>
  </si>
  <si>
    <t xml:space="preserve">Proportion </t>
  </si>
  <si>
    <t xml:space="preserve">Agriculture </t>
  </si>
  <si>
    <t>Services</t>
  </si>
  <si>
    <t>Total excl. households</t>
  </si>
  <si>
    <r>
      <t>Water productivity- Shs ( VA/M</t>
    </r>
    <r>
      <rPr>
        <b/>
        <vertAlign val="superscript"/>
        <sz val="11"/>
        <color theme="1"/>
        <rFont val="Calibri"/>
        <family val="2"/>
        <scheme val="minor"/>
      </rPr>
      <t>3</t>
    </r>
    <r>
      <rPr>
        <b/>
        <sz val="11"/>
        <color theme="1"/>
        <rFont val="Calibri"/>
        <family val="2"/>
        <scheme val="minor"/>
      </rPr>
      <t>)</t>
    </r>
  </si>
  <si>
    <t>Water Use Efficiency- Shs (Shs/M3)</t>
  </si>
  <si>
    <t>Water use excluding precipitation</t>
  </si>
  <si>
    <t>Water use, excluding precipitation '000 cubic metres</t>
  </si>
  <si>
    <t>Water Use Efficiency, shs per cubic metre</t>
  </si>
  <si>
    <t>Agriculture Support Services</t>
  </si>
  <si>
    <r>
      <t>Water Use Efficiency</t>
    </r>
    <r>
      <rPr>
        <sz val="8"/>
        <color theme="1"/>
        <rFont val="Calibri"/>
        <family val="2"/>
        <scheme val="minor"/>
      </rPr>
      <t> -</t>
    </r>
    <r>
      <rPr>
        <sz val="11"/>
        <color theme="1"/>
        <rFont val="Calibri"/>
        <family val="2"/>
        <scheme val="minor"/>
      </rPr>
      <t xml:space="preserve"> Shs/Cm</t>
    </r>
    <r>
      <rPr>
        <vertAlign val="superscript"/>
        <sz val="11"/>
        <color theme="1"/>
        <rFont val="Calibri"/>
        <family val="2"/>
        <scheme val="minor"/>
      </rPr>
      <t>3</t>
    </r>
  </si>
  <si>
    <t xml:space="preserve">Water productivity- Shs ( VA/CM3) </t>
  </si>
  <si>
    <t>.</t>
  </si>
  <si>
    <r>
      <t>Water volume M</t>
    </r>
    <r>
      <rPr>
        <b/>
        <vertAlign val="superscript"/>
        <sz val="16"/>
        <rFont val="Calibri"/>
        <family val="2"/>
        <scheme val="minor"/>
      </rPr>
      <t>3</t>
    </r>
  </si>
</sst>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 &quot;-&quot;??_);_(@_)"/>
    <numFmt numFmtId="164" formatCode="_(* #,##0_);_(* \(#,##0\);_(* &quot;-&quot;??_);_(@_)"/>
    <numFmt numFmtId="165" formatCode="0.000"/>
    <numFmt numFmtId="166" formatCode="_(* #,##0.000_);_(* \(#,##0.000\);_(* &quot;-&quot;??_);_(@_)"/>
    <numFmt numFmtId="167" formatCode="_(* #,##0.0_);_(* \(#,##0.0\);_(* &quot;-&quot;??_);_(@_)"/>
    <numFmt numFmtId="168" formatCode="_(* #,##0.000000000_);_(* \(#,##0.000000000\);_(* &quot;-&quot;??_);_(@_)"/>
    <numFmt numFmtId="169" formatCode="_(* #,##0.0000000000_);_(* \(#,##0.0000000000\);_(* &quot;-&quot;??_);_(@_)"/>
    <numFmt numFmtId="170" formatCode="_(* #,##0.00000000000_);_(* \(#,##0.00000000000\);_(* &quot;-&quot;??_);_(@_)"/>
    <numFmt numFmtId="171" formatCode="_(* #,##0.0000_);_(* \(#,##0.0000\);_(* &quot;-&quot;??_);_(@_)"/>
    <numFmt numFmtId="172" formatCode="_(* #,##0.000000000000000000000_);_(* \(#,##0.000000000000000000000\);_(* &quot;-&quot;??_);_(@_)"/>
    <numFmt numFmtId="173" formatCode="0.00000000"/>
    <numFmt numFmtId="174" formatCode="0.0%"/>
    <numFmt numFmtId="175" formatCode="0.0"/>
    <numFmt numFmtId="176" formatCode="0.0000000"/>
    <numFmt numFmtId="177" formatCode="0.0000"/>
    <numFmt numFmtId="178" formatCode="_(* #,##0.000000000000000_);_(* \(#,##0.000000000000000\);_(* &quot;-&quot;??_);_(@_)"/>
  </numFmts>
  <fonts count="22" x14ac:knownFonts="1">
    <font>
      <sz val="11"/>
      <color theme="1"/>
      <name val="Calibri"/>
      <family val="2"/>
      <scheme val="minor"/>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sz val="11"/>
      <name val="Calibri"/>
      <family val="2"/>
      <scheme val="minor"/>
    </font>
    <font>
      <sz val="10"/>
      <name val="Arial Narrow"/>
      <family val="2"/>
    </font>
    <font>
      <b/>
      <sz val="10"/>
      <name val="Arial Narrow"/>
      <family val="2"/>
    </font>
    <font>
      <b/>
      <sz val="9"/>
      <name val="Arial Narrow"/>
      <family val="2"/>
    </font>
    <font>
      <sz val="11"/>
      <color theme="1"/>
      <name val="Calibri"/>
      <family val="2"/>
      <scheme val="minor"/>
    </font>
    <font>
      <sz val="10"/>
      <color theme="1"/>
      <name val="Times New Roman"/>
      <family val="1"/>
    </font>
    <font>
      <sz val="8"/>
      <color rgb="FF000000"/>
      <name val="Arial"/>
      <family val="2"/>
    </font>
    <font>
      <b/>
      <sz val="8"/>
      <color rgb="FF000000"/>
      <name val="Arial"/>
      <family val="2"/>
    </font>
    <font>
      <sz val="9"/>
      <name val="Arial Narrow"/>
      <family val="2"/>
    </font>
    <font>
      <b/>
      <sz val="11"/>
      <color rgb="FFFF0000"/>
      <name val="Calibri"/>
      <family val="2"/>
      <scheme val="minor"/>
    </font>
    <font>
      <b/>
      <vertAlign val="superscript"/>
      <sz val="11"/>
      <color theme="1"/>
      <name val="Calibri"/>
      <family val="2"/>
      <scheme val="minor"/>
    </font>
    <font>
      <sz val="8"/>
      <color theme="1"/>
      <name val="Calibri"/>
      <family val="2"/>
      <scheme val="minor"/>
    </font>
    <font>
      <b/>
      <sz val="11"/>
      <name val="Calibri"/>
      <family val="2"/>
      <scheme val="minor"/>
    </font>
    <font>
      <sz val="10"/>
      <color theme="1"/>
      <name val="Arial"/>
      <family val="2"/>
    </font>
    <font>
      <vertAlign val="superscript"/>
      <sz val="11"/>
      <color theme="1"/>
      <name val="Calibri"/>
      <family val="2"/>
      <scheme val="minor"/>
    </font>
    <font>
      <b/>
      <sz val="16"/>
      <name val="Calibri"/>
      <family val="2"/>
      <scheme val="minor"/>
    </font>
    <font>
      <b/>
      <vertAlign val="superscript"/>
      <sz val="16"/>
      <name val="Calibri"/>
      <family val="2"/>
      <scheme val="minor"/>
    </font>
  </fonts>
  <fills count="16">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E2EFD9"/>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theme="1"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top style="thick">
        <color indexed="8"/>
      </top>
      <bottom/>
      <diagonal/>
    </border>
    <border>
      <left style="thin">
        <color indexed="64"/>
      </left>
      <right/>
      <top/>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style="thin">
        <color indexed="64"/>
      </right>
      <top/>
      <bottom/>
      <diagonal/>
    </border>
    <border>
      <left/>
      <right style="thin">
        <color indexed="64"/>
      </right>
      <top/>
      <bottom style="thin">
        <color auto="1"/>
      </bottom>
      <diagonal/>
    </border>
    <border>
      <left/>
      <right style="thin">
        <color indexed="64"/>
      </right>
      <top/>
      <bottom/>
      <diagonal/>
    </border>
    <border>
      <left style="thin">
        <color indexed="64"/>
      </left>
      <right/>
      <top style="thin">
        <color auto="1"/>
      </top>
      <bottom style="thin">
        <color indexed="64"/>
      </bottom>
      <diagonal/>
    </border>
    <border>
      <left/>
      <right style="thin">
        <color indexed="64"/>
      </right>
      <top style="thin">
        <color auto="1"/>
      </top>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right/>
      <top style="thick">
        <color rgb="FF984806"/>
      </top>
      <bottom/>
      <diagonal/>
    </border>
    <border>
      <left/>
      <right/>
      <top style="thick">
        <color rgb="FF984806"/>
      </top>
      <bottom style="medium">
        <color indexed="64"/>
      </bottom>
      <diagonal/>
    </border>
    <border>
      <left/>
      <right/>
      <top style="medium">
        <color indexed="64"/>
      </top>
      <bottom/>
      <diagonal/>
    </border>
    <border>
      <left/>
      <right/>
      <top/>
      <bottom style="thick">
        <color rgb="FF984806"/>
      </bottom>
      <diagonal/>
    </border>
    <border>
      <left style="medium">
        <color rgb="FFFFFFFF"/>
      </left>
      <right style="medium">
        <color rgb="FFFFFFFF"/>
      </right>
      <top style="medium">
        <color indexed="64"/>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style="medium">
        <color indexed="64"/>
      </bottom>
      <diagonal/>
    </border>
    <border>
      <left style="medium">
        <color rgb="FFFFFFFF"/>
      </left>
      <right/>
      <top/>
      <bottom style="medium">
        <color rgb="FFFFFFFF"/>
      </bottom>
      <diagonal/>
    </border>
    <border>
      <left style="medium">
        <color rgb="FFFFFFFF"/>
      </left>
      <right style="medium">
        <color rgb="FFFFFFFF"/>
      </right>
      <top style="medium">
        <color indexed="64"/>
      </top>
      <bottom/>
      <diagonal/>
    </border>
  </borders>
  <cellStyleXfs count="3">
    <xf numFmtId="0" fontId="0" fillId="0" borderId="0"/>
    <xf numFmtId="43" fontId="9" fillId="0" borderId="0" applyFont="0" applyFill="0" applyBorder="0" applyAlignment="0" applyProtection="0"/>
    <xf numFmtId="9" fontId="9" fillId="0" borderId="0" applyFont="0" applyFill="0" applyBorder="0" applyAlignment="0" applyProtection="0"/>
  </cellStyleXfs>
  <cellXfs count="329">
    <xf numFmtId="0" fontId="0" fillId="0" borderId="0" xfId="0"/>
    <xf numFmtId="0" fontId="0" fillId="0" borderId="1" xfId="0" applyBorder="1"/>
    <xf numFmtId="0" fontId="0" fillId="2" borderId="1" xfId="0" applyFill="1" applyBorder="1"/>
    <xf numFmtId="0" fontId="0" fillId="3" borderId="1" xfId="0" applyFill="1" applyBorder="1"/>
    <xf numFmtId="0" fontId="0" fillId="2" borderId="1" xfId="0" applyFill="1" applyBorder="1" applyAlignment="1">
      <alignment wrapText="1"/>
    </xf>
    <xf numFmtId="0" fontId="0" fillId="3" borderId="3" xfId="0" applyFill="1" applyBorder="1"/>
    <xf numFmtId="0" fontId="0" fillId="0" borderId="1" xfId="0" applyFill="1" applyBorder="1"/>
    <xf numFmtId="0" fontId="0" fillId="0" borderId="2" xfId="0" applyFill="1" applyBorder="1"/>
    <xf numFmtId="0" fontId="0" fillId="0" borderId="0" xfId="0" applyFill="1"/>
    <xf numFmtId="0" fontId="4" fillId="0" borderId="0" xfId="0" applyFont="1"/>
    <xf numFmtId="0" fontId="4" fillId="3" borderId="1" xfId="0" applyFont="1" applyFill="1" applyBorder="1"/>
    <xf numFmtId="0" fontId="4" fillId="0" borderId="1" xfId="0" applyFont="1" applyBorder="1"/>
    <xf numFmtId="0" fontId="3" fillId="0" borderId="1" xfId="0" applyFont="1" applyFill="1" applyBorder="1"/>
    <xf numFmtId="0" fontId="0" fillId="0" borderId="0" xfId="0" applyFont="1" applyAlignment="1">
      <alignment wrapText="1"/>
    </xf>
    <xf numFmtId="0" fontId="0" fillId="3" borderId="1" xfId="0" applyFont="1" applyFill="1" applyBorder="1"/>
    <xf numFmtId="0" fontId="0" fillId="0" borderId="5" xfId="0" applyBorder="1"/>
    <xf numFmtId="0" fontId="0" fillId="0" borderId="0" xfId="0" applyBorder="1"/>
    <xf numFmtId="0" fontId="0" fillId="0" borderId="6" xfId="0" applyBorder="1"/>
    <xf numFmtId="0" fontId="0" fillId="3" borderId="5" xfId="0" applyFill="1" applyBorder="1"/>
    <xf numFmtId="0" fontId="0" fillId="3" borderId="0" xfId="0" applyFill="1"/>
    <xf numFmtId="0" fontId="0" fillId="3" borderId="0" xfId="0" applyFill="1" applyBorder="1"/>
    <xf numFmtId="0" fontId="0" fillId="0" borderId="8" xfId="0" applyBorder="1"/>
    <xf numFmtId="0" fontId="0" fillId="0" borderId="9" xfId="0" applyBorder="1"/>
    <xf numFmtId="0" fontId="0" fillId="0" borderId="10" xfId="0" applyBorder="1"/>
    <xf numFmtId="0" fontId="0" fillId="3" borderId="8" xfId="0" applyFill="1" applyBorder="1"/>
    <xf numFmtId="0" fontId="0" fillId="0" borderId="12" xfId="0" applyBorder="1"/>
    <xf numFmtId="0" fontId="0" fillId="0" borderId="13" xfId="0" applyBorder="1"/>
    <xf numFmtId="0" fontId="0" fillId="3" borderId="13" xfId="0" applyFill="1" applyBorder="1"/>
    <xf numFmtId="0" fontId="0" fillId="0" borderId="14" xfId="0" applyBorder="1"/>
    <xf numFmtId="0" fontId="0" fillId="3" borderId="10" xfId="0" applyFill="1" applyBorder="1"/>
    <xf numFmtId="0" fontId="0" fillId="0" borderId="4" xfId="0" applyBorder="1"/>
    <xf numFmtId="0" fontId="0" fillId="3" borderId="12" xfId="0" applyFill="1" applyBorder="1"/>
    <xf numFmtId="0" fontId="0" fillId="3" borderId="6" xfId="0" applyFill="1" applyBorder="1"/>
    <xf numFmtId="3" fontId="6" fillId="3" borderId="0" xfId="0" applyNumberFormat="1" applyFont="1" applyFill="1" applyBorder="1" applyAlignment="1">
      <alignment horizontal="center" vertical="center" wrapText="1"/>
    </xf>
    <xf numFmtId="0" fontId="4" fillId="3" borderId="0" xfId="0" applyFont="1" applyFill="1"/>
    <xf numFmtId="0" fontId="4" fillId="3" borderId="8" xfId="0" applyFont="1" applyFill="1" applyBorder="1"/>
    <xf numFmtId="0" fontId="4" fillId="3" borderId="0" xfId="0" applyFont="1" applyFill="1" applyBorder="1"/>
    <xf numFmtId="3" fontId="7" fillId="3" borderId="7" xfId="0" applyNumberFormat="1" applyFont="1" applyFill="1" applyBorder="1" applyAlignment="1">
      <alignment horizontal="center" vertical="center" wrapText="1"/>
    </xf>
    <xf numFmtId="0" fontId="4" fillId="3" borderId="13" xfId="0" applyFont="1" applyFill="1" applyBorder="1"/>
    <xf numFmtId="3" fontId="6" fillId="3" borderId="6" xfId="0" applyNumberFormat="1" applyFont="1" applyFill="1" applyBorder="1" applyAlignment="1">
      <alignment horizontal="center" vertical="center" wrapText="1"/>
    </xf>
    <xf numFmtId="0" fontId="4" fillId="3" borderId="6" xfId="0" applyFont="1" applyFill="1" applyBorder="1"/>
    <xf numFmtId="0" fontId="4" fillId="3" borderId="5" xfId="0" applyFont="1" applyFill="1" applyBorder="1"/>
    <xf numFmtId="0" fontId="0" fillId="0" borderId="15" xfId="0" applyBorder="1"/>
    <xf numFmtId="0" fontId="3" fillId="0" borderId="0" xfId="0" applyFont="1" applyBorder="1"/>
    <xf numFmtId="0" fontId="3" fillId="0" borderId="6" xfId="0" applyFont="1" applyBorder="1"/>
    <xf numFmtId="0" fontId="3" fillId="0" borderId="15" xfId="0" applyFont="1" applyBorder="1"/>
    <xf numFmtId="0" fontId="3" fillId="0" borderId="13" xfId="0" applyFont="1" applyBorder="1"/>
    <xf numFmtId="0" fontId="3" fillId="0" borderId="12" xfId="0" applyFont="1" applyBorder="1"/>
    <xf numFmtId="0" fontId="3" fillId="0" borderId="0" xfId="0" applyFont="1" applyFill="1" applyBorder="1"/>
    <xf numFmtId="0" fontId="3" fillId="0" borderId="8" xfId="0" applyFont="1" applyBorder="1"/>
    <xf numFmtId="3" fontId="8" fillId="3" borderId="0" xfId="0" applyNumberFormat="1" applyFont="1" applyFill="1" applyBorder="1" applyAlignment="1">
      <alignment horizontal="left" vertical="center" wrapText="1"/>
    </xf>
    <xf numFmtId="0" fontId="3" fillId="0" borderId="0" xfId="0" applyFont="1"/>
    <xf numFmtId="3" fontId="5" fillId="3" borderId="17" xfId="0" applyNumberFormat="1" applyFont="1" applyFill="1" applyBorder="1"/>
    <xf numFmtId="0" fontId="3" fillId="0" borderId="0" xfId="0" applyFont="1" applyAlignment="1">
      <alignment horizontal="center"/>
    </xf>
    <xf numFmtId="0" fontId="3" fillId="0" borderId="6" xfId="0" applyFont="1" applyBorder="1" applyAlignment="1">
      <alignment horizontal="center"/>
    </xf>
    <xf numFmtId="0" fontId="3" fillId="0" borderId="5" xfId="0" applyFont="1" applyBorder="1"/>
    <xf numFmtId="0" fontId="0" fillId="0" borderId="16" xfId="0" applyBorder="1"/>
    <xf numFmtId="0" fontId="4" fillId="3" borderId="11" xfId="0" applyFont="1" applyFill="1" applyBorder="1"/>
    <xf numFmtId="0" fontId="0" fillId="3" borderId="11" xfId="0" applyFill="1" applyBorder="1"/>
    <xf numFmtId="0" fontId="0" fillId="0" borderId="11" xfId="0" applyBorder="1"/>
    <xf numFmtId="0" fontId="0" fillId="0" borderId="3" xfId="0" applyBorder="1"/>
    <xf numFmtId="0" fontId="0" fillId="0" borderId="2" xfId="0" applyBorder="1"/>
    <xf numFmtId="0" fontId="0" fillId="3" borderId="6" xfId="0" applyFill="1" applyBorder="1" applyAlignment="1">
      <alignment wrapText="1"/>
    </xf>
    <xf numFmtId="164" fontId="5" fillId="0" borderId="0" xfId="1" applyNumberFormat="1" applyFont="1" applyBorder="1"/>
    <xf numFmtId="164" fontId="0" fillId="0" borderId="0" xfId="1" applyNumberFormat="1" applyFont="1" applyBorder="1"/>
    <xf numFmtId="0" fontId="0" fillId="0" borderId="0" xfId="0" applyAlignment="1">
      <alignment wrapText="1"/>
    </xf>
    <xf numFmtId="164" fontId="0" fillId="0" borderId="0" xfId="1" applyNumberFormat="1" applyFont="1"/>
    <xf numFmtId="164" fontId="0" fillId="0" borderId="0" xfId="0" applyNumberFormat="1"/>
    <xf numFmtId="0" fontId="11" fillId="0" borderId="18" xfId="0" applyFont="1" applyBorder="1" applyAlignment="1">
      <alignment vertical="center"/>
    </xf>
    <xf numFmtId="0" fontId="12" fillId="0" borderId="20" xfId="0" applyFont="1" applyBorder="1" applyAlignment="1">
      <alignment vertical="center"/>
    </xf>
    <xf numFmtId="0" fontId="12" fillId="0" borderId="0" xfId="0" applyFont="1" applyAlignment="1">
      <alignment horizontal="right" vertical="center"/>
    </xf>
    <xf numFmtId="0" fontId="12" fillId="0" borderId="20" xfId="0" applyFont="1" applyBorder="1" applyAlignment="1">
      <alignment horizontal="right" vertical="center"/>
    </xf>
    <xf numFmtId="0" fontId="12" fillId="0" borderId="0" xfId="0" applyFont="1" applyAlignment="1">
      <alignment vertical="center"/>
    </xf>
    <xf numFmtId="0" fontId="12" fillId="0" borderId="0" xfId="0" applyFont="1" applyAlignment="1">
      <alignment horizontal="right" vertical="center" wrapText="1"/>
    </xf>
    <xf numFmtId="0" fontId="10" fillId="0" borderId="0" xfId="0" applyFont="1"/>
    <xf numFmtId="0" fontId="10"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right" vertical="center" wrapText="1"/>
    </xf>
    <xf numFmtId="0" fontId="11" fillId="0" borderId="0" xfId="0" applyFont="1" applyAlignment="1">
      <alignment horizontal="right" vertical="center"/>
    </xf>
    <xf numFmtId="0" fontId="10" fillId="0" borderId="0" xfId="0" applyFont="1" applyAlignment="1">
      <alignment vertical="center"/>
    </xf>
    <xf numFmtId="0" fontId="12" fillId="0" borderId="21" xfId="0" applyFont="1" applyBorder="1" applyAlignment="1">
      <alignment vertical="center"/>
    </xf>
    <xf numFmtId="0" fontId="12" fillId="0" borderId="21" xfId="0" applyFont="1" applyBorder="1" applyAlignment="1">
      <alignment horizontal="right" vertical="center" wrapText="1"/>
    </xf>
    <xf numFmtId="0" fontId="12" fillId="0" borderId="21" xfId="0" applyFont="1" applyBorder="1" applyAlignment="1">
      <alignment horizontal="right" vertical="center"/>
    </xf>
    <xf numFmtId="3" fontId="0" fillId="0" borderId="0" xfId="0" applyNumberFormat="1"/>
    <xf numFmtId="0" fontId="0" fillId="0" borderId="0" xfId="0" applyAlignment="1">
      <alignment horizontal="left" indent="3"/>
    </xf>
    <xf numFmtId="0" fontId="0" fillId="0" borderId="0" xfId="0" applyFill="1" applyAlignment="1">
      <alignment horizontal="left" indent="2"/>
    </xf>
    <xf numFmtId="0" fontId="0" fillId="0" borderId="0" xfId="0" applyFill="1" applyBorder="1" applyAlignment="1">
      <alignment horizontal="left" indent="2"/>
    </xf>
    <xf numFmtId="3" fontId="0" fillId="0" borderId="0" xfId="0" applyNumberFormat="1" applyBorder="1"/>
    <xf numFmtId="0" fontId="4" fillId="0" borderId="0" xfId="0" applyFont="1" applyFill="1" applyBorder="1" applyAlignment="1">
      <alignment horizontal="left"/>
    </xf>
    <xf numFmtId="3" fontId="4" fillId="0" borderId="0" xfId="0" applyNumberFormat="1" applyFont="1"/>
    <xf numFmtId="2" fontId="0" fillId="0" borderId="0" xfId="0" applyNumberFormat="1"/>
    <xf numFmtId="0" fontId="0" fillId="0" borderId="0" xfId="0" applyAlignment="1">
      <alignment horizontal="left" wrapText="1"/>
    </xf>
    <xf numFmtId="0" fontId="4" fillId="0" borderId="0" xfId="0" applyFont="1" applyAlignment="1">
      <alignment wrapText="1"/>
    </xf>
    <xf numFmtId="0" fontId="11" fillId="0" borderId="0" xfId="0" applyFont="1" applyBorder="1" applyAlignment="1">
      <alignment vertical="center"/>
    </xf>
    <xf numFmtId="0" fontId="12" fillId="0" borderId="0" xfId="0" applyFont="1" applyBorder="1" applyAlignment="1">
      <alignment horizontal="center" vertical="center"/>
    </xf>
    <xf numFmtId="0" fontId="0" fillId="4" borderId="0" xfId="0" applyFill="1"/>
    <xf numFmtId="43" fontId="0" fillId="4" borderId="0" xfId="0" applyNumberFormat="1" applyFill="1"/>
    <xf numFmtId="0" fontId="0" fillId="0" borderId="0" xfId="0" quotePrefix="1"/>
    <xf numFmtId="43" fontId="0" fillId="0" borderId="0" xfId="0" applyNumberFormat="1"/>
    <xf numFmtId="164" fontId="0" fillId="0" borderId="0" xfId="0" applyNumberFormat="1" applyAlignment="1">
      <alignment horizontal="left"/>
    </xf>
    <xf numFmtId="164" fontId="5" fillId="0" borderId="13" xfId="1" applyNumberFormat="1" applyFont="1" applyBorder="1"/>
    <xf numFmtId="164" fontId="5" fillId="0" borderId="12" xfId="1" applyNumberFormat="1" applyFont="1" applyBorder="1"/>
    <xf numFmtId="164" fontId="0" fillId="0" borderId="6" xfId="1" applyNumberFormat="1" applyFont="1" applyBorder="1"/>
    <xf numFmtId="164" fontId="9" fillId="0" borderId="0" xfId="1" applyNumberFormat="1" applyFont="1" applyBorder="1"/>
    <xf numFmtId="164" fontId="9" fillId="0" borderId="6" xfId="1" applyNumberFormat="1" applyFont="1" applyBorder="1"/>
    <xf numFmtId="164" fontId="9" fillId="0" borderId="13" xfId="1" applyNumberFormat="1" applyFont="1" applyBorder="1"/>
    <xf numFmtId="164" fontId="0" fillId="0" borderId="13" xfId="1" applyNumberFormat="1" applyFont="1" applyBorder="1"/>
    <xf numFmtId="165" fontId="0" fillId="0" borderId="0" xfId="0" applyNumberFormat="1"/>
    <xf numFmtId="164" fontId="0" fillId="0" borderId="5" xfId="1" applyNumberFormat="1" applyFont="1" applyBorder="1"/>
    <xf numFmtId="3" fontId="7" fillId="3" borderId="0" xfId="0" applyNumberFormat="1" applyFont="1" applyFill="1" applyBorder="1" applyAlignment="1">
      <alignment horizontal="center" vertical="center" wrapText="1"/>
    </xf>
    <xf numFmtId="164" fontId="5" fillId="0" borderId="8" xfId="1" applyNumberFormat="1" applyFont="1" applyBorder="1"/>
    <xf numFmtId="9" fontId="0" fillId="0" borderId="0" xfId="0" applyNumberFormat="1"/>
    <xf numFmtId="1" fontId="0" fillId="0" borderId="6" xfId="0" applyNumberFormat="1" applyBorder="1"/>
    <xf numFmtId="1" fontId="0" fillId="0" borderId="12" xfId="0" applyNumberFormat="1" applyBorder="1"/>
    <xf numFmtId="1" fontId="0" fillId="0" borderId="0" xfId="0" applyNumberFormat="1"/>
    <xf numFmtId="164" fontId="9" fillId="0" borderId="0" xfId="1" applyNumberFormat="1" applyFont="1"/>
    <xf numFmtId="0" fontId="0" fillId="2" borderId="11" xfId="0" applyFill="1" applyBorder="1" applyAlignment="1">
      <alignment wrapText="1"/>
    </xf>
    <xf numFmtId="164" fontId="0" fillId="0" borderId="1" xfId="1" applyNumberFormat="1" applyFont="1" applyFill="1" applyBorder="1"/>
    <xf numFmtId="0" fontId="0" fillId="5" borderId="0" xfId="0" applyFill="1"/>
    <xf numFmtId="164" fontId="0" fillId="5" borderId="1" xfId="1" applyNumberFormat="1" applyFont="1" applyFill="1" applyBorder="1"/>
    <xf numFmtId="0" fontId="0" fillId="5" borderId="1" xfId="0" applyFill="1" applyBorder="1"/>
    <xf numFmtId="0" fontId="3" fillId="5" borderId="1" xfId="0" applyFont="1" applyFill="1" applyBorder="1"/>
    <xf numFmtId="164" fontId="0" fillId="3" borderId="1" xfId="0" applyNumberFormat="1" applyFill="1" applyBorder="1"/>
    <xf numFmtId="164" fontId="0" fillId="0" borderId="1" xfId="0" applyNumberFormat="1" applyBorder="1"/>
    <xf numFmtId="164" fontId="0" fillId="0" borderId="1" xfId="1" applyNumberFormat="1" applyFont="1" applyBorder="1"/>
    <xf numFmtId="164" fontId="0" fillId="0" borderId="2" xfId="0" applyNumberFormat="1" applyBorder="1"/>
    <xf numFmtId="0" fontId="0" fillId="0" borderId="0" xfId="0" applyAlignment="1">
      <alignment horizontal="left" indent="1"/>
    </xf>
    <xf numFmtId="164" fontId="0" fillId="0" borderId="0" xfId="0" applyNumberFormat="1" applyFill="1"/>
    <xf numFmtId="164" fontId="9" fillId="0" borderId="1" xfId="1" applyNumberFormat="1" applyFont="1" applyFill="1" applyBorder="1"/>
    <xf numFmtId="164" fontId="0" fillId="5" borderId="1" xfId="0" applyNumberFormat="1" applyFill="1" applyBorder="1"/>
    <xf numFmtId="164" fontId="3" fillId="0" borderId="1" xfId="0" applyNumberFormat="1" applyFont="1" applyBorder="1"/>
    <xf numFmtId="2" fontId="0" fillId="0" borderId="1" xfId="0" applyNumberFormat="1" applyBorder="1"/>
    <xf numFmtId="43" fontId="0" fillId="0" borderId="1" xfId="1" applyNumberFormat="1" applyFont="1" applyBorder="1"/>
    <xf numFmtId="0" fontId="0" fillId="6" borderId="1" xfId="0" applyFill="1" applyBorder="1"/>
    <xf numFmtId="0" fontId="4" fillId="7" borderId="1" xfId="0" applyFont="1" applyFill="1" applyBorder="1" applyAlignment="1">
      <alignment wrapText="1"/>
    </xf>
    <xf numFmtId="164" fontId="4" fillId="0" borderId="1" xfId="1" applyNumberFormat="1" applyFont="1" applyBorder="1"/>
    <xf numFmtId="2" fontId="4" fillId="0" borderId="1" xfId="0" applyNumberFormat="1" applyFont="1" applyBorder="1"/>
    <xf numFmtId="0" fontId="0" fillId="7" borderId="1" xfId="0" applyFill="1" applyBorder="1" applyAlignment="1">
      <alignment wrapText="1"/>
    </xf>
    <xf numFmtId="0" fontId="4" fillId="0" borderId="1" xfId="0" applyFont="1" applyBorder="1" applyAlignment="1">
      <alignment horizontal="center" vertical="center" wrapText="1"/>
    </xf>
    <xf numFmtId="164" fontId="4" fillId="0" borderId="1" xfId="1" applyNumberFormat="1" applyFont="1" applyBorder="1" applyAlignment="1">
      <alignment horizontal="center" vertical="center" wrapText="1"/>
    </xf>
    <xf numFmtId="0" fontId="4" fillId="0" borderId="1" xfId="0" applyFont="1" applyBorder="1" applyAlignment="1">
      <alignment horizontal="left" vertical="center" wrapText="1"/>
    </xf>
    <xf numFmtId="2" fontId="0" fillId="8" borderId="0" xfId="0" applyNumberFormat="1" applyFill="1"/>
    <xf numFmtId="164" fontId="5" fillId="0" borderId="5" xfId="1" applyNumberFormat="1" applyFont="1" applyBorder="1"/>
    <xf numFmtId="3" fontId="13" fillId="3" borderId="0" xfId="0" applyNumberFormat="1" applyFont="1" applyFill="1" applyBorder="1" applyAlignment="1">
      <alignment horizontal="left" vertical="center" wrapText="1"/>
    </xf>
    <xf numFmtId="164" fontId="3" fillId="0" borderId="0" xfId="0" applyNumberFormat="1" applyFont="1"/>
    <xf numFmtId="9" fontId="3" fillId="0" borderId="0" xfId="2" applyFont="1"/>
    <xf numFmtId="164" fontId="3" fillId="0" borderId="0" xfId="0" applyNumberFormat="1" applyFont="1" applyAlignment="1">
      <alignment horizontal="left"/>
    </xf>
    <xf numFmtId="0" fontId="14" fillId="0" borderId="0" xfId="0" applyFont="1"/>
    <xf numFmtId="3" fontId="8" fillId="3" borderId="2" xfId="0" applyNumberFormat="1" applyFont="1" applyFill="1" applyBorder="1" applyAlignment="1">
      <alignment horizontal="left" vertical="center" wrapText="1"/>
    </xf>
    <xf numFmtId="3" fontId="13" fillId="3" borderId="5" xfId="0" applyNumberFormat="1" applyFont="1" applyFill="1" applyBorder="1" applyAlignment="1">
      <alignment horizontal="left" vertical="center" wrapText="1"/>
    </xf>
    <xf numFmtId="164" fontId="3" fillId="0" borderId="1" xfId="0" applyNumberFormat="1" applyFont="1" applyFill="1" applyBorder="1"/>
    <xf numFmtId="164" fontId="5" fillId="0" borderId="0" xfId="1" applyNumberFormat="1" applyFont="1" applyFill="1" applyBorder="1"/>
    <xf numFmtId="164" fontId="0" fillId="4" borderId="0" xfId="0" applyNumberFormat="1" applyFill="1"/>
    <xf numFmtId="164" fontId="0" fillId="11" borderId="0" xfId="0" applyNumberFormat="1" applyFill="1"/>
    <xf numFmtId="43" fontId="0" fillId="0" borderId="0" xfId="0" applyNumberFormat="1" applyFill="1"/>
    <xf numFmtId="0" fontId="0" fillId="12" borderId="22" xfId="0" applyFill="1" applyBorder="1" applyAlignment="1">
      <alignment horizontal="justify" vertical="center" wrapText="1"/>
    </xf>
    <xf numFmtId="0" fontId="0" fillId="12" borderId="24" xfId="0" applyFill="1" applyBorder="1" applyAlignment="1">
      <alignment horizontal="justify" vertical="center" wrapText="1"/>
    </xf>
    <xf numFmtId="0" fontId="16" fillId="0" borderId="0" xfId="0" applyFont="1" applyAlignment="1">
      <alignment vertical="center"/>
    </xf>
    <xf numFmtId="0" fontId="0" fillId="12" borderId="25" xfId="0" applyFill="1" applyBorder="1" applyAlignment="1">
      <alignment horizontal="justify" vertical="center" wrapText="1"/>
    </xf>
    <xf numFmtId="164" fontId="0" fillId="12" borderId="26" xfId="1" applyNumberFormat="1" applyFont="1" applyFill="1" applyBorder="1" applyAlignment="1">
      <alignment horizontal="justify" vertical="center" wrapText="1"/>
    </xf>
    <xf numFmtId="164" fontId="0" fillId="12" borderId="0" xfId="1" applyNumberFormat="1" applyFont="1" applyFill="1" applyBorder="1" applyAlignment="1">
      <alignment horizontal="justify" vertical="center" wrapText="1"/>
    </xf>
    <xf numFmtId="167" fontId="0" fillId="12" borderId="0" xfId="1" applyNumberFormat="1" applyFont="1" applyFill="1" applyBorder="1" applyAlignment="1">
      <alignment horizontal="justify" vertical="center" wrapText="1"/>
    </xf>
    <xf numFmtId="0" fontId="0" fillId="3" borderId="1" xfId="0" applyFill="1" applyBorder="1" applyAlignment="1">
      <alignment horizontal="left" indent="1"/>
    </xf>
    <xf numFmtId="0" fontId="0" fillId="0" borderId="1" xfId="0" applyFill="1" applyBorder="1" applyAlignment="1">
      <alignment horizontal="left" indent="2"/>
    </xf>
    <xf numFmtId="0" fontId="0" fillId="0" borderId="1" xfId="0" applyBorder="1" applyAlignment="1">
      <alignment horizontal="left" indent="1"/>
    </xf>
    <xf numFmtId="0" fontId="0" fillId="0" borderId="1" xfId="0" applyBorder="1" applyAlignment="1">
      <alignment horizontal="left" indent="2"/>
    </xf>
    <xf numFmtId="164" fontId="5" fillId="13" borderId="0" xfId="1" applyNumberFormat="1" applyFont="1" applyFill="1" applyBorder="1"/>
    <xf numFmtId="164" fontId="5" fillId="13" borderId="5" xfId="1" applyNumberFormat="1" applyFont="1" applyFill="1" applyBorder="1"/>
    <xf numFmtId="164" fontId="5" fillId="13" borderId="15" xfId="1" applyNumberFormat="1" applyFont="1" applyFill="1" applyBorder="1"/>
    <xf numFmtId="164" fontId="5" fillId="13" borderId="13" xfId="1" applyNumberFormat="1" applyFont="1" applyFill="1" applyBorder="1"/>
    <xf numFmtId="164" fontId="5" fillId="13" borderId="10" xfId="1" applyNumberFormat="1" applyFont="1" applyFill="1" applyBorder="1"/>
    <xf numFmtId="164" fontId="5" fillId="13" borderId="6" xfId="1" applyNumberFormat="1" applyFont="1" applyFill="1" applyBorder="1"/>
    <xf numFmtId="167" fontId="0" fillId="0" borderId="1" xfId="1" applyNumberFormat="1" applyFont="1" applyBorder="1"/>
    <xf numFmtId="164" fontId="3" fillId="0" borderId="0" xfId="1" applyNumberFormat="1" applyFont="1" applyBorder="1"/>
    <xf numFmtId="164" fontId="3" fillId="0" borderId="13" xfId="1" applyNumberFormat="1" applyFont="1" applyBorder="1"/>
    <xf numFmtId="164" fontId="5" fillId="0" borderId="4" xfId="1" applyNumberFormat="1" applyFont="1" applyBorder="1"/>
    <xf numFmtId="164" fontId="5" fillId="4" borderId="0" xfId="1" applyNumberFormat="1" applyFont="1" applyFill="1" applyBorder="1"/>
    <xf numFmtId="0" fontId="17" fillId="3" borderId="0" xfId="0" applyFont="1" applyFill="1"/>
    <xf numFmtId="0" fontId="5" fillId="3" borderId="0" xfId="0" applyFont="1" applyFill="1" applyBorder="1"/>
    <xf numFmtId="0" fontId="5" fillId="0" borderId="8" xfId="0" applyFont="1" applyBorder="1"/>
    <xf numFmtId="0" fontId="5" fillId="0" borderId="0" xfId="0" applyFont="1" applyBorder="1"/>
    <xf numFmtId="0" fontId="5" fillId="0" borderId="13" xfId="0" applyFont="1" applyBorder="1"/>
    <xf numFmtId="164" fontId="5" fillId="0" borderId="15" xfId="0" applyNumberFormat="1" applyFont="1" applyBorder="1"/>
    <xf numFmtId="164" fontId="5" fillId="0" borderId="0" xfId="0" applyNumberFormat="1" applyFont="1"/>
    <xf numFmtId="0" fontId="5" fillId="0" borderId="0" xfId="0" applyFont="1"/>
    <xf numFmtId="164" fontId="5" fillId="0" borderId="9" xfId="1" applyNumberFormat="1" applyFont="1" applyBorder="1"/>
    <xf numFmtId="164" fontId="5" fillId="0" borderId="15" xfId="1" applyNumberFormat="1" applyFont="1" applyBorder="1"/>
    <xf numFmtId="0" fontId="17" fillId="3" borderId="11" xfId="0" applyFont="1" applyFill="1" applyBorder="1"/>
    <xf numFmtId="164" fontId="5" fillId="14" borderId="0" xfId="1" applyNumberFormat="1" applyFont="1" applyFill="1" applyBorder="1"/>
    <xf numFmtId="164" fontId="5" fillId="0" borderId="10" xfId="1" applyNumberFormat="1" applyFont="1" applyBorder="1"/>
    <xf numFmtId="164" fontId="5" fillId="0" borderId="6" xfId="1" applyNumberFormat="1" applyFont="1" applyBorder="1"/>
    <xf numFmtId="164" fontId="5" fillId="0" borderId="0" xfId="0" applyNumberFormat="1" applyFont="1" applyBorder="1"/>
    <xf numFmtId="164" fontId="5" fillId="0" borderId="13" xfId="0" applyNumberFormat="1" applyFont="1" applyBorder="1"/>
    <xf numFmtId="164" fontId="5" fillId="0" borderId="8" xfId="0" applyNumberFormat="1" applyFont="1" applyBorder="1"/>
    <xf numFmtId="0" fontId="5" fillId="0" borderId="6" xfId="0" applyFont="1" applyBorder="1"/>
    <xf numFmtId="164" fontId="5" fillId="0" borderId="12" xfId="0" applyNumberFormat="1" applyFont="1" applyBorder="1"/>
    <xf numFmtId="164" fontId="5" fillId="13" borderId="12" xfId="1" applyNumberFormat="1" applyFont="1" applyFill="1" applyBorder="1"/>
    <xf numFmtId="0" fontId="5" fillId="0" borderId="14" xfId="0" applyFont="1" applyBorder="1"/>
    <xf numFmtId="0" fontId="5" fillId="0" borderId="4" xfId="0" applyFont="1" applyBorder="1"/>
    <xf numFmtId="0" fontId="5" fillId="0" borderId="16" xfId="0" applyFont="1" applyBorder="1"/>
    <xf numFmtId="164" fontId="5" fillId="0" borderId="4" xfId="0" applyNumberFormat="1" applyFont="1" applyBorder="1"/>
    <xf numFmtId="164" fontId="5" fillId="0" borderId="16" xfId="1" applyNumberFormat="1" applyFont="1" applyBorder="1"/>
    <xf numFmtId="164" fontId="5" fillId="0" borderId="14" xfId="1" applyNumberFormat="1" applyFont="1" applyBorder="1"/>
    <xf numFmtId="164" fontId="5" fillId="10" borderId="4" xfId="1" applyNumberFormat="1" applyFont="1" applyFill="1" applyBorder="1"/>
    <xf numFmtId="164" fontId="0" fillId="4" borderId="1" xfId="1" applyNumberFormat="1" applyFont="1" applyFill="1" applyBorder="1"/>
    <xf numFmtId="171" fontId="0" fillId="0" borderId="0" xfId="1" applyNumberFormat="1" applyFont="1" applyFill="1"/>
    <xf numFmtId="171" fontId="0" fillId="0" borderId="0" xfId="1" applyNumberFormat="1" applyFont="1"/>
    <xf numFmtId="172" fontId="0" fillId="0" borderId="0" xfId="1" applyNumberFormat="1" applyFont="1"/>
    <xf numFmtId="172" fontId="0" fillId="0" borderId="0" xfId="1" applyNumberFormat="1" applyFont="1" applyFill="1"/>
    <xf numFmtId="172" fontId="0" fillId="4" borderId="0" xfId="1" applyNumberFormat="1" applyFont="1" applyFill="1"/>
    <xf numFmtId="9" fontId="0" fillId="0" borderId="0" xfId="2" applyFont="1"/>
    <xf numFmtId="174" fontId="0" fillId="0" borderId="0" xfId="2" applyNumberFormat="1" applyFont="1"/>
    <xf numFmtId="164" fontId="18" fillId="0" borderId="0" xfId="1" applyNumberFormat="1" applyFont="1"/>
    <xf numFmtId="164" fontId="9" fillId="0" borderId="1" xfId="1" applyNumberFormat="1" applyFont="1" applyBorder="1" applyAlignment="1">
      <alignment horizontal="center" vertical="center" wrapText="1"/>
    </xf>
    <xf numFmtId="0" fontId="0" fillId="7" borderId="0" xfId="0" applyFill="1" applyBorder="1" applyAlignment="1">
      <alignment wrapText="1"/>
    </xf>
    <xf numFmtId="0" fontId="0" fillId="7" borderId="1" xfId="0" applyFill="1" applyBorder="1" applyAlignment="1">
      <alignment vertical="top" wrapText="1"/>
    </xf>
    <xf numFmtId="164" fontId="9" fillId="7" borderId="1" xfId="1" applyNumberFormat="1" applyFont="1" applyFill="1" applyBorder="1" applyAlignment="1">
      <alignment wrapText="1"/>
    </xf>
    <xf numFmtId="0" fontId="4" fillId="0" borderId="1" xfId="1" applyNumberFormat="1" applyFont="1" applyBorder="1" applyAlignment="1">
      <alignment horizontal="center" vertical="center" wrapText="1"/>
    </xf>
    <xf numFmtId="10" fontId="0" fillId="0" borderId="0" xfId="2" applyNumberFormat="1" applyFont="1"/>
    <xf numFmtId="174" fontId="0" fillId="0" borderId="1" xfId="2" applyNumberFormat="1" applyFont="1" applyBorder="1"/>
    <xf numFmtId="174" fontId="3" fillId="0" borderId="1" xfId="2" applyNumberFormat="1" applyFont="1" applyBorder="1"/>
    <xf numFmtId="43" fontId="0" fillId="0" borderId="0" xfId="1" applyFont="1"/>
    <xf numFmtId="166" fontId="9" fillId="0" borderId="0" xfId="1" applyNumberFormat="1" applyFont="1" applyBorder="1" applyAlignment="1">
      <alignment horizontal="center" vertical="center" wrapText="1"/>
    </xf>
    <xf numFmtId="2" fontId="0" fillId="7" borderId="1" xfId="0" applyNumberFormat="1" applyFill="1" applyBorder="1" applyAlignment="1">
      <alignment wrapText="1"/>
    </xf>
    <xf numFmtId="175" fontId="0" fillId="7" borderId="1" xfId="0" applyNumberFormat="1" applyFill="1" applyBorder="1" applyAlignment="1">
      <alignment wrapText="1"/>
    </xf>
    <xf numFmtId="164" fontId="0" fillId="0" borderId="0" xfId="1" applyNumberFormat="1" applyFont="1" applyFill="1"/>
    <xf numFmtId="164" fontId="5" fillId="9" borderId="5" xfId="1" applyNumberFormat="1" applyFont="1" applyFill="1" applyBorder="1"/>
    <xf numFmtId="177" fontId="0" fillId="0" borderId="0" xfId="0" applyNumberFormat="1"/>
    <xf numFmtId="43" fontId="4" fillId="0" borderId="0" xfId="1" applyFont="1"/>
    <xf numFmtId="164" fontId="4" fillId="0" borderId="0" xfId="0" applyNumberFormat="1" applyFont="1"/>
    <xf numFmtId="177" fontId="4" fillId="0" borderId="0" xfId="0" applyNumberFormat="1" applyFont="1"/>
    <xf numFmtId="164" fontId="4" fillId="0" borderId="1" xfId="0" applyNumberFormat="1" applyFont="1" applyBorder="1" applyAlignment="1">
      <alignment horizontal="center" vertical="center" wrapText="1"/>
    </xf>
    <xf numFmtId="178" fontId="0" fillId="0" borderId="0" xfId="1" applyNumberFormat="1" applyFont="1" applyFill="1"/>
    <xf numFmtId="0" fontId="4" fillId="0" borderId="1" xfId="0" applyFont="1" applyBorder="1" applyAlignment="1">
      <alignment wrapText="1"/>
    </xf>
    <xf numFmtId="164" fontId="4" fillId="0" borderId="1" xfId="1" applyNumberFormat="1" applyFont="1" applyBorder="1" applyAlignment="1">
      <alignment wrapText="1"/>
    </xf>
    <xf numFmtId="164" fontId="0" fillId="0" borderId="1" xfId="1" applyNumberFormat="1" applyFont="1" applyBorder="1" applyAlignment="1">
      <alignment horizontal="left" indent="1"/>
    </xf>
    <xf numFmtId="164" fontId="0" fillId="0" borderId="1" xfId="1" applyNumberFormat="1" applyFont="1" applyBorder="1" applyAlignment="1">
      <alignment wrapText="1"/>
    </xf>
    <xf numFmtId="164" fontId="0" fillId="2" borderId="1" xfId="1" applyNumberFormat="1" applyFont="1" applyFill="1" applyBorder="1" applyAlignment="1">
      <alignment wrapText="1"/>
    </xf>
    <xf numFmtId="164" fontId="4" fillId="0" borderId="1" xfId="1" applyNumberFormat="1" applyFont="1" applyBorder="1" applyAlignment="1">
      <alignment horizontal="left" indent="1"/>
    </xf>
    <xf numFmtId="0" fontId="4" fillId="15" borderId="1" xfId="0" applyFont="1" applyFill="1" applyBorder="1" applyAlignment="1">
      <alignment horizontal="center" vertical="center" wrapText="1"/>
    </xf>
    <xf numFmtId="43" fontId="4" fillId="15" borderId="1" xfId="1" applyNumberFormat="1" applyFont="1" applyFill="1" applyBorder="1"/>
    <xf numFmtId="2" fontId="4" fillId="15" borderId="1" xfId="0" applyNumberFormat="1" applyFont="1" applyFill="1" applyBorder="1" applyAlignment="1">
      <alignment horizontal="right" vertical="center" wrapText="1"/>
    </xf>
    <xf numFmtId="43" fontId="0" fillId="15" borderId="1" xfId="1" applyNumberFormat="1" applyFont="1" applyFill="1" applyBorder="1"/>
    <xf numFmtId="164" fontId="0" fillId="15" borderId="1" xfId="1" applyNumberFormat="1" applyFont="1" applyFill="1" applyBorder="1" applyAlignment="1">
      <alignment wrapText="1"/>
    </xf>
    <xf numFmtId="164" fontId="4" fillId="15" borderId="1" xfId="1" applyNumberFormat="1" applyFont="1" applyFill="1" applyBorder="1"/>
    <xf numFmtId="2" fontId="0" fillId="15" borderId="1" xfId="1" applyNumberFormat="1" applyFont="1" applyFill="1" applyBorder="1"/>
    <xf numFmtId="164" fontId="0" fillId="15" borderId="1" xfId="1" applyNumberFormat="1" applyFont="1" applyFill="1" applyBorder="1"/>
    <xf numFmtId="2" fontId="0" fillId="15" borderId="0" xfId="1" applyNumberFormat="1" applyFont="1" applyFill="1" applyAlignment="1">
      <alignment horizontal="right"/>
    </xf>
    <xf numFmtId="176" fontId="4" fillId="15" borderId="1" xfId="0" applyNumberFormat="1" applyFont="1" applyFill="1" applyBorder="1" applyAlignment="1">
      <alignment horizontal="center" vertical="center" wrapText="1"/>
    </xf>
    <xf numFmtId="177" fontId="4" fillId="15" borderId="1" xfId="0" applyNumberFormat="1" applyFont="1" applyFill="1" applyBorder="1" applyAlignment="1">
      <alignment horizontal="right" vertical="center" wrapText="1"/>
    </xf>
    <xf numFmtId="167" fontId="0" fillId="15" borderId="1" xfId="1" applyNumberFormat="1" applyFont="1" applyFill="1" applyBorder="1"/>
    <xf numFmtId="0" fontId="0" fillId="15" borderId="1" xfId="0" applyFill="1" applyBorder="1"/>
    <xf numFmtId="43" fontId="0" fillId="8" borderId="0" xfId="1" applyFont="1" applyFill="1"/>
    <xf numFmtId="43" fontId="4" fillId="0" borderId="1" xfId="1" applyNumberFormat="1" applyFont="1" applyBorder="1"/>
    <xf numFmtId="43" fontId="0" fillId="2" borderId="1" xfId="1" applyNumberFormat="1" applyFont="1" applyFill="1" applyBorder="1" applyAlignment="1">
      <alignment wrapText="1"/>
    </xf>
    <xf numFmtId="43" fontId="5" fillId="13" borderId="13" xfId="1" applyNumberFormat="1" applyFont="1" applyFill="1" applyBorder="1"/>
    <xf numFmtId="167" fontId="3" fillId="12" borderId="23" xfId="1" applyNumberFormat="1" applyFont="1" applyFill="1" applyBorder="1" applyAlignment="1">
      <alignment horizontal="justify" vertical="center" wrapText="1"/>
    </xf>
    <xf numFmtId="166" fontId="0" fillId="12" borderId="0" xfId="1" applyNumberFormat="1" applyFont="1" applyFill="1" applyBorder="1" applyAlignment="1">
      <alignment horizontal="justify" vertical="center" wrapText="1"/>
    </xf>
    <xf numFmtId="0" fontId="17" fillId="3" borderId="0" xfId="0" applyFont="1" applyFill="1" applyBorder="1"/>
    <xf numFmtId="0" fontId="17" fillId="3" borderId="13" xfId="0" applyFont="1" applyFill="1" applyBorder="1"/>
    <xf numFmtId="0" fontId="17" fillId="3" borderId="6" xfId="0" applyFont="1" applyFill="1" applyBorder="1"/>
    <xf numFmtId="0" fontId="5" fillId="3" borderId="6" xfId="0" applyFont="1" applyFill="1" applyBorder="1"/>
    <xf numFmtId="0" fontId="5" fillId="3" borderId="6" xfId="0" applyFont="1" applyFill="1" applyBorder="1" applyAlignment="1">
      <alignment wrapText="1"/>
    </xf>
    <xf numFmtId="0" fontId="5" fillId="3" borderId="10" xfId="0" applyFont="1" applyFill="1" applyBorder="1" applyAlignment="1">
      <alignment wrapText="1"/>
    </xf>
    <xf numFmtId="0" fontId="5" fillId="3" borderId="12" xfId="0" applyFont="1" applyFill="1" applyBorder="1" applyAlignment="1">
      <alignment wrapText="1"/>
    </xf>
    <xf numFmtId="0" fontId="5" fillId="0" borderId="15" xfId="0" applyFont="1" applyBorder="1"/>
    <xf numFmtId="0" fontId="5" fillId="0" borderId="0" xfId="0" applyFont="1" applyFill="1" applyBorder="1"/>
    <xf numFmtId="0" fontId="5" fillId="0" borderId="10" xfId="0" applyFont="1" applyBorder="1"/>
    <xf numFmtId="0" fontId="5" fillId="0" borderId="12" xfId="0" applyFont="1" applyBorder="1"/>
    <xf numFmtId="0" fontId="5" fillId="3" borderId="0" xfId="0" applyFont="1" applyFill="1"/>
    <xf numFmtId="0" fontId="17" fillId="3" borderId="5" xfId="0" applyFont="1" applyFill="1" applyBorder="1"/>
    <xf numFmtId="0" fontId="5" fillId="3" borderId="5" xfId="0" applyFont="1" applyFill="1" applyBorder="1"/>
    <xf numFmtId="0" fontId="5" fillId="0" borderId="5" xfId="0" applyFont="1" applyBorder="1"/>
    <xf numFmtId="0" fontId="5" fillId="0" borderId="9" xfId="0" applyFont="1" applyBorder="1"/>
    <xf numFmtId="0" fontId="20" fillId="0" borderId="0" xfId="0" applyFont="1" applyFill="1" applyBorder="1"/>
    <xf numFmtId="0" fontId="17" fillId="0" borderId="0" xfId="0" applyFont="1" applyFill="1" applyBorder="1"/>
    <xf numFmtId="164" fontId="5" fillId="0" borderId="0" xfId="0" applyNumberFormat="1" applyFont="1" applyFill="1" applyBorder="1"/>
    <xf numFmtId="2" fontId="5" fillId="0" borderId="0" xfId="0" applyNumberFormat="1" applyFont="1" applyFill="1" applyBorder="1"/>
    <xf numFmtId="0" fontId="17" fillId="3" borderId="9" xfId="0" applyFont="1" applyFill="1" applyBorder="1"/>
    <xf numFmtId="0" fontId="5" fillId="3" borderId="15" xfId="0" applyFont="1" applyFill="1" applyBorder="1"/>
    <xf numFmtId="0" fontId="17" fillId="3" borderId="1" xfId="0" applyFont="1" applyFill="1" applyBorder="1"/>
    <xf numFmtId="0" fontId="17" fillId="3" borderId="10" xfId="0" applyFont="1" applyFill="1" applyBorder="1"/>
    <xf numFmtId="0" fontId="5" fillId="3" borderId="12" xfId="0" applyFont="1" applyFill="1" applyBorder="1"/>
    <xf numFmtId="0" fontId="5" fillId="3" borderId="14" xfId="0" applyFont="1" applyFill="1" applyBorder="1" applyAlignment="1">
      <alignment wrapText="1"/>
    </xf>
    <xf numFmtId="0" fontId="5" fillId="3" borderId="4" xfId="0" applyFont="1" applyFill="1" applyBorder="1" applyAlignment="1">
      <alignment wrapText="1"/>
    </xf>
    <xf numFmtId="0" fontId="5" fillId="3" borderId="16" xfId="0" applyFont="1" applyFill="1" applyBorder="1" applyAlignment="1">
      <alignment wrapText="1"/>
    </xf>
    <xf numFmtId="0" fontId="5" fillId="3" borderId="6" xfId="0" applyFont="1" applyFill="1" applyBorder="1" applyAlignment="1">
      <alignment horizontal="center" wrapText="1"/>
    </xf>
    <xf numFmtId="0" fontId="17" fillId="3" borderId="2" xfId="0" applyFont="1" applyFill="1" applyBorder="1"/>
    <xf numFmtId="164" fontId="5" fillId="7" borderId="15" xfId="1" applyNumberFormat="1" applyFont="1" applyFill="1" applyBorder="1"/>
    <xf numFmtId="0" fontId="17" fillId="3" borderId="3" xfId="0" applyFont="1" applyFill="1" applyBorder="1"/>
    <xf numFmtId="164" fontId="5" fillId="0" borderId="6" xfId="0" applyNumberFormat="1" applyFont="1" applyBorder="1"/>
    <xf numFmtId="164" fontId="5" fillId="0" borderId="10" xfId="1" applyNumberFormat="1" applyFont="1" applyFill="1" applyBorder="1"/>
    <xf numFmtId="164" fontId="5" fillId="0" borderId="6" xfId="1" applyNumberFormat="1" applyFont="1" applyFill="1" applyBorder="1"/>
    <xf numFmtId="164" fontId="5" fillId="0" borderId="5" xfId="1" applyNumberFormat="1" applyFont="1" applyFill="1" applyBorder="1"/>
    <xf numFmtId="43" fontId="5" fillId="0" borderId="0" xfId="0" applyNumberFormat="1" applyFont="1" applyBorder="1"/>
    <xf numFmtId="164" fontId="5" fillId="0" borderId="12" xfId="1" applyNumberFormat="1" applyFont="1" applyFill="1" applyBorder="1"/>
    <xf numFmtId="43" fontId="5" fillId="0" borderId="0" xfId="0" applyNumberFormat="1" applyFont="1"/>
    <xf numFmtId="43" fontId="5" fillId="0" borderId="9" xfId="0" applyNumberFormat="1" applyFont="1" applyBorder="1"/>
    <xf numFmtId="164" fontId="5" fillId="9" borderId="0" xfId="1" applyNumberFormat="1" applyFont="1" applyFill="1" applyBorder="1"/>
    <xf numFmtId="43" fontId="5" fillId="0" borderId="8" xfId="0" applyNumberFormat="1" applyFont="1" applyBorder="1"/>
    <xf numFmtId="164" fontId="5" fillId="13" borderId="0" xfId="1" applyNumberFormat="1" applyFont="1" applyFill="1"/>
    <xf numFmtId="164" fontId="5" fillId="13" borderId="0" xfId="0" applyNumberFormat="1" applyFont="1" applyFill="1"/>
    <xf numFmtId="0" fontId="5" fillId="3" borderId="0" xfId="0" applyFont="1" applyFill="1" applyAlignment="1">
      <alignment wrapText="1"/>
    </xf>
    <xf numFmtId="3" fontId="5" fillId="0" borderId="0" xfId="0" applyNumberFormat="1" applyFont="1" applyBorder="1"/>
    <xf numFmtId="164" fontId="5" fillId="9" borderId="0" xfId="0" applyNumberFormat="1" applyFont="1" applyFill="1" applyBorder="1"/>
    <xf numFmtId="169" fontId="5" fillId="0" borderId="13" xfId="1" applyNumberFormat="1" applyFont="1" applyBorder="1"/>
    <xf numFmtId="168" fontId="5" fillId="0" borderId="13" xfId="1" applyNumberFormat="1" applyFont="1" applyBorder="1"/>
    <xf numFmtId="170" fontId="5" fillId="0" borderId="13" xfId="1" applyNumberFormat="1" applyFont="1" applyBorder="1"/>
    <xf numFmtId="43" fontId="5" fillId="9" borderId="5" xfId="0" applyNumberFormat="1" applyFont="1" applyFill="1" applyBorder="1"/>
    <xf numFmtId="164" fontId="5" fillId="9" borderId="9" xfId="1" applyNumberFormat="1" applyFont="1" applyFill="1" applyBorder="1"/>
    <xf numFmtId="164" fontId="5" fillId="9" borderId="15" xfId="1" applyNumberFormat="1" applyFont="1" applyFill="1" applyBorder="1"/>
    <xf numFmtId="0" fontId="5" fillId="9" borderId="5" xfId="0" applyFont="1" applyFill="1" applyBorder="1"/>
    <xf numFmtId="43" fontId="5" fillId="9" borderId="0" xfId="0" applyNumberFormat="1" applyFont="1" applyFill="1" applyBorder="1"/>
    <xf numFmtId="164" fontId="5" fillId="9" borderId="8" xfId="1" applyNumberFormat="1" applyFont="1" applyFill="1" applyBorder="1"/>
    <xf numFmtId="164" fontId="5" fillId="9" borderId="13" xfId="1" applyNumberFormat="1" applyFont="1" applyFill="1" applyBorder="1"/>
    <xf numFmtId="0" fontId="5" fillId="9" borderId="0" xfId="0" applyFont="1" applyFill="1" applyBorder="1"/>
    <xf numFmtId="0" fontId="17" fillId="3" borderId="14" xfId="0" applyFont="1" applyFill="1" applyBorder="1"/>
    <xf numFmtId="0" fontId="5" fillId="3" borderId="4" xfId="0" applyFont="1" applyFill="1" applyBorder="1"/>
    <xf numFmtId="173" fontId="5" fillId="0" borderId="0" xfId="0" applyNumberFormat="1" applyFont="1" applyFill="1" applyBorder="1"/>
    <xf numFmtId="164" fontId="5" fillId="0" borderId="0" xfId="1" applyNumberFormat="1" applyFont="1"/>
    <xf numFmtId="0" fontId="0" fillId="3" borderId="0" xfId="0" applyFont="1" applyFill="1" applyAlignment="1">
      <alignment horizontal="center" vertical="center" textRotation="90" wrapText="1"/>
    </xf>
    <xf numFmtId="0" fontId="12" fillId="0" borderId="19" xfId="0" applyFont="1" applyBorder="1" applyAlignment="1">
      <alignment horizontal="center" vertical="center"/>
    </xf>
    <xf numFmtId="0" fontId="17" fillId="3" borderId="8" xfId="0" applyFont="1" applyFill="1" applyBorder="1" applyAlignment="1">
      <alignment horizontal="center"/>
    </xf>
    <xf numFmtId="0" fontId="17" fillId="3" borderId="0" xfId="0" applyFont="1" applyFill="1" applyBorder="1" applyAlignment="1">
      <alignment horizontal="center"/>
    </xf>
    <xf numFmtId="0" fontId="17" fillId="3" borderId="13" xfId="0" applyFont="1" applyFill="1" applyBorder="1" applyAlignment="1">
      <alignment horizontal="center"/>
    </xf>
    <xf numFmtId="0" fontId="17" fillId="3" borderId="14" xfId="0" applyFont="1" applyFill="1" applyBorder="1" applyAlignment="1">
      <alignment horizontal="center"/>
    </xf>
    <xf numFmtId="0" fontId="17" fillId="3" borderId="4" xfId="0" applyFont="1" applyFill="1" applyBorder="1" applyAlignment="1">
      <alignment horizontal="center"/>
    </xf>
    <xf numFmtId="0" fontId="17" fillId="3" borderId="16" xfId="0" applyFont="1" applyFill="1" applyBorder="1" applyAlignment="1">
      <alignment horizontal="center"/>
    </xf>
    <xf numFmtId="0" fontId="17" fillId="3" borderId="1" xfId="0" applyFont="1" applyFill="1" applyBorder="1" applyAlignment="1">
      <alignment horizontal="center"/>
    </xf>
  </cellXfs>
  <cellStyles count="3">
    <cellStyle name="Comma" xfId="1" builtinId="3"/>
    <cellStyle name="Normal" xfId="0" builtinId="0"/>
    <cellStyle name="Percent" xfId="2" builtinId="5"/>
  </cellStyles>
  <dxfs count="1">
    <dxf>
      <font>
        <b/>
        <i val="0"/>
        <color rgb="FFFF0000"/>
      </font>
    </dxf>
  </dxfs>
  <tableStyles count="0" defaultTableStyle="TableStyleMedium2" defaultPivotStyle="PivotStyleLight16"/>
  <colors>
    <mruColors>
      <color rgb="FF8CFC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Graphs!$C$44</c:f>
              <c:strCache>
                <c:ptCount val="1"/>
                <c:pt idx="0">
                  <c:v>2016</c:v>
                </c:pt>
              </c:strCache>
            </c:strRef>
          </c:tx>
          <c:spPr>
            <a:solidFill>
              <a:schemeClr val="accent1"/>
            </a:solidFill>
            <a:ln>
              <a:noFill/>
            </a:ln>
            <a:effectLst/>
          </c:spPr>
          <c:invertIfNegative val="0"/>
          <c:cat>
            <c:strRef>
              <c:f>Graphs!$A$45:$A$59</c:f>
              <c:strCache>
                <c:ptCount val="15"/>
                <c:pt idx="0">
                  <c:v>Agriculture (Irrigation)</c:v>
                </c:pt>
                <c:pt idx="1">
                  <c:v>Agriculture (Rainfed crop)</c:v>
                </c:pt>
                <c:pt idx="2">
                  <c:v>Agriculture (Livestock)</c:v>
                </c:pt>
                <c:pt idx="3">
                  <c:v>Agriculture (Forestry)</c:v>
                </c:pt>
                <c:pt idx="4">
                  <c:v>Agriculture (Fishing)</c:v>
                </c:pt>
                <c:pt idx="5">
                  <c:v>Crude oil and Mining</c:v>
                </c:pt>
                <c:pt idx="6">
                  <c:v>Manufacturing (Food and Beverages)</c:v>
                </c:pt>
                <c:pt idx="7">
                  <c:v>Manufacturing (Other)</c:v>
                </c:pt>
                <c:pt idx="8">
                  <c:v>Electricity</c:v>
                </c:pt>
                <c:pt idx="9">
                  <c:v>Water Supply; Sewerage and Waste Management Activities</c:v>
                </c:pt>
                <c:pt idx="10">
                  <c:v>Construction</c:v>
                </c:pt>
                <c:pt idx="11">
                  <c:v>Accommodation</c:v>
                </c:pt>
                <c:pt idx="12">
                  <c:v>Public Administration</c:v>
                </c:pt>
                <c:pt idx="13">
                  <c:v>Education</c:v>
                </c:pt>
                <c:pt idx="14">
                  <c:v>Health</c:v>
                </c:pt>
              </c:strCache>
            </c:strRef>
          </c:cat>
          <c:val>
            <c:numRef>
              <c:f>Graphs!$C$45:$C$59</c:f>
              <c:numCache>
                <c:formatCode>0.00</c:formatCode>
                <c:ptCount val="15"/>
                <c:pt idx="0">
                  <c:v>0.63151493465095976</c:v>
                </c:pt>
                <c:pt idx="1">
                  <c:v>11.998783758368235</c:v>
                </c:pt>
                <c:pt idx="2">
                  <c:v>3.9922100645845044</c:v>
                </c:pt>
                <c:pt idx="3">
                  <c:v>3.4049252476088596</c:v>
                </c:pt>
                <c:pt idx="4">
                  <c:v>1.4545694637328965</c:v>
                </c:pt>
                <c:pt idx="5">
                  <c:v>0.64705708216073565</c:v>
                </c:pt>
                <c:pt idx="6">
                  <c:v>12.3014242223485</c:v>
                </c:pt>
                <c:pt idx="7">
                  <c:v>11.245735683749009</c:v>
                </c:pt>
                <c:pt idx="8">
                  <c:v>0.88269517254506846</c:v>
                </c:pt>
                <c:pt idx="9">
                  <c:v>2.5833984512321333</c:v>
                </c:pt>
                <c:pt idx="10">
                  <c:v>6.9031638005505309</c:v>
                </c:pt>
                <c:pt idx="11">
                  <c:v>2.4617448228396874</c:v>
                </c:pt>
                <c:pt idx="12">
                  <c:v>2.9290583904991023</c:v>
                </c:pt>
                <c:pt idx="13">
                  <c:v>6.4341318129568519</c:v>
                </c:pt>
                <c:pt idx="14">
                  <c:v>2.9398051185114276</c:v>
                </c:pt>
              </c:numCache>
            </c:numRef>
          </c:val>
        </c:ser>
        <c:ser>
          <c:idx val="1"/>
          <c:order val="1"/>
          <c:tx>
            <c:strRef>
              <c:f>Graphs!$D$44</c:f>
              <c:strCache>
                <c:ptCount val="1"/>
                <c:pt idx="0">
                  <c:v>2017</c:v>
                </c:pt>
              </c:strCache>
            </c:strRef>
          </c:tx>
          <c:spPr>
            <a:solidFill>
              <a:schemeClr val="accent2"/>
            </a:solidFill>
            <a:ln>
              <a:noFill/>
            </a:ln>
            <a:effectLst/>
          </c:spPr>
          <c:invertIfNegative val="0"/>
          <c:cat>
            <c:strRef>
              <c:f>Graphs!$A$45:$A$59</c:f>
              <c:strCache>
                <c:ptCount val="15"/>
                <c:pt idx="0">
                  <c:v>Agriculture (Irrigation)</c:v>
                </c:pt>
                <c:pt idx="1">
                  <c:v>Agriculture (Rainfed crop)</c:v>
                </c:pt>
                <c:pt idx="2">
                  <c:v>Agriculture (Livestock)</c:v>
                </c:pt>
                <c:pt idx="3">
                  <c:v>Agriculture (Forestry)</c:v>
                </c:pt>
                <c:pt idx="4">
                  <c:v>Agriculture (Fishing)</c:v>
                </c:pt>
                <c:pt idx="5">
                  <c:v>Crude oil and Mining</c:v>
                </c:pt>
                <c:pt idx="6">
                  <c:v>Manufacturing (Food and Beverages)</c:v>
                </c:pt>
                <c:pt idx="7">
                  <c:v>Manufacturing (Other)</c:v>
                </c:pt>
                <c:pt idx="8">
                  <c:v>Electricity</c:v>
                </c:pt>
                <c:pt idx="9">
                  <c:v>Water Supply; Sewerage and Waste Management Activities</c:v>
                </c:pt>
                <c:pt idx="10">
                  <c:v>Construction</c:v>
                </c:pt>
                <c:pt idx="11">
                  <c:v>Accommodation</c:v>
                </c:pt>
                <c:pt idx="12">
                  <c:v>Public Administration</c:v>
                </c:pt>
                <c:pt idx="13">
                  <c:v>Education</c:v>
                </c:pt>
                <c:pt idx="14">
                  <c:v>Health</c:v>
                </c:pt>
              </c:strCache>
            </c:strRef>
          </c:cat>
          <c:val>
            <c:numRef>
              <c:f>Graphs!$D$45:$D$59</c:f>
              <c:numCache>
                <c:formatCode>0.00</c:formatCode>
                <c:ptCount val="15"/>
                <c:pt idx="0">
                  <c:v>0.60748229132845988</c:v>
                </c:pt>
                <c:pt idx="1">
                  <c:v>11.542163535240736</c:v>
                </c:pt>
                <c:pt idx="2">
                  <c:v>3.1352758924670066</c:v>
                </c:pt>
                <c:pt idx="3">
                  <c:v>2.5576366579530894</c:v>
                </c:pt>
                <c:pt idx="4">
                  <c:v>1.1668478363600452</c:v>
                </c:pt>
                <c:pt idx="5">
                  <c:v>0.42938763267014085</c:v>
                </c:pt>
                <c:pt idx="6">
                  <c:v>9.6896144460302569</c:v>
                </c:pt>
                <c:pt idx="7">
                  <c:v>7.699273441495186</c:v>
                </c:pt>
                <c:pt idx="8">
                  <c:v>0.76211527737169515</c:v>
                </c:pt>
                <c:pt idx="9">
                  <c:v>2.1083440230106079</c:v>
                </c:pt>
                <c:pt idx="10">
                  <c:v>5.2144333565395309</c:v>
                </c:pt>
                <c:pt idx="11">
                  <c:v>2.089877375428276</c:v>
                </c:pt>
                <c:pt idx="12">
                  <c:v>2.2641143235552641</c:v>
                </c:pt>
                <c:pt idx="13">
                  <c:v>5.4624710302403185</c:v>
                </c:pt>
                <c:pt idx="14">
                  <c:v>2.3157202868545741</c:v>
                </c:pt>
              </c:numCache>
            </c:numRef>
          </c:val>
        </c:ser>
        <c:ser>
          <c:idx val="2"/>
          <c:order val="2"/>
          <c:tx>
            <c:strRef>
              <c:f>Graphs!$E$44</c:f>
              <c:strCache>
                <c:ptCount val="1"/>
                <c:pt idx="0">
                  <c:v>2018</c:v>
                </c:pt>
              </c:strCache>
            </c:strRef>
          </c:tx>
          <c:spPr>
            <a:solidFill>
              <a:schemeClr val="accent3"/>
            </a:solidFill>
            <a:ln>
              <a:noFill/>
            </a:ln>
            <a:effectLst/>
          </c:spPr>
          <c:invertIfNegative val="0"/>
          <c:cat>
            <c:strRef>
              <c:f>Graphs!$A$45:$A$59</c:f>
              <c:strCache>
                <c:ptCount val="15"/>
                <c:pt idx="0">
                  <c:v>Agriculture (Irrigation)</c:v>
                </c:pt>
                <c:pt idx="1">
                  <c:v>Agriculture (Rainfed crop)</c:v>
                </c:pt>
                <c:pt idx="2">
                  <c:v>Agriculture (Livestock)</c:v>
                </c:pt>
                <c:pt idx="3">
                  <c:v>Agriculture (Forestry)</c:v>
                </c:pt>
                <c:pt idx="4">
                  <c:v>Agriculture (Fishing)</c:v>
                </c:pt>
                <c:pt idx="5">
                  <c:v>Crude oil and Mining</c:v>
                </c:pt>
                <c:pt idx="6">
                  <c:v>Manufacturing (Food and Beverages)</c:v>
                </c:pt>
                <c:pt idx="7">
                  <c:v>Manufacturing (Other)</c:v>
                </c:pt>
                <c:pt idx="8">
                  <c:v>Electricity</c:v>
                </c:pt>
                <c:pt idx="9">
                  <c:v>Water Supply; Sewerage and Waste Management Activities</c:v>
                </c:pt>
                <c:pt idx="10">
                  <c:v>Construction</c:v>
                </c:pt>
                <c:pt idx="11">
                  <c:v>Accommodation</c:v>
                </c:pt>
                <c:pt idx="12">
                  <c:v>Public Administration</c:v>
                </c:pt>
                <c:pt idx="13">
                  <c:v>Education</c:v>
                </c:pt>
                <c:pt idx="14">
                  <c:v>Health</c:v>
                </c:pt>
              </c:strCache>
            </c:strRef>
          </c:cat>
          <c:val>
            <c:numRef>
              <c:f>Graphs!$E$45:$E$59</c:f>
              <c:numCache>
                <c:formatCode>0.00</c:formatCode>
                <c:ptCount val="15"/>
                <c:pt idx="0">
                  <c:v>0.62156786191728131</c:v>
                </c:pt>
                <c:pt idx="1">
                  <c:v>11.809789376428343</c:v>
                </c:pt>
                <c:pt idx="2">
                  <c:v>4.1287461490963544</c:v>
                </c:pt>
                <c:pt idx="3">
                  <c:v>3.3807853951541107</c:v>
                </c:pt>
                <c:pt idx="4">
                  <c:v>1.4331082319586712</c:v>
                </c:pt>
                <c:pt idx="5">
                  <c:v>0.36163766846172801</c:v>
                </c:pt>
                <c:pt idx="6" formatCode="_(* #,##0_);_(* \(#,##0\);_(* &quot;-&quot;??_);_(@_)">
                  <c:v>10.857362544096242</c:v>
                </c:pt>
                <c:pt idx="7" formatCode="_(* #,##0_);_(* \(#,##0\);_(* &quot;-&quot;??_);_(@_)">
                  <c:v>9.8614057395233399</c:v>
                </c:pt>
                <c:pt idx="8">
                  <c:v>1.0261024849525073</c:v>
                </c:pt>
                <c:pt idx="9">
                  <c:v>2.7569430110510154</c:v>
                </c:pt>
                <c:pt idx="10">
                  <c:v>7.5442886001734282</c:v>
                </c:pt>
                <c:pt idx="11">
                  <c:v>2.7532128824302351</c:v>
                </c:pt>
                <c:pt idx="12">
                  <c:v>2.8679808759952041</c:v>
                </c:pt>
                <c:pt idx="13">
                  <c:v>7.1048206331359802</c:v>
                </c:pt>
                <c:pt idx="14">
                  <c:v>2.966372067555926</c:v>
                </c:pt>
              </c:numCache>
            </c:numRef>
          </c:val>
        </c:ser>
        <c:ser>
          <c:idx val="3"/>
          <c:order val="3"/>
          <c:tx>
            <c:strRef>
              <c:f>Graphs!$F$44</c:f>
              <c:strCache>
                <c:ptCount val="1"/>
              </c:strCache>
            </c:strRef>
          </c:tx>
          <c:spPr>
            <a:solidFill>
              <a:schemeClr val="accent4"/>
            </a:solidFill>
            <a:ln>
              <a:noFill/>
            </a:ln>
            <a:effectLst/>
          </c:spPr>
          <c:invertIfNegative val="0"/>
          <c:cat>
            <c:strRef>
              <c:f>Graphs!$A$45:$A$59</c:f>
              <c:strCache>
                <c:ptCount val="15"/>
                <c:pt idx="0">
                  <c:v>Agriculture (Irrigation)</c:v>
                </c:pt>
                <c:pt idx="1">
                  <c:v>Agriculture (Rainfed crop)</c:v>
                </c:pt>
                <c:pt idx="2">
                  <c:v>Agriculture (Livestock)</c:v>
                </c:pt>
                <c:pt idx="3">
                  <c:v>Agriculture (Forestry)</c:v>
                </c:pt>
                <c:pt idx="4">
                  <c:v>Agriculture (Fishing)</c:v>
                </c:pt>
                <c:pt idx="5">
                  <c:v>Crude oil and Mining</c:v>
                </c:pt>
                <c:pt idx="6">
                  <c:v>Manufacturing (Food and Beverages)</c:v>
                </c:pt>
                <c:pt idx="7">
                  <c:v>Manufacturing (Other)</c:v>
                </c:pt>
                <c:pt idx="8">
                  <c:v>Electricity</c:v>
                </c:pt>
                <c:pt idx="9">
                  <c:v>Water Supply; Sewerage and Waste Management Activities</c:v>
                </c:pt>
                <c:pt idx="10">
                  <c:v>Construction</c:v>
                </c:pt>
                <c:pt idx="11">
                  <c:v>Accommodation</c:v>
                </c:pt>
                <c:pt idx="12">
                  <c:v>Public Administration</c:v>
                </c:pt>
                <c:pt idx="13">
                  <c:v>Education</c:v>
                </c:pt>
                <c:pt idx="14">
                  <c:v>Health</c:v>
                </c:pt>
              </c:strCache>
            </c:strRef>
          </c:cat>
          <c:val>
            <c:numRef>
              <c:f>Graphs!$F$45:$F$59</c:f>
              <c:numCache>
                <c:formatCode>General</c:formatCode>
                <c:ptCount val="15"/>
              </c:numCache>
            </c:numRef>
          </c:val>
        </c:ser>
        <c:dLbls>
          <c:showLegendKey val="0"/>
          <c:showVal val="0"/>
          <c:showCatName val="0"/>
          <c:showSerName val="0"/>
          <c:showPercent val="0"/>
          <c:showBubbleSize val="0"/>
        </c:dLbls>
        <c:gapWidth val="150"/>
        <c:overlap val="100"/>
        <c:axId val="685402056"/>
        <c:axId val="685401664"/>
      </c:barChart>
      <c:catAx>
        <c:axId val="685402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01664"/>
        <c:crosses val="autoZero"/>
        <c:auto val="1"/>
        <c:lblAlgn val="ctr"/>
        <c:lblOffset val="100"/>
        <c:noMultiLvlLbl val="0"/>
      </c:catAx>
      <c:valAx>
        <c:axId val="6854016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02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Graphs!$A$4</c:f>
              <c:strCache>
                <c:ptCount val="1"/>
                <c:pt idx="0">
                  <c:v>Agriculture (Rainfed crop)</c:v>
                </c:pt>
              </c:strCache>
            </c:strRef>
          </c:tx>
          <c:spPr>
            <a:solidFill>
              <a:schemeClr val="accent1"/>
            </a:solidFill>
            <a:ln>
              <a:noFill/>
            </a:ln>
            <a:effectLst/>
          </c:spPr>
          <c:invertIfNegative val="0"/>
          <c:cat>
            <c:numRef>
              <c:f>Graphs!$B$3:$E$3</c:f>
              <c:numCache>
                <c:formatCode>General</c:formatCode>
                <c:ptCount val="4"/>
                <c:pt idx="0">
                  <c:v>2015</c:v>
                </c:pt>
                <c:pt idx="1">
                  <c:v>2016</c:v>
                </c:pt>
                <c:pt idx="2">
                  <c:v>2017</c:v>
                </c:pt>
                <c:pt idx="3">
                  <c:v>2018</c:v>
                </c:pt>
              </c:numCache>
            </c:numRef>
          </c:cat>
          <c:val>
            <c:numRef>
              <c:f>Graphs!$B$4:$E$4</c:f>
              <c:numCache>
                <c:formatCode>_(* #,##0_);_(* \(#,##0\);_(* "-"??_);_(@_)</c:formatCode>
                <c:ptCount val="4"/>
                <c:pt idx="0">
                  <c:v>141076765.93655717</c:v>
                </c:pt>
                <c:pt idx="1">
                  <c:v>120147377.69957143</c:v>
                </c:pt>
                <c:pt idx="2">
                  <c:v>134555524.29335716</c:v>
                </c:pt>
                <c:pt idx="3">
                  <c:v>134555524.29335716</c:v>
                </c:pt>
              </c:numCache>
            </c:numRef>
          </c:val>
        </c:ser>
        <c:ser>
          <c:idx val="1"/>
          <c:order val="1"/>
          <c:tx>
            <c:strRef>
              <c:f>Graphs!$A$5</c:f>
              <c:strCache>
                <c:ptCount val="1"/>
                <c:pt idx="0">
                  <c:v>Agriculture (Livestock)</c:v>
                </c:pt>
              </c:strCache>
            </c:strRef>
          </c:tx>
          <c:spPr>
            <a:solidFill>
              <a:schemeClr val="accent2"/>
            </a:solidFill>
            <a:ln>
              <a:noFill/>
            </a:ln>
            <a:effectLst/>
          </c:spPr>
          <c:invertIfNegative val="0"/>
          <c:cat>
            <c:numRef>
              <c:f>Graphs!$B$3:$E$3</c:f>
              <c:numCache>
                <c:formatCode>General</c:formatCode>
                <c:ptCount val="4"/>
                <c:pt idx="0">
                  <c:v>2015</c:v>
                </c:pt>
                <c:pt idx="1">
                  <c:v>2016</c:v>
                </c:pt>
                <c:pt idx="2">
                  <c:v>2017</c:v>
                </c:pt>
                <c:pt idx="3">
                  <c:v>2018</c:v>
                </c:pt>
              </c:numCache>
            </c:numRef>
          </c:cat>
          <c:val>
            <c:numRef>
              <c:f>Graphs!$B$5:$E$5</c:f>
              <c:numCache>
                <c:formatCode>_(* #,##0_);_(* \(#,##0\);_(* "-"??_);_(@_)</c:formatCode>
                <c:ptCount val="4"/>
                <c:pt idx="0">
                  <c:v>68408768.246954903</c:v>
                </c:pt>
                <c:pt idx="1">
                  <c:v>58277479.787473015</c:v>
                </c:pt>
                <c:pt idx="2">
                  <c:v>65224922.271491855</c:v>
                </c:pt>
                <c:pt idx="3">
                  <c:v>65224998.802235201</c:v>
                </c:pt>
              </c:numCache>
            </c:numRef>
          </c:val>
        </c:ser>
        <c:ser>
          <c:idx val="2"/>
          <c:order val="2"/>
          <c:tx>
            <c:strRef>
              <c:f>Graphs!$A$6</c:f>
              <c:strCache>
                <c:ptCount val="1"/>
                <c:pt idx="0">
                  <c:v>Agriculture (Forestry)</c:v>
                </c:pt>
              </c:strCache>
            </c:strRef>
          </c:tx>
          <c:spPr>
            <a:solidFill>
              <a:schemeClr val="accent3"/>
            </a:solidFill>
            <a:ln>
              <a:noFill/>
            </a:ln>
            <a:effectLst/>
          </c:spPr>
          <c:invertIfNegative val="0"/>
          <c:cat>
            <c:numRef>
              <c:f>Graphs!$B$3:$E$3</c:f>
              <c:numCache>
                <c:formatCode>General</c:formatCode>
                <c:ptCount val="4"/>
                <c:pt idx="0">
                  <c:v>2015</c:v>
                </c:pt>
                <c:pt idx="1">
                  <c:v>2016</c:v>
                </c:pt>
                <c:pt idx="2">
                  <c:v>2017</c:v>
                </c:pt>
                <c:pt idx="3">
                  <c:v>2018</c:v>
                </c:pt>
              </c:numCache>
            </c:numRef>
          </c:cat>
          <c:val>
            <c:numRef>
              <c:f>Graphs!$B$6:$E$6</c:f>
              <c:numCache>
                <c:formatCode>_(* #,##0_);_(* \(#,##0\);_(* "-"??_);_(@_)</c:formatCode>
                <c:ptCount val="4"/>
                <c:pt idx="0">
                  <c:v>26168343.669571429</c:v>
                </c:pt>
                <c:pt idx="1">
                  <c:v>22289467.555714283</c:v>
                </c:pt>
                <c:pt idx="2">
                  <c:v>24962022.043571431</c:v>
                </c:pt>
                <c:pt idx="3">
                  <c:v>24962028.44357143</c:v>
                </c:pt>
              </c:numCache>
            </c:numRef>
          </c:val>
        </c:ser>
        <c:ser>
          <c:idx val="3"/>
          <c:order val="3"/>
          <c:tx>
            <c:strRef>
              <c:f>Graphs!$A$7</c:f>
              <c:strCache>
                <c:ptCount val="1"/>
                <c:pt idx="0">
                  <c:v>Electricity</c:v>
                </c:pt>
              </c:strCache>
            </c:strRef>
          </c:tx>
          <c:spPr>
            <a:solidFill>
              <a:schemeClr val="accent4"/>
            </a:solidFill>
            <a:ln>
              <a:noFill/>
            </a:ln>
            <a:effectLst/>
          </c:spPr>
          <c:invertIfNegative val="0"/>
          <c:cat>
            <c:numRef>
              <c:f>Graphs!$B$3:$E$3</c:f>
              <c:numCache>
                <c:formatCode>General</c:formatCode>
                <c:ptCount val="4"/>
                <c:pt idx="0">
                  <c:v>2015</c:v>
                </c:pt>
                <c:pt idx="1">
                  <c:v>2016</c:v>
                </c:pt>
                <c:pt idx="2">
                  <c:v>2017</c:v>
                </c:pt>
                <c:pt idx="3">
                  <c:v>2018</c:v>
                </c:pt>
              </c:numCache>
            </c:numRef>
          </c:cat>
          <c:val>
            <c:numRef>
              <c:f>Graphs!$B$7:$E$7</c:f>
              <c:numCache>
                <c:formatCode>_(* #,##0_);_(* \(#,##0\);_(* "-"??_);_(@_)</c:formatCode>
                <c:ptCount val="4"/>
                <c:pt idx="0">
                  <c:v>51920825.644024059</c:v>
                </c:pt>
                <c:pt idx="1">
                  <c:v>87453416.858494967</c:v>
                </c:pt>
                <c:pt idx="2">
                  <c:v>97363920.241324589</c:v>
                </c:pt>
                <c:pt idx="3">
                  <c:v>100382332.94713056</c:v>
                </c:pt>
              </c:numCache>
            </c:numRef>
          </c:val>
        </c:ser>
        <c:ser>
          <c:idx val="4"/>
          <c:order val="4"/>
          <c:tx>
            <c:strRef>
              <c:f>Graphs!$A$8</c:f>
              <c:strCache>
                <c:ptCount val="1"/>
                <c:pt idx="0">
                  <c:v>Water Supply; Sewerage and Waste Management Activities</c:v>
                </c:pt>
              </c:strCache>
            </c:strRef>
          </c:tx>
          <c:spPr>
            <a:solidFill>
              <a:schemeClr val="accent5"/>
            </a:solidFill>
            <a:ln w="25400">
              <a:noFill/>
            </a:ln>
            <a:effectLst/>
          </c:spPr>
          <c:invertIfNegative val="0"/>
          <c:cat>
            <c:numRef>
              <c:f>Graphs!$B$3:$E$3</c:f>
              <c:numCache>
                <c:formatCode>General</c:formatCode>
                <c:ptCount val="4"/>
                <c:pt idx="0">
                  <c:v>2015</c:v>
                </c:pt>
                <c:pt idx="1">
                  <c:v>2016</c:v>
                </c:pt>
                <c:pt idx="2">
                  <c:v>2017</c:v>
                </c:pt>
                <c:pt idx="3">
                  <c:v>2018</c:v>
                </c:pt>
              </c:numCache>
            </c:numRef>
          </c:cat>
          <c:val>
            <c:numRef>
              <c:f>Graphs!$B$8:$E$8</c:f>
              <c:numCache>
                <c:formatCode>_(* #,##0_);_(* \(#,##0\);_(* "-"??_);_(@_)</c:formatCode>
                <c:ptCount val="4"/>
                <c:pt idx="0">
                  <c:v>1285079.7140334274</c:v>
                </c:pt>
                <c:pt idx="1">
                  <c:v>1097893.9901179597</c:v>
                </c:pt>
                <c:pt idx="2">
                  <c:v>1229214.44547802</c:v>
                </c:pt>
                <c:pt idx="3">
                  <c:v>1228091.1017096608</c:v>
                </c:pt>
              </c:numCache>
            </c:numRef>
          </c:val>
        </c:ser>
        <c:dLbls>
          <c:showLegendKey val="0"/>
          <c:showVal val="0"/>
          <c:showCatName val="0"/>
          <c:showSerName val="0"/>
          <c:showPercent val="0"/>
          <c:showBubbleSize val="0"/>
        </c:dLbls>
        <c:gapWidth val="150"/>
        <c:axId val="685400488"/>
        <c:axId val="375216080"/>
      </c:barChart>
      <c:catAx>
        <c:axId val="685400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16080"/>
        <c:crosses val="autoZero"/>
        <c:auto val="1"/>
        <c:lblAlgn val="ctr"/>
        <c:lblOffset val="100"/>
        <c:noMultiLvlLbl val="0"/>
      </c:catAx>
      <c:valAx>
        <c:axId val="375216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'000 cubic metres</a:t>
                </a:r>
              </a:p>
            </c:rich>
          </c:tx>
          <c:overlay val="0"/>
          <c:spPr>
            <a:noFill/>
            <a:ln>
              <a:solidFill>
                <a:schemeClr val="tx1">
                  <a:lumMod val="50000"/>
                  <a:lumOff val="5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0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Graphs!$H$3</c:f>
              <c:strCache>
                <c:ptCount val="1"/>
                <c:pt idx="0">
                  <c:v>2015</c:v>
                </c:pt>
              </c:strCache>
            </c:strRef>
          </c:tx>
          <c:spPr>
            <a:solidFill>
              <a:schemeClr val="accent1"/>
            </a:solidFill>
            <a:ln>
              <a:noFill/>
            </a:ln>
            <a:effectLst/>
          </c:spPr>
          <c:invertIfNegative val="0"/>
          <c:cat>
            <c:strRef>
              <c:f>Graphs!$G$4:$G$15</c:f>
              <c:strCache>
                <c:ptCount val="12"/>
                <c:pt idx="0">
                  <c:v>Agriculture (Irrigation)</c:v>
                </c:pt>
                <c:pt idx="1">
                  <c:v>Agriculture (Fishing)</c:v>
                </c:pt>
                <c:pt idx="2">
                  <c:v>Crude oil and Mining</c:v>
                </c:pt>
                <c:pt idx="3">
                  <c:v>Manufacturing (Food and Beverages)</c:v>
                </c:pt>
                <c:pt idx="4">
                  <c:v>Manufacturing (Other)</c:v>
                </c:pt>
                <c:pt idx="5">
                  <c:v>Construction</c:v>
                </c:pt>
                <c:pt idx="6">
                  <c:v>Accommodation</c:v>
                </c:pt>
                <c:pt idx="7">
                  <c:v>Public Administration</c:v>
                </c:pt>
                <c:pt idx="8">
                  <c:v>Education</c:v>
                </c:pt>
                <c:pt idx="9">
                  <c:v>Health</c:v>
                </c:pt>
                <c:pt idx="10">
                  <c:v>Other</c:v>
                </c:pt>
                <c:pt idx="11">
                  <c:v>Households</c:v>
                </c:pt>
              </c:strCache>
            </c:strRef>
          </c:cat>
          <c:val>
            <c:numRef>
              <c:f>Graphs!$H$4:$H$15</c:f>
              <c:numCache>
                <c:formatCode>_(* #,##0_);_(* \(#,##0\);_(* "-"??_);_(@_)</c:formatCode>
                <c:ptCount val="12"/>
                <c:pt idx="0">
                  <c:v>74362.048600000009</c:v>
                </c:pt>
                <c:pt idx="1">
                  <c:v>64589.5</c:v>
                </c:pt>
                <c:pt idx="2">
                  <c:v>131084.67145557315</c:v>
                </c:pt>
                <c:pt idx="3">
                  <c:v>184161.23147357692</c:v>
                </c:pt>
                <c:pt idx="4">
                  <c:v>10833.37372974038</c:v>
                </c:pt>
                <c:pt idx="5">
                  <c:v>42106.971337795796</c:v>
                </c:pt>
                <c:pt idx="6">
                  <c:v>3373.6286569563649</c:v>
                </c:pt>
                <c:pt idx="7">
                  <c:v>17920.303034259581</c:v>
                </c:pt>
                <c:pt idx="8">
                  <c:v>2352.5505931418888</c:v>
                </c:pt>
                <c:pt idx="9">
                  <c:v>3349.1346403724624</c:v>
                </c:pt>
                <c:pt idx="10">
                  <c:v>14773.279608141769</c:v>
                </c:pt>
                <c:pt idx="11">
                  <c:v>278412.28431037709</c:v>
                </c:pt>
              </c:numCache>
            </c:numRef>
          </c:val>
        </c:ser>
        <c:ser>
          <c:idx val="1"/>
          <c:order val="1"/>
          <c:tx>
            <c:strRef>
              <c:f>Graphs!$I$3</c:f>
              <c:strCache>
                <c:ptCount val="1"/>
                <c:pt idx="0">
                  <c:v>2016</c:v>
                </c:pt>
              </c:strCache>
            </c:strRef>
          </c:tx>
          <c:spPr>
            <a:solidFill>
              <a:schemeClr val="accent2"/>
            </a:solidFill>
            <a:ln>
              <a:noFill/>
            </a:ln>
            <a:effectLst/>
          </c:spPr>
          <c:invertIfNegative val="0"/>
          <c:cat>
            <c:strRef>
              <c:f>Graphs!$G$4:$G$15</c:f>
              <c:strCache>
                <c:ptCount val="12"/>
                <c:pt idx="0">
                  <c:v>Agriculture (Irrigation)</c:v>
                </c:pt>
                <c:pt idx="1">
                  <c:v>Agriculture (Fishing)</c:v>
                </c:pt>
                <c:pt idx="2">
                  <c:v>Crude oil and Mining</c:v>
                </c:pt>
                <c:pt idx="3">
                  <c:v>Manufacturing (Food and Beverages)</c:v>
                </c:pt>
                <c:pt idx="4">
                  <c:v>Manufacturing (Other)</c:v>
                </c:pt>
                <c:pt idx="5">
                  <c:v>Construction</c:v>
                </c:pt>
                <c:pt idx="6">
                  <c:v>Accommodation</c:v>
                </c:pt>
                <c:pt idx="7">
                  <c:v>Public Administration</c:v>
                </c:pt>
                <c:pt idx="8">
                  <c:v>Education</c:v>
                </c:pt>
                <c:pt idx="9">
                  <c:v>Health</c:v>
                </c:pt>
                <c:pt idx="10">
                  <c:v>Other</c:v>
                </c:pt>
                <c:pt idx="11">
                  <c:v>Households</c:v>
                </c:pt>
              </c:strCache>
            </c:strRef>
          </c:cat>
          <c:val>
            <c:numRef>
              <c:f>Graphs!$I$4:$I$15</c:f>
              <c:numCache>
                <c:formatCode>_(* #,##0_);_(* \(#,##0\);_(* "-"??_);_(@_)</c:formatCode>
                <c:ptCount val="12"/>
                <c:pt idx="0">
                  <c:v>190531.50704</c:v>
                </c:pt>
                <c:pt idx="1">
                  <c:v>146500.377725</c:v>
                </c:pt>
                <c:pt idx="2">
                  <c:v>4119.1856330542314</c:v>
                </c:pt>
                <c:pt idx="3">
                  <c:v>19794.383351121858</c:v>
                </c:pt>
                <c:pt idx="4" formatCode="_(* #,##0.00_);_(* \(#,##0.00\);_(* &quot;-&quot;??_);_(@_)">
                  <c:v>15476.606978824433</c:v>
                </c:pt>
                <c:pt idx="5">
                  <c:v>15481.141032027137</c:v>
                </c:pt>
                <c:pt idx="6">
                  <c:v>2815.815868299761</c:v>
                </c:pt>
                <c:pt idx="7">
                  <c:v>21022.298892873958</c:v>
                </c:pt>
                <c:pt idx="8">
                  <c:v>1740.1593932508204</c:v>
                </c:pt>
                <c:pt idx="9">
                  <c:v>3106.7818601646336</c:v>
                </c:pt>
                <c:pt idx="10">
                  <c:v>10444.06004167536</c:v>
                </c:pt>
                <c:pt idx="11">
                  <c:v>89500.693721538817</c:v>
                </c:pt>
              </c:numCache>
            </c:numRef>
          </c:val>
        </c:ser>
        <c:ser>
          <c:idx val="2"/>
          <c:order val="2"/>
          <c:tx>
            <c:strRef>
              <c:f>Graphs!$J$3</c:f>
              <c:strCache>
                <c:ptCount val="1"/>
                <c:pt idx="0">
                  <c:v>2017</c:v>
                </c:pt>
              </c:strCache>
            </c:strRef>
          </c:tx>
          <c:spPr>
            <a:solidFill>
              <a:schemeClr val="accent3"/>
            </a:solidFill>
            <a:ln>
              <a:noFill/>
            </a:ln>
            <a:effectLst/>
          </c:spPr>
          <c:invertIfNegative val="0"/>
          <c:cat>
            <c:strRef>
              <c:f>Graphs!$G$4:$G$15</c:f>
              <c:strCache>
                <c:ptCount val="12"/>
                <c:pt idx="0">
                  <c:v>Agriculture (Irrigation)</c:v>
                </c:pt>
                <c:pt idx="1">
                  <c:v>Agriculture (Fishing)</c:v>
                </c:pt>
                <c:pt idx="2">
                  <c:v>Crude oil and Mining</c:v>
                </c:pt>
                <c:pt idx="3">
                  <c:v>Manufacturing (Food and Beverages)</c:v>
                </c:pt>
                <c:pt idx="4">
                  <c:v>Manufacturing (Other)</c:v>
                </c:pt>
                <c:pt idx="5">
                  <c:v>Construction</c:v>
                </c:pt>
                <c:pt idx="6">
                  <c:v>Accommodation</c:v>
                </c:pt>
                <c:pt idx="7">
                  <c:v>Public Administration</c:v>
                </c:pt>
                <c:pt idx="8">
                  <c:v>Education</c:v>
                </c:pt>
                <c:pt idx="9">
                  <c:v>Health</c:v>
                </c:pt>
                <c:pt idx="10">
                  <c:v>Other</c:v>
                </c:pt>
                <c:pt idx="11">
                  <c:v>Households</c:v>
                </c:pt>
              </c:strCache>
            </c:strRef>
          </c:cat>
          <c:val>
            <c:numRef>
              <c:f>Graphs!$J$4:$J$15</c:f>
              <c:numCache>
                <c:formatCode>_(* #,##0_);_(* \(#,##0\);_(* "-"??_);_(@_)</c:formatCode>
                <c:ptCount val="12"/>
                <c:pt idx="0">
                  <c:v>133045.32819999999</c:v>
                </c:pt>
                <c:pt idx="1">
                  <c:v>149664.64086000001</c:v>
                </c:pt>
                <c:pt idx="2">
                  <c:v>5201.2177232908107</c:v>
                </c:pt>
                <c:pt idx="3">
                  <c:v>28800.95234131383</c:v>
                </c:pt>
                <c:pt idx="4" formatCode="_(* #,##0.00_);_(* \(#,##0.00\);_(* &quot;-&quot;??_);_(@_)">
                  <c:v>20164.090925391094</c:v>
                </c:pt>
                <c:pt idx="5">
                  <c:v>16086.950380354447</c:v>
                </c:pt>
                <c:pt idx="6">
                  <c:v>4842.5625243818768</c:v>
                </c:pt>
                <c:pt idx="7">
                  <c:v>37350.306246983288</c:v>
                </c:pt>
                <c:pt idx="8">
                  <c:v>2918.2351121449137</c:v>
                </c:pt>
                <c:pt idx="9">
                  <c:v>5610.0051445871177</c:v>
                </c:pt>
                <c:pt idx="10">
                  <c:v>16640.670603177758</c:v>
                </c:pt>
                <c:pt idx="11">
                  <c:v>157189.94030567029</c:v>
                </c:pt>
              </c:numCache>
            </c:numRef>
          </c:val>
        </c:ser>
        <c:ser>
          <c:idx val="3"/>
          <c:order val="3"/>
          <c:tx>
            <c:strRef>
              <c:f>Graphs!$K$3</c:f>
              <c:strCache>
                <c:ptCount val="1"/>
                <c:pt idx="0">
                  <c:v>2018</c:v>
                </c:pt>
              </c:strCache>
            </c:strRef>
          </c:tx>
          <c:spPr>
            <a:solidFill>
              <a:schemeClr val="accent4"/>
            </a:solidFill>
            <a:ln>
              <a:noFill/>
            </a:ln>
            <a:effectLst/>
          </c:spPr>
          <c:invertIfNegative val="0"/>
          <c:cat>
            <c:strRef>
              <c:f>Graphs!$G$4:$G$15</c:f>
              <c:strCache>
                <c:ptCount val="12"/>
                <c:pt idx="0">
                  <c:v>Agriculture (Irrigation)</c:v>
                </c:pt>
                <c:pt idx="1">
                  <c:v>Agriculture (Fishing)</c:v>
                </c:pt>
                <c:pt idx="2">
                  <c:v>Crude oil and Mining</c:v>
                </c:pt>
                <c:pt idx="3">
                  <c:v>Manufacturing (Food and Beverages)</c:v>
                </c:pt>
                <c:pt idx="4">
                  <c:v>Manufacturing (Other)</c:v>
                </c:pt>
                <c:pt idx="5">
                  <c:v>Construction</c:v>
                </c:pt>
                <c:pt idx="6">
                  <c:v>Accommodation</c:v>
                </c:pt>
                <c:pt idx="7">
                  <c:v>Public Administration</c:v>
                </c:pt>
                <c:pt idx="8">
                  <c:v>Education</c:v>
                </c:pt>
                <c:pt idx="9">
                  <c:v>Health</c:v>
                </c:pt>
                <c:pt idx="10">
                  <c:v>Other</c:v>
                </c:pt>
                <c:pt idx="11">
                  <c:v>Households</c:v>
                </c:pt>
              </c:strCache>
            </c:strRef>
          </c:cat>
          <c:val>
            <c:numRef>
              <c:f>Graphs!$K$4:$K$15</c:f>
              <c:numCache>
                <c:formatCode>_(* #,##0_);_(* \(#,##0\);_(* "-"??_);_(@_)</c:formatCode>
                <c:ptCount val="12"/>
                <c:pt idx="0">
                  <c:v>155288.3388</c:v>
                </c:pt>
                <c:pt idx="1">
                  <c:v>133791.97964000001</c:v>
                </c:pt>
                <c:pt idx="2">
                  <c:v>16614.061254286415</c:v>
                </c:pt>
                <c:pt idx="3">
                  <c:v>165271.22305884436</c:v>
                </c:pt>
                <c:pt idx="4">
                  <c:v>20555.838293841909</c:v>
                </c:pt>
                <c:pt idx="5">
                  <c:v>148803.7966207393</c:v>
                </c:pt>
                <c:pt idx="6">
                  <c:v>4666.0687156493532</c:v>
                </c:pt>
                <c:pt idx="7">
                  <c:v>36012.194659538683</c:v>
                </c:pt>
                <c:pt idx="8">
                  <c:v>2840.5588371292247</c:v>
                </c:pt>
                <c:pt idx="9">
                  <c:v>6238.3611460700258</c:v>
                </c:pt>
                <c:pt idx="10">
                  <c:v>16481.826759296331</c:v>
                </c:pt>
                <c:pt idx="11">
                  <c:v>150081.35628023441</c:v>
                </c:pt>
              </c:numCache>
            </c:numRef>
          </c:val>
        </c:ser>
        <c:dLbls>
          <c:showLegendKey val="0"/>
          <c:showVal val="0"/>
          <c:showCatName val="0"/>
          <c:showSerName val="0"/>
          <c:showPercent val="0"/>
          <c:showBubbleSize val="0"/>
        </c:dLbls>
        <c:gapWidth val="219"/>
        <c:overlap val="-27"/>
        <c:axId val="375215296"/>
        <c:axId val="375216472"/>
      </c:barChart>
      <c:catAx>
        <c:axId val="3752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16472"/>
        <c:crosses val="autoZero"/>
        <c:auto val="1"/>
        <c:lblAlgn val="ctr"/>
        <c:lblOffset val="100"/>
        <c:noMultiLvlLbl val="0"/>
      </c:catAx>
      <c:valAx>
        <c:axId val="3752164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15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6398994</xdr:colOff>
      <xdr:row>0</xdr:row>
      <xdr:rowOff>0</xdr:rowOff>
    </xdr:from>
    <xdr:to>
      <xdr:col>6</xdr:col>
      <xdr:colOff>450056</xdr:colOff>
      <xdr:row>8</xdr:row>
      <xdr:rowOff>19050</xdr:rowOff>
    </xdr:to>
    <xdr:pic>
      <xdr:nvPicPr>
        <xdr:cNvPr id="2" name="Picture 1" descr="Image result for ubos uganda">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08594" y="0"/>
          <a:ext cx="2887881"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1019175</xdr:colOff>
      <xdr:row>42</xdr:row>
      <xdr:rowOff>71436</xdr:rowOff>
    </xdr:from>
    <xdr:to>
      <xdr:col>11</xdr:col>
      <xdr:colOff>219074</xdr:colOff>
      <xdr:row>60</xdr:row>
      <xdr:rowOff>133349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9</xdr:row>
      <xdr:rowOff>42862</xdr:rowOff>
    </xdr:from>
    <xdr:to>
      <xdr:col>4</xdr:col>
      <xdr:colOff>19050</xdr:colOff>
      <xdr:row>23</xdr:row>
      <xdr:rowOff>119062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542924</xdr:colOff>
      <xdr:row>1</xdr:row>
      <xdr:rowOff>28575</xdr:rowOff>
    </xdr:from>
    <xdr:to>
      <xdr:col>17</xdr:col>
      <xdr:colOff>1123949</xdr:colOff>
      <xdr:row>16</xdr:row>
      <xdr:rowOff>19050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ing%20Folders/valuable%20files/SEEA/Water/2018%20Accounts/Data/SUT%202009-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SEEA/Water-Accounts/Documentation/Margaret/water/Water%20docs/2018%20Accounts/Data/MWE/MW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rk/SEEA/Water-Accounts/2020%20Accounts/Data/MWE%2020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rk/SEEA/Water-Accounts/2020%20Accounts/Data/Water%20abstraction%20DWRM_2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rk/SEEA/Water-Accounts/2020%20Accounts/Data/AGRIC/FISHERI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EEA/Water-Accounts/2020%20Accounts/Data/NFA..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christopher.tumuhirw\Desktop\Water-Accounts\2016%20Accounts\Data\AGRIC\FISHERIE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EEA/Water-Accounts/2020%20Accounts/Data/NWSC%2020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rk/SEEA/Water-Accounts/Documentation/Margaret/water/Water%20docs/2018%20Accounts/Data/UNMA/Evapotranspiration.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rk/SEEA/Water-Accounts/2020%20Accounts/Data/UNMA/Evapotranspiration.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rk/SEEA/SEEA%202019/water/Data/DWR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rking%20Folders/valuable%20files/SEEA/Water/2018%20Accounts/Data/NWS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rk/SEEA/Water-Accounts/2020%20Accounts/Data/GDP/ADGP%20Publication,%20CY-Published%2014_oct_2020___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UT"/>
    </sheetNames>
    <sheetDataSet>
      <sheetData sheetId="0">
        <row r="274">
          <cell r="AS274">
            <v>960.6179569429795</v>
          </cell>
          <cell r="AT274">
            <v>582.48709840028721</v>
          </cell>
          <cell r="AU274">
            <v>94.951860511844117</v>
          </cell>
          <cell r="AV274">
            <v>3805.4670458044889</v>
          </cell>
          <cell r="AW274">
            <v>260.0568680186089</v>
          </cell>
          <cell r="AX274">
            <v>5492.8185988845435</v>
          </cell>
          <cell r="AY274">
            <v>211.01645803187319</v>
          </cell>
          <cell r="AZ274">
            <v>1136.3995417569888</v>
          </cell>
          <cell r="BA274">
            <v>1866.2880382450803</v>
          </cell>
          <cell r="BB274">
            <v>1515.8497107738212</v>
          </cell>
          <cell r="BC274">
            <v>77.084949191265821</v>
          </cell>
          <cell r="BD274">
            <v>0</v>
          </cell>
          <cell r="BM274">
            <v>178.25725699318747</v>
          </cell>
          <cell r="BN274">
            <v>121.80563884334499</v>
          </cell>
          <cell r="BO274">
            <v>453.51185522759448</v>
          </cell>
          <cell r="BP274">
            <v>328.29453493716574</v>
          </cell>
          <cell r="BQ274">
            <v>8.6597793367278619</v>
          </cell>
          <cell r="BR274">
            <v>196.7212564489999</v>
          </cell>
          <cell r="BS274">
            <v>2130.141497333525</v>
          </cell>
          <cell r="BT274">
            <v>1231.32423053752</v>
          </cell>
          <cell r="BU274">
            <v>564.33103563546399</v>
          </cell>
          <cell r="BV274">
            <v>342.92554824465236</v>
          </cell>
          <cell r="BW274">
            <v>110.56236263337409</v>
          </cell>
          <cell r="BX274">
            <v>177.45741089489962</v>
          </cell>
          <cell r="BY274">
            <v>775.52865930451696</v>
          </cell>
          <cell r="BZ274">
            <v>69.83347719931821</v>
          </cell>
          <cell r="CA274">
            <v>558.53716686179826</v>
          </cell>
          <cell r="CB274">
            <v>193.09969956987402</v>
          </cell>
          <cell r="CC274">
            <v>126.76330149027943</v>
          </cell>
          <cell r="CD274">
            <v>119.32854090695355</v>
          </cell>
          <cell r="CE274">
            <v>127.3910402794762</v>
          </cell>
          <cell r="CF274">
            <v>316.84895938590961</v>
          </cell>
          <cell r="CG274">
            <v>82.502496079386276</v>
          </cell>
          <cell r="CH274">
            <v>16.830381788020468</v>
          </cell>
          <cell r="CI274">
            <v>86.24195682253098</v>
          </cell>
          <cell r="CJ274">
            <v>186.61651367912248</v>
          </cell>
          <cell r="CK274">
            <v>51.976834522678097</v>
          </cell>
          <cell r="CL274">
            <v>51.288147608179379</v>
          </cell>
          <cell r="CM274">
            <v>275.81735825613663</v>
          </cell>
          <cell r="CN274">
            <v>39.363347147799011</v>
          </cell>
          <cell r="CO274">
            <v>557.07660521280252</v>
          </cell>
          <cell r="CP274">
            <v>16.103570461455018</v>
          </cell>
          <cell r="CQ274">
            <v>91.509849617825452</v>
          </cell>
          <cell r="CR274">
            <v>4.6314108743632767</v>
          </cell>
          <cell r="CS274">
            <v>199.16362001973175</v>
          </cell>
          <cell r="CT274">
            <v>394.56090474597249</v>
          </cell>
          <cell r="CU274">
            <v>0.98359463055659413</v>
          </cell>
          <cell r="CV274">
            <v>139.46050768601066</v>
          </cell>
          <cell r="CW274">
            <v>416.5565990114419</v>
          </cell>
          <cell r="CX274">
            <v>36.855076991411075</v>
          </cell>
          <cell r="CY274">
            <v>0.86545675764771302</v>
          </cell>
          <cell r="CZ274">
            <v>46.326331566771998</v>
          </cell>
          <cell r="DA274">
            <v>55.131218525114392</v>
          </cell>
          <cell r="DB274">
            <v>5.9346527365183831E-2</v>
          </cell>
          <cell r="DC274">
            <v>0</v>
          </cell>
          <cell r="DD274">
            <v>249.91442893832769</v>
          </cell>
          <cell r="DE274">
            <v>51.990374154392704</v>
          </cell>
          <cell r="DF274">
            <v>6.0366016121794646</v>
          </cell>
          <cell r="DG274">
            <v>126.34762426526622</v>
          </cell>
          <cell r="DH274">
            <v>0</v>
          </cell>
          <cell r="DI274">
            <v>740.05862083729528</v>
          </cell>
          <cell r="DJ274">
            <v>103.3799222363899</v>
          </cell>
          <cell r="DK274">
            <v>214.5207343027881</v>
          </cell>
          <cell r="DL274">
            <v>0</v>
          </cell>
          <cell r="DM274">
            <v>268.70506282352835</v>
          </cell>
          <cell r="DN274">
            <v>537.72309156217</v>
          </cell>
          <cell r="DO274">
            <v>392.2027810178115</v>
          </cell>
          <cell r="DP274">
            <v>14.572729840564573</v>
          </cell>
          <cell r="DQ274">
            <v>569.81192823133222</v>
          </cell>
          <cell r="DR274">
            <v>68.496057451767442</v>
          </cell>
          <cell r="DS274">
            <v>2.1572482117254532</v>
          </cell>
          <cell r="DT274">
            <v>8.6745836405167207</v>
          </cell>
          <cell r="DU274">
            <v>346.49354860159053</v>
          </cell>
          <cell r="DV274">
            <v>7.8881824502608495</v>
          </cell>
          <cell r="DW274">
            <v>794.11108449155427</v>
          </cell>
          <cell r="DX274">
            <v>783.53690255098638</v>
          </cell>
          <cell r="DY274">
            <v>20.20488839342147</v>
          </cell>
          <cell r="DZ274">
            <v>5.8187212516395483</v>
          </cell>
          <cell r="EA274">
            <v>24.659465719875765</v>
          </cell>
          <cell r="EB274">
            <v>878.46734318567906</v>
          </cell>
          <cell r="EC274">
            <v>9.1646942700280611</v>
          </cell>
          <cell r="ED274">
            <v>6.5796576788573811</v>
          </cell>
          <cell r="EE274">
            <v>75.486134811916713</v>
          </cell>
          <cell r="EF274">
            <v>80.466734140724483</v>
          </cell>
          <cell r="EG274">
            <v>114.90131527233814</v>
          </cell>
          <cell r="EH274">
            <v>11.094205349725408</v>
          </cell>
          <cell r="EI274">
            <v>27.60155452310277</v>
          </cell>
          <cell r="EJ274">
            <v>61.78716368037756</v>
          </cell>
          <cell r="EK274">
            <v>75.556202136092168</v>
          </cell>
          <cell r="EL274">
            <v>23.035113373506086</v>
          </cell>
          <cell r="EM274">
            <v>22.045268223644477</v>
          </cell>
          <cell r="EN274">
            <v>20.318040648839307</v>
          </cell>
          <cell r="EO274">
            <v>51.7619261754053</v>
          </cell>
          <cell r="EP274">
            <v>54.731155853692009</v>
          </cell>
          <cell r="EQ274">
            <v>47.883130247305871</v>
          </cell>
          <cell r="ER274">
            <v>34.354185244341579</v>
          </cell>
          <cell r="ES274">
            <v>1.3245666334209725</v>
          </cell>
          <cell r="ET274">
            <v>14.636881192685957</v>
          </cell>
          <cell r="EU274">
            <v>1.29600643227638</v>
          </cell>
          <cell r="EV274">
            <v>20.857400957300761</v>
          </cell>
          <cell r="EW274">
            <v>21.150754940765047</v>
          </cell>
          <cell r="EX274">
            <v>1.652299697125837</v>
          </cell>
          <cell r="EY274">
            <v>78.956111130824837</v>
          </cell>
          <cell r="EZ274">
            <v>7647.9417715782984</v>
          </cell>
          <cell r="FA274">
            <v>740.60500950416497</v>
          </cell>
          <cell r="FB274">
            <v>114.15266518326432</v>
          </cell>
          <cell r="FC274">
            <v>239.72109543168145</v>
          </cell>
          <cell r="FD274">
            <v>34.592276609874887</v>
          </cell>
          <cell r="FE274">
            <v>518.799336566801</v>
          </cell>
          <cell r="FF274">
            <v>1139.284336664381</v>
          </cell>
          <cell r="FG274">
            <v>655.86737109690876</v>
          </cell>
          <cell r="FH274">
            <v>24.908323923402349</v>
          </cell>
          <cell r="FI274">
            <v>1.8102107148722166</v>
          </cell>
          <cell r="FJ274">
            <v>16.385025327114473</v>
          </cell>
          <cell r="FK274">
            <v>21.237515068432593</v>
          </cell>
          <cell r="FL274">
            <v>40.259919478872263</v>
          </cell>
          <cell r="FM274">
            <v>15.757011572066643</v>
          </cell>
          <cell r="FN274">
            <v>176.81983628671895</v>
          </cell>
          <cell r="FO274">
            <v>0</v>
          </cell>
          <cell r="FP274">
            <v>0</v>
          </cell>
          <cell r="FQ274">
            <v>45344.836640550871</v>
          </cell>
          <cell r="FT274">
            <v>809398.16102851997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or perf reports"/>
      <sheetName val="OWN SS"/>
    </sheetNames>
    <sheetDataSet>
      <sheetData sheetId="0"/>
      <sheetData sheetId="1">
        <row r="90">
          <cell r="H90">
            <v>484461.34480162454</v>
          </cell>
        </row>
        <row r="93">
          <cell r="H93">
            <v>72044.617856192184</v>
          </cell>
        </row>
        <row r="116">
          <cell r="H116">
            <v>4859389.5190326953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or perf reports"/>
      <sheetName val="OWN SS"/>
    </sheetNames>
    <sheetDataSet>
      <sheetData sheetId="0">
        <row r="76">
          <cell r="I76">
            <v>20758.646404026102</v>
          </cell>
        </row>
        <row r="77">
          <cell r="I77">
            <v>10485.154541480839</v>
          </cell>
        </row>
        <row r="78">
          <cell r="I78">
            <v>378.2797202320267</v>
          </cell>
        </row>
        <row r="79">
          <cell r="I79">
            <v>3167.487649966587</v>
          </cell>
        </row>
        <row r="80">
          <cell r="I80">
            <v>4723.4148060442349</v>
          </cell>
        </row>
        <row r="81">
          <cell r="I81">
            <v>0</v>
          </cell>
        </row>
        <row r="82">
          <cell r="I82">
            <v>2716.3161457911774</v>
          </cell>
        </row>
        <row r="83">
          <cell r="I83">
            <v>5374.612223497631</v>
          </cell>
        </row>
        <row r="84">
          <cell r="I84">
            <v>15090.453039596961</v>
          </cell>
        </row>
        <row r="87">
          <cell r="I87">
            <v>2486000</v>
          </cell>
        </row>
      </sheetData>
      <sheetData sheetId="1">
        <row r="91">
          <cell r="I91">
            <v>10306450.058104547</v>
          </cell>
        </row>
        <row r="92">
          <cell r="I92">
            <v>18954990.797030732</v>
          </cell>
        </row>
        <row r="93">
          <cell r="I93">
            <v>75876.479346755441</v>
          </cell>
        </row>
        <row r="94">
          <cell r="I94">
            <v>11578684.784700861</v>
          </cell>
        </row>
        <row r="107">
          <cell r="I107">
            <v>824516.0046483638</v>
          </cell>
        </row>
        <row r="108">
          <cell r="I108">
            <v>2782741.515688228</v>
          </cell>
        </row>
        <row r="109">
          <cell r="I109">
            <v>515322.50290522736</v>
          </cell>
        </row>
        <row r="110">
          <cell r="I110">
            <v>6183870.0348627279</v>
          </cell>
        </row>
        <row r="115">
          <cell r="I115">
            <v>1516399.2637624587</v>
          </cell>
        </row>
        <row r="116">
          <cell r="I116">
            <v>5117847.5151982978</v>
          </cell>
        </row>
        <row r="117">
          <cell r="I117">
            <v>947749.53985153663</v>
          </cell>
        </row>
        <row r="118">
          <cell r="I118">
            <v>11372994.478218438</v>
          </cell>
        </row>
        <row r="123">
          <cell r="I123">
            <v>926294.7827760689</v>
          </cell>
        </row>
        <row r="124">
          <cell r="I124">
            <v>3126244.8918692325</v>
          </cell>
        </row>
        <row r="125">
          <cell r="I125">
            <v>578934.23923504306</v>
          </cell>
        </row>
        <row r="126">
          <cell r="I126">
            <v>6947210.8708205167</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Master File"/>
      <sheetName val="ISIC classification"/>
      <sheetName val="Abstraction days"/>
      <sheetName val="Sheet3"/>
      <sheetName val="Annual Abstraction vol"/>
      <sheetName val="Extraction by source type"/>
      <sheetName val="Summary (ISIC 4, 2)_2020 "/>
      <sheetName val="Summary purpose DWRM_2020 "/>
      <sheetName val="working days"/>
      <sheetName val="working "/>
      <sheetName val="List according to FY"/>
      <sheetName val="201819"/>
      <sheetName val="201718"/>
      <sheetName val="201617"/>
      <sheetName val="201516"/>
      <sheetName val="Licensed water extractors"/>
    </sheetNames>
    <sheetDataSet>
      <sheetData sheetId="0"/>
      <sheetData sheetId="1"/>
      <sheetData sheetId="2"/>
      <sheetData sheetId="3"/>
      <sheetData sheetId="4"/>
      <sheetData sheetId="5"/>
      <sheetData sheetId="6"/>
      <sheetData sheetId="7">
        <row r="271">
          <cell r="I271">
            <v>686124</v>
          </cell>
          <cell r="R271">
            <v>186874900</v>
          </cell>
        </row>
        <row r="272">
          <cell r="I272">
            <v>194484</v>
          </cell>
          <cell r="R272">
            <v>109500</v>
          </cell>
        </row>
        <row r="274">
          <cell r="I274">
            <v>14600</v>
          </cell>
          <cell r="R274">
            <v>2221550</v>
          </cell>
        </row>
        <row r="275">
          <cell r="I275">
            <v>108366.277</v>
          </cell>
          <cell r="R275">
            <v>37314600</v>
          </cell>
        </row>
        <row r="276">
          <cell r="I276">
            <v>322605</v>
          </cell>
          <cell r="R276">
            <v>124932983.33</v>
          </cell>
        </row>
        <row r="277">
          <cell r="I277">
            <v>2045708</v>
          </cell>
          <cell r="R277">
            <v>8870772</v>
          </cell>
        </row>
        <row r="278">
          <cell r="I278">
            <v>1864844</v>
          </cell>
          <cell r="R278">
            <v>5037525</v>
          </cell>
        </row>
        <row r="279">
          <cell r="I279">
            <v>131496.5</v>
          </cell>
          <cell r="Q279">
            <v>114974220814</v>
          </cell>
          <cell r="R279">
            <v>109858797262</v>
          </cell>
        </row>
        <row r="280">
          <cell r="I280">
            <v>10585751.800000001</v>
          </cell>
          <cell r="R280">
            <v>143576528</v>
          </cell>
        </row>
        <row r="281">
          <cell r="I281">
            <v>1460</v>
          </cell>
          <cell r="R281">
            <v>18250</v>
          </cell>
        </row>
        <row r="282">
          <cell r="I282">
            <v>730166.4</v>
          </cell>
          <cell r="R282">
            <v>212513033</v>
          </cell>
        </row>
        <row r="283">
          <cell r="I283">
            <v>138383</v>
          </cell>
          <cell r="R283">
            <v>228824.8</v>
          </cell>
        </row>
        <row r="284">
          <cell r="I284">
            <v>76490</v>
          </cell>
          <cell r="R284">
            <v>1825</v>
          </cell>
        </row>
        <row r="285">
          <cell r="I285">
            <v>201320</v>
          </cell>
          <cell r="R285">
            <v>68255</v>
          </cell>
        </row>
        <row r="286">
          <cell r="I286">
            <v>76361</v>
          </cell>
          <cell r="R286">
            <v>989150</v>
          </cell>
        </row>
        <row r="287">
          <cell r="I287">
            <v>42414</v>
          </cell>
          <cell r="R287">
            <v>1212825</v>
          </cell>
        </row>
        <row r="288">
          <cell r="I288">
            <v>21096</v>
          </cell>
          <cell r="R288">
            <v>14600</v>
          </cell>
        </row>
      </sheetData>
      <sheetData sheetId="8">
        <row r="120">
          <cell r="G120">
            <v>595798</v>
          </cell>
        </row>
        <row r="121">
          <cell r="G121">
            <v>1504530</v>
          </cell>
        </row>
        <row r="125">
          <cell r="G125">
            <v>642699.30000000005</v>
          </cell>
        </row>
        <row r="126">
          <cell r="G126">
            <v>1986634.5</v>
          </cell>
        </row>
        <row r="129">
          <cell r="G129">
            <v>1105280</v>
          </cell>
        </row>
        <row r="130">
          <cell r="G130">
            <v>4520307</v>
          </cell>
        </row>
        <row r="131">
          <cell r="G131">
            <v>1460</v>
          </cell>
        </row>
        <row r="132">
          <cell r="G132">
            <v>17208763.699999999</v>
          </cell>
        </row>
        <row r="148">
          <cell r="G148">
            <v>20782740</v>
          </cell>
        </row>
        <row r="149">
          <cell r="G149">
            <v>100792560</v>
          </cell>
        </row>
        <row r="150">
          <cell r="G150">
            <v>0</v>
          </cell>
        </row>
        <row r="154">
          <cell r="G154">
            <v>27110</v>
          </cell>
        </row>
        <row r="155">
          <cell r="G155">
            <v>861418</v>
          </cell>
        </row>
        <row r="158">
          <cell r="G158">
            <v>109500</v>
          </cell>
        </row>
        <row r="159">
          <cell r="G159">
            <v>1392110</v>
          </cell>
        </row>
        <row r="160">
          <cell r="G160">
            <v>15750115</v>
          </cell>
        </row>
        <row r="161">
          <cell r="G161">
            <v>18250</v>
          </cell>
        </row>
        <row r="162">
          <cell r="G162">
            <v>110494558834.20001</v>
          </cell>
        </row>
        <row r="167">
          <cell r="G167">
            <v>2100328</v>
          </cell>
        </row>
        <row r="168">
          <cell r="G168">
            <v>121575300</v>
          </cell>
        </row>
        <row r="172">
          <cell r="G172">
            <v>0.89896659994770634</v>
          </cell>
        </row>
        <row r="175">
          <cell r="G175">
            <v>5627047</v>
          </cell>
        </row>
        <row r="178">
          <cell r="G178">
            <v>888528</v>
          </cell>
        </row>
        <row r="179">
          <cell r="G179">
            <v>2629333.7999999998</v>
          </cell>
        </row>
      </sheetData>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sheries"/>
      <sheetName val="MAAIF"/>
      <sheetName val="Sheet1"/>
    </sheetNames>
    <sheetDataSet>
      <sheetData sheetId="0"/>
      <sheetData sheetId="1">
        <row r="73">
          <cell r="O73">
            <v>133033940</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GIS-Remote sensing"/>
      <sheetName val="Sheet1"/>
      <sheetName val="Actual Plantations mapped-CFRs"/>
    </sheetNames>
    <sheetDataSet>
      <sheetData sheetId="0">
        <row r="48">
          <cell r="J48">
            <v>1529840722593.3452</v>
          </cell>
        </row>
        <row r="55">
          <cell r="J55">
            <v>169768210667250.03</v>
          </cell>
        </row>
        <row r="56">
          <cell r="J56">
            <v>50930463200175.008</v>
          </cell>
        </row>
        <row r="58">
          <cell r="J58">
            <v>67907284266900.016</v>
          </cell>
        </row>
        <row r="59">
          <cell r="J59">
            <v>33953642133450.008</v>
          </cell>
        </row>
        <row r="62">
          <cell r="J62">
            <v>52592101627520.016</v>
          </cell>
        </row>
        <row r="63">
          <cell r="J63">
            <v>13148025406880.004</v>
          </cell>
        </row>
        <row r="65">
          <cell r="J65">
            <v>22614603699833.605</v>
          </cell>
        </row>
        <row r="66">
          <cell r="J66">
            <v>7888815244128.002</v>
          </cell>
        </row>
        <row r="69">
          <cell r="J69">
            <v>31462905740500.008</v>
          </cell>
        </row>
        <row r="70">
          <cell r="J70">
            <v>3146290574050.001</v>
          </cell>
        </row>
        <row r="72">
          <cell r="J72">
            <v>15731452870250.004</v>
          </cell>
        </row>
        <row r="73">
          <cell r="J73">
            <v>6292581148100.002</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sheries"/>
      <sheetName val="MAAIF"/>
    </sheetNames>
    <sheetDataSet>
      <sheetData sheetId="0"/>
      <sheetData sheetId="1">
        <row r="63">
          <cell r="N63">
            <v>107225355.64</v>
          </cell>
        </row>
        <row r="69">
          <cell r="N69">
            <v>13237076423.303574</v>
          </cell>
        </row>
        <row r="75">
          <cell r="N75">
            <v>13083901391.473099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collection tables"/>
      <sheetName val="Meta data"/>
      <sheetName val="Annual reports"/>
      <sheetName val="Monthly summary"/>
      <sheetName val="Monthly summary by area"/>
      <sheetName val="Sewerage"/>
      <sheetName val="2019-20"/>
      <sheetName val="2018-19"/>
      <sheetName val="All 2017-18"/>
      <sheetName val="All 2016-17"/>
      <sheetName val="All 2015-16"/>
      <sheetName val="2014-15"/>
      <sheetName val="2013-14"/>
      <sheetName val=" end Apl 16"/>
    </sheetNames>
    <sheetDataSet>
      <sheetData sheetId="0"/>
      <sheetData sheetId="1"/>
      <sheetData sheetId="2"/>
      <sheetData sheetId="3">
        <row r="43">
          <cell r="H43">
            <v>28957734.438339721</v>
          </cell>
        </row>
        <row r="46">
          <cell r="H46">
            <v>1363604.6698241122</v>
          </cell>
        </row>
        <row r="47">
          <cell r="H47">
            <v>12546286.293874418</v>
          </cell>
        </row>
        <row r="48">
          <cell r="H48">
            <v>6337106.3870244613</v>
          </cell>
        </row>
        <row r="49">
          <cell r="H49">
            <v>228627.89686890412</v>
          </cell>
        </row>
        <row r="51">
          <cell r="H51">
            <v>1914392.977043279</v>
          </cell>
        </row>
        <row r="52">
          <cell r="H52">
            <v>2854777.3919335445</v>
          </cell>
        </row>
        <row r="53">
          <cell r="H53">
            <v>23015199.044769648</v>
          </cell>
        </row>
        <row r="54">
          <cell r="H54">
            <v>1641710.1272634014</v>
          </cell>
        </row>
        <row r="55">
          <cell r="H55">
            <v>3248353.5950340214</v>
          </cell>
        </row>
        <row r="56">
          <cell r="H56">
            <v>9120495.6457243226</v>
          </cell>
        </row>
        <row r="57">
          <cell r="H57">
            <v>69055594.381077453</v>
          </cell>
        </row>
        <row r="65">
          <cell r="H65">
            <v>2895773.4438339723</v>
          </cell>
        </row>
        <row r="69">
          <cell r="H69">
            <v>1254628.6293874418</v>
          </cell>
        </row>
        <row r="70">
          <cell r="H70">
            <v>633710.63870244613</v>
          </cell>
        </row>
        <row r="71">
          <cell r="H71">
            <v>22862.789686890414</v>
          </cell>
        </row>
        <row r="72">
          <cell r="H72">
            <v>191439.29770432791</v>
          </cell>
        </row>
        <row r="73">
          <cell r="H73">
            <v>285477.73919335444</v>
          </cell>
        </row>
        <row r="74">
          <cell r="H74">
            <v>2301519.9044769648</v>
          </cell>
        </row>
        <row r="75">
          <cell r="H75">
            <v>164171.01272634015</v>
          </cell>
        </row>
        <row r="76">
          <cell r="H76">
            <v>324835.35950340214</v>
          </cell>
        </row>
        <row r="77">
          <cell r="H77">
            <v>912049.56457243231</v>
          </cell>
        </row>
        <row r="78">
          <cell r="H78">
            <v>6905559.4381077457</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5"/>
      <sheetName val="2016"/>
      <sheetName val="2017"/>
      <sheetName val="2018"/>
      <sheetName val="FAO-Estimates"/>
    </sheetNames>
    <sheetDataSet>
      <sheetData sheetId="0"/>
      <sheetData sheetId="1"/>
      <sheetData sheetId="2"/>
      <sheetData sheetId="3">
        <row r="25">
          <cell r="Y25">
            <v>45949676.190476194</v>
          </cell>
        </row>
      </sheetData>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5"/>
      <sheetName val="2016"/>
      <sheetName val="2017"/>
      <sheetName val="2018"/>
      <sheetName val="2019"/>
      <sheetName val="2020"/>
      <sheetName val="FAO-Estimates"/>
    </sheetNames>
    <sheetDataSet>
      <sheetData sheetId="0"/>
      <sheetData sheetId="1"/>
      <sheetData sheetId="2"/>
      <sheetData sheetId="3"/>
      <sheetData sheetId="4">
        <row r="24">
          <cell r="Y24">
            <v>366682499751.08563</v>
          </cell>
        </row>
      </sheetData>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ter bodies"/>
      <sheetName val="Weather"/>
      <sheetName val="Fees and charges"/>
      <sheetName val="Licensed water extractors"/>
      <sheetName val="Extraction by ISIC"/>
      <sheetName val="Sheet1"/>
      <sheetName val="Extraction by Source type"/>
      <sheetName val="Extraction by purpose"/>
      <sheetName val="Extraction by company"/>
      <sheetName val="NTR"/>
    </sheetNames>
    <sheetDataSet>
      <sheetData sheetId="0"/>
      <sheetData sheetId="1"/>
      <sheetData sheetId="2">
        <row r="194">
          <cell r="I194">
            <v>2079000</v>
          </cell>
          <cell r="K194">
            <v>4059000</v>
          </cell>
        </row>
        <row r="199">
          <cell r="K199">
            <v>48282000</v>
          </cell>
        </row>
        <row r="200">
          <cell r="K200">
            <v>95326000</v>
          </cell>
        </row>
        <row r="201">
          <cell r="K201">
            <v>20367000</v>
          </cell>
        </row>
        <row r="202">
          <cell r="K202">
            <v>49931000</v>
          </cell>
        </row>
        <row r="203">
          <cell r="K203">
            <v>86615000</v>
          </cell>
        </row>
        <row r="204">
          <cell r="K204">
            <v>11142000</v>
          </cell>
        </row>
        <row r="206">
          <cell r="K206">
            <v>5694000</v>
          </cell>
        </row>
        <row r="207">
          <cell r="K207">
            <v>2628000</v>
          </cell>
        </row>
        <row r="208">
          <cell r="K208">
            <v>8322000</v>
          </cell>
        </row>
        <row r="209">
          <cell r="K209">
            <v>26494000</v>
          </cell>
        </row>
        <row r="214">
          <cell r="K214">
            <v>17323000</v>
          </cell>
        </row>
        <row r="215">
          <cell r="K215">
            <v>15111000</v>
          </cell>
        </row>
        <row r="217">
          <cell r="K217">
            <v>2628000</v>
          </cell>
        </row>
        <row r="218">
          <cell r="K218">
            <v>10512000</v>
          </cell>
        </row>
      </sheetData>
      <sheetData sheetId="3"/>
      <sheetData sheetId="4"/>
      <sheetData sheetId="5"/>
      <sheetData sheetId="6">
        <row r="82">
          <cell r="P82">
            <v>178.59450000000001</v>
          </cell>
        </row>
      </sheetData>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collection tables"/>
      <sheetName val="Meta data"/>
      <sheetName val="Annual reports"/>
      <sheetName val="Monthly summary"/>
      <sheetName val="Monthly summary by area"/>
      <sheetName val="Sewerage"/>
      <sheetName val="2018-19"/>
      <sheetName val="All 2017-18"/>
      <sheetName val="All 2016-17"/>
      <sheetName val="All 2015-16"/>
      <sheetName val="2014-15"/>
      <sheetName val="2013-14"/>
      <sheetName val=" end Apl 16"/>
    </sheetNames>
    <sheetDataSet>
      <sheetData sheetId="0"/>
      <sheetData sheetId="1"/>
      <sheetData sheetId="2">
        <row r="63">
          <cell r="G63">
            <v>3159.45</v>
          </cell>
          <cell r="H63">
            <v>3426.1299999999997</v>
          </cell>
        </row>
        <row r="64">
          <cell r="F64">
            <v>2994.8399999999997</v>
          </cell>
          <cell r="G64">
            <v>3640.2999999999997</v>
          </cell>
          <cell r="H64">
            <v>3969.52</v>
          </cell>
        </row>
        <row r="65">
          <cell r="G65">
            <v>4460.3999999999996</v>
          </cell>
          <cell r="H65">
            <v>4863.96</v>
          </cell>
        </row>
        <row r="66">
          <cell r="G66">
            <v>4448.5999999999995</v>
          </cell>
          <cell r="H66">
            <v>4852.16</v>
          </cell>
        </row>
        <row r="67">
          <cell r="G67">
            <v>3553.7666666666664</v>
          </cell>
          <cell r="H67">
            <v>3875.9066666666663</v>
          </cell>
        </row>
        <row r="86">
          <cell r="G86">
            <v>2500</v>
          </cell>
          <cell r="H86">
            <v>2716</v>
          </cell>
        </row>
        <row r="109">
          <cell r="G109">
            <v>2204.2399999999998</v>
          </cell>
          <cell r="H109">
            <v>2403.66</v>
          </cell>
        </row>
        <row r="110">
          <cell r="G110">
            <v>3616.7</v>
          </cell>
          <cell r="H110">
            <v>3945.9199999999996</v>
          </cell>
        </row>
        <row r="111">
          <cell r="G111">
            <v>4436.8</v>
          </cell>
          <cell r="H111">
            <v>4840.3599999999997</v>
          </cell>
        </row>
        <row r="112">
          <cell r="G112">
            <v>4436.8</v>
          </cell>
          <cell r="H112">
            <v>4840.3599999999997</v>
          </cell>
        </row>
      </sheetData>
      <sheetData sheetId="3">
        <row r="47">
          <cell r="F47">
            <v>12454388.633697245</v>
          </cell>
        </row>
      </sheetData>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DP_CP_CY"/>
      <sheetName val="AGDP_KP_CY"/>
      <sheetName val="IPD"/>
      <sheetName val="GDP_Exp_CP_CY"/>
      <sheetName val="GDPE_KP_CY"/>
      <sheetName val="OS VA CP Growth"/>
      <sheetName val="SA VA CKP growth"/>
    </sheetNames>
    <sheetDataSet>
      <sheetData sheetId="0">
        <row r="6">
          <cell r="O6">
            <v>2785.2020946408029</v>
          </cell>
        </row>
        <row r="7">
          <cell r="O7">
            <v>16398.333082653149</v>
          </cell>
        </row>
        <row r="8">
          <cell r="O8">
            <v>5095.9366440895328</v>
          </cell>
        </row>
        <row r="9">
          <cell r="O9">
            <v>19.590433698767836</v>
          </cell>
        </row>
        <row r="10">
          <cell r="O10">
            <v>5526.9923177029796</v>
          </cell>
        </row>
        <row r="11">
          <cell r="O11">
            <v>3434.8095975233332</v>
          </cell>
        </row>
        <row r="13">
          <cell r="O13">
            <v>1742.8567449349682</v>
          </cell>
        </row>
        <row r="14">
          <cell r="O14">
            <v>21665.965270904773</v>
          </cell>
        </row>
        <row r="15">
          <cell r="O15">
            <v>1816.9721811941818</v>
          </cell>
        </row>
        <row r="16">
          <cell r="O16">
            <v>3114.3744346802837</v>
          </cell>
        </row>
        <row r="17">
          <cell r="O17">
            <v>7838.5683177729361</v>
          </cell>
        </row>
        <row r="19">
          <cell r="O19">
            <v>11931.939020583752</v>
          </cell>
        </row>
        <row r="20">
          <cell r="O20">
            <v>4801.9590045290179</v>
          </cell>
        </row>
        <row r="21">
          <cell r="O21">
            <v>3759.3699315506124</v>
          </cell>
        </row>
        <row r="22">
          <cell r="O22">
            <v>2430.7483371107978</v>
          </cell>
        </row>
        <row r="23">
          <cell r="O23">
            <v>3748.4955528907835</v>
          </cell>
        </row>
        <row r="24">
          <cell r="O24">
            <v>8781.022758533225</v>
          </cell>
        </row>
        <row r="25">
          <cell r="O25">
            <v>2905.8354871691131</v>
          </cell>
        </row>
        <row r="26">
          <cell r="O26">
            <v>2540.5949934016244</v>
          </cell>
        </row>
        <row r="27">
          <cell r="O27">
            <v>3658.4856857823402</v>
          </cell>
        </row>
        <row r="28">
          <cell r="O28">
            <v>5968.5542489063846</v>
          </cell>
        </row>
        <row r="29">
          <cell r="O29">
            <v>4564.4898027089639</v>
          </cell>
        </row>
        <row r="30">
          <cell r="O30">
            <v>256.87243119119466</v>
          </cell>
        </row>
        <row r="31">
          <cell r="O31">
            <v>3437.2608668255089</v>
          </cell>
        </row>
        <row r="32">
          <cell r="O32">
            <v>1065.6297052224022</v>
          </cell>
        </row>
        <row r="34">
          <cell r="O34">
            <v>9934.4416814705546</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2"/>
  <sheetViews>
    <sheetView zoomScaleNormal="100" workbookViewId="0">
      <selection activeCell="G9" sqref="G9"/>
    </sheetView>
  </sheetViews>
  <sheetFormatPr defaultRowHeight="15" x14ac:dyDescent="0.25"/>
  <cols>
    <col min="1" max="1" width="5.5703125" customWidth="1"/>
    <col min="2" max="2" width="64.140625" customWidth="1"/>
  </cols>
  <sheetData>
    <row r="2" spans="1:3" x14ac:dyDescent="0.25">
      <c r="B2" s="9" t="s">
        <v>38</v>
      </c>
    </row>
    <row r="3" spans="1:3" x14ac:dyDescent="0.25">
      <c r="B3" s="9" t="s">
        <v>39</v>
      </c>
    </row>
    <row r="4" spans="1:3" x14ac:dyDescent="0.25">
      <c r="B4" s="9" t="s">
        <v>40</v>
      </c>
    </row>
    <row r="5" spans="1:3" x14ac:dyDescent="0.25">
      <c r="B5" s="9" t="s">
        <v>41</v>
      </c>
    </row>
    <row r="6" spans="1:3" x14ac:dyDescent="0.25">
      <c r="B6" s="9" t="s">
        <v>46</v>
      </c>
    </row>
    <row r="8" spans="1:3" ht="45" x14ac:dyDescent="0.25">
      <c r="B8" s="13" t="s">
        <v>42</v>
      </c>
    </row>
    <row r="9" spans="1:3" ht="60" x14ac:dyDescent="0.25">
      <c r="B9" s="13" t="s">
        <v>43</v>
      </c>
    </row>
    <row r="10" spans="1:3" x14ac:dyDescent="0.25">
      <c r="B10" t="s">
        <v>45</v>
      </c>
    </row>
    <row r="11" spans="1:3" x14ac:dyDescent="0.25">
      <c r="B11" t="s">
        <v>44</v>
      </c>
    </row>
    <row r="12" spans="1:3" x14ac:dyDescent="0.25">
      <c r="B12" t="s">
        <v>92</v>
      </c>
      <c r="C12" t="s">
        <v>111</v>
      </c>
    </row>
    <row r="13" spans="1:3" x14ac:dyDescent="0.25">
      <c r="A13" s="320" t="s">
        <v>109</v>
      </c>
      <c r="B13" t="s">
        <v>95</v>
      </c>
    </row>
    <row r="14" spans="1:3" ht="15" customHeight="1" x14ac:dyDescent="0.25">
      <c r="A14" s="320"/>
      <c r="B14" t="s">
        <v>93</v>
      </c>
    </row>
    <row r="15" spans="1:3" x14ac:dyDescent="0.25">
      <c r="A15" s="320"/>
      <c r="B15" t="s">
        <v>96</v>
      </c>
    </row>
    <row r="16" spans="1:3" x14ac:dyDescent="0.25">
      <c r="A16" s="320"/>
      <c r="B16" t="s">
        <v>107</v>
      </c>
    </row>
    <row r="17" spans="1:6" x14ac:dyDescent="0.25">
      <c r="A17" s="320"/>
      <c r="B17" t="s">
        <v>108</v>
      </c>
    </row>
    <row r="18" spans="1:6" x14ac:dyDescent="0.25">
      <c r="A18" s="320"/>
      <c r="B18" t="s">
        <v>114</v>
      </c>
    </row>
    <row r="19" spans="1:6" x14ac:dyDescent="0.25">
      <c r="A19" s="320"/>
      <c r="B19" t="s">
        <v>110</v>
      </c>
    </row>
    <row r="20" spans="1:6" x14ac:dyDescent="0.25">
      <c r="B20" t="s">
        <v>112</v>
      </c>
    </row>
    <row r="21" spans="1:6" x14ac:dyDescent="0.25">
      <c r="B21" t="s">
        <v>113</v>
      </c>
    </row>
    <row r="24" spans="1:6" x14ac:dyDescent="0.25">
      <c r="B24" t="s">
        <v>90</v>
      </c>
    </row>
    <row r="25" spans="1:6" x14ac:dyDescent="0.25">
      <c r="B25" t="s">
        <v>58</v>
      </c>
    </row>
    <row r="27" spans="1:6" x14ac:dyDescent="0.25">
      <c r="B27" t="s">
        <v>59</v>
      </c>
      <c r="F27" t="s">
        <v>64</v>
      </c>
    </row>
    <row r="28" spans="1:6" x14ac:dyDescent="0.25">
      <c r="B28" t="s">
        <v>60</v>
      </c>
      <c r="F28" t="s">
        <v>65</v>
      </c>
    </row>
    <row r="29" spans="1:6" x14ac:dyDescent="0.25">
      <c r="B29" t="s">
        <v>61</v>
      </c>
      <c r="F29" t="s">
        <v>66</v>
      </c>
    </row>
    <row r="30" spans="1:6" x14ac:dyDescent="0.25">
      <c r="B30" t="s">
        <v>62</v>
      </c>
    </row>
    <row r="31" spans="1:6" x14ac:dyDescent="0.25">
      <c r="B31" t="s">
        <v>63</v>
      </c>
    </row>
    <row r="32" spans="1:6" x14ac:dyDescent="0.25">
      <c r="B32" t="s">
        <v>66</v>
      </c>
    </row>
  </sheetData>
  <mergeCells count="1">
    <mergeCell ref="A13:A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58"/>
  <sheetViews>
    <sheetView topLeftCell="C1" zoomScale="82" zoomScaleNormal="82" workbookViewId="0">
      <selection activeCell="J15" sqref="J15"/>
    </sheetView>
  </sheetViews>
  <sheetFormatPr defaultRowHeight="15" x14ac:dyDescent="0.25"/>
  <cols>
    <col min="1" max="1" width="115.5703125" style="65" customWidth="1"/>
    <col min="2" max="2" width="19.85546875" customWidth="1"/>
    <col min="3" max="3" width="18" bestFit="1" customWidth="1"/>
    <col min="4" max="4" width="39.140625" customWidth="1"/>
    <col min="5" max="5" width="13.28515625" customWidth="1"/>
    <col min="6" max="6" width="14.28515625" bestFit="1" customWidth="1"/>
    <col min="8" max="8" width="17" customWidth="1"/>
    <col min="9" max="9" width="20.42578125" customWidth="1"/>
    <col min="10" max="10" width="13.42578125" customWidth="1"/>
    <col min="15" max="15" width="16.28515625" customWidth="1"/>
    <col min="16" max="16" width="16.140625" customWidth="1"/>
    <col min="17" max="17" width="13.28515625" customWidth="1"/>
    <col min="18" max="18" width="12.85546875" customWidth="1"/>
    <col min="19" max="19" width="12.42578125" customWidth="1"/>
    <col min="20" max="20" width="3.42578125" customWidth="1"/>
    <col min="21" max="21" width="14.140625" bestFit="1" customWidth="1"/>
    <col min="22" max="22" width="12.28515625" customWidth="1"/>
    <col min="23" max="23" width="4.28515625" customWidth="1"/>
    <col min="24" max="24" width="13" customWidth="1"/>
    <col min="25" max="25" width="7.28515625" customWidth="1"/>
    <col min="26" max="26" width="3" customWidth="1"/>
    <col min="27" max="27" width="14.7109375" bestFit="1" customWidth="1"/>
    <col min="28" max="28" width="10" customWidth="1"/>
  </cols>
  <sheetData>
    <row r="1" spans="1:16" ht="15.75" thickBot="1" x14ac:dyDescent="0.3">
      <c r="A1" s="92" t="s">
        <v>149</v>
      </c>
      <c r="H1" t="s">
        <v>192</v>
      </c>
    </row>
    <row r="2" spans="1:16" ht="31.5" thickTop="1" thickBot="1" x14ac:dyDescent="0.3">
      <c r="A2" s="65" t="s">
        <v>154</v>
      </c>
      <c r="D2" t="s">
        <v>116</v>
      </c>
      <c r="E2" s="66">
        <v>250000</v>
      </c>
      <c r="F2" s="66"/>
      <c r="H2" s="68"/>
      <c r="I2" s="321">
        <v>2002</v>
      </c>
      <c r="J2" s="321"/>
      <c r="K2" s="321"/>
      <c r="L2" s="68"/>
      <c r="M2" s="321">
        <v>2014</v>
      </c>
      <c r="N2" s="321"/>
      <c r="O2" s="321"/>
    </row>
    <row r="3" spans="1:16" ht="30.75" thickBot="1" x14ac:dyDescent="0.3">
      <c r="A3" s="65" t="s">
        <v>155</v>
      </c>
      <c r="E3" s="66"/>
      <c r="F3" s="66"/>
      <c r="H3" s="93"/>
      <c r="I3" s="94"/>
      <c r="J3" s="94"/>
      <c r="K3" s="94"/>
      <c r="L3" s="93"/>
      <c r="M3" s="94"/>
      <c r="N3" s="94"/>
      <c r="O3" s="94"/>
    </row>
    <row r="4" spans="1:16" ht="30" x14ac:dyDescent="0.25">
      <c r="A4" s="65" t="s">
        <v>123</v>
      </c>
      <c r="E4" s="66">
        <v>365</v>
      </c>
      <c r="F4" s="66"/>
      <c r="H4" s="69" t="s">
        <v>130</v>
      </c>
      <c r="I4" s="70" t="s">
        <v>131</v>
      </c>
      <c r="J4" s="70" t="s">
        <v>132</v>
      </c>
      <c r="K4" s="70" t="s">
        <v>4</v>
      </c>
      <c r="L4" s="71"/>
      <c r="M4" s="70" t="s">
        <v>131</v>
      </c>
      <c r="N4" s="70" t="s">
        <v>132</v>
      </c>
      <c r="O4" s="70" t="s">
        <v>4</v>
      </c>
    </row>
    <row r="5" spans="1:16" x14ac:dyDescent="0.25">
      <c r="A5" s="65" t="s">
        <v>126</v>
      </c>
      <c r="D5" t="s">
        <v>117</v>
      </c>
      <c r="E5" s="66">
        <f>E4*E2</f>
        <v>91250000</v>
      </c>
      <c r="F5" s="66"/>
      <c r="H5" s="72" t="s">
        <v>133</v>
      </c>
      <c r="I5" s="73">
        <v>93</v>
      </c>
      <c r="J5" s="73">
        <v>55.6</v>
      </c>
      <c r="K5" s="73">
        <v>60.9</v>
      </c>
      <c r="L5" s="75"/>
      <c r="M5" s="73">
        <v>84.7</v>
      </c>
      <c r="N5" s="73">
        <v>65.900000000000006</v>
      </c>
      <c r="O5" s="73">
        <v>71.2</v>
      </c>
      <c r="P5">
        <f>100-O5</f>
        <v>28.799999999999997</v>
      </c>
    </row>
    <row r="6" spans="1:16" x14ac:dyDescent="0.25">
      <c r="A6" s="65" t="s">
        <v>124</v>
      </c>
      <c r="D6" t="s">
        <v>118</v>
      </c>
      <c r="E6" s="66">
        <v>103523325.68503238</v>
      </c>
      <c r="H6" s="76" t="s">
        <v>134</v>
      </c>
      <c r="I6" s="77">
        <v>58.5</v>
      </c>
      <c r="J6" s="77">
        <v>3.9</v>
      </c>
      <c r="K6" s="77">
        <v>11.5</v>
      </c>
      <c r="L6" s="74"/>
      <c r="M6" s="78">
        <v>51.9</v>
      </c>
      <c r="N6" s="78">
        <v>7.2</v>
      </c>
      <c r="O6" s="78">
        <v>19.7</v>
      </c>
    </row>
    <row r="7" spans="1:16" x14ac:dyDescent="0.25">
      <c r="A7" s="65" t="s">
        <v>125</v>
      </c>
      <c r="D7" t="s">
        <v>121</v>
      </c>
      <c r="E7" s="66">
        <f>E6-E5</f>
        <v>12273325.685032383</v>
      </c>
      <c r="H7" s="76" t="s">
        <v>135</v>
      </c>
      <c r="I7" s="77">
        <v>12.4</v>
      </c>
      <c r="J7" s="77">
        <v>26</v>
      </c>
      <c r="K7" s="77">
        <v>24.1</v>
      </c>
      <c r="L7" s="74"/>
      <c r="M7" s="78">
        <v>16.600000000000001</v>
      </c>
      <c r="N7" s="78">
        <v>40.200000000000003</v>
      </c>
      <c r="O7" s="78">
        <v>33.6</v>
      </c>
    </row>
    <row r="8" spans="1:16" ht="30" x14ac:dyDescent="0.25">
      <c r="A8" s="65" t="s">
        <v>127</v>
      </c>
      <c r="E8" s="66">
        <f>E6-E10</f>
        <v>36233163.989761338</v>
      </c>
      <c r="H8" s="76" t="s">
        <v>136</v>
      </c>
      <c r="I8" s="77">
        <v>20.7</v>
      </c>
      <c r="J8" s="77">
        <v>22.7</v>
      </c>
      <c r="K8" s="77">
        <v>22.5</v>
      </c>
      <c r="L8" s="74"/>
      <c r="M8" s="78">
        <v>14.9</v>
      </c>
      <c r="N8" s="78">
        <v>17</v>
      </c>
      <c r="O8" s="78">
        <v>16.399999999999999</v>
      </c>
    </row>
    <row r="9" spans="1:16" ht="30" x14ac:dyDescent="0.25">
      <c r="A9" s="65" t="s">
        <v>128</v>
      </c>
      <c r="D9" t="s">
        <v>119</v>
      </c>
      <c r="E9">
        <v>0.65</v>
      </c>
      <c r="H9" s="76" t="s">
        <v>137</v>
      </c>
      <c r="I9" s="77">
        <v>1.4</v>
      </c>
      <c r="J9" s="77">
        <v>3</v>
      </c>
      <c r="K9" s="77">
        <v>2.8</v>
      </c>
      <c r="L9" s="74"/>
      <c r="M9" s="78">
        <v>0.8</v>
      </c>
      <c r="N9" s="78">
        <v>1.4</v>
      </c>
      <c r="O9" s="78">
        <v>1.2</v>
      </c>
    </row>
    <row r="10" spans="1:16" x14ac:dyDescent="0.25">
      <c r="A10" s="65" t="s">
        <v>129</v>
      </c>
      <c r="D10" t="s">
        <v>120</v>
      </c>
      <c r="E10" s="66">
        <f>E6*0.65</f>
        <v>67290161.695271045</v>
      </c>
      <c r="H10" s="76" t="s">
        <v>138</v>
      </c>
      <c r="I10" s="70" t="s">
        <v>139</v>
      </c>
      <c r="J10" s="70" t="s">
        <v>139</v>
      </c>
      <c r="K10" s="79"/>
      <c r="L10" s="74"/>
      <c r="M10" s="78">
        <v>0.5</v>
      </c>
      <c r="N10" s="78">
        <v>0.1</v>
      </c>
      <c r="O10" s="78">
        <v>0.2</v>
      </c>
    </row>
    <row r="11" spans="1:16" ht="15.75" thickBot="1" x14ac:dyDescent="0.3">
      <c r="A11" s="65" t="s">
        <v>150</v>
      </c>
      <c r="D11" t="s">
        <v>122</v>
      </c>
      <c r="E11" s="67">
        <f>E6-E10</f>
        <v>36233163.989761338</v>
      </c>
      <c r="H11" s="80" t="s">
        <v>140</v>
      </c>
      <c r="I11" s="81">
        <v>6.8</v>
      </c>
      <c r="J11" s="81">
        <v>44.4</v>
      </c>
      <c r="K11" s="81">
        <v>39.1</v>
      </c>
      <c r="L11" s="82"/>
      <c r="M11" s="82">
        <v>15.3</v>
      </c>
      <c r="N11" s="82">
        <v>34</v>
      </c>
      <c r="O11" s="82">
        <v>28.8</v>
      </c>
    </row>
    <row r="12" spans="1:16" ht="15.75" thickTop="1" x14ac:dyDescent="0.25">
      <c r="A12" s="65" t="s">
        <v>151</v>
      </c>
    </row>
    <row r="13" spans="1:16" x14ac:dyDescent="0.25">
      <c r="A13" s="91" t="s">
        <v>152</v>
      </c>
      <c r="D13" s="9" t="s">
        <v>141</v>
      </c>
      <c r="E13" t="s">
        <v>147</v>
      </c>
      <c r="F13" t="s">
        <v>148</v>
      </c>
      <c r="G13" t="s">
        <v>68</v>
      </c>
      <c r="H13" t="s">
        <v>69</v>
      </c>
    </row>
    <row r="14" spans="1:16" x14ac:dyDescent="0.25">
      <c r="A14" s="91" t="s">
        <v>153</v>
      </c>
      <c r="D14" s="9" t="s">
        <v>146</v>
      </c>
      <c r="E14" s="89">
        <f>'[1]Final SUT'!$FQ$274</f>
        <v>45344.836640550871</v>
      </c>
      <c r="F14" s="90">
        <f>E14/$E$34*100</f>
        <v>5.3050843077051963</v>
      </c>
      <c r="I14" s="9" t="s">
        <v>161</v>
      </c>
    </row>
    <row r="15" spans="1:16" ht="45" x14ac:dyDescent="0.25">
      <c r="A15" s="65" t="s">
        <v>167</v>
      </c>
      <c r="D15" s="85" t="s">
        <v>72</v>
      </c>
      <c r="E15">
        <v>0</v>
      </c>
      <c r="F15" s="90">
        <f t="shared" ref="F15:F33" si="0">E15/$E$34*100</f>
        <v>0</v>
      </c>
      <c r="I15" t="s">
        <v>70</v>
      </c>
      <c r="J15" t="s">
        <v>162</v>
      </c>
    </row>
    <row r="16" spans="1:16" ht="30" x14ac:dyDescent="0.25">
      <c r="A16" s="65" t="s">
        <v>180</v>
      </c>
      <c r="D16" s="85" t="s">
        <v>74</v>
      </c>
      <c r="E16" s="83">
        <f>SUM('[1]Final SUT'!$AS$274:$BD$274)</f>
        <v>16003.038126561782</v>
      </c>
      <c r="F16" s="90">
        <f t="shared" si="0"/>
        <v>1.8722631446180793</v>
      </c>
      <c r="I16" t="str">
        <f>H7</f>
        <v>    Borehole</v>
      </c>
      <c r="J16">
        <f>0.75*O7</f>
        <v>25.200000000000003</v>
      </c>
      <c r="L16" t="s">
        <v>163</v>
      </c>
    </row>
    <row r="17" spans="1:28" ht="30" x14ac:dyDescent="0.25">
      <c r="A17" s="65" t="s">
        <v>193</v>
      </c>
      <c r="D17" s="85" t="s">
        <v>76</v>
      </c>
      <c r="E17">
        <v>0</v>
      </c>
      <c r="F17" s="90">
        <f t="shared" si="0"/>
        <v>0</v>
      </c>
      <c r="I17" t="str">
        <f>H8</f>
        <v>    Protected String/Well</v>
      </c>
      <c r="J17">
        <f>O8</f>
        <v>16.399999999999999</v>
      </c>
    </row>
    <row r="18" spans="1:28" x14ac:dyDescent="0.25">
      <c r="A18" s="65" t="s">
        <v>196</v>
      </c>
      <c r="D18" s="85" t="s">
        <v>77</v>
      </c>
      <c r="E18">
        <v>0</v>
      </c>
      <c r="F18" s="90">
        <f t="shared" si="0"/>
        <v>0</v>
      </c>
      <c r="I18" t="str">
        <f>H9</f>
        <v>    GFS</v>
      </c>
      <c r="J18">
        <f>O9*0.9</f>
        <v>1.08</v>
      </c>
      <c r="L18" t="s">
        <v>164</v>
      </c>
    </row>
    <row r="19" spans="1:28" x14ac:dyDescent="0.25">
      <c r="A19" s="65" t="s">
        <v>197</v>
      </c>
      <c r="D19" s="85" t="s">
        <v>78</v>
      </c>
      <c r="E19" s="83">
        <f>SUM('[1]Final SUT'!$BM$274:$BO$274)</f>
        <v>753.57475106412699</v>
      </c>
      <c r="F19" s="90">
        <f t="shared" si="0"/>
        <v>8.8163898753094785E-2</v>
      </c>
      <c r="J19">
        <f>SUM(J16:J18)</f>
        <v>42.68</v>
      </c>
    </row>
    <row r="20" spans="1:28" x14ac:dyDescent="0.25">
      <c r="A20" s="65" t="s">
        <v>198</v>
      </c>
      <c r="B20" t="s">
        <v>199</v>
      </c>
      <c r="C20">
        <v>1000</v>
      </c>
      <c r="D20" s="85" t="s">
        <v>75</v>
      </c>
      <c r="E20" s="83">
        <f>SUM('[1]Final SUT'!$BP$274:$CD$274)</f>
        <v>6933.5085013350708</v>
      </c>
      <c r="F20" s="90">
        <f t="shared" si="0"/>
        <v>0.81118049755810973</v>
      </c>
    </row>
    <row r="21" spans="1:28" x14ac:dyDescent="0.25">
      <c r="B21" t="s">
        <v>200</v>
      </c>
      <c r="C21">
        <v>12</v>
      </c>
      <c r="D21" s="86" t="s">
        <v>73</v>
      </c>
      <c r="E21" s="83">
        <f>SUM('[1]Final SUT'!$CE$274:$DF$274)</f>
        <v>3502.1025329026083</v>
      </c>
      <c r="F21" s="90">
        <f t="shared" si="0"/>
        <v>0.40972579388810743</v>
      </c>
      <c r="I21" t="s">
        <v>166</v>
      </c>
    </row>
    <row r="22" spans="1:28" x14ac:dyDescent="0.25">
      <c r="B22" t="s">
        <v>202</v>
      </c>
      <c r="C22">
        <f>J19</f>
        <v>42.68</v>
      </c>
      <c r="D22" s="86" t="s">
        <v>82</v>
      </c>
      <c r="E22" s="83">
        <f>'[1]Final SUT'!$DG$274</f>
        <v>126.34762426526622</v>
      </c>
      <c r="F22" s="90">
        <f t="shared" si="0"/>
        <v>1.4781943181730981E-2</v>
      </c>
      <c r="I22" t="str">
        <f>H11</f>
        <v>Unsafe sources</v>
      </c>
      <c r="J22">
        <f>O11</f>
        <v>28.8</v>
      </c>
      <c r="K22" t="s">
        <v>165</v>
      </c>
      <c r="X22" s="147" t="s">
        <v>257</v>
      </c>
      <c r="Y22" s="51"/>
      <c r="AA22" s="51" t="s">
        <v>173</v>
      </c>
    </row>
    <row r="23" spans="1:28" x14ac:dyDescent="0.25">
      <c r="B23" t="s">
        <v>203</v>
      </c>
      <c r="C23">
        <v>7306000</v>
      </c>
      <c r="D23" s="86" t="s">
        <v>9</v>
      </c>
      <c r="E23" s="83">
        <f>SUM('[1]Final SUT'!$DI$274:$DL$274)</f>
        <v>1057.9592773764732</v>
      </c>
      <c r="F23" s="90">
        <f t="shared" si="0"/>
        <v>0.12377513243882474</v>
      </c>
      <c r="P23" t="s">
        <v>170</v>
      </c>
      <c r="Q23" s="97" t="s">
        <v>171</v>
      </c>
      <c r="U23" s="9" t="s">
        <v>173</v>
      </c>
      <c r="X23" s="51"/>
      <c r="Y23" s="51"/>
      <c r="AA23" s="51" t="s">
        <v>179</v>
      </c>
      <c r="AB23" s="51" t="s">
        <v>115</v>
      </c>
    </row>
    <row r="24" spans="1:28" x14ac:dyDescent="0.25">
      <c r="B24" t="s">
        <v>201</v>
      </c>
      <c r="C24">
        <f>C23*C22/100</f>
        <v>3118200.8</v>
      </c>
      <c r="D24" s="85" t="s">
        <v>10</v>
      </c>
      <c r="E24" s="83">
        <f>SUM('[1]Final SUT'!$DW$274:$DX$274)</f>
        <v>1577.6479870425405</v>
      </c>
      <c r="F24" s="90">
        <f t="shared" si="0"/>
        <v>0.18457571355891417</v>
      </c>
      <c r="I24" s="95" t="s">
        <v>159</v>
      </c>
      <c r="J24" s="95"/>
      <c r="K24" s="95"/>
      <c r="O24" t="s">
        <v>68</v>
      </c>
      <c r="P24" s="90">
        <f>Q24/Q29*100</f>
        <v>26.832302926513584</v>
      </c>
      <c r="Q24" s="66">
        <f>'Table 1  Water Input table'!J47</f>
        <v>234855886.79955733</v>
      </c>
      <c r="R24">
        <f>Q24/R26*100</f>
        <v>94.082408578238372</v>
      </c>
      <c r="U24" s="9" t="s">
        <v>179</v>
      </c>
      <c r="V24" s="9" t="s">
        <v>115</v>
      </c>
      <c r="X24" s="144">
        <f>Q24</f>
        <v>234855886.79955733</v>
      </c>
      <c r="Y24" s="145">
        <f>X24/$X$29</f>
        <v>0.37652422187508533</v>
      </c>
    </row>
    <row r="25" spans="1:28" x14ac:dyDescent="0.25">
      <c r="B25" t="s">
        <v>204</v>
      </c>
      <c r="C25" s="111">
        <v>0.4</v>
      </c>
      <c r="D25" s="85" t="s">
        <v>79</v>
      </c>
      <c r="E25" s="83">
        <f>'[1]Final SUT'!$EZ$274</f>
        <v>7647.9417715782984</v>
      </c>
      <c r="F25" s="90">
        <f t="shared" si="0"/>
        <v>0.89476506884930762</v>
      </c>
      <c r="I25" s="95" t="s">
        <v>68</v>
      </c>
      <c r="J25" s="95">
        <f>'Table 1  Water Input table'!J77</f>
        <v>6905559.4381077457</v>
      </c>
      <c r="K25" s="95"/>
      <c r="O25" t="s">
        <v>304</v>
      </c>
      <c r="P25" s="90">
        <f>Q25/Q29*100</f>
        <v>1.6876970734864136</v>
      </c>
      <c r="Q25" s="66">
        <f>'Table 1  Water Input table'!L47+'Table 1  Water Input table'!K47</f>
        <v>14771955.800000001</v>
      </c>
      <c r="R25">
        <f>Q25/R26*100</f>
        <v>5.9175914217616183</v>
      </c>
      <c r="X25" s="144">
        <f>Q25</f>
        <v>14771955.800000001</v>
      </c>
      <c r="Y25" s="145">
        <f>X25/$X$29</f>
        <v>2.3682604847436329E-2</v>
      </c>
      <c r="AA25" s="51"/>
      <c r="AB25" s="51"/>
    </row>
    <row r="26" spans="1:28" x14ac:dyDescent="0.25">
      <c r="C26" s="66">
        <f>C24*C25</f>
        <v>1247280.32</v>
      </c>
      <c r="D26" s="85" t="s">
        <v>81</v>
      </c>
      <c r="E26" s="83">
        <f>SUM('[1]Final SUT'!$FB$274:$FE$274)</f>
        <v>907.26537379162164</v>
      </c>
      <c r="F26" s="90">
        <f t="shared" si="0"/>
        <v>0.10614481502226776</v>
      </c>
      <c r="I26" s="95" t="s">
        <v>69</v>
      </c>
      <c r="J26" s="96">
        <f>'Table 1  Water Input table'!AE58</f>
        <v>2814289.44</v>
      </c>
      <c r="K26" s="95"/>
      <c r="O26" t="s">
        <v>168</v>
      </c>
      <c r="P26">
        <f>J19</f>
        <v>42.68</v>
      </c>
      <c r="Q26" s="67">
        <f>P26*S27</f>
        <v>373566490.95894486</v>
      </c>
      <c r="R26" s="67">
        <f>Q24+Q25</f>
        <v>249627842.59955734</v>
      </c>
      <c r="S26">
        <f>100-P26-P27</f>
        <v>28.52</v>
      </c>
      <c r="U26" s="99">
        <f>Q26*Q32</f>
        <v>373508254.89429003</v>
      </c>
      <c r="V26" s="98">
        <f>Q26-U26</f>
        <v>58236.064654827118</v>
      </c>
      <c r="X26" s="144">
        <f>Q26</f>
        <v>373566490.95894486</v>
      </c>
      <c r="Y26" s="145">
        <f>X26/$X$29</f>
        <v>0.59890699034071615</v>
      </c>
      <c r="AA26" s="146">
        <f>X26*Q32</f>
        <v>373508254.89429003</v>
      </c>
      <c r="AB26" s="144">
        <f>Q26-AA26</f>
        <v>58236.064654827118</v>
      </c>
    </row>
    <row r="27" spans="1:28" x14ac:dyDescent="0.25">
      <c r="C27" s="66">
        <f>C26*C21*C20</f>
        <v>14967363840</v>
      </c>
      <c r="D27" s="85" t="s">
        <v>80</v>
      </c>
      <c r="E27" s="83">
        <f>SUM('[1]Final SUT'!$FF$274:$FG$274)</f>
        <v>1795.1517077612898</v>
      </c>
      <c r="F27" s="90">
        <f t="shared" si="0"/>
        <v>0.21002239417658441</v>
      </c>
      <c r="I27" s="95"/>
      <c r="J27" s="95">
        <f>SUM(J25:J26)</f>
        <v>9719848.8781077452</v>
      </c>
      <c r="K27" s="95">
        <f>100-J19</f>
        <v>57.32</v>
      </c>
      <c r="O27" t="s">
        <v>169</v>
      </c>
      <c r="P27">
        <f>O11</f>
        <v>28.8</v>
      </c>
      <c r="Q27" s="67">
        <f>P27*S27</f>
        <v>252078606.83265257</v>
      </c>
      <c r="S27" s="67">
        <f>R26/S26</f>
        <v>8752729.4039115477</v>
      </c>
      <c r="U27" s="99">
        <f>Q27*Q32</f>
        <v>252039309.76934284</v>
      </c>
      <c r="V27" s="98">
        <f>Q27-U27</f>
        <v>39297.063309729099</v>
      </c>
      <c r="X27" s="144">
        <v>552754.02587240003</v>
      </c>
      <c r="Y27" s="145">
        <f>X27/$X$29</f>
        <v>8.8618293676221576E-4</v>
      </c>
      <c r="AA27" s="146">
        <f>X27*Q32</f>
        <v>552667.85588668671</v>
      </c>
      <c r="AB27" s="144">
        <v>0</v>
      </c>
    </row>
    <row r="28" spans="1:28" x14ac:dyDescent="0.25">
      <c r="C28" s="66">
        <f>'Table 1  Water Input table'!M42+'Table 1  Water Input table'!M43</f>
        <v>0</v>
      </c>
      <c r="D28" s="86" t="s">
        <v>0</v>
      </c>
      <c r="E28" s="83">
        <f>'[1]Final SUT'!$DH$274+SUM('[1]Final SUT'!$DM$274:$DV$274)+SUM('[1]Final SUT'!$DY$274:$EY$274)+'[1]Final SUT'!$FA$274+SUM('[1]Final SUT'!$FH$274:$FP$274)</f>
        <v>5040.2989868718241</v>
      </c>
      <c r="F28" s="90">
        <f t="shared" si="0"/>
        <v>0.58968590566017909</v>
      </c>
      <c r="I28" s="95" t="s">
        <v>160</v>
      </c>
      <c r="J28" s="95">
        <f>J27/K27*J19</f>
        <v>7237319.4368045796</v>
      </c>
      <c r="K28" s="95">
        <f>J28/J29</f>
        <v>0.4267999999999999</v>
      </c>
      <c r="O28" t="s">
        <v>228</v>
      </c>
      <c r="P28">
        <f>5.5/12</f>
        <v>0.45833333333333331</v>
      </c>
      <c r="Q28" s="67">
        <f>Q27*P28</f>
        <v>115536028.13163242</v>
      </c>
      <c r="X28" s="144">
        <f>Q28</f>
        <v>115536028.13163242</v>
      </c>
      <c r="Y28" s="51"/>
    </row>
    <row r="29" spans="1:28" x14ac:dyDescent="0.25">
      <c r="C29" s="66" t="e">
        <f>C27/C28</f>
        <v>#DIV/0!</v>
      </c>
      <c r="D29" s="88" t="s">
        <v>143</v>
      </c>
      <c r="E29" s="89">
        <f>E30+E33</f>
        <v>809398.16102851997</v>
      </c>
      <c r="F29" s="90">
        <f t="shared" si="0"/>
        <v>94.694915692294799</v>
      </c>
      <c r="I29" s="95"/>
      <c r="J29" s="95">
        <f>J28+J27</f>
        <v>16957168.314912327</v>
      </c>
      <c r="K29" s="95"/>
      <c r="O29" t="s">
        <v>172</v>
      </c>
      <c r="Q29" s="67">
        <f>SUM(Q24:Q27)</f>
        <v>875272940.39115477</v>
      </c>
      <c r="X29" s="144">
        <f>SUM(X24:X27)</f>
        <v>623747087.58437455</v>
      </c>
      <c r="Y29" s="51"/>
    </row>
    <row r="30" spans="1:28" x14ac:dyDescent="0.25">
      <c r="D30" t="s">
        <v>2</v>
      </c>
      <c r="E30" s="83">
        <f>'[1]Final SUT'!$FT$274</f>
        <v>809398.16102851997</v>
      </c>
      <c r="F30" s="90">
        <f t="shared" si="0"/>
        <v>94.694915692294799</v>
      </c>
      <c r="S30" s="67">
        <f>Q27-Q28</f>
        <v>136542578.70102015</v>
      </c>
    </row>
    <row r="31" spans="1:28" x14ac:dyDescent="0.25">
      <c r="B31" t="s">
        <v>205</v>
      </c>
      <c r="C31">
        <f>5*20</f>
        <v>100</v>
      </c>
      <c r="D31" s="84" t="s">
        <v>144</v>
      </c>
      <c r="E31" s="87">
        <v>183281.46194462001</v>
      </c>
      <c r="F31" s="90">
        <f t="shared" si="0"/>
        <v>21.442873757894269</v>
      </c>
      <c r="O31" t="s">
        <v>176</v>
      </c>
    </row>
    <row r="32" spans="1:28" x14ac:dyDescent="0.25">
      <c r="B32" t="s">
        <v>206</v>
      </c>
      <c r="C32">
        <f>30*C31</f>
        <v>3000</v>
      </c>
      <c r="D32" s="84" t="s">
        <v>145</v>
      </c>
      <c r="E32" s="87">
        <v>626116.69908389996</v>
      </c>
      <c r="F32" s="90">
        <f t="shared" si="0"/>
        <v>73.252041934400538</v>
      </c>
      <c r="O32" t="s">
        <v>174</v>
      </c>
      <c r="P32" s="66">
        <f>'Table 1  Water Input table'!I42</f>
        <v>110582782383.13</v>
      </c>
      <c r="Q32">
        <f>P32/P34</f>
        <v>0.99984410790029554</v>
      </c>
    </row>
    <row r="33" spans="2:17" x14ac:dyDescent="0.25">
      <c r="B33" t="s">
        <v>207</v>
      </c>
      <c r="C33">
        <f>C32*12</f>
        <v>36000</v>
      </c>
      <c r="D33" t="s">
        <v>57</v>
      </c>
      <c r="E33">
        <v>0</v>
      </c>
      <c r="F33" s="90">
        <f t="shared" si="0"/>
        <v>0</v>
      </c>
      <c r="O33" t="s">
        <v>175</v>
      </c>
      <c r="P33" s="66">
        <f>'Table 1  Water Input table'!I43</f>
        <v>17241669.976999998</v>
      </c>
      <c r="Q33">
        <f>P33/P34</f>
        <v>1.5589209970443617E-4</v>
      </c>
    </row>
    <row r="34" spans="2:17" x14ac:dyDescent="0.25">
      <c r="B34" t="s">
        <v>208</v>
      </c>
      <c r="C34">
        <f>C33*0.001</f>
        <v>36</v>
      </c>
      <c r="D34" s="9" t="s">
        <v>142</v>
      </c>
      <c r="E34" s="89">
        <f>E30+E14</f>
        <v>854742.99766907084</v>
      </c>
      <c r="F34" s="90"/>
      <c r="P34">
        <f>SUM(P32:P33)</f>
        <v>110600024053.10701</v>
      </c>
    </row>
    <row r="35" spans="2:17" x14ac:dyDescent="0.25">
      <c r="B35" t="s">
        <v>209</v>
      </c>
      <c r="C35">
        <f>C20*12</f>
        <v>12000</v>
      </c>
      <c r="I35" t="s">
        <v>184</v>
      </c>
    </row>
    <row r="36" spans="2:17" x14ac:dyDescent="0.25">
      <c r="B36" t="s">
        <v>210</v>
      </c>
      <c r="C36">
        <f>C35/C34</f>
        <v>333.33333333333331</v>
      </c>
      <c r="J36" t="s">
        <v>177</v>
      </c>
      <c r="K36" t="s">
        <v>178</v>
      </c>
    </row>
    <row r="37" spans="2:17" x14ac:dyDescent="0.25">
      <c r="I37" t="s">
        <v>181</v>
      </c>
      <c r="J37">
        <v>0.05</v>
      </c>
      <c r="K37">
        <v>0.05</v>
      </c>
    </row>
    <row r="38" spans="2:17" x14ac:dyDescent="0.25">
      <c r="D38" s="9" t="s">
        <v>156</v>
      </c>
      <c r="I38" t="s">
        <v>9</v>
      </c>
      <c r="J38">
        <v>0.25</v>
      </c>
      <c r="K38">
        <v>0.3</v>
      </c>
    </row>
    <row r="39" spans="2:17" x14ac:dyDescent="0.25">
      <c r="D39" t="s">
        <v>9</v>
      </c>
      <c r="E39">
        <v>0.01</v>
      </c>
      <c r="I39" t="s">
        <v>182</v>
      </c>
      <c r="J39">
        <v>0.1</v>
      </c>
      <c r="K39">
        <v>0.05</v>
      </c>
    </row>
    <row r="40" spans="2:17" x14ac:dyDescent="0.25">
      <c r="D40" t="s">
        <v>194</v>
      </c>
      <c r="E40">
        <v>0</v>
      </c>
      <c r="I40" t="s">
        <v>183</v>
      </c>
      <c r="J40">
        <v>0.6</v>
      </c>
      <c r="K40">
        <v>0.6</v>
      </c>
    </row>
    <row r="41" spans="2:17" x14ac:dyDescent="0.25">
      <c r="D41" t="s">
        <v>157</v>
      </c>
      <c r="E41">
        <v>0.03</v>
      </c>
      <c r="I41" t="s">
        <v>185</v>
      </c>
      <c r="J41">
        <v>0.1</v>
      </c>
      <c r="K41">
        <v>0.05</v>
      </c>
    </row>
    <row r="42" spans="2:17" x14ac:dyDescent="0.25">
      <c r="D42" t="s">
        <v>158</v>
      </c>
      <c r="E42">
        <v>0.02</v>
      </c>
      <c r="J42">
        <f>SUM(J37:J41)</f>
        <v>1.1000000000000001</v>
      </c>
      <c r="K42">
        <f>SUM(K37:K41)</f>
        <v>1.05</v>
      </c>
    </row>
    <row r="43" spans="2:17" x14ac:dyDescent="0.25">
      <c r="D43" t="s">
        <v>81</v>
      </c>
      <c r="E43">
        <v>0.05</v>
      </c>
    </row>
    <row r="44" spans="2:17" x14ac:dyDescent="0.25">
      <c r="D44" t="s">
        <v>80</v>
      </c>
      <c r="E44">
        <v>0.05</v>
      </c>
    </row>
    <row r="45" spans="2:17" x14ac:dyDescent="0.25">
      <c r="D45" t="s">
        <v>0</v>
      </c>
      <c r="E45">
        <v>0.04</v>
      </c>
    </row>
    <row r="46" spans="2:17" x14ac:dyDescent="0.25">
      <c r="D46" t="s">
        <v>2</v>
      </c>
      <c r="E46">
        <v>0.8</v>
      </c>
    </row>
    <row r="48" spans="2:17" x14ac:dyDescent="0.25">
      <c r="D48" t="s">
        <v>187</v>
      </c>
      <c r="E48">
        <v>2015</v>
      </c>
      <c r="F48" s="107">
        <f>SUM(E50:E51)/$E$55*100</f>
        <v>57.847073531558024</v>
      </c>
    </row>
    <row r="49" spans="4:6" x14ac:dyDescent="0.25">
      <c r="D49" t="s">
        <v>191</v>
      </c>
      <c r="F49" s="107"/>
    </row>
    <row r="50" spans="4:6" x14ac:dyDescent="0.25">
      <c r="D50" t="s">
        <v>188</v>
      </c>
      <c r="E50" s="83">
        <v>5492.0572710170354</v>
      </c>
      <c r="F50" s="107"/>
    </row>
    <row r="51" spans="4:6" x14ac:dyDescent="0.25">
      <c r="D51" t="s">
        <v>189</v>
      </c>
      <c r="E51" s="83">
        <v>5217.9725724538985</v>
      </c>
      <c r="F51" s="107"/>
    </row>
    <row r="52" spans="4:6" x14ac:dyDescent="0.25">
      <c r="D52" t="s">
        <v>190</v>
      </c>
      <c r="F52" s="107">
        <f>SUM(E53:E54)/$E$55*100</f>
        <v>42.152926468441969</v>
      </c>
    </row>
    <row r="53" spans="4:6" x14ac:dyDescent="0.25">
      <c r="D53" t="s">
        <v>188</v>
      </c>
      <c r="E53" s="83">
        <v>5485.0484247667482</v>
      </c>
    </row>
    <row r="54" spans="4:6" x14ac:dyDescent="0.25">
      <c r="D54" t="s">
        <v>189</v>
      </c>
      <c r="E54" s="83">
        <v>2319.3066256293487</v>
      </c>
    </row>
    <row r="55" spans="4:6" x14ac:dyDescent="0.25">
      <c r="E55" s="83">
        <f>SUM(E50:E54)</f>
        <v>18514.384893867031</v>
      </c>
    </row>
    <row r="57" spans="4:6" x14ac:dyDescent="0.25">
      <c r="D57" t="s">
        <v>195</v>
      </c>
    </row>
    <row r="58" spans="4:6" x14ac:dyDescent="0.25">
      <c r="D58" t="s">
        <v>67</v>
      </c>
    </row>
  </sheetData>
  <mergeCells count="2">
    <mergeCell ref="I2:K2"/>
    <mergeCell ref="M2:O2"/>
  </mergeCells>
  <conditionalFormatting sqref="E31:E32">
    <cfRule type="cellIs" dxfId="0" priority="1" operator="lessThan">
      <formula>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6"/>
  <sheetViews>
    <sheetView workbookViewId="0">
      <selection activeCell="B33" sqref="B33"/>
    </sheetView>
  </sheetViews>
  <sheetFormatPr defaultRowHeight="15" x14ac:dyDescent="0.25"/>
  <cols>
    <col min="1" max="1" width="13.7109375" style="34" customWidth="1"/>
    <col min="2" max="2" width="25.5703125" style="19" customWidth="1"/>
    <col min="3" max="3" width="6.5703125" style="21" customWidth="1"/>
    <col min="4" max="4" width="9.140625" style="16"/>
    <col min="5" max="6" width="5.85546875" style="16" bestFit="1" customWidth="1"/>
    <col min="7" max="8" width="9.140625" style="16"/>
    <col min="9" max="9" width="9.140625" style="26"/>
    <col min="10" max="10" width="7.28515625" style="16" customWidth="1"/>
    <col min="11" max="11" width="6.85546875" style="16" customWidth="1"/>
    <col min="12" max="12" width="6.28515625" style="16" customWidth="1"/>
    <col min="13" max="13" width="7.85546875" style="16" customWidth="1"/>
    <col min="14" max="14" width="7.85546875" style="26" customWidth="1"/>
    <col min="15" max="28" width="9.140625" style="16"/>
    <col min="29" max="29" width="9.140625" style="26"/>
    <col min="31" max="31" width="9.140625" style="26"/>
    <col min="33" max="33" width="9.140625" style="26"/>
  </cols>
  <sheetData>
    <row r="1" spans="1:33" s="36" customFormat="1" ht="15.75" thickTop="1" x14ac:dyDescent="0.25">
      <c r="A1" s="36" t="s">
        <v>106</v>
      </c>
      <c r="B1" s="36" t="s">
        <v>91</v>
      </c>
      <c r="C1" s="35" t="str">
        <f>A3</f>
        <v>From the Environment</v>
      </c>
      <c r="I1" s="38"/>
      <c r="J1" s="36" t="s">
        <v>85</v>
      </c>
      <c r="K1" s="37"/>
      <c r="N1" s="38"/>
      <c r="O1" s="35" t="s">
        <v>55</v>
      </c>
      <c r="AC1" s="38"/>
      <c r="AD1" s="36" t="s">
        <v>56</v>
      </c>
      <c r="AE1" s="38"/>
      <c r="AF1" s="36" t="s">
        <v>84</v>
      </c>
      <c r="AG1" s="38"/>
    </row>
    <row r="2" spans="1:33" s="32" customFormat="1" ht="18.75" customHeight="1" x14ac:dyDescent="0.25">
      <c r="A2" s="40"/>
      <c r="C2" s="29" t="s">
        <v>59</v>
      </c>
      <c r="D2" s="32" t="s">
        <v>60</v>
      </c>
      <c r="E2" s="32" t="s">
        <v>61</v>
      </c>
      <c r="F2" s="32" t="s">
        <v>62</v>
      </c>
      <c r="G2" s="32" t="s">
        <v>63</v>
      </c>
      <c r="H2" s="32" t="s">
        <v>66</v>
      </c>
      <c r="I2" s="31" t="str">
        <f>B9</f>
        <v>Soil water</v>
      </c>
      <c r="J2" s="32" t="s">
        <v>67</v>
      </c>
      <c r="K2" s="32" t="s">
        <v>68</v>
      </c>
      <c r="L2" s="32" t="s">
        <v>69</v>
      </c>
      <c r="M2" s="32" t="s">
        <v>70</v>
      </c>
      <c r="N2" s="31" t="s">
        <v>71</v>
      </c>
      <c r="O2" s="32" t="s">
        <v>5</v>
      </c>
      <c r="P2" s="32" t="s">
        <v>72</v>
      </c>
      <c r="Q2" s="32" t="s">
        <v>74</v>
      </c>
      <c r="R2" s="32" t="s">
        <v>76</v>
      </c>
      <c r="S2" s="32" t="s">
        <v>77</v>
      </c>
      <c r="T2" s="32" t="s">
        <v>78</v>
      </c>
      <c r="U2" s="32" t="s">
        <v>75</v>
      </c>
      <c r="V2" s="32" t="s">
        <v>73</v>
      </c>
      <c r="W2" s="39" t="s">
        <v>82</v>
      </c>
      <c r="X2" s="32" t="s">
        <v>9</v>
      </c>
      <c r="Y2" s="32" t="s">
        <v>10</v>
      </c>
      <c r="Z2" s="32" t="s">
        <v>79</v>
      </c>
      <c r="AA2" s="32" t="s">
        <v>81</v>
      </c>
      <c r="AB2" s="32" t="s">
        <v>80</v>
      </c>
      <c r="AC2" s="31" t="s">
        <v>0</v>
      </c>
      <c r="AD2" s="32" t="s">
        <v>2</v>
      </c>
      <c r="AE2" s="31" t="s">
        <v>57</v>
      </c>
      <c r="AF2" s="32" t="s">
        <v>12</v>
      </c>
      <c r="AG2" s="31" t="s">
        <v>0</v>
      </c>
    </row>
    <row r="3" spans="1:33" s="16" customFormat="1" x14ac:dyDescent="0.25">
      <c r="A3" s="36" t="s">
        <v>53</v>
      </c>
      <c r="B3" s="20" t="s">
        <v>59</v>
      </c>
      <c r="C3" s="21"/>
      <c r="I3" s="26"/>
      <c r="J3" s="43" t="s">
        <v>86</v>
      </c>
      <c r="M3" s="43" t="s">
        <v>86</v>
      </c>
      <c r="N3" s="45" t="s">
        <v>86</v>
      </c>
      <c r="Q3" s="43" t="s">
        <v>86</v>
      </c>
      <c r="S3" s="43" t="s">
        <v>86</v>
      </c>
      <c r="AC3" s="26"/>
      <c r="AD3" s="43" t="s">
        <v>86</v>
      </c>
      <c r="AE3" s="26"/>
      <c r="AG3" s="26"/>
    </row>
    <row r="4" spans="1:33" s="16" customFormat="1" x14ac:dyDescent="0.25">
      <c r="A4" s="36"/>
      <c r="B4" s="20" t="s">
        <v>60</v>
      </c>
      <c r="C4" s="21"/>
      <c r="I4" s="26"/>
      <c r="M4" s="43" t="s">
        <v>86</v>
      </c>
      <c r="N4" s="46" t="s">
        <v>86</v>
      </c>
      <c r="Q4" s="43" t="s">
        <v>86</v>
      </c>
      <c r="AC4" s="26"/>
      <c r="AD4" s="43" t="s">
        <v>86</v>
      </c>
      <c r="AE4" s="26"/>
      <c r="AG4" s="26"/>
    </row>
    <row r="5" spans="1:33" s="16" customFormat="1" x14ac:dyDescent="0.25">
      <c r="A5" s="36"/>
      <c r="B5" s="20" t="s">
        <v>61</v>
      </c>
      <c r="C5" s="21"/>
      <c r="I5" s="26"/>
      <c r="M5" s="43" t="s">
        <v>86</v>
      </c>
      <c r="N5" s="46" t="s">
        <v>86</v>
      </c>
      <c r="Q5" s="43" t="s">
        <v>86</v>
      </c>
      <c r="S5" s="43" t="s">
        <v>86</v>
      </c>
      <c r="AC5" s="26"/>
      <c r="AD5" s="43" t="s">
        <v>86</v>
      </c>
      <c r="AE5" s="26"/>
      <c r="AG5" s="26"/>
    </row>
    <row r="6" spans="1:33" s="16" customFormat="1" x14ac:dyDescent="0.25">
      <c r="A6" s="36"/>
      <c r="B6" s="20" t="s">
        <v>62</v>
      </c>
      <c r="C6" s="21"/>
      <c r="I6" s="26"/>
      <c r="J6" s="43" t="s">
        <v>86</v>
      </c>
      <c r="N6" s="46" t="s">
        <v>86</v>
      </c>
      <c r="Q6" s="48" t="s">
        <v>86</v>
      </c>
      <c r="AC6" s="26"/>
      <c r="AD6" s="43" t="s">
        <v>86</v>
      </c>
      <c r="AE6" s="26"/>
      <c r="AG6" s="26"/>
    </row>
    <row r="7" spans="1:33" s="16" customFormat="1" x14ac:dyDescent="0.25">
      <c r="A7" s="36"/>
      <c r="B7" s="20" t="s">
        <v>63</v>
      </c>
      <c r="C7" s="21"/>
      <c r="I7" s="26"/>
      <c r="J7" s="43" t="s">
        <v>86</v>
      </c>
      <c r="M7" s="43" t="s">
        <v>86</v>
      </c>
      <c r="N7" s="46" t="s">
        <v>86</v>
      </c>
      <c r="Q7" s="48" t="s">
        <v>86</v>
      </c>
      <c r="S7" s="48" t="s">
        <v>86</v>
      </c>
      <c r="AC7" s="26"/>
      <c r="AD7" s="43" t="s">
        <v>86</v>
      </c>
      <c r="AE7" s="26"/>
      <c r="AG7" s="26"/>
    </row>
    <row r="8" spans="1:33" s="16" customFormat="1" x14ac:dyDescent="0.25">
      <c r="A8" s="36"/>
      <c r="B8" s="20" t="s">
        <v>87</v>
      </c>
      <c r="C8" s="21"/>
      <c r="I8" s="26"/>
      <c r="N8" s="46" t="s">
        <v>86</v>
      </c>
      <c r="P8" s="43"/>
      <c r="Q8" s="43" t="s">
        <v>86</v>
      </c>
      <c r="R8" s="43"/>
      <c r="AC8" s="26"/>
      <c r="AD8" s="43" t="s">
        <v>86</v>
      </c>
      <c r="AE8" s="26"/>
      <c r="AG8" s="26"/>
    </row>
    <row r="9" spans="1:33" s="17" customFormat="1" x14ac:dyDescent="0.25">
      <c r="A9" s="40"/>
      <c r="B9" s="32" t="s">
        <v>88</v>
      </c>
      <c r="C9" s="23"/>
      <c r="I9" s="25"/>
      <c r="N9" s="25"/>
      <c r="P9" s="44" t="s">
        <v>86</v>
      </c>
      <c r="R9" s="44" t="s">
        <v>86</v>
      </c>
      <c r="AC9" s="25"/>
      <c r="AE9" s="25"/>
      <c r="AG9" s="25"/>
    </row>
    <row r="10" spans="1:33" x14ac:dyDescent="0.25">
      <c r="A10" s="36" t="s">
        <v>54</v>
      </c>
      <c r="B10" s="20" t="s">
        <v>67</v>
      </c>
      <c r="K10" s="43" t="s">
        <v>86</v>
      </c>
      <c r="L10" s="43" t="s">
        <v>86</v>
      </c>
      <c r="O10" s="49" t="s">
        <v>86</v>
      </c>
      <c r="T10" s="43" t="s">
        <v>86</v>
      </c>
      <c r="U10" s="43" t="s">
        <v>86</v>
      </c>
      <c r="V10" s="43" t="s">
        <v>86</v>
      </c>
      <c r="W10" s="43" t="s">
        <v>86</v>
      </c>
      <c r="X10" s="43" t="s">
        <v>86</v>
      </c>
      <c r="Z10" s="43" t="s">
        <v>86</v>
      </c>
      <c r="AA10" s="43" t="s">
        <v>86</v>
      </c>
      <c r="AB10" s="43" t="s">
        <v>86</v>
      </c>
      <c r="AC10" s="45" t="s">
        <v>86</v>
      </c>
      <c r="AE10" s="46">
        <v>0</v>
      </c>
    </row>
    <row r="11" spans="1:33" x14ac:dyDescent="0.25">
      <c r="A11" s="50" t="s">
        <v>83</v>
      </c>
      <c r="B11" s="20" t="s">
        <v>68</v>
      </c>
      <c r="T11" s="43" t="s">
        <v>89</v>
      </c>
      <c r="U11" s="43" t="s">
        <v>86</v>
      </c>
      <c r="V11" s="43" t="s">
        <v>86</v>
      </c>
      <c r="W11" s="43" t="s">
        <v>86</v>
      </c>
      <c r="X11" s="43" t="s">
        <v>86</v>
      </c>
      <c r="Y11" s="43" t="s">
        <v>86</v>
      </c>
      <c r="Z11" s="43" t="s">
        <v>86</v>
      </c>
      <c r="AA11" s="43" t="s">
        <v>86</v>
      </c>
      <c r="AB11" s="43" t="s">
        <v>86</v>
      </c>
      <c r="AC11" s="46" t="s">
        <v>86</v>
      </c>
      <c r="AF11" s="48" t="s">
        <v>86</v>
      </c>
    </row>
    <row r="12" spans="1:33" x14ac:dyDescent="0.25">
      <c r="B12" s="20" t="s">
        <v>69</v>
      </c>
      <c r="T12" s="43" t="s">
        <v>89</v>
      </c>
      <c r="U12" s="43" t="s">
        <v>86</v>
      </c>
      <c r="V12" s="43" t="s">
        <v>86</v>
      </c>
      <c r="W12" s="43" t="s">
        <v>89</v>
      </c>
      <c r="X12" s="43" t="s">
        <v>86</v>
      </c>
      <c r="Y12" s="43" t="s">
        <v>86</v>
      </c>
      <c r="Z12" s="43" t="s">
        <v>86</v>
      </c>
      <c r="AA12" s="43" t="s">
        <v>86</v>
      </c>
      <c r="AB12" s="43" t="s">
        <v>86</v>
      </c>
      <c r="AC12" s="46" t="s">
        <v>86</v>
      </c>
    </row>
    <row r="13" spans="1:33" x14ac:dyDescent="0.25">
      <c r="B13" s="20" t="s">
        <v>70</v>
      </c>
      <c r="T13" s="43" t="s">
        <v>86</v>
      </c>
      <c r="X13" s="43" t="s">
        <v>86</v>
      </c>
      <c r="Y13" s="43"/>
      <c r="AC13" s="46" t="s">
        <v>86</v>
      </c>
      <c r="AF13" s="48" t="s">
        <v>86</v>
      </c>
    </row>
    <row r="14" spans="1:33" s="17" customFormat="1" x14ac:dyDescent="0.25">
      <c r="A14" s="40"/>
      <c r="B14" s="32" t="s">
        <v>71</v>
      </c>
      <c r="C14" s="23"/>
      <c r="I14" s="25"/>
      <c r="N14" s="25"/>
      <c r="T14" s="44" t="s">
        <v>86</v>
      </c>
      <c r="X14" s="44" t="s">
        <v>86</v>
      </c>
      <c r="AC14" s="47" t="s">
        <v>86</v>
      </c>
      <c r="AE14" s="25"/>
      <c r="AG14" s="25"/>
    </row>
    <row r="15" spans="1:33" x14ac:dyDescent="0.25">
      <c r="A15" s="34" t="s">
        <v>55</v>
      </c>
      <c r="B15" s="19" t="s">
        <v>5</v>
      </c>
      <c r="AF15" s="51" t="s">
        <v>86</v>
      </c>
    </row>
    <row r="16" spans="1:33" x14ac:dyDescent="0.25">
      <c r="B16" s="19" t="s">
        <v>72</v>
      </c>
    </row>
    <row r="17" spans="1:33" x14ac:dyDescent="0.25">
      <c r="B17" s="19" t="s">
        <v>74</v>
      </c>
    </row>
    <row r="18" spans="1:33" x14ac:dyDescent="0.25">
      <c r="B18" s="19" t="s">
        <v>76</v>
      </c>
    </row>
    <row r="19" spans="1:33" x14ac:dyDescent="0.25">
      <c r="B19" s="19" t="s">
        <v>77</v>
      </c>
    </row>
    <row r="20" spans="1:33" x14ac:dyDescent="0.25">
      <c r="B20" s="19" t="s">
        <v>78</v>
      </c>
      <c r="AF20" s="48"/>
      <c r="AG20" s="46" t="s">
        <v>86</v>
      </c>
    </row>
    <row r="21" spans="1:33" x14ac:dyDescent="0.25">
      <c r="B21" s="19" t="s">
        <v>75</v>
      </c>
      <c r="K21" s="43" t="s">
        <v>86</v>
      </c>
      <c r="AF21" s="48" t="s">
        <v>86</v>
      </c>
    </row>
    <row r="22" spans="1:33" x14ac:dyDescent="0.25">
      <c r="B22" s="20" t="s">
        <v>73</v>
      </c>
      <c r="K22" s="43" t="s">
        <v>86</v>
      </c>
      <c r="AF22" s="48" t="s">
        <v>86</v>
      </c>
    </row>
    <row r="23" spans="1:33" ht="25.5" x14ac:dyDescent="0.25">
      <c r="B23" s="33" t="s">
        <v>82</v>
      </c>
      <c r="K23" s="43" t="s">
        <v>86</v>
      </c>
      <c r="AF23" s="48" t="s">
        <v>86</v>
      </c>
    </row>
    <row r="24" spans="1:33" x14ac:dyDescent="0.25">
      <c r="B24" s="20" t="s">
        <v>9</v>
      </c>
      <c r="K24" s="43" t="s">
        <v>86</v>
      </c>
    </row>
    <row r="25" spans="1:33" x14ac:dyDescent="0.25">
      <c r="B25" s="19" t="s">
        <v>10</v>
      </c>
      <c r="K25" s="43" t="s">
        <v>86</v>
      </c>
    </row>
    <row r="26" spans="1:33" x14ac:dyDescent="0.25">
      <c r="B26" s="19" t="s">
        <v>79</v>
      </c>
      <c r="K26" s="43" t="s">
        <v>86</v>
      </c>
    </row>
    <row r="27" spans="1:33" x14ac:dyDescent="0.25">
      <c r="B27" s="19" t="s">
        <v>81</v>
      </c>
      <c r="K27" s="43" t="s">
        <v>86</v>
      </c>
    </row>
    <row r="28" spans="1:33" x14ac:dyDescent="0.25">
      <c r="B28" s="19" t="s">
        <v>80</v>
      </c>
      <c r="K28" s="43" t="s">
        <v>86</v>
      </c>
    </row>
    <row r="29" spans="1:33" s="17" customFormat="1" x14ac:dyDescent="0.25">
      <c r="A29" s="40"/>
      <c r="B29" s="32" t="s">
        <v>0</v>
      </c>
      <c r="C29" s="23"/>
      <c r="I29" s="25"/>
      <c r="K29" s="44" t="s">
        <v>86</v>
      </c>
      <c r="N29" s="25"/>
      <c r="AC29" s="25"/>
      <c r="AE29" s="25"/>
      <c r="AG29" s="25"/>
    </row>
    <row r="30" spans="1:33" x14ac:dyDescent="0.25">
      <c r="A30" s="34" t="s">
        <v>56</v>
      </c>
      <c r="B30" s="19" t="s">
        <v>2</v>
      </c>
      <c r="K30" s="43" t="s">
        <v>86</v>
      </c>
    </row>
    <row r="31" spans="1:33" x14ac:dyDescent="0.25">
      <c r="B31" s="19" t="s">
        <v>57</v>
      </c>
    </row>
    <row r="32" spans="1:33" s="15" customFormat="1" x14ac:dyDescent="0.25">
      <c r="A32" s="41" t="s">
        <v>84</v>
      </c>
      <c r="B32" s="18" t="s">
        <v>12</v>
      </c>
      <c r="C32" s="22"/>
      <c r="I32" s="42"/>
      <c r="N32" s="42"/>
      <c r="AC32" s="42"/>
      <c r="AE32" s="42"/>
      <c r="AG32" s="42"/>
    </row>
    <row r="33" spans="1:33" s="17" customFormat="1" x14ac:dyDescent="0.25">
      <c r="A33" s="40"/>
      <c r="B33" s="32" t="s">
        <v>0</v>
      </c>
      <c r="C33" s="23"/>
      <c r="I33" s="25"/>
      <c r="N33" s="25"/>
      <c r="AC33" s="25"/>
      <c r="AE33" s="25"/>
      <c r="AG33" s="25"/>
    </row>
    <row r="34" spans="1:33" x14ac:dyDescent="0.25">
      <c r="B34" s="20"/>
    </row>
    <row r="35" spans="1:33" x14ac:dyDescent="0.25">
      <c r="B35" s="20"/>
    </row>
    <row r="36" spans="1:33" x14ac:dyDescent="0.25">
      <c r="B36" s="2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9"/>
  <sheetViews>
    <sheetView workbookViewId="0">
      <pane xSplit="2" ySplit="4" topLeftCell="F5" activePane="bottomRight" state="frozen"/>
      <selection pane="topRight" activeCell="C1" sqref="C1"/>
      <selection pane="bottomLeft" activeCell="A5" sqref="A5"/>
      <selection pane="bottomRight" activeCell="M12" sqref="M12"/>
    </sheetView>
  </sheetViews>
  <sheetFormatPr defaultRowHeight="15" x14ac:dyDescent="0.25"/>
  <cols>
    <col min="1" max="1" width="13.7109375" style="34" customWidth="1"/>
    <col min="2" max="2" width="25.5703125" style="19" customWidth="1"/>
    <col min="3" max="3" width="6.5703125" style="21" customWidth="1"/>
    <col min="4" max="4" width="9.140625" style="16"/>
    <col min="5" max="6" width="5.85546875" style="16" bestFit="1" customWidth="1"/>
    <col min="7" max="8" width="9.140625" style="16"/>
    <col min="9" max="9" width="9.140625" style="26"/>
    <col min="10" max="10" width="7.28515625" style="16" customWidth="1"/>
    <col min="11" max="11" width="12.140625" style="16" customWidth="1"/>
    <col min="12" max="12" width="13" style="16" customWidth="1"/>
    <col min="13" max="13" width="11.5703125" style="16" customWidth="1"/>
    <col min="14" max="14" width="7.85546875" style="26" customWidth="1"/>
    <col min="15" max="15" width="13.28515625" style="16" bestFit="1" customWidth="1"/>
    <col min="16" max="19" width="9.140625" style="16"/>
    <col min="20" max="20" width="19.5703125" style="16" bestFit="1" customWidth="1"/>
    <col min="21" max="21" width="34.28515625" style="16" bestFit="1" customWidth="1"/>
    <col min="22" max="22" width="14.85546875" style="16" customWidth="1"/>
    <col min="23" max="23" width="14.140625" style="16" customWidth="1"/>
    <col min="24" max="24" width="15.140625" style="16" customWidth="1"/>
    <col min="25" max="25" width="15.42578125" style="16" customWidth="1"/>
    <col min="26" max="26" width="15.85546875" style="16" customWidth="1"/>
    <col min="27" max="28" width="18" style="16" bestFit="1" customWidth="1"/>
    <col min="29" max="29" width="19" style="26" bestFit="1" customWidth="1"/>
    <col min="30" max="30" width="20" customWidth="1"/>
    <col min="31" max="31" width="17.42578125" customWidth="1"/>
    <col min="33" max="33" width="9.140625" style="26"/>
    <col min="35" max="35" width="9.140625" style="26"/>
    <col min="36" max="36" width="9.140625" style="59"/>
  </cols>
  <sheetData>
    <row r="1" spans="1:36" ht="38.25" customHeight="1" thickBot="1" x14ac:dyDescent="0.3"/>
    <row r="2" spans="1:36" s="36" customFormat="1" ht="15.75" thickTop="1" x14ac:dyDescent="0.25">
      <c r="A2" s="36" t="s">
        <v>105</v>
      </c>
      <c r="C2" s="35" t="str">
        <f>A5</f>
        <v>From the Environment</v>
      </c>
      <c r="I2" s="38"/>
      <c r="J2" s="36" t="s">
        <v>85</v>
      </c>
      <c r="K2" s="37"/>
      <c r="N2" s="38"/>
      <c r="O2" s="35" t="s">
        <v>55</v>
      </c>
      <c r="AC2" s="38"/>
      <c r="AD2" s="36" t="s">
        <v>56</v>
      </c>
      <c r="AG2" s="38"/>
      <c r="AH2" s="36" t="s">
        <v>84</v>
      </c>
      <c r="AI2" s="38"/>
      <c r="AJ2" s="57" t="s">
        <v>4</v>
      </c>
    </row>
    <row r="3" spans="1:36" s="32" customFormat="1" ht="18.75" customHeight="1" x14ac:dyDescent="0.25">
      <c r="A3" s="40"/>
      <c r="C3" s="29" t="s">
        <v>59</v>
      </c>
      <c r="D3" s="32" t="s">
        <v>60</v>
      </c>
      <c r="E3" s="32" t="s">
        <v>61</v>
      </c>
      <c r="F3" s="32" t="s">
        <v>62</v>
      </c>
      <c r="G3" s="32" t="s">
        <v>63</v>
      </c>
      <c r="H3" s="32" t="s">
        <v>66</v>
      </c>
      <c r="I3" s="31" t="str">
        <f>B11</f>
        <v>Soil water</v>
      </c>
      <c r="J3" s="32" t="s">
        <v>67</v>
      </c>
      <c r="K3" s="32" t="s">
        <v>68</v>
      </c>
      <c r="L3" s="32" t="s">
        <v>69</v>
      </c>
      <c r="M3" s="32" t="s">
        <v>70</v>
      </c>
      <c r="N3" s="31" t="s">
        <v>71</v>
      </c>
      <c r="O3" s="32" t="s">
        <v>5</v>
      </c>
      <c r="P3" s="32" t="s">
        <v>72</v>
      </c>
      <c r="Q3" s="32" t="s">
        <v>74</v>
      </c>
      <c r="R3" s="32" t="s">
        <v>76</v>
      </c>
      <c r="S3" s="32" t="s">
        <v>77</v>
      </c>
      <c r="T3" s="32" t="s">
        <v>78</v>
      </c>
      <c r="U3" s="32" t="s">
        <v>75</v>
      </c>
      <c r="V3" s="32" t="s">
        <v>73</v>
      </c>
      <c r="W3" s="39" t="s">
        <v>82</v>
      </c>
      <c r="X3" s="32" t="s">
        <v>9</v>
      </c>
      <c r="Y3" s="32" t="s">
        <v>10</v>
      </c>
      <c r="Z3" s="32" t="s">
        <v>79</v>
      </c>
      <c r="AA3" s="32" t="s">
        <v>81</v>
      </c>
      <c r="AB3" s="32" t="s">
        <v>80</v>
      </c>
      <c r="AC3" s="31" t="s">
        <v>0</v>
      </c>
      <c r="AD3" s="32" t="s">
        <v>2</v>
      </c>
      <c r="AG3" s="31" t="s">
        <v>57</v>
      </c>
      <c r="AH3" s="32" t="s">
        <v>12</v>
      </c>
      <c r="AI3" s="31" t="s">
        <v>0</v>
      </c>
      <c r="AJ3" s="5"/>
    </row>
    <row r="4" spans="1:36" s="19" customFormat="1" ht="15.75" thickBot="1" x14ac:dyDescent="0.3">
      <c r="A4" s="34"/>
      <c r="C4" s="24"/>
      <c r="D4" s="20"/>
      <c r="E4" s="20"/>
      <c r="F4" s="20"/>
      <c r="G4" s="20"/>
      <c r="H4" s="20"/>
      <c r="I4" s="27"/>
      <c r="J4" s="20"/>
      <c r="K4" s="20"/>
      <c r="L4" s="20"/>
      <c r="M4" s="20"/>
      <c r="N4" s="27"/>
      <c r="O4" s="20"/>
      <c r="P4" s="20"/>
      <c r="Q4" s="20"/>
      <c r="R4" s="20"/>
      <c r="S4" s="20"/>
      <c r="T4" s="20"/>
      <c r="U4" s="20"/>
      <c r="V4" s="20"/>
      <c r="W4" s="20"/>
      <c r="X4" s="20"/>
      <c r="Y4" s="20"/>
      <c r="Z4" s="20"/>
      <c r="AA4" s="20"/>
      <c r="AB4" s="20"/>
      <c r="AC4" s="27"/>
      <c r="AD4" s="52" t="s">
        <v>98</v>
      </c>
      <c r="AE4" s="52" t="s">
        <v>99</v>
      </c>
      <c r="AF4" s="52" t="s">
        <v>100</v>
      </c>
      <c r="AG4" s="27"/>
      <c r="AI4" s="27"/>
      <c r="AJ4" s="58"/>
    </row>
    <row r="5" spans="1:36" s="16" customFormat="1" x14ac:dyDescent="0.25">
      <c r="A5" s="36" t="s">
        <v>53</v>
      </c>
      <c r="B5" s="20" t="s">
        <v>59</v>
      </c>
      <c r="C5" s="21"/>
      <c r="I5" s="26"/>
      <c r="J5" s="43"/>
      <c r="M5" s="43"/>
      <c r="N5" s="45"/>
      <c r="Q5" s="43"/>
      <c r="S5" s="43"/>
      <c r="AC5" s="26"/>
      <c r="AD5" s="43"/>
      <c r="AE5" s="43"/>
      <c r="AF5" s="43"/>
      <c r="AG5" s="26"/>
      <c r="AI5" s="26"/>
      <c r="AJ5" s="59"/>
    </row>
    <row r="6" spans="1:36" s="16" customFormat="1" x14ac:dyDescent="0.25">
      <c r="A6" s="36"/>
      <c r="B6" s="20" t="s">
        <v>60</v>
      </c>
      <c r="C6" s="21"/>
      <c r="I6" s="26"/>
      <c r="M6" s="43"/>
      <c r="N6" s="46"/>
      <c r="Q6" s="43"/>
      <c r="AC6" s="26"/>
      <c r="AD6" s="43"/>
      <c r="AE6" s="43"/>
      <c r="AF6" s="43"/>
      <c r="AG6" s="26"/>
      <c r="AI6" s="26"/>
      <c r="AJ6" s="59"/>
    </row>
    <row r="7" spans="1:36" s="16" customFormat="1" x14ac:dyDescent="0.25">
      <c r="A7" s="36"/>
      <c r="B7" s="20" t="s">
        <v>61</v>
      </c>
      <c r="C7" s="21"/>
      <c r="I7" s="26"/>
      <c r="M7" s="43"/>
      <c r="N7" s="46"/>
      <c r="Q7" s="43"/>
      <c r="S7" s="43"/>
      <c r="AC7" s="26"/>
      <c r="AD7" s="43"/>
      <c r="AE7" s="43"/>
      <c r="AF7" s="43"/>
      <c r="AG7" s="26"/>
      <c r="AI7" s="26"/>
      <c r="AJ7" s="59"/>
    </row>
    <row r="8" spans="1:36" s="16" customFormat="1" x14ac:dyDescent="0.25">
      <c r="A8" s="36"/>
      <c r="B8" s="20" t="s">
        <v>62</v>
      </c>
      <c r="C8" s="21"/>
      <c r="I8" s="26"/>
      <c r="J8" s="43"/>
      <c r="N8" s="46"/>
      <c r="Q8" s="48"/>
      <c r="AC8" s="26"/>
      <c r="AD8" s="43"/>
      <c r="AE8" s="43"/>
      <c r="AF8" s="43"/>
      <c r="AG8" s="26"/>
      <c r="AI8" s="26"/>
      <c r="AJ8" s="59"/>
    </row>
    <row r="9" spans="1:36" s="16" customFormat="1" x14ac:dyDescent="0.25">
      <c r="A9" s="36"/>
      <c r="B9" s="20" t="s">
        <v>63</v>
      </c>
      <c r="C9" s="21"/>
      <c r="I9" s="26"/>
      <c r="J9" s="43"/>
      <c r="M9" s="43"/>
      <c r="N9" s="46"/>
      <c r="Q9" s="48"/>
      <c r="S9" s="48"/>
      <c r="AC9" s="26"/>
      <c r="AD9" s="43"/>
      <c r="AE9" s="43"/>
      <c r="AF9" s="43"/>
      <c r="AG9" s="26"/>
      <c r="AI9" s="26"/>
      <c r="AJ9" s="59"/>
    </row>
    <row r="10" spans="1:36" s="16" customFormat="1" x14ac:dyDescent="0.25">
      <c r="A10" s="36"/>
      <c r="B10" s="20" t="s">
        <v>87</v>
      </c>
      <c r="C10" s="21"/>
      <c r="I10" s="26"/>
      <c r="N10" s="46"/>
      <c r="P10" s="43"/>
      <c r="Q10" s="43"/>
      <c r="R10" s="43"/>
      <c r="AC10" s="26"/>
      <c r="AD10" s="43"/>
      <c r="AE10" s="43"/>
      <c r="AF10" s="43"/>
      <c r="AG10" s="26"/>
      <c r="AI10" s="26"/>
      <c r="AJ10" s="59"/>
    </row>
    <row r="11" spans="1:36" s="17" customFormat="1" x14ac:dyDescent="0.25">
      <c r="A11" s="40"/>
      <c r="B11" s="32" t="s">
        <v>88</v>
      </c>
      <c r="C11" s="23"/>
      <c r="I11" s="25"/>
      <c r="N11" s="25"/>
      <c r="P11" s="44"/>
      <c r="R11" s="44"/>
      <c r="AC11" s="25"/>
      <c r="AG11" s="25"/>
      <c r="AI11" s="25"/>
      <c r="AJ11" s="60"/>
    </row>
    <row r="12" spans="1:36" x14ac:dyDescent="0.25">
      <c r="A12" s="36" t="s">
        <v>54</v>
      </c>
      <c r="B12" s="20" t="s">
        <v>67</v>
      </c>
      <c r="J12" s="103"/>
      <c r="K12" s="103">
        <f>'Table 4 Water Prices'!K11</f>
        <v>26494000</v>
      </c>
      <c r="L12" s="103">
        <f>'Table 4 Water Prices'!L11</f>
        <v>32434000</v>
      </c>
      <c r="M12" s="103">
        <f>'Table 4 Water Prices'!M11</f>
        <v>13140000</v>
      </c>
      <c r="N12" s="105"/>
      <c r="O12" s="103">
        <f>'Table 4 Water Prices'!P11</f>
        <v>4059000</v>
      </c>
      <c r="S12" s="15"/>
      <c r="T12" s="103">
        <f>'Table 4 Water Prices'!U11</f>
        <v>48282000</v>
      </c>
      <c r="U12" s="103">
        <f>'Table 4 Water Prices'!V11</f>
        <v>95326000</v>
      </c>
      <c r="V12" s="103">
        <f>'Table 4 Water Prices'!W11</f>
        <v>20367000</v>
      </c>
      <c r="W12" s="103">
        <f>'Table 4 Water Prices'!X11</f>
        <v>49931000</v>
      </c>
      <c r="X12" s="103">
        <f>'Table 4 Water Prices'!Y11</f>
        <v>86615000</v>
      </c>
      <c r="Y12" s="103">
        <f>'Table 4 Water Prices'!Z11</f>
        <v>11142000</v>
      </c>
      <c r="Z12" s="103"/>
      <c r="AA12" s="103">
        <f>'Table 4 Water Prices'!AB11</f>
        <v>5694000</v>
      </c>
      <c r="AB12" s="103">
        <f>'Table 4 Water Prices'!AC11</f>
        <v>2628000</v>
      </c>
      <c r="AC12" s="103">
        <f>'Table 4 Water Prices'!AD11</f>
        <v>8322000</v>
      </c>
      <c r="AD12" s="115"/>
      <c r="AG12" s="46">
        <v>0</v>
      </c>
    </row>
    <row r="13" spans="1:36" x14ac:dyDescent="0.25">
      <c r="A13" s="50" t="s">
        <v>83</v>
      </c>
      <c r="B13" s="20" t="s">
        <v>68</v>
      </c>
      <c r="T13" s="103">
        <f>'Table 4 Water Prices'!U12*'Table 1  Water Input table'!T56*1000</f>
        <v>6351413397575.6084</v>
      </c>
      <c r="U13" s="103">
        <f>'Table 4 Water Prices'!V12*'Table 1  Water Input table'!U56*1000</f>
        <v>46563573590013.492</v>
      </c>
      <c r="V13" s="103">
        <f>'Table 4 Water Prices'!W12*'Table 1  Water Input table'!V56*1000</f>
        <v>29442198303735.527</v>
      </c>
      <c r="W13" s="103">
        <f>'Table 4 Water Prices'!X12*'Table 1  Water Input table'!W56*1000</f>
        <v>1064905627977.9359</v>
      </c>
      <c r="X13" s="103">
        <f>'Table 4 Water Prices'!Y12*'Table 1  Water Input table'!Y56*1000</f>
        <v>8894270384476.2305</v>
      </c>
      <c r="Y13" s="103">
        <f>'Table 4 Water Prices'!Z12*'Table 1  Water Input table'!Z56*1000</f>
        <v>13297014725361.311</v>
      </c>
      <c r="Z13" s="103">
        <f>'Table 4 Water Prices'!AA12*'Table 1  Water Input table'!AA56*1000</f>
        <v>87488771894458.781</v>
      </c>
      <c r="AA13" s="103">
        <f>'Table 4 Water Prices'!AB12*'Table 1  Water Input table'!AB56*1000</f>
        <v>5420656376897.4365</v>
      </c>
      <c r="AB13" s="103">
        <f>'Table 4 Water Prices'!AC12*'Table 1  Water Input table'!AC56*1000</f>
        <v>12348121176604.018</v>
      </c>
      <c r="AC13" s="105">
        <f>'Table 4 Water Prices'!AD12*'Table 1  Water Input table'!AD56*1000</f>
        <v>34670174329624.887</v>
      </c>
      <c r="AD13" s="103">
        <f>'Table 4 Water Prices'!AE12*'Table 1  Water Input table'!AE56*1000</f>
        <v>227199059863310.69</v>
      </c>
      <c r="AE13" s="53"/>
      <c r="AH13" s="48"/>
    </row>
    <row r="14" spans="1:36" x14ac:dyDescent="0.25">
      <c r="A14" s="50"/>
      <c r="B14" s="50" t="s">
        <v>186</v>
      </c>
      <c r="T14" s="103">
        <f>'Table 4 Water Prices'!U13*'Table 1  Water Input table'!T57*1000</f>
        <v>0</v>
      </c>
      <c r="U14" s="103">
        <f>'Table 4 Water Prices'!V13*'Table 1  Water Input table'!U57*1000</f>
        <v>54092109494.647636</v>
      </c>
      <c r="V14" s="103">
        <f>'Table 4 Water Prices'!W13*'Table 1  Water Input table'!V57*1000</f>
        <v>27321826119.456566</v>
      </c>
      <c r="W14" s="103">
        <f>'Table 4 Water Prices'!X13*'Table 1  Water Input table'!W57*1000</f>
        <v>985707239.67950559</v>
      </c>
      <c r="X14" s="103">
        <f>'Table 4 Water Prices'!Y13*'Table 1  Water Input table'!Y57*1000</f>
        <v>8253721627.6156826</v>
      </c>
      <c r="Y14" s="103">
        <f>'Table 4 Water Prices'!Z13*'Table 1  Water Input table'!Z57*1000</f>
        <v>12308098799.140917</v>
      </c>
      <c r="Z14" s="103">
        <f>'Table 4 Water Prices'!AA13*'Table 1  Water Input table'!AA57*1000</f>
        <v>0</v>
      </c>
      <c r="AA14" s="103">
        <f>'Table 4 Water Prices'!AB13*'Table 1  Water Input table'!AB57*1000</f>
        <v>7078075685.6920385</v>
      </c>
      <c r="AB14" s="103">
        <f>'Table 4 Water Prices'!AC13*'Table 1  Water Input table'!AC57*1000</f>
        <v>14004964833.753325</v>
      </c>
      <c r="AC14" s="105">
        <f>'Table 4 Water Prices'!AD13*'Table 1  Water Input table'!AD57*1000</f>
        <v>39322141832.109161</v>
      </c>
      <c r="AD14" s="103">
        <f>'Table 4 Water Prices'!AE13*'Table 1  Water Input table'!AE57*1000</f>
        <v>6477926430579.4639</v>
      </c>
      <c r="AE14" s="53"/>
      <c r="AH14" s="48"/>
    </row>
    <row r="15" spans="1:36" x14ac:dyDescent="0.25">
      <c r="B15" s="20" t="s">
        <v>69</v>
      </c>
      <c r="T15" s="103"/>
      <c r="U15" s="103"/>
      <c r="V15" s="103"/>
      <c r="W15" s="103"/>
      <c r="X15" s="103"/>
      <c r="Y15" s="103">
        <f>'Table 4 Water Prices'!Z14*'Table 1  Water Input table'!Z58*1000</f>
        <v>35178617999.999992</v>
      </c>
      <c r="Z15" s="103">
        <f>'Table 4 Water Prices'!AA14*'Table 1  Water Input table'!AA58*1000</f>
        <v>23452412000</v>
      </c>
      <c r="AA15" s="103">
        <f>'Table 4 Water Prices'!AB14*'Table 1  Water Input table'!AB58*1000</f>
        <v>58631029999.999992</v>
      </c>
      <c r="AB15" s="103">
        <f>'Table 4 Water Prices'!AC14*'Table 1  Water Input table'!AC58*1000</f>
        <v>58631029999.999992</v>
      </c>
      <c r="AC15" s="105">
        <f>'Table 4 Water Prices'!AD14*'Table 1  Water Input table'!AD58*1000</f>
        <v>46904824000</v>
      </c>
      <c r="AD15" s="103">
        <f>'Table 4 Water Prices'!AE14*'Table 1  Water Input table'!AE58*1000</f>
        <v>938096479999.99988</v>
      </c>
      <c r="AE15" s="43">
        <f>'Table 4 Water Prices'!AF13*'Table 1  Water Input table'!AG57*1000</f>
        <v>0</v>
      </c>
      <c r="AF15" s="43">
        <f>'Table 4 Water Prices'!AG13*'Table 1  Water Input table'!AI57*1000</f>
        <v>0</v>
      </c>
    </row>
    <row r="16" spans="1:36" x14ac:dyDescent="0.25">
      <c r="B16" s="20" t="s">
        <v>70</v>
      </c>
      <c r="T16" s="103">
        <f>'Table 4 Water Prices'!U15*'Table 1  Water Input table'!T59*1000</f>
        <v>0</v>
      </c>
      <c r="U16" s="103"/>
      <c r="V16" s="103"/>
      <c r="W16" s="103"/>
      <c r="X16" s="103">
        <f>'Table 4 Water Prices'!Y15*'Table 1  Water Input table'!Y59*1000</f>
        <v>0</v>
      </c>
      <c r="Y16" s="103"/>
      <c r="Z16" s="103"/>
      <c r="AA16" s="103"/>
      <c r="AB16" s="103"/>
      <c r="AC16" s="105">
        <f>'Table 4 Water Prices'!AD15*'Table 1  Water Input table'!AD59*1000</f>
        <v>0</v>
      </c>
      <c r="AD16" s="103">
        <f>'Table 4 Water Prices'!AE15*'Table 1  Water Input table'!AE59*1000</f>
        <v>0</v>
      </c>
      <c r="AE16" s="53"/>
      <c r="AF16" s="43" t="s">
        <v>86</v>
      </c>
      <c r="AH16" s="48"/>
    </row>
    <row r="17" spans="1:36" s="17" customFormat="1" x14ac:dyDescent="0.25">
      <c r="A17" s="40"/>
      <c r="B17" s="32" t="s">
        <v>71</v>
      </c>
      <c r="C17" s="23"/>
      <c r="I17" s="25"/>
      <c r="N17" s="25"/>
      <c r="T17" s="104">
        <f>'Table 4 Water Prices'!U16*'Table 1  Water Input table'!T60*1000</f>
        <v>42840932793728.961</v>
      </c>
      <c r="U17" s="104"/>
      <c r="V17" s="104"/>
      <c r="W17" s="104"/>
      <c r="X17" s="104">
        <f>'Table 4 Water Prices'!Y16*'Table 1  Water Input table'!Y60*1000</f>
        <v>74756677774251.906</v>
      </c>
      <c r="Y17" s="104"/>
      <c r="Z17" s="104"/>
      <c r="AA17" s="104"/>
      <c r="AB17" s="104"/>
      <c r="AC17" s="104">
        <f>'Table 4 Water Prices'!AD16*'Table 1  Water Input table'!AD60*1000</f>
        <v>1099081760663.9354</v>
      </c>
      <c r="AE17" s="104">
        <f>'Table 4 Water Prices'!AE16*'Table 1  Water Input table'!AE60*1000</f>
        <v>22074345536274.93</v>
      </c>
      <c r="AG17" s="25"/>
      <c r="AI17" s="25"/>
      <c r="AJ17" s="60"/>
    </row>
    <row r="18" spans="1:36" x14ac:dyDescent="0.25">
      <c r="A18" s="34" t="s">
        <v>103</v>
      </c>
      <c r="B18" s="19" t="s">
        <v>5</v>
      </c>
      <c r="AH18" s="51"/>
    </row>
    <row r="19" spans="1:36" x14ac:dyDescent="0.25">
      <c r="B19" s="19" t="s">
        <v>72</v>
      </c>
    </row>
    <row r="20" spans="1:36" x14ac:dyDescent="0.25">
      <c r="B20" s="19" t="s">
        <v>74</v>
      </c>
    </row>
    <row r="21" spans="1:36" x14ac:dyDescent="0.25">
      <c r="B21" s="19" t="s">
        <v>76</v>
      </c>
    </row>
    <row r="22" spans="1:36" x14ac:dyDescent="0.25">
      <c r="B22" s="19" t="s">
        <v>77</v>
      </c>
    </row>
    <row r="23" spans="1:36" x14ac:dyDescent="0.25">
      <c r="B23" s="19" t="s">
        <v>78</v>
      </c>
      <c r="AH23" s="48"/>
      <c r="AI23" s="46"/>
    </row>
    <row r="24" spans="1:36" x14ac:dyDescent="0.25">
      <c r="B24" s="19" t="s">
        <v>75</v>
      </c>
      <c r="K24" s="43"/>
      <c r="AH24" s="48"/>
    </row>
    <row r="25" spans="1:36" x14ac:dyDescent="0.25">
      <c r="B25" s="20" t="s">
        <v>73</v>
      </c>
      <c r="K25" s="43"/>
      <c r="AH25" s="48"/>
    </row>
    <row r="26" spans="1:36" ht="25.5" x14ac:dyDescent="0.25">
      <c r="B26" s="33" t="s">
        <v>82</v>
      </c>
      <c r="K26" s="43"/>
      <c r="AH26" s="48"/>
    </row>
    <row r="27" spans="1:36" x14ac:dyDescent="0.25">
      <c r="B27" s="20" t="s">
        <v>9</v>
      </c>
      <c r="K27" s="43"/>
    </row>
    <row r="28" spans="1:36" x14ac:dyDescent="0.25">
      <c r="B28" s="19" t="s">
        <v>10</v>
      </c>
      <c r="K28" s="43"/>
    </row>
    <row r="29" spans="1:36" x14ac:dyDescent="0.25">
      <c r="B29" s="19" t="s">
        <v>79</v>
      </c>
      <c r="K29" s="43"/>
    </row>
    <row r="30" spans="1:36" x14ac:dyDescent="0.25">
      <c r="B30" s="19" t="s">
        <v>81</v>
      </c>
      <c r="K30" s="43"/>
    </row>
    <row r="31" spans="1:36" x14ac:dyDescent="0.25">
      <c r="B31" s="19" t="s">
        <v>80</v>
      </c>
      <c r="K31" s="43"/>
    </row>
    <row r="32" spans="1:36" s="17" customFormat="1" x14ac:dyDescent="0.25">
      <c r="A32" s="40"/>
      <c r="B32" s="32" t="s">
        <v>0</v>
      </c>
      <c r="C32" s="23"/>
      <c r="I32" s="25"/>
      <c r="K32" s="44"/>
      <c r="N32" s="25"/>
      <c r="AC32" s="25"/>
      <c r="AG32" s="25"/>
      <c r="AI32" s="25"/>
      <c r="AJ32" s="60"/>
    </row>
    <row r="33" spans="1:36" x14ac:dyDescent="0.25">
      <c r="A33" s="34" t="s">
        <v>56</v>
      </c>
      <c r="B33" s="19" t="s">
        <v>2</v>
      </c>
      <c r="K33" s="43"/>
    </row>
    <row r="34" spans="1:36" x14ac:dyDescent="0.25">
      <c r="B34" s="19" t="s">
        <v>57</v>
      </c>
    </row>
    <row r="35" spans="1:36" s="15" customFormat="1" x14ac:dyDescent="0.25">
      <c r="A35" s="41" t="s">
        <v>84</v>
      </c>
      <c r="B35" s="18" t="s">
        <v>12</v>
      </c>
      <c r="C35" s="22"/>
      <c r="I35" s="42"/>
      <c r="N35" s="42"/>
      <c r="AC35" s="42"/>
      <c r="AG35" s="42"/>
      <c r="AI35" s="42"/>
      <c r="AJ35" s="61"/>
    </row>
    <row r="36" spans="1:36" s="17" customFormat="1" x14ac:dyDescent="0.25">
      <c r="A36" s="40"/>
      <c r="B36" s="32" t="s">
        <v>0</v>
      </c>
      <c r="C36" s="23"/>
      <c r="I36" s="25"/>
      <c r="N36" s="25"/>
      <c r="AC36" s="25"/>
      <c r="AG36" s="25"/>
      <c r="AI36" s="25"/>
      <c r="AJ36" s="60"/>
    </row>
    <row r="37" spans="1:36" x14ac:dyDescent="0.25">
      <c r="A37" s="34" t="s">
        <v>4</v>
      </c>
      <c r="B37" s="20"/>
      <c r="C37" s="28"/>
      <c r="D37" s="30"/>
      <c r="E37" s="30"/>
      <c r="F37" s="30"/>
      <c r="G37" s="30"/>
      <c r="H37" s="30"/>
      <c r="I37" s="56"/>
      <c r="J37" s="30"/>
      <c r="K37" s="30"/>
      <c r="L37" s="30"/>
      <c r="M37" s="30"/>
      <c r="N37" s="56"/>
      <c r="O37" s="30"/>
      <c r="P37" s="30"/>
      <c r="Q37" s="30"/>
      <c r="R37" s="30"/>
      <c r="S37" s="30"/>
      <c r="T37" s="30"/>
      <c r="U37" s="30"/>
      <c r="V37" s="30"/>
      <c r="W37" s="30"/>
      <c r="X37" s="30"/>
      <c r="Y37" s="30"/>
      <c r="Z37" s="30"/>
      <c r="AA37" s="30"/>
      <c r="AB37" s="30"/>
      <c r="AC37" s="56"/>
      <c r="AD37" s="30"/>
      <c r="AE37" s="30"/>
      <c r="AF37" s="30"/>
      <c r="AG37" s="56"/>
      <c r="AH37" s="30"/>
      <c r="AI37" s="56"/>
      <c r="AJ37" s="1"/>
    </row>
    <row r="38" spans="1:36" x14ac:dyDescent="0.25">
      <c r="B38" s="20"/>
    </row>
    <row r="39" spans="1:36" x14ac:dyDescent="0.25">
      <c r="B39"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192"/>
  <sheetViews>
    <sheetView topLeftCell="B37" zoomScale="70" zoomScaleNormal="70" workbookViewId="0">
      <pane xSplit="1" ySplit="4" topLeftCell="C41" activePane="bottomRight" state="frozen"/>
      <selection activeCell="B37" sqref="B37"/>
      <selection pane="topRight" activeCell="C37" sqref="C37"/>
      <selection pane="bottomLeft" activeCell="B41" sqref="B41"/>
      <selection pane="bottomRight" activeCell="AE65" sqref="AE65"/>
    </sheetView>
  </sheetViews>
  <sheetFormatPr defaultRowHeight="15" x14ac:dyDescent="0.25"/>
  <cols>
    <col min="1" max="1" width="25.28515625" style="177" customWidth="1"/>
    <col min="2" max="2" width="27.5703125" style="269" customWidth="1"/>
    <col min="3" max="3" width="22.7109375" style="258" bestFit="1" customWidth="1"/>
    <col min="4" max="4" width="19" style="180" customWidth="1"/>
    <col min="5" max="5" width="16.85546875" style="180" bestFit="1" customWidth="1"/>
    <col min="6" max="6" width="13.28515625" style="180" customWidth="1"/>
    <col min="7" max="7" width="14.42578125" style="179" customWidth="1"/>
    <col min="8" max="8" width="13.140625" style="180" customWidth="1"/>
    <col min="9" max="9" width="18.85546875" style="180" bestFit="1" customWidth="1"/>
    <col min="10" max="10" width="18.7109375" style="180" customWidth="1"/>
    <col min="11" max="11" width="14.5703125" style="180" customWidth="1"/>
    <col min="12" max="12" width="12.42578125" style="181" bestFit="1" customWidth="1"/>
    <col min="13" max="13" width="18.85546875" style="180" bestFit="1" customWidth="1"/>
    <col min="14" max="15" width="23.42578125" style="180" bestFit="1" customWidth="1"/>
    <col min="16" max="16" width="26.85546875" style="180" bestFit="1" customWidth="1"/>
    <col min="17" max="17" width="22.5703125" style="180" bestFit="1" customWidth="1"/>
    <col min="18" max="18" width="22.5703125" style="181" bestFit="1" customWidth="1"/>
    <col min="19" max="19" width="18.42578125" style="180" customWidth="1"/>
    <col min="20" max="20" width="16" style="180" customWidth="1"/>
    <col min="21" max="21" width="15" style="180" bestFit="1" customWidth="1"/>
    <col min="22" max="22" width="13.42578125" style="180" bestFit="1" customWidth="1"/>
    <col min="23" max="23" width="21.28515625" style="180" customWidth="1"/>
    <col min="24" max="24" width="41.42578125" style="180" customWidth="1"/>
    <col min="25" max="25" width="16" style="180" customWidth="1"/>
    <col min="26" max="26" width="17.140625" style="180" bestFit="1" customWidth="1"/>
    <col min="27" max="27" width="17.28515625" style="180" customWidth="1"/>
    <col min="28" max="28" width="14.42578125" style="180" customWidth="1"/>
    <col min="29" max="29" width="13.42578125" style="180" bestFit="1" customWidth="1"/>
    <col min="30" max="30" width="13.7109375" style="180" customWidth="1"/>
    <col min="31" max="31" width="17.5703125" style="180" customWidth="1"/>
    <col min="32" max="32" width="25" style="180" bestFit="1" customWidth="1"/>
    <col min="33" max="33" width="9.7109375" style="180" customWidth="1"/>
    <col min="34" max="34" width="25.28515625" style="180" bestFit="1" customWidth="1"/>
    <col min="35" max="35" width="21.7109375" style="180" customWidth="1"/>
    <col min="36" max="36" width="22" style="181" customWidth="1"/>
    <col min="37" max="37" width="24.42578125" style="184" customWidth="1"/>
    <col min="38" max="38" width="23.42578125" style="181" bestFit="1" customWidth="1"/>
    <col min="39" max="39" width="28.5703125" style="184" bestFit="1" customWidth="1"/>
    <col min="40" max="40" width="30.42578125" style="180" bestFit="1" customWidth="1"/>
    <col min="41" max="41" width="10.5703125" style="184" bestFit="1" customWidth="1"/>
    <col min="42" max="42" width="19.28515625" style="184" customWidth="1"/>
    <col min="43" max="16384" width="9.140625" style="184"/>
  </cols>
  <sheetData>
    <row r="1" spans="1:40" s="258" customFormat="1" x14ac:dyDescent="0.25">
      <c r="B1" s="178"/>
      <c r="G1" s="322" t="str">
        <f>A3</f>
        <v>From the Environment</v>
      </c>
      <c r="H1" s="323"/>
      <c r="I1" s="323"/>
      <c r="J1" s="323"/>
      <c r="K1" s="323"/>
      <c r="L1" s="324"/>
      <c r="M1" s="322" t="s">
        <v>85</v>
      </c>
      <c r="N1" s="323"/>
      <c r="O1" s="323"/>
      <c r="P1" s="323"/>
      <c r="Q1" s="323"/>
      <c r="R1" s="324"/>
      <c r="S1" s="322" t="s">
        <v>55</v>
      </c>
      <c r="T1" s="323"/>
      <c r="U1" s="323"/>
      <c r="V1" s="323"/>
      <c r="W1" s="323"/>
      <c r="X1" s="323"/>
      <c r="Y1" s="323"/>
      <c r="Z1" s="323"/>
      <c r="AA1" s="323"/>
      <c r="AB1" s="323"/>
      <c r="AC1" s="323"/>
      <c r="AD1" s="323"/>
      <c r="AE1" s="323"/>
      <c r="AF1" s="323"/>
      <c r="AG1" s="323"/>
      <c r="AH1" s="323"/>
      <c r="AI1" s="323"/>
      <c r="AJ1" s="324"/>
      <c r="AK1" s="258" t="s">
        <v>56</v>
      </c>
      <c r="AL1" s="259"/>
      <c r="AM1" s="258" t="s">
        <v>84</v>
      </c>
    </row>
    <row r="2" spans="1:40" s="261" customFormat="1" ht="55.5" customHeight="1" x14ac:dyDescent="0.25">
      <c r="A2" s="260"/>
      <c r="C2" s="260"/>
      <c r="D2" s="262"/>
      <c r="E2" s="262"/>
      <c r="F2" s="262"/>
      <c r="G2" s="263" t="s">
        <v>59</v>
      </c>
      <c r="H2" s="262" t="s">
        <v>61</v>
      </c>
      <c r="I2" s="262" t="s">
        <v>62</v>
      </c>
      <c r="J2" s="262" t="s">
        <v>63</v>
      </c>
      <c r="K2" s="262" t="s">
        <v>66</v>
      </c>
      <c r="L2" s="264">
        <f>E9</f>
        <v>0</v>
      </c>
      <c r="M2" s="262" t="s">
        <v>67</v>
      </c>
      <c r="N2" s="262" t="s">
        <v>68</v>
      </c>
      <c r="O2" s="262"/>
      <c r="P2" s="262" t="s">
        <v>69</v>
      </c>
      <c r="Q2" s="262" t="s">
        <v>70</v>
      </c>
      <c r="R2" s="264" t="s">
        <v>71</v>
      </c>
      <c r="S2" s="262" t="s">
        <v>5</v>
      </c>
      <c r="T2" s="262" t="s">
        <v>72</v>
      </c>
      <c r="U2" s="262" t="s">
        <v>74</v>
      </c>
      <c r="V2" s="262" t="s">
        <v>76</v>
      </c>
      <c r="W2" s="262" t="s">
        <v>77</v>
      </c>
      <c r="X2" s="262"/>
      <c r="Y2" s="262" t="s">
        <v>78</v>
      </c>
      <c r="Z2" s="262" t="s">
        <v>75</v>
      </c>
      <c r="AA2" s="262" t="s">
        <v>73</v>
      </c>
      <c r="AB2" s="39" t="s">
        <v>82</v>
      </c>
      <c r="AC2" s="262" t="s">
        <v>9</v>
      </c>
      <c r="AD2" s="262" t="s">
        <v>10</v>
      </c>
      <c r="AE2" s="262" t="s">
        <v>79</v>
      </c>
      <c r="AF2" s="262"/>
      <c r="AG2" s="262" t="s">
        <v>81</v>
      </c>
      <c r="AH2" s="262" t="s">
        <v>80</v>
      </c>
      <c r="AI2" s="262"/>
      <c r="AJ2" s="264" t="s">
        <v>0</v>
      </c>
      <c r="AK2" s="262" t="s">
        <v>2</v>
      </c>
      <c r="AL2" s="264" t="s">
        <v>57</v>
      </c>
      <c r="AM2" s="262" t="s">
        <v>12</v>
      </c>
      <c r="AN2" s="262"/>
    </row>
    <row r="3" spans="1:40" s="180" customFormat="1" x14ac:dyDescent="0.25">
      <c r="A3" s="258" t="s">
        <v>53</v>
      </c>
      <c r="B3" s="178" t="s">
        <v>59</v>
      </c>
      <c r="C3" s="258"/>
      <c r="G3" s="179"/>
      <c r="L3" s="181"/>
      <c r="M3" s="180" t="s">
        <v>86</v>
      </c>
      <c r="Q3" s="180" t="s">
        <v>86</v>
      </c>
      <c r="R3" s="265" t="s">
        <v>86</v>
      </c>
      <c r="U3" s="180" t="s">
        <v>86</v>
      </c>
      <c r="W3" s="180" t="s">
        <v>86</v>
      </c>
      <c r="AJ3" s="181"/>
      <c r="AK3" s="180" t="s">
        <v>86</v>
      </c>
      <c r="AL3" s="181"/>
    </row>
    <row r="4" spans="1:40" s="180" customFormat="1" x14ac:dyDescent="0.25">
      <c r="A4" s="258"/>
      <c r="B4" s="178" t="s">
        <v>60</v>
      </c>
      <c r="C4" s="258"/>
      <c r="G4" s="179"/>
      <c r="L4" s="181"/>
      <c r="Q4" s="180" t="s">
        <v>86</v>
      </c>
      <c r="R4" s="181" t="s">
        <v>86</v>
      </c>
      <c r="U4" s="180" t="s">
        <v>86</v>
      </c>
      <c r="AJ4" s="181"/>
      <c r="AK4" s="180" t="s">
        <v>86</v>
      </c>
      <c r="AL4" s="181"/>
    </row>
    <row r="5" spans="1:40" s="180" customFormat="1" x14ac:dyDescent="0.25">
      <c r="A5" s="258"/>
      <c r="B5" s="178" t="s">
        <v>94</v>
      </c>
      <c r="C5" s="258"/>
      <c r="G5" s="179"/>
      <c r="L5" s="181"/>
      <c r="Q5" s="180" t="s">
        <v>86</v>
      </c>
      <c r="R5" s="181" t="s">
        <v>86</v>
      </c>
      <c r="U5" s="180" t="s">
        <v>86</v>
      </c>
      <c r="W5" s="180" t="s">
        <v>86</v>
      </c>
      <c r="AJ5" s="181"/>
      <c r="AK5" s="180" t="s">
        <v>86</v>
      </c>
      <c r="AL5" s="181"/>
    </row>
    <row r="6" spans="1:40" s="180" customFormat="1" x14ac:dyDescent="0.25">
      <c r="A6" s="258"/>
      <c r="B6" s="178" t="s">
        <v>62</v>
      </c>
      <c r="C6" s="258"/>
      <c r="G6" s="179"/>
      <c r="L6" s="181"/>
      <c r="M6" s="180" t="s">
        <v>86</v>
      </c>
      <c r="R6" s="181" t="s">
        <v>86</v>
      </c>
      <c r="U6" s="266" t="s">
        <v>86</v>
      </c>
      <c r="AJ6" s="181"/>
      <c r="AK6" s="180" t="s">
        <v>86</v>
      </c>
      <c r="AL6" s="181"/>
    </row>
    <row r="7" spans="1:40" s="180" customFormat="1" x14ac:dyDescent="0.25">
      <c r="A7" s="258"/>
      <c r="B7" s="178" t="s">
        <v>63</v>
      </c>
      <c r="C7" s="258"/>
      <c r="G7" s="179"/>
      <c r="L7" s="181"/>
      <c r="M7" s="180" t="s">
        <v>86</v>
      </c>
      <c r="Q7" s="180" t="s">
        <v>86</v>
      </c>
      <c r="R7" s="181" t="s">
        <v>86</v>
      </c>
      <c r="U7" s="266" t="s">
        <v>86</v>
      </c>
      <c r="W7" s="266" t="s">
        <v>86</v>
      </c>
      <c r="X7" s="266"/>
      <c r="AJ7" s="181"/>
      <c r="AK7" s="180" t="s">
        <v>86</v>
      </c>
      <c r="AL7" s="181"/>
    </row>
    <row r="8" spans="1:40" s="180" customFormat="1" x14ac:dyDescent="0.25">
      <c r="A8" s="258"/>
      <c r="B8" s="178" t="s">
        <v>87</v>
      </c>
      <c r="C8" s="258"/>
      <c r="G8" s="179"/>
      <c r="L8" s="181"/>
      <c r="R8" s="181" t="s">
        <v>86</v>
      </c>
      <c r="U8" s="180" t="s">
        <v>86</v>
      </c>
      <c r="AJ8" s="181"/>
      <c r="AK8" s="180" t="s">
        <v>86</v>
      </c>
      <c r="AL8" s="181"/>
    </row>
    <row r="9" spans="1:40" s="194" customFormat="1" x14ac:dyDescent="0.25">
      <c r="A9" s="260"/>
      <c r="B9" s="261" t="s">
        <v>88</v>
      </c>
      <c r="C9" s="260"/>
      <c r="G9" s="267"/>
      <c r="L9" s="268"/>
      <c r="R9" s="268"/>
      <c r="T9" s="194" t="s">
        <v>86</v>
      </c>
      <c r="V9" s="194" t="s">
        <v>86</v>
      </c>
      <c r="AJ9" s="268"/>
      <c r="AL9" s="268"/>
    </row>
    <row r="10" spans="1:40" x14ac:dyDescent="0.25">
      <c r="A10" s="258" t="s">
        <v>54</v>
      </c>
      <c r="B10" s="178" t="s">
        <v>67</v>
      </c>
      <c r="N10" s="180" t="s">
        <v>86</v>
      </c>
      <c r="P10" s="180" t="s">
        <v>86</v>
      </c>
      <c r="S10" s="179" t="s">
        <v>86</v>
      </c>
      <c r="Y10" s="180" t="s">
        <v>86</v>
      </c>
      <c r="Z10" s="180" t="s">
        <v>86</v>
      </c>
      <c r="AA10" s="180" t="s">
        <v>86</v>
      </c>
      <c r="AB10" s="180" t="s">
        <v>86</v>
      </c>
      <c r="AC10" s="180" t="s">
        <v>86</v>
      </c>
      <c r="AE10" s="180" t="s">
        <v>86</v>
      </c>
      <c r="AG10" s="180" t="s">
        <v>86</v>
      </c>
      <c r="AH10" s="180" t="s">
        <v>86</v>
      </c>
      <c r="AJ10" s="265" t="s">
        <v>86</v>
      </c>
      <c r="AL10" s="181">
        <v>0</v>
      </c>
    </row>
    <row r="11" spans="1:40" x14ac:dyDescent="0.25">
      <c r="A11" s="50" t="s">
        <v>83</v>
      </c>
      <c r="B11" s="143" t="s">
        <v>68</v>
      </c>
      <c r="C11" s="50"/>
      <c r="Y11" s="180" t="s">
        <v>89</v>
      </c>
      <c r="Z11" s="180" t="s">
        <v>86</v>
      </c>
      <c r="AA11" s="180" t="s">
        <v>86</v>
      </c>
      <c r="AB11" s="180" t="s">
        <v>86</v>
      </c>
      <c r="AC11" s="180" t="s">
        <v>86</v>
      </c>
      <c r="AD11" s="180" t="s">
        <v>86</v>
      </c>
      <c r="AE11" s="180" t="s">
        <v>86</v>
      </c>
      <c r="AG11" s="180" t="s">
        <v>86</v>
      </c>
      <c r="AH11" s="180" t="s">
        <v>86</v>
      </c>
      <c r="AJ11" s="181" t="s">
        <v>86</v>
      </c>
      <c r="AM11" s="266" t="s">
        <v>86</v>
      </c>
    </row>
    <row r="12" spans="1:40" x14ac:dyDescent="0.25">
      <c r="B12" s="269" t="s">
        <v>69</v>
      </c>
      <c r="Y12" s="180" t="s">
        <v>89</v>
      </c>
      <c r="Z12" s="180" t="s">
        <v>86</v>
      </c>
      <c r="AA12" s="180" t="s">
        <v>86</v>
      </c>
      <c r="AB12" s="180" t="s">
        <v>89</v>
      </c>
      <c r="AC12" s="180" t="s">
        <v>86</v>
      </c>
      <c r="AD12" s="180" t="s">
        <v>86</v>
      </c>
      <c r="AE12" s="180" t="s">
        <v>86</v>
      </c>
      <c r="AG12" s="180" t="s">
        <v>86</v>
      </c>
      <c r="AH12" s="180" t="s">
        <v>86</v>
      </c>
      <c r="AJ12" s="181" t="s">
        <v>86</v>
      </c>
    </row>
    <row r="13" spans="1:40" x14ac:dyDescent="0.25">
      <c r="B13" s="269" t="s">
        <v>70</v>
      </c>
      <c r="Y13" s="180" t="s">
        <v>86</v>
      </c>
      <c r="AC13" s="180" t="s">
        <v>86</v>
      </c>
      <c r="AJ13" s="181" t="s">
        <v>86</v>
      </c>
      <c r="AK13" s="180" t="s">
        <v>86</v>
      </c>
      <c r="AM13" s="266" t="s">
        <v>86</v>
      </c>
    </row>
    <row r="14" spans="1:40" s="194" customFormat="1" x14ac:dyDescent="0.25">
      <c r="A14" s="260"/>
      <c r="B14" s="261" t="s">
        <v>71</v>
      </c>
      <c r="C14" s="260"/>
      <c r="G14" s="267"/>
      <c r="L14" s="268"/>
      <c r="R14" s="268"/>
      <c r="Y14" s="194" t="s">
        <v>86</v>
      </c>
      <c r="AC14" s="194" t="s">
        <v>86</v>
      </c>
      <c r="AJ14" s="268" t="s">
        <v>86</v>
      </c>
      <c r="AL14" s="268"/>
    </row>
    <row r="15" spans="1:40" x14ac:dyDescent="0.25">
      <c r="A15" s="177" t="s">
        <v>55</v>
      </c>
      <c r="B15" s="269" t="s">
        <v>5</v>
      </c>
      <c r="AM15" s="184" t="s">
        <v>86</v>
      </c>
    </row>
    <row r="16" spans="1:40" x14ac:dyDescent="0.25">
      <c r="B16" s="269" t="s">
        <v>72</v>
      </c>
    </row>
    <row r="17" spans="1:39" x14ac:dyDescent="0.25">
      <c r="B17" s="269" t="s">
        <v>74</v>
      </c>
    </row>
    <row r="18" spans="1:39" x14ac:dyDescent="0.25">
      <c r="B18" s="269" t="s">
        <v>76</v>
      </c>
    </row>
    <row r="19" spans="1:39" x14ac:dyDescent="0.25">
      <c r="B19" s="269" t="s">
        <v>77</v>
      </c>
    </row>
    <row r="20" spans="1:39" x14ac:dyDescent="0.25">
      <c r="B20" s="269" t="s">
        <v>78</v>
      </c>
      <c r="AM20" s="266"/>
    </row>
    <row r="21" spans="1:39" x14ac:dyDescent="0.25">
      <c r="B21" s="269" t="s">
        <v>75</v>
      </c>
      <c r="N21" s="180" t="s">
        <v>86</v>
      </c>
      <c r="AM21" s="266" t="s">
        <v>86</v>
      </c>
    </row>
    <row r="22" spans="1:39" x14ac:dyDescent="0.25">
      <c r="B22" s="269" t="s">
        <v>73</v>
      </c>
      <c r="N22" s="180" t="s">
        <v>86</v>
      </c>
      <c r="AM22" s="266" t="s">
        <v>86</v>
      </c>
    </row>
    <row r="23" spans="1:39" x14ac:dyDescent="0.25">
      <c r="B23" s="269" t="s">
        <v>82</v>
      </c>
      <c r="N23" s="180" t="s">
        <v>86</v>
      </c>
      <c r="AM23" s="266" t="s">
        <v>86</v>
      </c>
    </row>
    <row r="24" spans="1:39" x14ac:dyDescent="0.25">
      <c r="B24" s="269" t="s">
        <v>9</v>
      </c>
      <c r="N24" s="180" t="s">
        <v>86</v>
      </c>
    </row>
    <row r="25" spans="1:39" x14ac:dyDescent="0.25">
      <c r="B25" s="269" t="s">
        <v>10</v>
      </c>
      <c r="N25" s="180" t="s">
        <v>86</v>
      </c>
    </row>
    <row r="26" spans="1:39" x14ac:dyDescent="0.25">
      <c r="B26" s="269" t="s">
        <v>79</v>
      </c>
      <c r="N26" s="180" t="s">
        <v>86</v>
      </c>
    </row>
    <row r="27" spans="1:39" x14ac:dyDescent="0.25">
      <c r="B27" s="269" t="s">
        <v>81</v>
      </c>
      <c r="N27" s="180" t="s">
        <v>86</v>
      </c>
    </row>
    <row r="28" spans="1:39" x14ac:dyDescent="0.25">
      <c r="B28" s="269" t="s">
        <v>80</v>
      </c>
      <c r="N28" s="180" t="s">
        <v>86</v>
      </c>
    </row>
    <row r="29" spans="1:39" s="194" customFormat="1" x14ac:dyDescent="0.25">
      <c r="A29" s="260"/>
      <c r="B29" s="261" t="s">
        <v>0</v>
      </c>
      <c r="C29" s="260"/>
      <c r="G29" s="267"/>
      <c r="L29" s="268"/>
      <c r="N29" s="194" t="s">
        <v>86</v>
      </c>
      <c r="R29" s="268"/>
      <c r="AJ29" s="268"/>
      <c r="AL29" s="268"/>
    </row>
    <row r="30" spans="1:39" x14ac:dyDescent="0.25">
      <c r="A30" s="177" t="s">
        <v>56</v>
      </c>
      <c r="B30" s="269" t="s">
        <v>2</v>
      </c>
      <c r="N30" s="180" t="s">
        <v>86</v>
      </c>
    </row>
    <row r="31" spans="1:39" x14ac:dyDescent="0.25">
      <c r="B31" s="269" t="s">
        <v>57</v>
      </c>
    </row>
    <row r="32" spans="1:39" s="272" customFormat="1" x14ac:dyDescent="0.25">
      <c r="A32" s="270" t="s">
        <v>84</v>
      </c>
      <c r="B32" s="271" t="s">
        <v>12</v>
      </c>
      <c r="C32" s="270"/>
      <c r="G32" s="273"/>
      <c r="L32" s="265"/>
      <c r="R32" s="265"/>
      <c r="AJ32" s="265"/>
      <c r="AL32" s="265"/>
    </row>
    <row r="33" spans="1:46" s="194" customFormat="1" x14ac:dyDescent="0.25">
      <c r="A33" s="260"/>
      <c r="B33" s="261" t="s">
        <v>0</v>
      </c>
      <c r="C33" s="260"/>
      <c r="G33" s="267"/>
      <c r="L33" s="268"/>
      <c r="R33" s="268"/>
      <c r="AJ33" s="268"/>
      <c r="AL33" s="268"/>
    </row>
    <row r="34" spans="1:46" x14ac:dyDescent="0.25">
      <c r="M34" s="273"/>
      <c r="N34" s="272"/>
      <c r="O34" s="272"/>
      <c r="P34" s="272"/>
      <c r="Q34" s="272"/>
      <c r="R34" s="265"/>
    </row>
    <row r="35" spans="1:46" x14ac:dyDescent="0.25">
      <c r="L35" s="180"/>
      <c r="R35" s="180"/>
    </row>
    <row r="36" spans="1:46" x14ac:dyDescent="0.25">
      <c r="L36" s="180"/>
      <c r="R36" s="180"/>
    </row>
    <row r="37" spans="1:46" s="266" customFormat="1" ht="23.25" x14ac:dyDescent="0.35">
      <c r="A37" s="274" t="s">
        <v>335</v>
      </c>
      <c r="C37" s="275"/>
      <c r="I37" s="266">
        <f>4312+0.0447</f>
        <v>4312.0447000000004</v>
      </c>
      <c r="J37" s="266">
        <v>4312.0447000000004</v>
      </c>
      <c r="N37" s="276">
        <f>N42+N43+N44</f>
        <v>105309476.47433358</v>
      </c>
      <c r="X37" s="277">
        <v>110494558834</v>
      </c>
      <c r="AG37" s="266">
        <v>-1</v>
      </c>
      <c r="AK37" s="276">
        <f>AK48+AK51-AK42</f>
        <v>0</v>
      </c>
    </row>
    <row r="38" spans="1:46" s="266" customFormat="1" x14ac:dyDescent="0.25">
      <c r="A38" s="275"/>
      <c r="C38" s="275"/>
      <c r="AK38" s="266" t="s">
        <v>34</v>
      </c>
      <c r="AL38" s="266" t="s">
        <v>260</v>
      </c>
    </row>
    <row r="39" spans="1:46" s="258" customFormat="1" x14ac:dyDescent="0.25">
      <c r="A39" s="278"/>
      <c r="B39" s="279"/>
      <c r="C39" s="328" t="str">
        <f>A42</f>
        <v>From the Environment</v>
      </c>
      <c r="D39" s="328"/>
      <c r="E39" s="328"/>
      <c r="F39" s="328"/>
      <c r="G39" s="328"/>
      <c r="H39" s="328"/>
      <c r="I39" s="325" t="s">
        <v>85</v>
      </c>
      <c r="J39" s="326"/>
      <c r="K39" s="326"/>
      <c r="L39" s="326"/>
      <c r="M39" s="326"/>
      <c r="N39" s="327"/>
      <c r="O39" s="325" t="s">
        <v>55</v>
      </c>
      <c r="P39" s="326"/>
      <c r="Q39" s="326"/>
      <c r="R39" s="326"/>
      <c r="S39" s="326"/>
      <c r="T39" s="326"/>
      <c r="U39" s="326"/>
      <c r="V39" s="326"/>
      <c r="W39" s="326"/>
      <c r="X39" s="326"/>
      <c r="Y39" s="326"/>
      <c r="Z39" s="326"/>
      <c r="AA39" s="326"/>
      <c r="AB39" s="326"/>
      <c r="AC39" s="326"/>
      <c r="AD39" s="327"/>
      <c r="AE39" s="325" t="s">
        <v>56</v>
      </c>
      <c r="AF39" s="326"/>
      <c r="AG39" s="327"/>
      <c r="AH39" s="325" t="s">
        <v>84</v>
      </c>
      <c r="AI39" s="326"/>
      <c r="AJ39" s="326"/>
      <c r="AK39" s="280" t="s">
        <v>218</v>
      </c>
      <c r="AL39" s="280" t="s">
        <v>219</v>
      </c>
      <c r="AM39" s="280" t="s">
        <v>255</v>
      </c>
    </row>
    <row r="40" spans="1:46" s="261" customFormat="1" ht="55.5" customHeight="1" x14ac:dyDescent="0.25">
      <c r="A40" s="281"/>
      <c r="B40" s="282"/>
      <c r="C40" s="283" t="s">
        <v>16</v>
      </c>
      <c r="D40" s="284" t="s">
        <v>179</v>
      </c>
      <c r="E40" s="284" t="s">
        <v>115</v>
      </c>
      <c r="F40" s="284" t="s">
        <v>94</v>
      </c>
      <c r="G40" s="284" t="s">
        <v>63</v>
      </c>
      <c r="H40" s="285" t="s">
        <v>88</v>
      </c>
      <c r="I40" s="262" t="s">
        <v>67</v>
      </c>
      <c r="J40" s="262" t="s">
        <v>68</v>
      </c>
      <c r="K40" s="262" t="s">
        <v>305</v>
      </c>
      <c r="L40" s="286" t="s">
        <v>69</v>
      </c>
      <c r="M40" s="262" t="s">
        <v>306</v>
      </c>
      <c r="N40" s="264" t="s">
        <v>307</v>
      </c>
      <c r="O40" s="262" t="s">
        <v>5</v>
      </c>
      <c r="P40" s="262" t="s">
        <v>72</v>
      </c>
      <c r="Q40" s="262" t="s">
        <v>74</v>
      </c>
      <c r="R40" s="262" t="s">
        <v>76</v>
      </c>
      <c r="S40" s="262" t="s">
        <v>77</v>
      </c>
      <c r="T40" s="262" t="s">
        <v>78</v>
      </c>
      <c r="U40" s="262" t="s">
        <v>75</v>
      </c>
      <c r="V40" s="262" t="s">
        <v>73</v>
      </c>
      <c r="W40" s="262" t="s">
        <v>82</v>
      </c>
      <c r="X40" s="262" t="s">
        <v>36</v>
      </c>
      <c r="Y40" s="262" t="s">
        <v>9</v>
      </c>
      <c r="Z40" s="262" t="s">
        <v>10</v>
      </c>
      <c r="AA40" s="262" t="s">
        <v>79</v>
      </c>
      <c r="AB40" s="262" t="s">
        <v>81</v>
      </c>
      <c r="AC40" s="262" t="s">
        <v>80</v>
      </c>
      <c r="AD40" s="264" t="s">
        <v>0</v>
      </c>
      <c r="AE40" s="262" t="s">
        <v>2</v>
      </c>
      <c r="AF40" s="262" t="s">
        <v>258</v>
      </c>
      <c r="AG40" s="264" t="s">
        <v>57</v>
      </c>
      <c r="AH40" s="262" t="s">
        <v>12</v>
      </c>
      <c r="AI40" s="262" t="s">
        <v>115</v>
      </c>
      <c r="AJ40" s="262" t="s">
        <v>182</v>
      </c>
      <c r="AK40" s="283"/>
      <c r="AL40" s="284"/>
      <c r="AM40" s="285"/>
      <c r="AN40" s="260" t="s">
        <v>256</v>
      </c>
    </row>
    <row r="41" spans="1:46" s="180" customFormat="1" x14ac:dyDescent="0.25">
      <c r="A41" s="287"/>
      <c r="B41" s="178" t="s">
        <v>16</v>
      </c>
      <c r="C41" s="191">
        <f>SUM(I41:N41)</f>
        <v>255366337517551.94</v>
      </c>
      <c r="D41" s="191"/>
      <c r="E41" s="191"/>
      <c r="H41" s="192"/>
      <c r="I41" s="63"/>
      <c r="J41" s="63"/>
      <c r="M41" s="63"/>
      <c r="N41" s="288">
        <f>SUM(O55:AG55)</f>
        <v>255366337517551.94</v>
      </c>
      <c r="S41" s="266"/>
      <c r="AD41" s="181"/>
      <c r="AE41" s="166">
        <f>'[2]OWN SS'!$H$90</f>
        <v>484461.34480162454</v>
      </c>
      <c r="AF41" s="63"/>
      <c r="AG41" s="181"/>
      <c r="AH41" s="63"/>
      <c r="AI41" s="63"/>
      <c r="AJ41" s="63"/>
      <c r="AK41" s="185">
        <f>SUM(J41,N41)</f>
        <v>255366337517551.94</v>
      </c>
      <c r="AL41" s="142"/>
      <c r="AM41" s="186"/>
      <c r="AN41" s="180" t="s">
        <v>259</v>
      </c>
      <c r="AT41" s="266"/>
    </row>
    <row r="42" spans="1:46" s="180" customFormat="1" x14ac:dyDescent="0.25">
      <c r="A42" s="187" t="s">
        <v>53</v>
      </c>
      <c r="B42" s="178" t="s">
        <v>12</v>
      </c>
      <c r="C42" s="193"/>
      <c r="D42" s="191">
        <f>SUM(I42:AJ42)</f>
        <v>110668113242.78812</v>
      </c>
      <c r="H42" s="181"/>
      <c r="I42" s="166">
        <f>SUM(O48:AE48)</f>
        <v>110582782383.13</v>
      </c>
      <c r="M42" s="63"/>
      <c r="N42" s="166">
        <f>'[3]OWN SS'!$I$91+O51</f>
        <v>85330859.658104554</v>
      </c>
      <c r="O42" s="179"/>
      <c r="Q42" s="266"/>
      <c r="R42" s="266"/>
      <c r="S42" s="266"/>
      <c r="AD42" s="181"/>
      <c r="AG42" s="181"/>
      <c r="AK42" s="110">
        <f>SUM(I42:AJ42)</f>
        <v>110668113242.78812</v>
      </c>
      <c r="AL42" s="63">
        <f>D83</f>
        <v>110668113242.78812</v>
      </c>
      <c r="AM42" s="100">
        <f>AK42-AL42</f>
        <v>0</v>
      </c>
    </row>
    <row r="43" spans="1:46" s="180" customFormat="1" x14ac:dyDescent="0.25">
      <c r="A43" s="187"/>
      <c r="B43" s="178" t="s">
        <v>115</v>
      </c>
      <c r="C43" s="193"/>
      <c r="E43" s="191">
        <f>SUM(I43:AJ43)</f>
        <v>36196660.77403073</v>
      </c>
      <c r="H43" s="181"/>
      <c r="I43" s="166">
        <f>SUM(O49:AE49)</f>
        <v>17241669.976999998</v>
      </c>
      <c r="M43" s="63"/>
      <c r="N43" s="166">
        <f>'[3]OWN SS'!$I$92</f>
        <v>18954990.797030732</v>
      </c>
      <c r="O43" s="179"/>
      <c r="Q43" s="266"/>
      <c r="R43" s="266"/>
      <c r="S43" s="266"/>
      <c r="AD43" s="181"/>
      <c r="AG43" s="181"/>
      <c r="AK43" s="110">
        <f>SUM(I43:AJ43)</f>
        <v>36196660.77403073</v>
      </c>
      <c r="AL43" s="63">
        <f>E84</f>
        <v>36196660.77403073</v>
      </c>
      <c r="AM43" s="100">
        <f t="shared" ref="AM43:AM84" si="0">AK43-AL43</f>
        <v>0</v>
      </c>
    </row>
    <row r="44" spans="1:46" s="180" customFormat="1" x14ac:dyDescent="0.25">
      <c r="A44" s="187"/>
      <c r="B44" s="178" t="s">
        <v>308</v>
      </c>
      <c r="C44" s="179"/>
      <c r="F44" s="191">
        <f>'[2]OWN SS'!$H$93+'[2]OWN SS'!$H$116</f>
        <v>4931434.1368888877</v>
      </c>
      <c r="H44" s="181"/>
      <c r="I44" s="151"/>
      <c r="J44" s="266"/>
      <c r="K44" s="266"/>
      <c r="L44" s="266"/>
      <c r="M44" s="266"/>
      <c r="N44" s="166">
        <f>'[3]OWN SS'!$I$93+'[3]OWN SS'!$I$117</f>
        <v>1023626.0191982921</v>
      </c>
      <c r="O44" s="179"/>
      <c r="Q44" s="63"/>
      <c r="S44" s="266"/>
      <c r="AD44" s="181"/>
      <c r="AE44" s="63"/>
      <c r="AF44" s="63"/>
      <c r="AG44" s="181"/>
      <c r="AK44" s="110">
        <f>SUM(I44:AJ44)</f>
        <v>1023626.0191982921</v>
      </c>
      <c r="AL44" s="63">
        <f>F84</f>
        <v>4931434.1368888877</v>
      </c>
      <c r="AM44" s="100">
        <f>AK44-AL44</f>
        <v>-3907808.1176905958</v>
      </c>
      <c r="AO44" s="266"/>
      <c r="AP44" s="266"/>
      <c r="AT44" s="266"/>
    </row>
    <row r="45" spans="1:46" s="180" customFormat="1" x14ac:dyDescent="0.25">
      <c r="A45" s="187"/>
      <c r="B45" s="178" t="s">
        <v>63</v>
      </c>
      <c r="C45" s="179"/>
      <c r="G45" s="191">
        <f>SUM(I45:N45)</f>
        <v>144612624.78470087</v>
      </c>
      <c r="H45" s="181"/>
      <c r="I45" s="151"/>
      <c r="J45" s="266"/>
      <c r="K45" s="266"/>
      <c r="L45" s="266"/>
      <c r="M45" s="63"/>
      <c r="N45" s="166">
        <f>'[3]OWN SS'!$I$94+S54</f>
        <v>144612624.78470087</v>
      </c>
      <c r="O45" s="179"/>
      <c r="Q45" s="266"/>
      <c r="S45" s="63"/>
      <c r="AD45" s="181"/>
      <c r="AE45" s="63"/>
      <c r="AF45" s="63"/>
      <c r="AG45" s="181"/>
      <c r="AK45" s="110">
        <f>SUM(I45:N45)</f>
        <v>144612624.78470087</v>
      </c>
      <c r="AL45" s="63">
        <f>G84</f>
        <v>144612624.78470087</v>
      </c>
      <c r="AM45" s="100">
        <f t="shared" si="0"/>
        <v>0</v>
      </c>
      <c r="AP45" s="276"/>
    </row>
    <row r="46" spans="1:46" s="194" customFormat="1" x14ac:dyDescent="0.25">
      <c r="A46" s="289"/>
      <c r="B46" s="261" t="s">
        <v>88</v>
      </c>
      <c r="C46" s="189"/>
      <c r="H46" s="195">
        <f>SUM(I46:AJ46)</f>
        <v>0</v>
      </c>
      <c r="N46" s="268"/>
      <c r="P46" s="290"/>
      <c r="Q46" s="190"/>
      <c r="R46" s="190"/>
      <c r="T46" s="190"/>
      <c r="Y46" s="190"/>
      <c r="AD46" s="101"/>
      <c r="AE46" s="291"/>
      <c r="AF46" s="292"/>
      <c r="AG46" s="268"/>
      <c r="AH46" s="291"/>
      <c r="AI46" s="292"/>
      <c r="AK46" s="189">
        <f>SUM(I46:AJ46)</f>
        <v>0</v>
      </c>
      <c r="AL46" s="190">
        <f>H84</f>
        <v>0</v>
      </c>
      <c r="AM46" s="101">
        <f t="shared" si="0"/>
        <v>0</v>
      </c>
    </row>
    <row r="47" spans="1:46" x14ac:dyDescent="0.25">
      <c r="A47" s="177" t="s">
        <v>263</v>
      </c>
      <c r="B47" s="178" t="s">
        <v>67</v>
      </c>
      <c r="C47" s="179"/>
      <c r="G47" s="180"/>
      <c r="H47" s="181"/>
      <c r="J47" s="63">
        <f t="shared" ref="J47:O47" si="1">SUM(J48:J49)</f>
        <v>234855886.79955733</v>
      </c>
      <c r="K47" s="63">
        <f t="shared" si="1"/>
        <v>11254094</v>
      </c>
      <c r="L47" s="63">
        <f t="shared" si="1"/>
        <v>3517861.8</v>
      </c>
      <c r="M47" s="63">
        <f t="shared" si="1"/>
        <v>114974352310.5</v>
      </c>
      <c r="N47" s="182">
        <f t="shared" si="1"/>
        <v>110361677086.10001</v>
      </c>
      <c r="O47" s="63">
        <f t="shared" si="1"/>
        <v>187561024</v>
      </c>
      <c r="P47" s="110"/>
      <c r="Q47" s="110">
        <f t="shared" ref="Q47:AE47" si="2">SUM(Q48:Q49)</f>
        <v>303984</v>
      </c>
      <c r="R47" s="110">
        <f t="shared" si="2"/>
        <v>2236150</v>
      </c>
      <c r="S47" s="110">
        <f t="shared" si="2"/>
        <v>37422966.277000003</v>
      </c>
      <c r="T47" s="110">
        <f t="shared" si="2"/>
        <v>125255588.33</v>
      </c>
      <c r="U47" s="110">
        <f t="shared" si="2"/>
        <v>10916480</v>
      </c>
      <c r="V47" s="110">
        <f t="shared" si="2"/>
        <v>6902369</v>
      </c>
      <c r="W47" s="110">
        <f t="shared" si="2"/>
        <v>109858928758.5</v>
      </c>
      <c r="X47" s="110">
        <f>SUM(X48:X49)</f>
        <v>154181989.80000001</v>
      </c>
      <c r="Y47" s="110">
        <f t="shared" si="2"/>
        <v>213243199.40000001</v>
      </c>
      <c r="Z47" s="110">
        <f t="shared" si="2"/>
        <v>367207.8</v>
      </c>
      <c r="AA47" s="110">
        <f t="shared" si="2"/>
        <v>78315</v>
      </c>
      <c r="AB47" s="110">
        <f t="shared" si="2"/>
        <v>269575</v>
      </c>
      <c r="AC47" s="110">
        <f t="shared" si="2"/>
        <v>1065511</v>
      </c>
      <c r="AD47" s="110">
        <f t="shared" si="2"/>
        <v>1255239</v>
      </c>
      <c r="AE47" s="110">
        <f t="shared" si="2"/>
        <v>35696</v>
      </c>
      <c r="AF47" s="183"/>
      <c r="AG47" s="181">
        <v>0</v>
      </c>
      <c r="AH47" s="184"/>
      <c r="AI47" s="184"/>
      <c r="AJ47" s="180"/>
      <c r="AK47" s="110">
        <f>SUM(O47:AJ47)</f>
        <v>110600024053.10699</v>
      </c>
      <c r="AL47" s="63">
        <f>I84</f>
        <v>110600024053.10701</v>
      </c>
      <c r="AM47" s="100">
        <f t="shared" si="0"/>
        <v>0</v>
      </c>
      <c r="AN47" s="183"/>
    </row>
    <row r="48" spans="1:46" x14ac:dyDescent="0.25">
      <c r="A48" s="187"/>
      <c r="B48" s="178" t="s">
        <v>222</v>
      </c>
      <c r="C48" s="179"/>
      <c r="G48" s="180"/>
      <c r="H48" s="181"/>
      <c r="J48" s="166">
        <f>'[4]Summary purpose DWRM_2020 '!$G$168*(1+'[4]Summary purpose DWRM_2020 '!$G$172)</f>
        <v>230867434.07862237</v>
      </c>
      <c r="K48" s="176">
        <f>'[4]Summary purpose DWRM_2020 '!$G$175</f>
        <v>5627047</v>
      </c>
      <c r="L48" s="166">
        <f>'[4]Summary purpose DWRM_2020 '!$G$178</f>
        <v>888528</v>
      </c>
      <c r="M48" s="166">
        <f>'[4]Summary (ISIC 4, 2)_2020 '!$Q$279</f>
        <v>114974220814</v>
      </c>
      <c r="N48" s="169">
        <f>'[4]Summary purpose DWRM_2020 '!$G$162-SUM('[4]Summary purpose DWRM_2020 '!$G$158:$G$161,'[4]Summary purpose DWRM_2020 '!$G$154:$G$155,'[4]Summary purpose DWRM_2020 '!$G$148:$G$150)</f>
        <v>110354825031.20001</v>
      </c>
      <c r="O48" s="166">
        <f>'[4]Summary (ISIC 4, 2)_2020 '!$R$271</f>
        <v>186874900</v>
      </c>
      <c r="P48" s="188"/>
      <c r="Q48" s="166">
        <f>'[4]Summary (ISIC 4, 2)_2020 '!$R$272</f>
        <v>109500</v>
      </c>
      <c r="R48" s="166">
        <f>'[4]Summary (ISIC 4, 2)_2020 '!$R$274</f>
        <v>2221550</v>
      </c>
      <c r="S48" s="166">
        <f>'[4]Summary (ISIC 4, 2)_2020 '!$R$275</f>
        <v>37314600</v>
      </c>
      <c r="T48" s="166">
        <f>'[4]Summary (ISIC 4, 2)_2020 '!$R$276</f>
        <v>124932983.33</v>
      </c>
      <c r="U48" s="166">
        <f>'[4]Summary (ISIC 4, 2)_2020 '!$R$277</f>
        <v>8870772</v>
      </c>
      <c r="V48" s="166">
        <f>'[4]Summary (ISIC 4, 2)_2020 '!$R$278</f>
        <v>5037525</v>
      </c>
      <c r="W48" s="166">
        <f>'[4]Summary (ISIC 4, 2)_2020 '!$R$279</f>
        <v>109858797262</v>
      </c>
      <c r="X48" s="166">
        <f>'[4]Summary (ISIC 4, 2)_2020 '!$R$280+'[4]Summary (ISIC 4, 2)_2020 '!$R$281</f>
        <v>143594778</v>
      </c>
      <c r="Y48" s="166">
        <f>'[4]Summary (ISIC 4, 2)_2020 '!$R$282</f>
        <v>212513033</v>
      </c>
      <c r="Z48" s="166">
        <f>'[4]Summary (ISIC 4, 2)_2020 '!$R$283</f>
        <v>228824.8</v>
      </c>
      <c r="AA48" s="166">
        <f>'[4]Summary (ISIC 4, 2)_2020 '!$R$284</f>
        <v>1825</v>
      </c>
      <c r="AB48" s="166">
        <f>'[4]Summary (ISIC 4, 2)_2020 '!$R$285</f>
        <v>68255</v>
      </c>
      <c r="AC48" s="166">
        <f>'[4]Summary (ISIC 4, 2)_2020 '!$R$286</f>
        <v>989150</v>
      </c>
      <c r="AD48" s="169">
        <f>'[4]Summary (ISIC 4, 2)_2020 '!$R$287</f>
        <v>1212825</v>
      </c>
      <c r="AE48" s="166">
        <f>'[4]Summary (ISIC 4, 2)_2020 '!$R$288</f>
        <v>14600</v>
      </c>
      <c r="AF48" s="63"/>
      <c r="AG48" s="181"/>
      <c r="AI48" s="184"/>
      <c r="AJ48" s="180"/>
      <c r="AK48" s="110">
        <f t="shared" ref="AK48:AK55" si="3">SUM(O48:AJ48)</f>
        <v>110582782383.13</v>
      </c>
      <c r="AL48" s="63"/>
      <c r="AM48" s="100"/>
      <c r="AN48" s="184"/>
    </row>
    <row r="49" spans="1:40" x14ac:dyDescent="0.25">
      <c r="A49" s="187"/>
      <c r="B49" s="178" t="s">
        <v>223</v>
      </c>
      <c r="C49" s="179"/>
      <c r="G49" s="180"/>
      <c r="H49" s="181"/>
      <c r="J49" s="166">
        <f>'[4]Summary purpose DWRM_2020 '!$G$167*(1+'[4]Summary purpose DWRM_2020 '!$G$172)</f>
        <v>3988452.7209349661</v>
      </c>
      <c r="K49" s="166">
        <f>'[4]Summary purpose DWRM_2020 '!$G$175</f>
        <v>5627047</v>
      </c>
      <c r="L49" s="166">
        <f>'[4]Summary purpose DWRM_2020 '!$G$179</f>
        <v>2629333.7999999998</v>
      </c>
      <c r="M49" s="166">
        <f>'[4]Summary (ISIC 4, 2)_2020 '!$I$279</f>
        <v>131496.5</v>
      </c>
      <c r="N49" s="169">
        <f>'[4]Summary purpose DWRM_2020 '!$G$132-SUM('[4]Summary purpose DWRM_2020 '!$G$129:$G$131,'[4]Summary purpose DWRM_2020 '!$G$125:$G$126,'[4]Summary purpose DWRM_2020 '!$G$120:$G$121)</f>
        <v>6852054.8999999985</v>
      </c>
      <c r="O49" s="166">
        <f>'[4]Summary (ISIC 4, 2)_2020 '!$I$271</f>
        <v>686124</v>
      </c>
      <c r="P49" s="188"/>
      <c r="Q49" s="166">
        <f>'[4]Summary (ISIC 4, 2)_2020 '!$I$272</f>
        <v>194484</v>
      </c>
      <c r="R49" s="166">
        <f>'[4]Summary (ISIC 4, 2)_2020 '!$I$274</f>
        <v>14600</v>
      </c>
      <c r="S49" s="166">
        <f>'[4]Summary (ISIC 4, 2)_2020 '!$I$275</f>
        <v>108366.277</v>
      </c>
      <c r="T49" s="166">
        <f>'[4]Summary (ISIC 4, 2)_2020 '!$I$276</f>
        <v>322605</v>
      </c>
      <c r="U49" s="166">
        <f>'[4]Summary (ISIC 4, 2)_2020 '!$I$277</f>
        <v>2045708</v>
      </c>
      <c r="V49" s="166">
        <f>'[4]Summary (ISIC 4, 2)_2020 '!$I$278</f>
        <v>1864844</v>
      </c>
      <c r="W49" s="166">
        <f>'[4]Summary (ISIC 4, 2)_2020 '!$I$279</f>
        <v>131496.5</v>
      </c>
      <c r="X49" s="166">
        <f>'[4]Summary (ISIC 4, 2)_2020 '!$I$280+'[4]Summary (ISIC 4, 2)_2020 '!$I$281</f>
        <v>10587211.800000001</v>
      </c>
      <c r="Y49" s="166">
        <f>'[4]Summary (ISIC 4, 2)_2020 '!$I$282</f>
        <v>730166.4</v>
      </c>
      <c r="Z49" s="166">
        <f>'[4]Summary (ISIC 4, 2)_2020 '!$I$283</f>
        <v>138383</v>
      </c>
      <c r="AA49" s="166">
        <f>'[4]Summary (ISIC 4, 2)_2020 '!$I$284</f>
        <v>76490</v>
      </c>
      <c r="AB49" s="166">
        <f>'[4]Summary (ISIC 4, 2)_2020 '!$I$285</f>
        <v>201320</v>
      </c>
      <c r="AC49" s="166">
        <f>'[4]Summary (ISIC 4, 2)_2020 '!$I$286</f>
        <v>76361</v>
      </c>
      <c r="AD49" s="169">
        <f>'[4]Summary (ISIC 4, 2)_2020 '!$I$287</f>
        <v>42414</v>
      </c>
      <c r="AE49" s="166">
        <f>'[4]Summary (ISIC 4, 2)_2020 '!$I$288</f>
        <v>21096</v>
      </c>
      <c r="AF49" s="63"/>
      <c r="AG49" s="181"/>
      <c r="AH49" s="184"/>
      <c r="AI49" s="184"/>
      <c r="AJ49" s="180"/>
      <c r="AK49" s="110">
        <f t="shared" si="3"/>
        <v>17241669.976999998</v>
      </c>
      <c r="AL49" s="63">
        <f>AK43-AK49-AK52</f>
        <v>0</v>
      </c>
      <c r="AM49" s="100"/>
      <c r="AN49" s="184"/>
    </row>
    <row r="50" spans="1:40" x14ac:dyDescent="0.25">
      <c r="A50" s="187"/>
      <c r="B50" s="178" t="s">
        <v>265</v>
      </c>
      <c r="C50" s="179"/>
      <c r="G50" s="180"/>
      <c r="H50" s="181"/>
      <c r="J50" s="63"/>
      <c r="K50" s="63"/>
      <c r="L50" s="63"/>
      <c r="N50" s="181"/>
      <c r="O50" s="63"/>
      <c r="P50" s="188"/>
      <c r="R50" s="63"/>
      <c r="S50" s="63"/>
      <c r="T50" s="63"/>
      <c r="U50" s="63"/>
      <c r="V50" s="63"/>
      <c r="W50" s="63"/>
      <c r="X50" s="63"/>
      <c r="Y50" s="63"/>
      <c r="Z50" s="63"/>
      <c r="AA50" s="63"/>
      <c r="AB50" s="63"/>
      <c r="AC50" s="63"/>
      <c r="AD50" s="100"/>
      <c r="AE50" s="63"/>
      <c r="AF50" s="63"/>
      <c r="AG50" s="181"/>
      <c r="AH50" s="184"/>
      <c r="AI50" s="184"/>
      <c r="AJ50" s="180"/>
      <c r="AK50" s="110">
        <f t="shared" si="3"/>
        <v>0</v>
      </c>
      <c r="AL50" s="63"/>
      <c r="AM50" s="100"/>
      <c r="AN50" s="184"/>
    </row>
    <row r="51" spans="1:40" x14ac:dyDescent="0.25">
      <c r="A51" s="187"/>
      <c r="B51" s="178" t="s">
        <v>222</v>
      </c>
      <c r="C51" s="179"/>
      <c r="G51" s="180"/>
      <c r="H51" s="192"/>
      <c r="J51" s="63"/>
      <c r="K51" s="63"/>
      <c r="L51" s="63"/>
      <c r="N51" s="181"/>
      <c r="O51" s="176">
        <f>O47*0.4</f>
        <v>75024409.600000009</v>
      </c>
      <c r="P51" s="188"/>
      <c r="R51" s="63"/>
      <c r="S51" s="63"/>
      <c r="T51" s="166">
        <f>'[3]OWN SS'!$I$107</f>
        <v>824516.0046483638</v>
      </c>
      <c r="U51" s="63"/>
      <c r="V51" s="63"/>
      <c r="W51" s="63"/>
      <c r="X51" s="63"/>
      <c r="Y51" s="166">
        <f>'[3]OWN SS'!$I$108</f>
        <v>2782741.515688228</v>
      </c>
      <c r="Z51" s="63"/>
      <c r="AA51" s="63"/>
      <c r="AB51" s="63"/>
      <c r="AC51" s="63"/>
      <c r="AD51" s="169">
        <f>'[3]OWN SS'!$I$109</f>
        <v>515322.50290522736</v>
      </c>
      <c r="AE51" s="166">
        <f>'[3]OWN SS'!$I$110</f>
        <v>6183870.0348627279</v>
      </c>
      <c r="AF51" s="63"/>
      <c r="AG51" s="181"/>
      <c r="AH51" s="184"/>
      <c r="AI51" s="184"/>
      <c r="AJ51" s="180"/>
      <c r="AK51" s="110">
        <f>SUM(O51:AJ51)</f>
        <v>85330859.658104554</v>
      </c>
      <c r="AL51" s="63">
        <f>AK48+AK51-AK42</f>
        <v>0</v>
      </c>
      <c r="AM51" s="100"/>
      <c r="AN51" s="184"/>
    </row>
    <row r="52" spans="1:40" x14ac:dyDescent="0.25">
      <c r="A52" s="187"/>
      <c r="B52" s="178" t="s">
        <v>264</v>
      </c>
      <c r="C52" s="179"/>
      <c r="G52" s="180"/>
      <c r="H52" s="181"/>
      <c r="J52" s="63"/>
      <c r="K52" s="63"/>
      <c r="L52" s="63"/>
      <c r="M52" s="191"/>
      <c r="N52" s="181"/>
      <c r="O52" s="63"/>
      <c r="P52" s="188"/>
      <c r="R52" s="63"/>
      <c r="S52" s="63"/>
      <c r="T52" s="166">
        <f>'[3]OWN SS'!$I$115</f>
        <v>1516399.2637624587</v>
      </c>
      <c r="U52" s="63"/>
      <c r="V52" s="63"/>
      <c r="W52" s="63"/>
      <c r="X52" s="63"/>
      <c r="Y52" s="166">
        <f>'[3]OWN SS'!$I$116</f>
        <v>5117847.5151982978</v>
      </c>
      <c r="Z52" s="63"/>
      <c r="AA52" s="63"/>
      <c r="AB52" s="63"/>
      <c r="AC52" s="63"/>
      <c r="AD52" s="169">
        <f>'[3]OWN SS'!$I$117</f>
        <v>947749.53985153663</v>
      </c>
      <c r="AE52" s="166">
        <f>'[3]OWN SS'!$I$118</f>
        <v>11372994.478218438</v>
      </c>
      <c r="AF52" s="63"/>
      <c r="AG52" s="181"/>
      <c r="AH52" s="184"/>
      <c r="AI52" s="184"/>
      <c r="AJ52" s="180"/>
      <c r="AK52" s="110">
        <f t="shared" si="3"/>
        <v>18954990.797030732</v>
      </c>
      <c r="AL52" s="63"/>
      <c r="AM52" s="100"/>
      <c r="AN52" s="184"/>
    </row>
    <row r="53" spans="1:40" x14ac:dyDescent="0.25">
      <c r="A53" s="187"/>
      <c r="B53" s="178" t="s">
        <v>261</v>
      </c>
      <c r="C53" s="179"/>
      <c r="G53" s="180"/>
      <c r="H53" s="192"/>
      <c r="J53" s="63"/>
      <c r="K53" s="63"/>
      <c r="L53" s="63"/>
      <c r="M53" s="191"/>
      <c r="N53" s="181"/>
      <c r="O53" s="63"/>
      <c r="P53" s="188"/>
      <c r="Q53" s="176">
        <f>N44</f>
        <v>1023626.0191982921</v>
      </c>
      <c r="R53" s="63"/>
      <c r="S53" s="63"/>
      <c r="U53" s="63"/>
      <c r="V53" s="63"/>
      <c r="W53" s="63"/>
      <c r="X53" s="63"/>
      <c r="Z53" s="63"/>
      <c r="AA53" s="63"/>
      <c r="AB53" s="63"/>
      <c r="AC53" s="63"/>
      <c r="AD53" s="181"/>
      <c r="AF53" s="63"/>
      <c r="AG53" s="181"/>
      <c r="AH53" s="184"/>
      <c r="AI53" s="184"/>
      <c r="AJ53" s="180"/>
      <c r="AK53" s="110">
        <f t="shared" si="3"/>
        <v>1023626.0191982921</v>
      </c>
      <c r="AL53" s="63">
        <f>AL49-AL54</f>
        <v>0</v>
      </c>
      <c r="AM53" s="100"/>
      <c r="AN53" s="184"/>
    </row>
    <row r="54" spans="1:40" x14ac:dyDescent="0.25">
      <c r="A54" s="187"/>
      <c r="B54" s="178" t="s">
        <v>262</v>
      </c>
      <c r="C54" s="179"/>
      <c r="G54" s="180"/>
      <c r="H54" s="181"/>
      <c r="J54" s="63"/>
      <c r="K54" s="63"/>
      <c r="L54" s="63"/>
      <c r="N54" s="181"/>
      <c r="O54" s="63"/>
      <c r="P54" s="188"/>
      <c r="Q54" s="63"/>
      <c r="R54" s="63"/>
      <c r="S54" s="166">
        <f>[5]MAAIF!$O$73</f>
        <v>133033940</v>
      </c>
      <c r="T54" s="166">
        <f>'[3]OWN SS'!$I$123</f>
        <v>926294.7827760689</v>
      </c>
      <c r="U54" s="63"/>
      <c r="V54" s="63"/>
      <c r="W54" s="63"/>
      <c r="X54" s="63"/>
      <c r="Y54" s="166">
        <f>'[3]OWN SS'!$I$124</f>
        <v>3126244.8918692325</v>
      </c>
      <c r="Z54" s="63"/>
      <c r="AA54" s="63"/>
      <c r="AB54" s="63"/>
      <c r="AC54" s="63"/>
      <c r="AD54" s="169">
        <f>'[3]OWN SS'!$I$125</f>
        <v>578934.23923504306</v>
      </c>
      <c r="AE54" s="166">
        <f>'[3]OWN SS'!$I$126</f>
        <v>6947210.8708205167</v>
      </c>
      <c r="AF54" s="63"/>
      <c r="AG54" s="181"/>
      <c r="AH54" s="184"/>
      <c r="AI54" s="184"/>
      <c r="AJ54" s="180"/>
      <c r="AK54" s="110">
        <f>SUM(O54:AJ54)</f>
        <v>144612624.78470087</v>
      </c>
      <c r="AL54" s="63">
        <f>AK54-AK45</f>
        <v>0</v>
      </c>
      <c r="AM54" s="100"/>
      <c r="AN54" s="184"/>
    </row>
    <row r="55" spans="1:40" x14ac:dyDescent="0.25">
      <c r="A55" s="187"/>
      <c r="B55" s="178" t="s">
        <v>228</v>
      </c>
      <c r="C55" s="179"/>
      <c r="G55" s="180"/>
      <c r="H55" s="181"/>
      <c r="J55" s="63"/>
      <c r="K55" s="63"/>
      <c r="L55" s="63"/>
      <c r="N55" s="181"/>
      <c r="O55" s="63"/>
      <c r="P55" s="166">
        <f>'[6]Area GIS-Remote sensing'!$J$55</f>
        <v>169768210667250.03</v>
      </c>
      <c r="Q55" s="166">
        <f>'[6]Area GIS-Remote sensing'!$J$62</f>
        <v>52592101627520.016</v>
      </c>
      <c r="R55" s="166">
        <f>'[6]Area GIS-Remote sensing'!$J$69</f>
        <v>31462905740500.008</v>
      </c>
      <c r="S55" s="166">
        <f>[7]MAAIF!$N$69</f>
        <v>13237076423.303574</v>
      </c>
      <c r="T55" s="63"/>
      <c r="U55" s="63"/>
      <c r="V55" s="63"/>
      <c r="W55" s="63"/>
      <c r="X55" s="166">
        <f>'[6]Area GIS-Remote sensing'!$J$48</f>
        <v>1529840722593.3452</v>
      </c>
      <c r="Y55" s="63"/>
      <c r="Z55" s="63"/>
      <c r="AA55" s="63"/>
      <c r="AB55" s="63"/>
      <c r="AC55" s="63"/>
      <c r="AD55" s="101"/>
      <c r="AE55" s="255">
        <f>AE54*6</f>
        <v>41683265.224923104</v>
      </c>
      <c r="AF55" s="63"/>
      <c r="AG55" s="181"/>
      <c r="AH55" s="184"/>
      <c r="AI55" s="184"/>
      <c r="AJ55" s="180"/>
      <c r="AK55" s="110">
        <f t="shared" si="3"/>
        <v>255366337517551.94</v>
      </c>
      <c r="AL55" s="63"/>
      <c r="AM55" s="100"/>
      <c r="AN55" s="184"/>
    </row>
    <row r="56" spans="1:40" s="272" customFormat="1" x14ac:dyDescent="0.25">
      <c r="A56" s="148" t="s">
        <v>216</v>
      </c>
      <c r="B56" s="149" t="s">
        <v>68</v>
      </c>
      <c r="C56" s="273"/>
      <c r="H56" s="265"/>
      <c r="J56" s="142">
        <f>SUM(J61:J79)</f>
        <v>15892027.817895319</v>
      </c>
      <c r="N56" s="265"/>
      <c r="Q56" s="167">
        <f>'[8]Monthly summary'!$H$43</f>
        <v>28957734.438339721</v>
      </c>
      <c r="T56" s="167">
        <f>'[8]Monthly summary'!$H$46</f>
        <v>1363604.6698241122</v>
      </c>
      <c r="U56" s="167">
        <f>'[8]Monthly summary'!$H$47</f>
        <v>12546286.293874418</v>
      </c>
      <c r="V56" s="167">
        <f>'[8]Monthly summary'!$H$48</f>
        <v>6337106.3870244613</v>
      </c>
      <c r="W56" s="167">
        <f>'[8]Monthly summary'!$H$49</f>
        <v>228627.89686890412</v>
      </c>
      <c r="X56" s="167">
        <f>'[8]Monthly summary'!$H$50</f>
        <v>0</v>
      </c>
      <c r="Y56" s="167">
        <f>'[8]Monthly summary'!$H$51</f>
        <v>1914392.977043279</v>
      </c>
      <c r="Z56" s="167">
        <f>'[8]Monthly summary'!$H$52</f>
        <v>2854777.3919335445</v>
      </c>
      <c r="AA56" s="167">
        <f>'[8]Monthly summary'!$H$53</f>
        <v>23015199.044769648</v>
      </c>
      <c r="AB56" s="167">
        <f>'[8]Monthly summary'!$H$54</f>
        <v>1641710.1272634014</v>
      </c>
      <c r="AC56" s="167">
        <f>'[8]Monthly summary'!$H$55</f>
        <v>3248353.5950340214</v>
      </c>
      <c r="AD56" s="168">
        <f>'[8]Monthly summary'!$H$56</f>
        <v>9120495.6457243226</v>
      </c>
      <c r="AE56" s="167">
        <f>'[8]Monthly summary'!$H$57</f>
        <v>69055594.381077453</v>
      </c>
      <c r="AF56" s="293"/>
      <c r="AG56" s="265"/>
      <c r="AI56" s="293">
        <f>J47-SUM(O56:AG56)</f>
        <v>74572003.950780034</v>
      </c>
      <c r="AK56" s="185">
        <f t="shared" ref="AK56:AK61" si="4">SUM(I56:AJ56)</f>
        <v>250747914.61745265</v>
      </c>
      <c r="AL56" s="142">
        <f>J84</f>
        <v>250747914.61745265</v>
      </c>
      <c r="AM56" s="186">
        <f t="shared" si="0"/>
        <v>0</v>
      </c>
    </row>
    <row r="57" spans="1:40" x14ac:dyDescent="0.25">
      <c r="A57" s="187" t="s">
        <v>54</v>
      </c>
      <c r="B57" s="143" t="s">
        <v>186</v>
      </c>
      <c r="C57" s="179"/>
      <c r="G57" s="180"/>
      <c r="H57" s="181"/>
      <c r="K57" s="294"/>
      <c r="L57" s="180"/>
      <c r="N57" s="192"/>
      <c r="P57" s="294"/>
      <c r="Q57" s="166"/>
      <c r="R57" s="180"/>
      <c r="T57" s="166">
        <f>'[2]Sector perf reports'!$H$75</f>
        <v>0</v>
      </c>
      <c r="U57" s="166">
        <f>'[3]Sector perf reports'!$I$76</f>
        <v>20758.646404026102</v>
      </c>
      <c r="V57" s="166">
        <f>'[3]Sector perf reports'!$I$77</f>
        <v>10485.154541480839</v>
      </c>
      <c r="W57" s="166">
        <f>'[3]Sector perf reports'!$I$78</f>
        <v>378.2797202320267</v>
      </c>
      <c r="X57" s="166"/>
      <c r="Y57" s="166">
        <f>'[3]Sector perf reports'!$I$79</f>
        <v>3167.487649966587</v>
      </c>
      <c r="Z57" s="166">
        <f>'[3]Sector perf reports'!$I$80</f>
        <v>4723.4148060442349</v>
      </c>
      <c r="AA57" s="166">
        <f>'[3]Sector perf reports'!$I$81</f>
        <v>0</v>
      </c>
      <c r="AB57" s="166">
        <f>'[3]Sector perf reports'!$I$82</f>
        <v>2716.3161457911774</v>
      </c>
      <c r="AC57" s="166">
        <f>'[3]Sector perf reports'!$I$83</f>
        <v>5374.612223497631</v>
      </c>
      <c r="AD57" s="169">
        <f>'[3]Sector perf reports'!$I$84</f>
        <v>15090.453039596961</v>
      </c>
      <c r="AE57" s="166">
        <f>'[3]Sector perf reports'!$I$87</f>
        <v>2486000</v>
      </c>
      <c r="AF57" s="151"/>
      <c r="AG57" s="181"/>
      <c r="AI57" s="151">
        <f>K47-SUM(O57:AG57)</f>
        <v>8705399.635469364</v>
      </c>
      <c r="AJ57" s="180"/>
      <c r="AK57" s="110">
        <f t="shared" si="4"/>
        <v>11254094</v>
      </c>
      <c r="AL57" s="63">
        <f>K84</f>
        <v>11254094</v>
      </c>
      <c r="AM57" s="100">
        <f t="shared" si="0"/>
        <v>0</v>
      </c>
      <c r="AN57" s="184"/>
    </row>
    <row r="58" spans="1:40" x14ac:dyDescent="0.25">
      <c r="A58" s="187"/>
      <c r="B58" s="269" t="s">
        <v>69</v>
      </c>
      <c r="C58" s="179"/>
      <c r="G58" s="180"/>
      <c r="H58" s="181"/>
      <c r="L58" s="180"/>
      <c r="N58" s="181"/>
      <c r="P58" s="294"/>
      <c r="R58" s="180"/>
      <c r="T58" s="166"/>
      <c r="U58" s="166" t="s">
        <v>139</v>
      </c>
      <c r="V58" s="166" t="s">
        <v>139</v>
      </c>
      <c r="W58" s="166" t="s">
        <v>139</v>
      </c>
      <c r="X58" s="166"/>
      <c r="Y58" s="166">
        <f>L47*'Meta data'!E39</f>
        <v>35178.618000000002</v>
      </c>
      <c r="Z58" s="166">
        <f>$L$47*'Meta data'!E41</f>
        <v>105535.85399999999</v>
      </c>
      <c r="AA58" s="166">
        <f>L47*'Meta data'!E42</f>
        <v>70357.236000000004</v>
      </c>
      <c r="AB58" s="166">
        <f>L47*'Meta data'!E43</f>
        <v>175893.09</v>
      </c>
      <c r="AC58" s="166">
        <f>'Meta data'!E44*'Table 1  Water Input table'!L47</f>
        <v>175893.09</v>
      </c>
      <c r="AD58" s="169">
        <f>L47*'Meta data'!E45</f>
        <v>140714.47200000001</v>
      </c>
      <c r="AE58" s="166">
        <f>L47*'Meta data'!E46</f>
        <v>2814289.44</v>
      </c>
      <c r="AF58" s="151"/>
      <c r="AG58" s="192"/>
      <c r="AI58" s="151">
        <f>L47-SUM(O58:AG58)</f>
        <v>0</v>
      </c>
      <c r="AJ58" s="180"/>
      <c r="AK58" s="110">
        <f t="shared" si="4"/>
        <v>3517861.8</v>
      </c>
      <c r="AL58" s="63">
        <f>L84</f>
        <v>3517861.8</v>
      </c>
      <c r="AM58" s="100">
        <f t="shared" si="0"/>
        <v>0</v>
      </c>
      <c r="AN58" s="184"/>
    </row>
    <row r="59" spans="1:40" ht="17.25" customHeight="1" x14ac:dyDescent="0.25">
      <c r="A59" s="187"/>
      <c r="B59" s="262" t="s">
        <v>309</v>
      </c>
      <c r="C59" s="179"/>
      <c r="G59" s="180"/>
      <c r="H59" s="181"/>
      <c r="L59" s="180"/>
      <c r="N59" s="181"/>
      <c r="P59" s="294"/>
      <c r="Q59" s="294"/>
      <c r="R59" s="180"/>
      <c r="T59" s="63"/>
      <c r="W59" s="171">
        <f>W47+SUM(W51:W55)</f>
        <v>109858928758.5</v>
      </c>
      <c r="Y59" s="63"/>
      <c r="AD59" s="100"/>
      <c r="AE59" s="151"/>
      <c r="AF59" s="151"/>
      <c r="AG59" s="181"/>
      <c r="AI59" s="151">
        <f>SUM(M47)-SUM(O59:AG59)</f>
        <v>5115423552</v>
      </c>
      <c r="AK59" s="63">
        <f t="shared" si="4"/>
        <v>114974352310.5</v>
      </c>
      <c r="AL59" s="63">
        <f>M84</f>
        <v>114998502310.5</v>
      </c>
      <c r="AM59" s="100">
        <f t="shared" si="0"/>
        <v>-24150000</v>
      </c>
      <c r="AN59" s="184"/>
    </row>
    <row r="60" spans="1:40" s="194" customFormat="1" x14ac:dyDescent="0.25">
      <c r="A60" s="289"/>
      <c r="B60" s="262" t="s">
        <v>307</v>
      </c>
      <c r="C60" s="267"/>
      <c r="H60" s="268"/>
      <c r="N60" s="268"/>
      <c r="O60" s="170">
        <f>O47+SUM(O51:O55)</f>
        <v>262585433.60000002</v>
      </c>
      <c r="P60" s="171">
        <f t="shared" ref="P60:AD60" si="5">P47+SUM(P51:P55)</f>
        <v>169768210667250.03</v>
      </c>
      <c r="Q60" s="171">
        <f t="shared" si="5"/>
        <v>52592102955130.031</v>
      </c>
      <c r="R60" s="171">
        <f t="shared" si="5"/>
        <v>31462907976650.008</v>
      </c>
      <c r="S60" s="171">
        <f>S47+SUM(S51:S55)</f>
        <v>13407533329.580574</v>
      </c>
      <c r="T60" s="171">
        <f t="shared" si="5"/>
        <v>128522798.38118689</v>
      </c>
      <c r="U60" s="171">
        <f t="shared" si="5"/>
        <v>10916480</v>
      </c>
      <c r="V60" s="171">
        <f t="shared" si="5"/>
        <v>6902369</v>
      </c>
      <c r="X60" s="171">
        <f>X56+SUM(X55)</f>
        <v>1529840722593.3452</v>
      </c>
      <c r="Y60" s="171">
        <f t="shared" si="5"/>
        <v>224270033.32275575</v>
      </c>
      <c r="Z60" s="171">
        <f t="shared" si="5"/>
        <v>367207.8</v>
      </c>
      <c r="AA60" s="171">
        <f t="shared" si="5"/>
        <v>78315</v>
      </c>
      <c r="AB60" s="171">
        <f t="shared" si="5"/>
        <v>269575</v>
      </c>
      <c r="AC60" s="171">
        <f t="shared" si="5"/>
        <v>1065511</v>
      </c>
      <c r="AD60" s="196">
        <f t="shared" si="5"/>
        <v>3297245.2819918068</v>
      </c>
      <c r="AE60" s="166">
        <f>SUM(AE47, AE51:AE55)</f>
        <v>66223036.60882479</v>
      </c>
      <c r="AF60" s="292"/>
      <c r="AG60" s="268"/>
      <c r="AJ60" s="295"/>
      <c r="AK60" s="189">
        <f>SUM(O60:AJ60)</f>
        <v>255367174352957.97</v>
      </c>
      <c r="AL60" s="190">
        <f>N84</f>
        <v>255476970331839.19</v>
      </c>
      <c r="AM60" s="101">
        <f t="shared" si="0"/>
        <v>-109795978881.21875</v>
      </c>
      <c r="AN60" s="194" t="s">
        <v>266</v>
      </c>
    </row>
    <row r="61" spans="1:40" x14ac:dyDescent="0.25">
      <c r="A61" s="187" t="s">
        <v>217</v>
      </c>
      <c r="B61" s="269" t="s">
        <v>5</v>
      </c>
      <c r="C61" s="179"/>
      <c r="G61" s="180"/>
      <c r="H61" s="181"/>
      <c r="L61" s="180"/>
      <c r="N61" s="181"/>
      <c r="O61" s="294"/>
      <c r="R61" s="180"/>
      <c r="T61" s="294"/>
      <c r="Y61" s="294"/>
      <c r="AD61" s="296"/>
      <c r="AE61" s="297"/>
      <c r="AF61" s="298"/>
      <c r="AG61" s="181"/>
      <c r="AH61" s="183"/>
      <c r="AI61" s="183">
        <f>$O60*0.5</f>
        <v>131292716.80000001</v>
      </c>
      <c r="AK61" s="110">
        <f t="shared" si="4"/>
        <v>131292716.80000001</v>
      </c>
      <c r="AL61" s="63">
        <f>O84</f>
        <v>262585433.60000002</v>
      </c>
      <c r="AM61" s="100">
        <f t="shared" si="0"/>
        <v>-131292716.80000001</v>
      </c>
      <c r="AN61" s="184"/>
    </row>
    <row r="62" spans="1:40" x14ac:dyDescent="0.25">
      <c r="A62" s="187"/>
      <c r="B62" s="269" t="s">
        <v>72</v>
      </c>
      <c r="C62" s="179"/>
      <c r="G62" s="180"/>
      <c r="H62" s="181"/>
      <c r="L62" s="180"/>
      <c r="N62" s="181"/>
      <c r="R62" s="180"/>
      <c r="T62" s="294"/>
      <c r="Y62" s="294"/>
      <c r="AD62" s="296"/>
      <c r="AE62" s="299"/>
      <c r="AF62" s="298"/>
      <c r="AG62" s="181"/>
      <c r="AH62" s="166">
        <f>'[6]Area GIS-Remote sensing'!$J$56</f>
        <v>50930463200175.008</v>
      </c>
      <c r="AI62" s="166">
        <f>'[6]Area GIS-Remote sensing'!$J$59</f>
        <v>33953642133450.008</v>
      </c>
      <c r="AJ62" s="166">
        <f>'[6]Area GIS-Remote sensing'!$J$58</f>
        <v>67907284266900.016</v>
      </c>
      <c r="AK62" s="110">
        <f t="shared" ref="AK62:AK77" si="6">SUM(O62:AJ62)</f>
        <v>152791389600525.03</v>
      </c>
      <c r="AL62" s="63">
        <f>P84</f>
        <v>170011889171822</v>
      </c>
      <c r="AM62" s="100">
        <f t="shared" si="0"/>
        <v>-17220499571296.969</v>
      </c>
      <c r="AN62" s="184"/>
    </row>
    <row r="63" spans="1:40" x14ac:dyDescent="0.25">
      <c r="A63" s="187"/>
      <c r="B63" s="269" t="s">
        <v>74</v>
      </c>
      <c r="C63" s="179"/>
      <c r="G63" s="180"/>
      <c r="H63" s="181"/>
      <c r="J63" s="166">
        <f>'[8]Monthly summary'!$H$65</f>
        <v>2895773.4438339723</v>
      </c>
      <c r="L63" s="180"/>
      <c r="N63" s="181"/>
      <c r="R63" s="180"/>
      <c r="AD63" s="181"/>
      <c r="AE63" s="296"/>
      <c r="AF63" s="298"/>
      <c r="AG63" s="181"/>
      <c r="AH63" s="300">
        <f>'[6]Area GIS-Remote sensing'!$J$63</f>
        <v>13148025406880.004</v>
      </c>
      <c r="AI63" s="301">
        <f>'[6]Area GIS-Remote sensing'!$J$66</f>
        <v>7888815244128.002</v>
      </c>
      <c r="AJ63" s="166">
        <f>'[6]Area GIS-Remote sensing'!$J$65</f>
        <v>22614603699833.605</v>
      </c>
      <c r="AK63" s="110">
        <f t="shared" si="6"/>
        <v>43651444350841.609</v>
      </c>
      <c r="AL63" s="63">
        <f>Q84</f>
        <v>52667620515530.602</v>
      </c>
      <c r="AM63" s="100">
        <f t="shared" si="0"/>
        <v>-9016176164688.9922</v>
      </c>
      <c r="AN63" s="184"/>
    </row>
    <row r="64" spans="1:40" x14ac:dyDescent="0.25">
      <c r="A64" s="187"/>
      <c r="B64" s="269" t="s">
        <v>76</v>
      </c>
      <c r="C64" s="179"/>
      <c r="G64" s="180"/>
      <c r="H64" s="181"/>
      <c r="L64" s="180"/>
      <c r="N64" s="192"/>
      <c r="R64" s="180"/>
      <c r="AD64" s="181"/>
      <c r="AE64" s="184"/>
      <c r="AF64" s="298"/>
      <c r="AG64" s="181"/>
      <c r="AH64" s="166">
        <f>'[6]Area GIS-Remote sensing'!$J$70</f>
        <v>3146290574050.001</v>
      </c>
      <c r="AI64" s="166">
        <f>'[6]Area GIS-Remote sensing'!$J$73</f>
        <v>6292581148100.002</v>
      </c>
      <c r="AJ64" s="166">
        <f>'[6]Area GIS-Remote sensing'!$J$72</f>
        <v>15731452870250.004</v>
      </c>
      <c r="AK64" s="110">
        <f t="shared" si="6"/>
        <v>25170324592400.008</v>
      </c>
      <c r="AL64" s="63">
        <f>R84</f>
        <v>31508068577301.344</v>
      </c>
      <c r="AM64" s="100">
        <f t="shared" si="0"/>
        <v>-6337743984901.3359</v>
      </c>
      <c r="AN64" s="184"/>
    </row>
    <row r="65" spans="1:40" x14ac:dyDescent="0.25">
      <c r="A65" s="187"/>
      <c r="B65" s="269" t="s">
        <v>77</v>
      </c>
      <c r="C65" s="179"/>
      <c r="G65" s="180"/>
      <c r="H65" s="181"/>
      <c r="L65" s="180"/>
      <c r="N65" s="192"/>
      <c r="P65" s="191"/>
      <c r="R65" s="180"/>
      <c r="AC65" s="191"/>
      <c r="AD65" s="181"/>
      <c r="AE65" s="184"/>
      <c r="AF65" s="298"/>
      <c r="AG65" s="181"/>
      <c r="AH65" s="183">
        <f>S60*0.7</f>
        <v>9385273330.7064018</v>
      </c>
      <c r="AI65" s="296">
        <f>S60*0.2</f>
        <v>2681506665.9161148</v>
      </c>
      <c r="AJ65" s="191">
        <f>S60*0.1</f>
        <v>1340753332.9580574</v>
      </c>
      <c r="AK65" s="110">
        <f t="shared" si="6"/>
        <v>13407533329.580574</v>
      </c>
      <c r="AL65" s="63">
        <f>S84</f>
        <v>26537384397.244148</v>
      </c>
      <c r="AM65" s="100">
        <f t="shared" si="0"/>
        <v>-13129851067.663574</v>
      </c>
      <c r="AN65" s="183">
        <f>AM60+'Table 5&amp; 6 PSUT '!K79</f>
        <v>-107443803084.66553</v>
      </c>
    </row>
    <row r="66" spans="1:40" x14ac:dyDescent="0.25">
      <c r="A66" s="187"/>
      <c r="B66" s="269" t="s">
        <v>78</v>
      </c>
      <c r="C66" s="179"/>
      <c r="G66" s="180"/>
      <c r="H66" s="181"/>
      <c r="L66" s="180"/>
      <c r="N66" s="192"/>
      <c r="P66" s="191"/>
      <c r="R66" s="180"/>
      <c r="AD66" s="181"/>
      <c r="AE66" s="184"/>
      <c r="AF66" s="298"/>
      <c r="AG66" s="181"/>
      <c r="AH66" s="266"/>
      <c r="AI66" s="266"/>
      <c r="AJ66" s="191">
        <f>SUM(T59,T60)*0.7</f>
        <v>89965958.866830811</v>
      </c>
      <c r="AK66" s="110">
        <f t="shared" si="6"/>
        <v>89965958.866830811</v>
      </c>
      <c r="AL66" s="63">
        <f>T84</f>
        <v>130070879.53921711</v>
      </c>
      <c r="AM66" s="100">
        <f t="shared" si="0"/>
        <v>-40104920.672386304</v>
      </c>
      <c r="AN66" s="184"/>
    </row>
    <row r="67" spans="1:40" ht="17.100000000000001" customHeight="1" x14ac:dyDescent="0.25">
      <c r="A67" s="187"/>
      <c r="B67" s="302" t="s">
        <v>75</v>
      </c>
      <c r="C67" s="179"/>
      <c r="G67" s="180"/>
      <c r="H67" s="181"/>
      <c r="J67" s="166">
        <f>'[8]Monthly summary'!$H$69</f>
        <v>1254628.6293874418</v>
      </c>
      <c r="K67" s="63"/>
      <c r="L67" s="180"/>
      <c r="N67" s="192"/>
      <c r="R67" s="180"/>
      <c r="S67" s="303"/>
      <c r="AD67" s="181"/>
      <c r="AE67" s="184"/>
      <c r="AF67" s="298"/>
      <c r="AG67" s="181"/>
      <c r="AH67" s="191">
        <f>(SUM($U$56:$U$60)-$J$67)*0.3</f>
        <v>6668668.8932673009</v>
      </c>
      <c r="AI67" s="191">
        <f>(SUM($U$56:$U$60)-$J$67)*0.1</f>
        <v>2222889.6310891001</v>
      </c>
      <c r="AJ67" s="191">
        <f>(SUM($U$56:$U$60)-$J$67)*0.1</f>
        <v>2222889.6310891001</v>
      </c>
      <c r="AK67" s="110">
        <f t="shared" si="6"/>
        <v>11114448.155445501</v>
      </c>
      <c r="AL67" s="63">
        <f>U84</f>
        <v>23499194.019378323</v>
      </c>
      <c r="AM67" s="100">
        <f t="shared" si="0"/>
        <v>-12384745.863932822</v>
      </c>
      <c r="AN67" s="184"/>
    </row>
    <row r="68" spans="1:40" ht="15.6" customHeight="1" x14ac:dyDescent="0.25">
      <c r="A68" s="187"/>
      <c r="B68" s="302" t="s">
        <v>73</v>
      </c>
      <c r="C68" s="179"/>
      <c r="G68" s="180"/>
      <c r="H68" s="181"/>
      <c r="J68" s="166">
        <f>'[8]Monthly summary'!$H$70</f>
        <v>633710.63870244613</v>
      </c>
      <c r="K68" s="63"/>
      <c r="L68" s="180"/>
      <c r="N68" s="192">
        <f>J49+K49+L49+M49+N49</f>
        <v>19228384.920934964</v>
      </c>
      <c r="R68" s="180"/>
      <c r="AD68" s="181"/>
      <c r="AE68" s="184"/>
      <c r="AF68" s="298"/>
      <c r="AG68" s="181"/>
      <c r="AH68" s="191">
        <f>(SUM($V$56:$V$60)-$J$68)*0.3</f>
        <v>3784874.9708590489</v>
      </c>
      <c r="AI68" s="191"/>
      <c r="AJ68" s="191">
        <f>(SUM($V$56:$V$60)-$J$68)*0.3</f>
        <v>3784874.9708590489</v>
      </c>
      <c r="AK68" s="110">
        <f t="shared" si="6"/>
        <v>7569749.9417180978</v>
      </c>
      <c r="AL68" s="63">
        <f>V84</f>
        <v>13259867.926165882</v>
      </c>
      <c r="AM68" s="100">
        <f t="shared" si="0"/>
        <v>-5690117.9844477847</v>
      </c>
      <c r="AN68" s="184"/>
    </row>
    <row r="69" spans="1:40" ht="15" customHeight="1" x14ac:dyDescent="0.25">
      <c r="A69" s="187"/>
      <c r="B69" s="302" t="s">
        <v>82</v>
      </c>
      <c r="C69" s="179"/>
      <c r="G69" s="180"/>
      <c r="H69" s="181"/>
      <c r="J69" s="166">
        <f>'[8]Monthly summary'!$H$71</f>
        <v>22862.789686890414</v>
      </c>
      <c r="K69" s="63"/>
      <c r="L69" s="180"/>
      <c r="N69" s="192">
        <f>N68-I43</f>
        <v>1986714.9439349659</v>
      </c>
      <c r="R69" s="180"/>
      <c r="U69" s="266"/>
      <c r="W69" s="266"/>
      <c r="AD69" s="181"/>
      <c r="AE69" s="184"/>
      <c r="AF69" s="298"/>
      <c r="AG69" s="181"/>
      <c r="AH69" s="191">
        <f>(SUM($W$56:$W$59)-$J$69)*0.999</f>
        <v>109749275766.98502</v>
      </c>
      <c r="AI69" s="276"/>
      <c r="AJ69" s="183"/>
      <c r="AK69" s="110">
        <f t="shared" si="6"/>
        <v>109749275766.98502</v>
      </c>
      <c r="AL69" s="63">
        <f>W84</f>
        <v>110016844880.3535</v>
      </c>
      <c r="AM69" s="100">
        <f t="shared" si="0"/>
        <v>-267569113.3684845</v>
      </c>
      <c r="AN69" s="184"/>
    </row>
    <row r="70" spans="1:40" ht="15" customHeight="1" x14ac:dyDescent="0.25">
      <c r="A70" s="187"/>
      <c r="B70" s="302" t="s">
        <v>36</v>
      </c>
      <c r="C70" s="180"/>
      <c r="G70" s="180"/>
      <c r="H70" s="181"/>
      <c r="J70" s="166"/>
      <c r="K70" s="63"/>
      <c r="L70" s="180"/>
      <c r="N70" s="181"/>
      <c r="O70" s="266"/>
      <c r="P70" s="266"/>
      <c r="R70" s="180"/>
      <c r="U70" s="266"/>
      <c r="W70" s="266"/>
      <c r="X70" s="191">
        <f>SUM(J67:J77)</f>
        <v>12996254.374061346</v>
      </c>
      <c r="AD70" s="181"/>
      <c r="AE70" s="184"/>
      <c r="AF70" s="176"/>
      <c r="AG70" s="181"/>
      <c r="AH70" s="298">
        <f>X55*0.98+X70</f>
        <v>1499256904395.8523</v>
      </c>
      <c r="AI70" s="304"/>
      <c r="AJ70" s="276"/>
      <c r="AK70" s="110">
        <f t="shared" si="6"/>
        <v>1499269900650.2263</v>
      </c>
      <c r="AL70" s="63">
        <f>X84</f>
        <v>1532049812385.4092</v>
      </c>
      <c r="AM70" s="100">
        <f t="shared" si="0"/>
        <v>-32779911735.182861</v>
      </c>
      <c r="AN70" s="184"/>
    </row>
    <row r="71" spans="1:40" x14ac:dyDescent="0.25">
      <c r="A71" s="187"/>
      <c r="B71" s="269" t="s">
        <v>9</v>
      </c>
      <c r="C71" s="179"/>
      <c r="G71" s="180"/>
      <c r="H71" s="181"/>
      <c r="J71" s="166">
        <f>'[8]Monthly summary'!$H$72</f>
        <v>191439.29770432791</v>
      </c>
      <c r="K71" s="63"/>
      <c r="L71" s="180"/>
      <c r="N71" s="181"/>
      <c r="O71" s="266"/>
      <c r="P71" s="266"/>
      <c r="Q71" s="266"/>
      <c r="R71" s="180"/>
      <c r="U71" s="266"/>
      <c r="AD71" s="181"/>
      <c r="AE71" s="184"/>
      <c r="AF71" s="298"/>
      <c r="AG71" s="181"/>
      <c r="AH71" s="193"/>
      <c r="AI71" s="183"/>
      <c r="AJ71" s="191">
        <f>(SUM($Y$56:$Y$60)-$J$71)*0.2</f>
        <v>45206266.621548936</v>
      </c>
      <c r="AK71" s="110">
        <f t="shared" si="6"/>
        <v>45206266.621548936</v>
      </c>
      <c r="AL71" s="63">
        <f>Y84</f>
        <v>226544680.64802045</v>
      </c>
      <c r="AM71" s="305">
        <f t="shared" si="0"/>
        <v>-181338414.0264715</v>
      </c>
      <c r="AN71" s="184"/>
    </row>
    <row r="72" spans="1:40" x14ac:dyDescent="0.25">
      <c r="A72" s="187"/>
      <c r="B72" s="269" t="s">
        <v>10</v>
      </c>
      <c r="C72" s="179"/>
      <c r="G72" s="180"/>
      <c r="H72" s="181"/>
      <c r="J72" s="166">
        <f>'[8]Monthly summary'!$H$73</f>
        <v>285477.73919335444</v>
      </c>
      <c r="K72" s="63"/>
      <c r="L72" s="180"/>
      <c r="M72" s="176">
        <f>230000*21*5</f>
        <v>24150000</v>
      </c>
      <c r="N72" s="181"/>
      <c r="O72" s="266"/>
      <c r="R72" s="180"/>
      <c r="U72" s="266"/>
      <c r="W72" s="266"/>
      <c r="AD72" s="181"/>
      <c r="AE72" s="184"/>
      <c r="AF72" s="298"/>
      <c r="AG72" s="181"/>
      <c r="AH72" s="183"/>
      <c r="AI72" s="183"/>
      <c r="AJ72" s="191">
        <f>(SUM($Z$56:$Z$60)-$J$72)*0.2</f>
        <v>609353.34430924687</v>
      </c>
      <c r="AK72" s="110">
        <f t="shared" si="6"/>
        <v>609353.34430924687</v>
      </c>
      <c r="AL72" s="63">
        <f>Z84</f>
        <v>3332771.5361397439</v>
      </c>
      <c r="AM72" s="306">
        <f t="shared" si="0"/>
        <v>-2723418.1918304972</v>
      </c>
      <c r="AN72" s="184"/>
    </row>
    <row r="73" spans="1:40" x14ac:dyDescent="0.25">
      <c r="A73" s="187"/>
      <c r="B73" s="269" t="s">
        <v>79</v>
      </c>
      <c r="C73" s="179"/>
      <c r="G73" s="180"/>
      <c r="H73" s="181"/>
      <c r="J73" s="166">
        <f>'[8]Monthly summary'!$H$74</f>
        <v>2301519.9044769648</v>
      </c>
      <c r="K73" s="63"/>
      <c r="L73" s="180"/>
      <c r="N73" s="192"/>
      <c r="R73" s="180"/>
      <c r="U73" s="266"/>
      <c r="W73" s="266"/>
      <c r="AD73" s="181"/>
      <c r="AE73" s="184"/>
      <c r="AF73" s="298"/>
      <c r="AG73" s="181"/>
      <c r="AH73" s="183"/>
      <c r="AI73" s="183"/>
      <c r="AJ73" s="191">
        <f>(SUM($AA$56:$AA$60)-$J$73)*0.2</f>
        <v>4172470.2752585369</v>
      </c>
      <c r="AK73" s="110">
        <f t="shared" si="6"/>
        <v>4172470.2752585369</v>
      </c>
      <c r="AL73" s="63">
        <f>AA84</f>
        <v>23163983.690990683</v>
      </c>
      <c r="AM73" s="100">
        <f t="shared" si="0"/>
        <v>-18991513.415732145</v>
      </c>
      <c r="AN73" s="184"/>
    </row>
    <row r="74" spans="1:40" x14ac:dyDescent="0.25">
      <c r="A74" s="187"/>
      <c r="B74" s="269" t="s">
        <v>81</v>
      </c>
      <c r="C74" s="179"/>
      <c r="G74" s="180"/>
      <c r="H74" s="181"/>
      <c r="J74" s="166">
        <f>'[8]Monthly summary'!$H$75</f>
        <v>164171.01272634015</v>
      </c>
      <c r="K74" s="63"/>
      <c r="L74" s="180"/>
      <c r="N74" s="192"/>
      <c r="R74" s="180"/>
      <c r="AD74" s="181"/>
      <c r="AE74" s="184"/>
      <c r="AF74" s="298"/>
      <c r="AG74" s="181"/>
      <c r="AH74" s="183"/>
      <c r="AI74" s="183"/>
      <c r="AJ74" s="191">
        <f>(SUM($AB$56:$AB$60)-$J$74)*0.2</f>
        <v>385144.70413657051</v>
      </c>
      <c r="AK74" s="110">
        <f t="shared" si="6"/>
        <v>385144.70413657051</v>
      </c>
      <c r="AL74" s="63">
        <f>AB84</f>
        <v>2090281.4705902573</v>
      </c>
      <c r="AM74" s="307">
        <f t="shared" si="0"/>
        <v>-1705136.7664536869</v>
      </c>
      <c r="AN74" s="184"/>
    </row>
    <row r="75" spans="1:40" x14ac:dyDescent="0.25">
      <c r="A75" s="187"/>
      <c r="B75" s="269" t="s">
        <v>80</v>
      </c>
      <c r="C75" s="179"/>
      <c r="G75" s="180"/>
      <c r="H75" s="181"/>
      <c r="J75" s="166">
        <f>'[8]Monthly summary'!$H$76</f>
        <v>324835.35950340214</v>
      </c>
      <c r="K75" s="63"/>
      <c r="L75" s="180"/>
      <c r="N75" s="181"/>
      <c r="R75" s="180"/>
      <c r="AD75" s="181"/>
      <c r="AE75" s="184"/>
      <c r="AF75" s="298"/>
      <c r="AG75" s="181"/>
      <c r="AH75" s="183"/>
      <c r="AI75" s="183"/>
      <c r="AJ75" s="191">
        <f>(SUM($AC$56:$AC$60)-$J$75)*0.2</f>
        <v>834059.38755082327</v>
      </c>
      <c r="AK75" s="110">
        <f t="shared" si="6"/>
        <v>834059.38755082327</v>
      </c>
      <c r="AL75" s="63">
        <f>AC84</f>
        <v>4496661.6891623074</v>
      </c>
      <c r="AM75" s="100">
        <f t="shared" si="0"/>
        <v>-3662602.301611484</v>
      </c>
      <c r="AN75" s="183"/>
    </row>
    <row r="76" spans="1:40" s="194" customFormat="1" x14ac:dyDescent="0.25">
      <c r="A76" s="289"/>
      <c r="B76" s="261" t="s">
        <v>0</v>
      </c>
      <c r="C76" s="267"/>
      <c r="H76" s="268"/>
      <c r="I76" s="180"/>
      <c r="J76" s="166">
        <f>'[8]Monthly summary'!$H$77</f>
        <v>912049.56457243231</v>
      </c>
      <c r="K76" s="63"/>
      <c r="N76" s="268"/>
      <c r="AD76" s="268"/>
      <c r="AF76" s="298"/>
      <c r="AG76" s="268"/>
      <c r="AH76" s="191"/>
      <c r="AI76" s="191"/>
      <c r="AJ76" s="191">
        <f>(SUM($AD$56:$AD$60)-$J$76)*0.2</f>
        <v>2332299.2576366584</v>
      </c>
      <c r="AK76" s="189">
        <f t="shared" si="6"/>
        <v>2332299.2576366584</v>
      </c>
      <c r="AL76" s="190">
        <f>AD84</f>
        <v>12578278.586854558</v>
      </c>
      <c r="AM76" s="100">
        <f t="shared" si="0"/>
        <v>-10245979.3292179</v>
      </c>
      <c r="AN76" s="290"/>
    </row>
    <row r="77" spans="1:40" x14ac:dyDescent="0.25">
      <c r="A77" s="187" t="s">
        <v>56</v>
      </c>
      <c r="B77" s="269" t="s">
        <v>2</v>
      </c>
      <c r="C77" s="179"/>
      <c r="G77" s="180"/>
      <c r="H77" s="181"/>
      <c r="I77" s="273"/>
      <c r="J77" s="167">
        <f>'[8]Monthly summary'!$H$78</f>
        <v>6905559.4381077457</v>
      </c>
      <c r="K77" s="142"/>
      <c r="L77" s="180"/>
      <c r="N77" s="181"/>
      <c r="R77" s="180"/>
      <c r="AD77" s="181"/>
      <c r="AE77" s="184"/>
      <c r="AF77" s="298"/>
      <c r="AG77" s="181"/>
      <c r="AH77" s="297"/>
      <c r="AI77" s="272"/>
      <c r="AJ77" s="182">
        <f>(SUM(AE56:AE60)-J77)*0.4</f>
        <v>53469344.396717809</v>
      </c>
      <c r="AK77" s="110">
        <f t="shared" si="6"/>
        <v>53469344.396717809</v>
      </c>
      <c r="AL77" s="142">
        <f>AE84</f>
        <v>140673974.32995591</v>
      </c>
      <c r="AM77" s="186">
        <f t="shared" si="0"/>
        <v>-87204629.933238089</v>
      </c>
      <c r="AN77" s="183"/>
    </row>
    <row r="78" spans="1:40" x14ac:dyDescent="0.25">
      <c r="A78" s="187"/>
      <c r="B78" s="269" t="s">
        <v>258</v>
      </c>
      <c r="C78" s="110"/>
      <c r="D78" s="63"/>
      <c r="E78" s="63"/>
      <c r="F78" s="63"/>
      <c r="G78" s="63"/>
      <c r="H78" s="100"/>
      <c r="J78" s="63"/>
      <c r="K78" s="63"/>
      <c r="L78" s="180"/>
      <c r="N78" s="181"/>
      <c r="O78" s="191"/>
      <c r="P78" s="191">
        <f t="shared" ref="P78:R78" si="7">P83/SUM($O$83:$R$83,$T$83:$AE$83)*$AF$78</f>
        <v>243678504571.96658</v>
      </c>
      <c r="Q78" s="191">
        <f t="shared" si="7"/>
        <v>75488602666.13649</v>
      </c>
      <c r="R78" s="191">
        <f t="shared" si="7"/>
        <v>45160600651.335495</v>
      </c>
      <c r="S78" s="63">
        <f>'[9]2018'!$Y$25</f>
        <v>45949676.190476194</v>
      </c>
      <c r="T78" s="191">
        <f t="shared" ref="T78:AD78" si="8">T83/SUM($O$83:$R$83,$T$83:$AE$83)*$AF$78</f>
        <v>184476.48820612556</v>
      </c>
      <c r="U78" s="191">
        <f t="shared" si="8"/>
        <v>15669.079099877346</v>
      </c>
      <c r="V78" s="191">
        <f t="shared" si="8"/>
        <v>9907.3845999389268</v>
      </c>
      <c r="W78" s="191">
        <f t="shared" si="8"/>
        <v>157687115.67691478</v>
      </c>
      <c r="X78" s="191">
        <f t="shared" si="8"/>
        <v>2196093537.6900425</v>
      </c>
      <c r="Y78" s="191">
        <f t="shared" si="8"/>
        <v>321908.2425714506</v>
      </c>
      <c r="Z78" s="191">
        <f t="shared" si="8"/>
        <v>527.07540015572238</v>
      </c>
      <c r="AA78" s="191">
        <f t="shared" si="8"/>
        <v>112.41022103341868</v>
      </c>
      <c r="AB78" s="191">
        <f t="shared" si="8"/>
        <v>386.93718106472375</v>
      </c>
      <c r="AC78" s="191">
        <f t="shared" si="8"/>
        <v>1529.3919047888523</v>
      </c>
      <c r="AD78" s="191">
        <f t="shared" si="8"/>
        <v>4732.734098832866</v>
      </c>
      <c r="AE78" s="191">
        <f>AE83/SUM($O$83:$R$83,$T$83:$AE$83)*$AF$78</f>
        <v>95053.900053657315</v>
      </c>
      <c r="AF78" s="191">
        <f>'[10]2019'!$Y$24</f>
        <v>366682499751.08563</v>
      </c>
      <c r="AG78" s="181"/>
      <c r="AJ78" s="192"/>
      <c r="AK78" s="110"/>
      <c r="AL78" s="63"/>
      <c r="AM78" s="100"/>
      <c r="AN78" s="184"/>
    </row>
    <row r="79" spans="1:40" x14ac:dyDescent="0.25">
      <c r="A79" s="187"/>
      <c r="B79" s="269" t="s">
        <v>57</v>
      </c>
      <c r="C79" s="179"/>
      <c r="G79" s="180"/>
      <c r="H79" s="181"/>
      <c r="L79" s="180"/>
      <c r="N79" s="181"/>
      <c r="R79" s="180"/>
      <c r="AD79" s="181"/>
      <c r="AE79" s="184"/>
      <c r="AF79" s="184"/>
      <c r="AG79" s="181"/>
      <c r="AH79" s="267"/>
      <c r="AI79" s="194"/>
      <c r="AJ79" s="268"/>
      <c r="AK79" s="110">
        <f>SUM(O79:AJ79)</f>
        <v>0</v>
      </c>
      <c r="AL79" s="63">
        <f>AG83</f>
        <v>0</v>
      </c>
      <c r="AM79" s="100">
        <f t="shared" si="0"/>
        <v>0</v>
      </c>
      <c r="AN79" s="184"/>
    </row>
    <row r="80" spans="1:40" s="272" customFormat="1" x14ac:dyDescent="0.25">
      <c r="A80" s="287" t="s">
        <v>84</v>
      </c>
      <c r="B80" s="271" t="s">
        <v>12</v>
      </c>
      <c r="I80" s="273"/>
      <c r="N80" s="265"/>
      <c r="O80" s="308"/>
      <c r="P80" s="226"/>
      <c r="Q80" s="226"/>
      <c r="R80" s="226"/>
      <c r="S80" s="226">
        <f>[7]MAAIF!$N$75</f>
        <v>13083901391.473099</v>
      </c>
      <c r="T80" s="226"/>
      <c r="U80" s="226"/>
      <c r="V80" s="226"/>
      <c r="W80" s="226"/>
      <c r="X80" s="226"/>
      <c r="Y80" s="226"/>
      <c r="Z80" s="226"/>
      <c r="AA80" s="226"/>
      <c r="AB80" s="226"/>
      <c r="AC80" s="226"/>
      <c r="AD80" s="226"/>
      <c r="AE80" s="309"/>
      <c r="AF80" s="226"/>
      <c r="AG80" s="310"/>
      <c r="AH80" s="166"/>
      <c r="AI80" s="226"/>
      <c r="AJ80" s="311"/>
      <c r="AK80" s="309"/>
      <c r="AL80" s="226"/>
      <c r="AM80" s="310"/>
    </row>
    <row r="81" spans="1:41" s="180" customFormat="1" x14ac:dyDescent="0.25">
      <c r="A81" s="187"/>
      <c r="B81" s="178" t="s">
        <v>115</v>
      </c>
      <c r="C81" s="272"/>
      <c r="I81" s="179"/>
      <c r="N81" s="181"/>
      <c r="O81" s="312"/>
      <c r="P81" s="298"/>
      <c r="Q81" s="298"/>
      <c r="R81" s="298"/>
      <c r="S81" s="298"/>
      <c r="T81" s="298"/>
      <c r="U81" s="298"/>
      <c r="V81" s="298"/>
      <c r="W81" s="298"/>
      <c r="X81" s="298"/>
      <c r="Y81" s="298"/>
      <c r="Z81" s="298"/>
      <c r="AA81" s="298"/>
      <c r="AB81" s="298"/>
      <c r="AC81" s="298"/>
      <c r="AD81" s="298"/>
      <c r="AE81" s="313"/>
      <c r="AF81" s="298"/>
      <c r="AG81" s="314"/>
      <c r="AH81" s="298"/>
      <c r="AI81" s="298"/>
      <c r="AJ81" s="315"/>
      <c r="AK81" s="313"/>
      <c r="AL81" s="298"/>
      <c r="AM81" s="314"/>
    </row>
    <row r="82" spans="1:41" s="180" customFormat="1" x14ac:dyDescent="0.25">
      <c r="A82" s="187"/>
      <c r="B82" s="178" t="s">
        <v>0</v>
      </c>
      <c r="C82" s="272"/>
      <c r="I82" s="179"/>
      <c r="N82" s="181"/>
      <c r="O82" s="312"/>
      <c r="P82" s="298"/>
      <c r="Q82" s="298"/>
      <c r="R82" s="298"/>
      <c r="S82" s="298"/>
      <c r="T82" s="298"/>
      <c r="U82" s="298"/>
      <c r="V82" s="298"/>
      <c r="W82" s="298"/>
      <c r="X82" s="298"/>
      <c r="Y82" s="298"/>
      <c r="Z82" s="298"/>
      <c r="AA82" s="298"/>
      <c r="AB82" s="298"/>
      <c r="AC82" s="298"/>
      <c r="AD82" s="298"/>
      <c r="AE82" s="313"/>
      <c r="AF82" s="298"/>
      <c r="AG82" s="314"/>
      <c r="AH82" s="298"/>
      <c r="AI82" s="298"/>
      <c r="AJ82" s="298"/>
      <c r="AK82" s="313"/>
      <c r="AL82" s="298"/>
      <c r="AM82" s="314"/>
      <c r="AO82" s="191"/>
    </row>
    <row r="83" spans="1:41" s="180" customFormat="1" x14ac:dyDescent="0.25">
      <c r="A83" s="316" t="s">
        <v>275</v>
      </c>
      <c r="B83" s="317"/>
      <c r="C83" s="175">
        <f t="shared" ref="C83:H83" si="9">SUM(C41:C46)</f>
        <v>255366337517551.94</v>
      </c>
      <c r="D83" s="175">
        <f t="shared" si="9"/>
        <v>110668113242.78812</v>
      </c>
      <c r="E83" s="175">
        <f t="shared" si="9"/>
        <v>36196660.77403073</v>
      </c>
      <c r="F83" s="175">
        <f t="shared" si="9"/>
        <v>4931434.1368888877</v>
      </c>
      <c r="G83" s="175">
        <f t="shared" si="9"/>
        <v>144612624.78470087</v>
      </c>
      <c r="H83" s="175">
        <f t="shared" si="9"/>
        <v>0</v>
      </c>
      <c r="I83" s="197"/>
      <c r="J83" s="198"/>
      <c r="K83" s="198"/>
      <c r="L83" s="198"/>
      <c r="M83" s="198"/>
      <c r="N83" s="199"/>
      <c r="O83" s="200">
        <f>SUM(O48:O55)</f>
        <v>262585433.60000002</v>
      </c>
      <c r="P83" s="200">
        <f>SUM(P48:P55)</f>
        <v>169768210667250.03</v>
      </c>
      <c r="Q83" s="200">
        <f t="shared" ref="Q83:T83" si="10">SUM(Q48:Q55)</f>
        <v>52592102955130.031</v>
      </c>
      <c r="R83" s="200">
        <f t="shared" si="10"/>
        <v>31462907976650.008</v>
      </c>
      <c r="S83" s="200">
        <f>SUM(S48:S55)</f>
        <v>13407533329.580574</v>
      </c>
      <c r="T83" s="200">
        <f t="shared" si="10"/>
        <v>128522798.38118689</v>
      </c>
      <c r="U83" s="200">
        <f t="shared" ref="U83:AC83" si="11">SUM(U48:U55)</f>
        <v>10916480</v>
      </c>
      <c r="V83" s="200">
        <f t="shared" si="11"/>
        <v>6902369</v>
      </c>
      <c r="W83" s="200">
        <f>SUM(W48:W55)</f>
        <v>109858928758.5</v>
      </c>
      <c r="X83" s="200">
        <f>SUM(X48:X55)</f>
        <v>1529994904583.1453</v>
      </c>
      <c r="Y83" s="200">
        <f t="shared" si="11"/>
        <v>224270033.32275578</v>
      </c>
      <c r="Z83" s="200">
        <f t="shared" si="11"/>
        <v>367207.8</v>
      </c>
      <c r="AA83" s="200">
        <f t="shared" si="11"/>
        <v>78315</v>
      </c>
      <c r="AB83" s="200">
        <f t="shared" si="11"/>
        <v>269575</v>
      </c>
      <c r="AC83" s="200">
        <f t="shared" si="11"/>
        <v>1065511</v>
      </c>
      <c r="AD83" s="200">
        <f>SUM(AD48:AD55)</f>
        <v>3297245.2819918068</v>
      </c>
      <c r="AE83" s="200">
        <f>SUM(AE48:AE55)</f>
        <v>66223036.60882479</v>
      </c>
      <c r="AF83" s="200"/>
      <c r="AG83" s="201"/>
      <c r="AH83" s="198"/>
      <c r="AI83" s="198"/>
      <c r="AJ83" s="198"/>
      <c r="AK83" s="202"/>
      <c r="AL83" s="175"/>
      <c r="AM83" s="201"/>
    </row>
    <row r="84" spans="1:41" s="180" customFormat="1" x14ac:dyDescent="0.25">
      <c r="A84" s="316" t="s">
        <v>52</v>
      </c>
      <c r="B84" s="317"/>
      <c r="C84" s="175">
        <f t="shared" ref="C84:H84" si="12">SUM(C41:C46,C56:C82)</f>
        <v>255366337517551.94</v>
      </c>
      <c r="D84" s="175">
        <f t="shared" si="12"/>
        <v>110668113242.78812</v>
      </c>
      <c r="E84" s="175">
        <f t="shared" si="12"/>
        <v>36196660.77403073</v>
      </c>
      <c r="F84" s="175">
        <f t="shared" si="12"/>
        <v>4931434.1368888877</v>
      </c>
      <c r="G84" s="175">
        <f t="shared" si="12"/>
        <v>144612624.78470087</v>
      </c>
      <c r="H84" s="175">
        <f t="shared" si="12"/>
        <v>0</v>
      </c>
      <c r="I84" s="175">
        <f>SUM(I56:I82,I41:I47)</f>
        <v>110600024053.10701</v>
      </c>
      <c r="J84" s="175">
        <f>SUM(J48:J56,)</f>
        <v>250747914.61745265</v>
      </c>
      <c r="K84" s="175">
        <f>SUM(K56:K82,K41:K47)</f>
        <v>11254094</v>
      </c>
      <c r="L84" s="175">
        <f>SUM(L56:L82,L41:L47)</f>
        <v>3517861.8</v>
      </c>
      <c r="M84" s="175">
        <f>SUM(M56:M82,M41:M47)</f>
        <v>114998502310.5</v>
      </c>
      <c r="N84" s="175">
        <f>SUM(N56:N82,N41:N47)</f>
        <v>255476970331839.19</v>
      </c>
      <c r="O84" s="175">
        <f>SUM(O56:O82)</f>
        <v>262585433.60000002</v>
      </c>
      <c r="P84" s="175">
        <f>SUM(P56:P82)</f>
        <v>170011889171822</v>
      </c>
      <c r="Q84" s="175">
        <f t="shared" ref="Q84:AG84" si="13">SUM(Q56:Q82)</f>
        <v>52667620515530.602</v>
      </c>
      <c r="R84" s="175">
        <f t="shared" si="13"/>
        <v>31508068577301.344</v>
      </c>
      <c r="S84" s="175">
        <f t="shared" si="13"/>
        <v>26537384397.244148</v>
      </c>
      <c r="T84" s="175">
        <f t="shared" si="13"/>
        <v>130070879.53921711</v>
      </c>
      <c r="U84" s="175">
        <f t="shared" si="13"/>
        <v>23499194.019378323</v>
      </c>
      <c r="V84" s="175">
        <f>SUM(V56:V82)</f>
        <v>13259867.926165882</v>
      </c>
      <c r="W84" s="203">
        <f>SUM(W56:W82)</f>
        <v>110016844880.3535</v>
      </c>
      <c r="X84" s="175">
        <f>SUM(X57:X82)</f>
        <v>1532049812385.4092</v>
      </c>
      <c r="Y84" s="175">
        <f t="shared" si="13"/>
        <v>226544680.64802045</v>
      </c>
      <c r="Z84" s="175">
        <f t="shared" si="13"/>
        <v>3332771.5361397439</v>
      </c>
      <c r="AA84" s="175">
        <f t="shared" si="13"/>
        <v>23163983.690990683</v>
      </c>
      <c r="AB84" s="175">
        <f t="shared" si="13"/>
        <v>2090281.4705902573</v>
      </c>
      <c r="AC84" s="175">
        <f t="shared" si="13"/>
        <v>4496661.6891623074</v>
      </c>
      <c r="AD84" s="175">
        <f>SUM(AD56:AD82)</f>
        <v>12578278.586854558</v>
      </c>
      <c r="AE84" s="175">
        <f>SUM(AE56:AE82)</f>
        <v>140673974.32995591</v>
      </c>
      <c r="AF84" s="175">
        <f t="shared" si="13"/>
        <v>366682499751.08563</v>
      </c>
      <c r="AG84" s="175">
        <f t="shared" si="13"/>
        <v>0</v>
      </c>
      <c r="AH84" s="175">
        <f>AH80</f>
        <v>0</v>
      </c>
      <c r="AI84" s="175">
        <f>AI81</f>
        <v>0</v>
      </c>
      <c r="AJ84" s="175">
        <f>AJ82</f>
        <v>0</v>
      </c>
      <c r="AK84" s="202">
        <f>SUM(AK41:AK82)</f>
        <v>989783321381929.87</v>
      </c>
      <c r="AL84" s="175">
        <f>SUM(AL41:AL82)</f>
        <v>511670712834359.75</v>
      </c>
      <c r="AM84" s="201">
        <f t="shared" si="0"/>
        <v>478112608547570.12</v>
      </c>
    </row>
    <row r="85" spans="1:41" s="266" customFormat="1" x14ac:dyDescent="0.25">
      <c r="A85" s="275"/>
      <c r="O85" s="276"/>
      <c r="P85" s="276"/>
      <c r="Q85" s="276"/>
      <c r="R85" s="276"/>
      <c r="S85" s="276"/>
      <c r="T85" s="276"/>
      <c r="U85" s="276"/>
      <c r="V85" s="276"/>
      <c r="W85" s="276"/>
      <c r="X85" s="276"/>
      <c r="Y85" s="276"/>
      <c r="Z85" s="276"/>
      <c r="AA85" s="276"/>
      <c r="AB85" s="276"/>
      <c r="AC85" s="276"/>
      <c r="AD85" s="276"/>
      <c r="AE85" s="276"/>
      <c r="AF85" s="276"/>
      <c r="AG85" s="276"/>
      <c r="AH85" s="276"/>
      <c r="AI85" s="276"/>
      <c r="AJ85" s="276"/>
      <c r="AK85" s="276"/>
      <c r="AL85" s="276"/>
      <c r="AM85" s="201"/>
    </row>
    <row r="86" spans="1:41" s="266" customFormat="1" x14ac:dyDescent="0.25">
      <c r="A86" s="275"/>
      <c r="C86" s="276">
        <f>SUM(C84:H84)</f>
        <v>255477191371514.41</v>
      </c>
      <c r="I86" s="276"/>
      <c r="J86" s="276"/>
      <c r="K86" s="276"/>
      <c r="L86" s="276"/>
      <c r="M86" s="276"/>
      <c r="N86" s="276"/>
      <c r="O86" s="276"/>
    </row>
    <row r="87" spans="1:41" s="266" customFormat="1" x14ac:dyDescent="0.25">
      <c r="A87" s="275"/>
      <c r="C87" s="266">
        <v>0.6907700242578636</v>
      </c>
      <c r="D87" s="266">
        <v>0.30835422345634445</v>
      </c>
      <c r="E87" s="266">
        <v>8.2735437815817858E-4</v>
      </c>
      <c r="F87" s="266">
        <v>1.5075911282804063E-5</v>
      </c>
      <c r="G87" s="266">
        <v>3.3321996350948789E-5</v>
      </c>
      <c r="H87" s="266">
        <v>0</v>
      </c>
      <c r="O87" s="318"/>
      <c r="P87" s="318"/>
      <c r="Q87" s="318"/>
      <c r="R87" s="318"/>
      <c r="S87" s="318"/>
      <c r="T87" s="318"/>
      <c r="U87" s="318"/>
      <c r="V87" s="318"/>
      <c r="W87" s="318"/>
      <c r="X87" s="318"/>
      <c r="Y87" s="318"/>
      <c r="Z87" s="318"/>
      <c r="AA87" s="318"/>
      <c r="AB87" s="318"/>
      <c r="AC87" s="318"/>
      <c r="AD87" s="318"/>
    </row>
    <row r="88" spans="1:41" s="266" customFormat="1" x14ac:dyDescent="0.25">
      <c r="A88" s="275"/>
      <c r="C88" s="276">
        <f>SUM(O78:AD78)</f>
        <v>366727977468.73932</v>
      </c>
    </row>
    <row r="89" spans="1:41" s="266" customFormat="1" x14ac:dyDescent="0.25">
      <c r="A89" s="275"/>
    </row>
    <row r="90" spans="1:41" s="266" customFormat="1" x14ac:dyDescent="0.25">
      <c r="A90" s="275"/>
      <c r="O90" s="319">
        <f>M85*365*O88*R72</f>
        <v>0</v>
      </c>
    </row>
    <row r="91" spans="1:41" s="266" customFormat="1" x14ac:dyDescent="0.25">
      <c r="A91" s="275"/>
      <c r="O91" s="318"/>
      <c r="P91" s="318"/>
      <c r="Q91" s="318"/>
    </row>
    <row r="92" spans="1:41" s="266" customFormat="1" x14ac:dyDescent="0.25">
      <c r="A92" s="275"/>
      <c r="O92" s="266" t="s">
        <v>334</v>
      </c>
    </row>
    <row r="93" spans="1:41" s="266" customFormat="1" x14ac:dyDescent="0.25">
      <c r="A93" s="275"/>
      <c r="C93" s="275"/>
    </row>
    <row r="94" spans="1:41" s="266" customFormat="1" x14ac:dyDescent="0.25">
      <c r="A94" s="275"/>
      <c r="C94" s="275"/>
    </row>
    <row r="95" spans="1:41" s="266" customFormat="1" x14ac:dyDescent="0.25">
      <c r="A95" s="275"/>
      <c r="C95" s="275"/>
      <c r="D95" s="151">
        <f>145266088-9269839</f>
        <v>135996249</v>
      </c>
    </row>
    <row r="96" spans="1:41" s="266" customFormat="1" x14ac:dyDescent="0.25">
      <c r="A96" s="275"/>
      <c r="C96" s="275"/>
    </row>
    <row r="97" spans="1:3" s="266" customFormat="1" x14ac:dyDescent="0.25">
      <c r="A97" s="275"/>
      <c r="C97" s="275"/>
    </row>
    <row r="98" spans="1:3" s="266" customFormat="1" x14ac:dyDescent="0.25">
      <c r="A98" s="275"/>
      <c r="C98" s="275"/>
    </row>
    <row r="99" spans="1:3" s="266" customFormat="1" x14ac:dyDescent="0.25">
      <c r="A99" s="275"/>
      <c r="C99" s="275"/>
    </row>
    <row r="100" spans="1:3" s="266" customFormat="1" x14ac:dyDescent="0.25">
      <c r="A100" s="275"/>
      <c r="C100" s="275"/>
    </row>
    <row r="101" spans="1:3" s="266" customFormat="1" x14ac:dyDescent="0.25">
      <c r="A101" s="275"/>
      <c r="C101" s="275"/>
    </row>
    <row r="102" spans="1:3" s="266" customFormat="1" x14ac:dyDescent="0.25">
      <c r="A102" s="275"/>
      <c r="C102" s="275"/>
    </row>
    <row r="103" spans="1:3" s="266" customFormat="1" x14ac:dyDescent="0.25">
      <c r="A103" s="275"/>
      <c r="C103" s="275"/>
    </row>
    <row r="104" spans="1:3" s="266" customFormat="1" x14ac:dyDescent="0.25">
      <c r="A104" s="275"/>
      <c r="C104" s="275"/>
    </row>
    <row r="105" spans="1:3" s="266" customFormat="1" x14ac:dyDescent="0.25">
      <c r="A105" s="275"/>
      <c r="C105" s="275"/>
    </row>
    <row r="106" spans="1:3" s="266" customFormat="1" x14ac:dyDescent="0.25">
      <c r="A106" s="275"/>
      <c r="C106" s="275"/>
    </row>
    <row r="107" spans="1:3" s="266" customFormat="1" x14ac:dyDescent="0.25">
      <c r="A107" s="275"/>
      <c r="C107" s="275"/>
    </row>
    <row r="108" spans="1:3" s="266" customFormat="1" x14ac:dyDescent="0.25">
      <c r="A108" s="275"/>
      <c r="C108" s="275"/>
    </row>
    <row r="109" spans="1:3" s="266" customFormat="1" x14ac:dyDescent="0.25">
      <c r="A109" s="275"/>
      <c r="C109" s="275"/>
    </row>
    <row r="110" spans="1:3" s="266" customFormat="1" x14ac:dyDescent="0.25">
      <c r="A110" s="275"/>
      <c r="C110" s="275"/>
    </row>
    <row r="111" spans="1:3" s="266" customFormat="1" x14ac:dyDescent="0.25">
      <c r="A111" s="275"/>
      <c r="C111" s="275"/>
    </row>
    <row r="112" spans="1:3" s="266" customFormat="1" x14ac:dyDescent="0.25">
      <c r="A112" s="275"/>
      <c r="C112" s="275"/>
    </row>
    <row r="113" spans="1:3" s="266" customFormat="1" x14ac:dyDescent="0.25">
      <c r="A113" s="275"/>
      <c r="C113" s="275"/>
    </row>
    <row r="114" spans="1:3" s="266" customFormat="1" x14ac:dyDescent="0.25">
      <c r="A114" s="275"/>
      <c r="C114" s="275"/>
    </row>
    <row r="115" spans="1:3" s="266" customFormat="1" x14ac:dyDescent="0.25">
      <c r="A115" s="275"/>
      <c r="C115" s="275"/>
    </row>
    <row r="116" spans="1:3" s="266" customFormat="1" x14ac:dyDescent="0.25">
      <c r="A116" s="275"/>
      <c r="C116" s="275"/>
    </row>
    <row r="117" spans="1:3" s="266" customFormat="1" x14ac:dyDescent="0.25">
      <c r="A117" s="275"/>
      <c r="C117" s="275"/>
    </row>
    <row r="118" spans="1:3" s="266" customFormat="1" x14ac:dyDescent="0.25">
      <c r="A118" s="275"/>
      <c r="C118" s="275"/>
    </row>
    <row r="119" spans="1:3" s="266" customFormat="1" x14ac:dyDescent="0.25">
      <c r="A119" s="275"/>
      <c r="C119" s="275"/>
    </row>
    <row r="120" spans="1:3" s="266" customFormat="1" x14ac:dyDescent="0.25">
      <c r="A120" s="275"/>
      <c r="C120" s="275"/>
    </row>
    <row r="121" spans="1:3" s="266" customFormat="1" x14ac:dyDescent="0.25">
      <c r="A121" s="275"/>
      <c r="C121" s="275"/>
    </row>
    <row r="122" spans="1:3" s="266" customFormat="1" x14ac:dyDescent="0.25">
      <c r="A122" s="275"/>
      <c r="C122" s="275"/>
    </row>
    <row r="123" spans="1:3" s="266" customFormat="1" x14ac:dyDescent="0.25">
      <c r="A123" s="275"/>
      <c r="C123" s="275"/>
    </row>
    <row r="124" spans="1:3" s="266" customFormat="1" x14ac:dyDescent="0.25">
      <c r="A124" s="275"/>
      <c r="C124" s="275"/>
    </row>
    <row r="125" spans="1:3" s="266" customFormat="1" x14ac:dyDescent="0.25">
      <c r="A125" s="275"/>
      <c r="C125" s="275"/>
    </row>
    <row r="126" spans="1:3" s="266" customFormat="1" x14ac:dyDescent="0.25">
      <c r="A126" s="275"/>
      <c r="C126" s="275"/>
    </row>
    <row r="127" spans="1:3" s="266" customFormat="1" x14ac:dyDescent="0.25">
      <c r="A127" s="275"/>
      <c r="C127" s="275"/>
    </row>
    <row r="128" spans="1:3" s="266" customFormat="1" x14ac:dyDescent="0.25">
      <c r="A128" s="275"/>
      <c r="C128" s="275"/>
    </row>
    <row r="129" spans="1:3" s="266" customFormat="1" x14ac:dyDescent="0.25">
      <c r="A129" s="275"/>
      <c r="C129" s="275"/>
    </row>
    <row r="130" spans="1:3" s="266" customFormat="1" x14ac:dyDescent="0.25">
      <c r="A130" s="275"/>
      <c r="C130" s="275"/>
    </row>
    <row r="131" spans="1:3" s="266" customFormat="1" x14ac:dyDescent="0.25">
      <c r="A131" s="275"/>
      <c r="C131" s="275"/>
    </row>
    <row r="132" spans="1:3" s="266" customFormat="1" x14ac:dyDescent="0.25">
      <c r="A132" s="275"/>
      <c r="C132" s="275"/>
    </row>
    <row r="133" spans="1:3" s="266" customFormat="1" x14ac:dyDescent="0.25">
      <c r="A133" s="275"/>
      <c r="C133" s="275"/>
    </row>
    <row r="134" spans="1:3" s="266" customFormat="1" x14ac:dyDescent="0.25">
      <c r="A134" s="275"/>
      <c r="C134" s="275"/>
    </row>
    <row r="135" spans="1:3" s="266" customFormat="1" x14ac:dyDescent="0.25">
      <c r="A135" s="275"/>
      <c r="C135" s="275"/>
    </row>
    <row r="136" spans="1:3" s="266" customFormat="1" x14ac:dyDescent="0.25">
      <c r="A136" s="275"/>
      <c r="C136" s="275"/>
    </row>
    <row r="137" spans="1:3" s="266" customFormat="1" x14ac:dyDescent="0.25">
      <c r="A137" s="275"/>
      <c r="C137" s="275"/>
    </row>
    <row r="138" spans="1:3" s="266" customFormat="1" x14ac:dyDescent="0.25">
      <c r="A138" s="275"/>
      <c r="C138" s="275"/>
    </row>
    <row r="139" spans="1:3" s="266" customFormat="1" x14ac:dyDescent="0.25">
      <c r="A139" s="275"/>
      <c r="C139" s="275"/>
    </row>
    <row r="140" spans="1:3" s="266" customFormat="1" x14ac:dyDescent="0.25">
      <c r="A140" s="275"/>
      <c r="C140" s="275"/>
    </row>
    <row r="141" spans="1:3" s="266" customFormat="1" x14ac:dyDescent="0.25">
      <c r="A141" s="275"/>
      <c r="C141" s="275"/>
    </row>
    <row r="142" spans="1:3" s="266" customFormat="1" x14ac:dyDescent="0.25">
      <c r="A142" s="275"/>
      <c r="C142" s="275"/>
    </row>
    <row r="143" spans="1:3" s="266" customFormat="1" x14ac:dyDescent="0.25">
      <c r="A143" s="275"/>
      <c r="C143" s="275"/>
    </row>
    <row r="144" spans="1:3" s="266" customFormat="1" x14ac:dyDescent="0.25">
      <c r="A144" s="275"/>
      <c r="C144" s="275"/>
    </row>
    <row r="145" spans="1:3" s="266" customFormat="1" x14ac:dyDescent="0.25">
      <c r="A145" s="275"/>
      <c r="C145" s="275"/>
    </row>
    <row r="146" spans="1:3" s="266" customFormat="1" x14ac:dyDescent="0.25">
      <c r="A146" s="275"/>
      <c r="C146" s="275"/>
    </row>
    <row r="147" spans="1:3" s="266" customFormat="1" x14ac:dyDescent="0.25">
      <c r="A147" s="275"/>
      <c r="C147" s="275"/>
    </row>
    <row r="148" spans="1:3" s="266" customFormat="1" x14ac:dyDescent="0.25">
      <c r="A148" s="275"/>
      <c r="C148" s="275"/>
    </row>
    <row r="149" spans="1:3" s="266" customFormat="1" x14ac:dyDescent="0.25">
      <c r="A149" s="275"/>
      <c r="C149" s="275"/>
    </row>
    <row r="150" spans="1:3" s="266" customFormat="1" x14ac:dyDescent="0.25">
      <c r="A150" s="275"/>
      <c r="C150" s="275"/>
    </row>
    <row r="151" spans="1:3" s="266" customFormat="1" x14ac:dyDescent="0.25">
      <c r="A151" s="275"/>
      <c r="C151" s="275"/>
    </row>
    <row r="152" spans="1:3" s="266" customFormat="1" x14ac:dyDescent="0.25">
      <c r="A152" s="275"/>
      <c r="C152" s="275"/>
    </row>
    <row r="153" spans="1:3" s="266" customFormat="1" x14ac:dyDescent="0.25">
      <c r="A153" s="275"/>
      <c r="C153" s="275"/>
    </row>
    <row r="154" spans="1:3" s="266" customFormat="1" x14ac:dyDescent="0.25">
      <c r="A154" s="275"/>
      <c r="C154" s="275"/>
    </row>
    <row r="155" spans="1:3" s="266" customFormat="1" x14ac:dyDescent="0.25">
      <c r="A155" s="275"/>
      <c r="C155" s="275"/>
    </row>
    <row r="156" spans="1:3" s="266" customFormat="1" x14ac:dyDescent="0.25">
      <c r="A156" s="275"/>
      <c r="C156" s="275"/>
    </row>
    <row r="157" spans="1:3" s="266" customFormat="1" x14ac:dyDescent="0.25">
      <c r="A157" s="275"/>
      <c r="C157" s="275"/>
    </row>
    <row r="158" spans="1:3" s="266" customFormat="1" x14ac:dyDescent="0.25">
      <c r="A158" s="275"/>
      <c r="C158" s="275"/>
    </row>
    <row r="159" spans="1:3" s="266" customFormat="1" x14ac:dyDescent="0.25">
      <c r="A159" s="275"/>
      <c r="C159" s="275"/>
    </row>
    <row r="160" spans="1:3" s="266" customFormat="1" x14ac:dyDescent="0.25">
      <c r="A160" s="275"/>
      <c r="C160" s="275"/>
    </row>
    <row r="161" spans="1:3" s="266" customFormat="1" x14ac:dyDescent="0.25">
      <c r="A161" s="275"/>
      <c r="C161" s="275"/>
    </row>
    <row r="162" spans="1:3" s="266" customFormat="1" x14ac:dyDescent="0.25">
      <c r="A162" s="275"/>
      <c r="C162" s="275"/>
    </row>
    <row r="163" spans="1:3" s="266" customFormat="1" x14ac:dyDescent="0.25">
      <c r="A163" s="275"/>
      <c r="C163" s="275"/>
    </row>
    <row r="164" spans="1:3" s="266" customFormat="1" x14ac:dyDescent="0.25">
      <c r="A164" s="275"/>
      <c r="C164" s="275"/>
    </row>
    <row r="165" spans="1:3" s="266" customFormat="1" x14ac:dyDescent="0.25">
      <c r="A165" s="275"/>
      <c r="C165" s="275"/>
    </row>
    <row r="166" spans="1:3" s="266" customFormat="1" x14ac:dyDescent="0.25">
      <c r="A166" s="275"/>
      <c r="C166" s="275"/>
    </row>
    <row r="167" spans="1:3" s="266" customFormat="1" x14ac:dyDescent="0.25">
      <c r="A167" s="275"/>
      <c r="C167" s="275"/>
    </row>
    <row r="168" spans="1:3" s="266" customFormat="1" x14ac:dyDescent="0.25">
      <c r="A168" s="275"/>
      <c r="C168" s="275"/>
    </row>
    <row r="169" spans="1:3" s="266" customFormat="1" x14ac:dyDescent="0.25">
      <c r="A169" s="275"/>
      <c r="C169" s="275"/>
    </row>
    <row r="170" spans="1:3" s="266" customFormat="1" x14ac:dyDescent="0.25">
      <c r="A170" s="275"/>
      <c r="C170" s="275"/>
    </row>
    <row r="171" spans="1:3" s="266" customFormat="1" x14ac:dyDescent="0.25">
      <c r="A171" s="275"/>
      <c r="C171" s="275"/>
    </row>
    <row r="172" spans="1:3" s="266" customFormat="1" x14ac:dyDescent="0.25">
      <c r="A172" s="275"/>
      <c r="C172" s="275"/>
    </row>
    <row r="173" spans="1:3" s="266" customFormat="1" x14ac:dyDescent="0.25">
      <c r="A173" s="275"/>
      <c r="C173" s="275"/>
    </row>
    <row r="174" spans="1:3" s="266" customFormat="1" x14ac:dyDescent="0.25">
      <c r="A174" s="275"/>
      <c r="C174" s="275"/>
    </row>
    <row r="175" spans="1:3" s="266" customFormat="1" x14ac:dyDescent="0.25">
      <c r="A175" s="275"/>
      <c r="C175" s="275"/>
    </row>
    <row r="176" spans="1:3" s="266" customFormat="1" x14ac:dyDescent="0.25">
      <c r="A176" s="275"/>
      <c r="C176" s="275"/>
    </row>
    <row r="177" spans="1:3" s="266" customFormat="1" x14ac:dyDescent="0.25">
      <c r="A177" s="275"/>
      <c r="C177" s="275"/>
    </row>
    <row r="178" spans="1:3" s="266" customFormat="1" x14ac:dyDescent="0.25">
      <c r="A178" s="275"/>
      <c r="C178" s="275"/>
    </row>
    <row r="179" spans="1:3" s="266" customFormat="1" x14ac:dyDescent="0.25">
      <c r="A179" s="275"/>
      <c r="C179" s="275"/>
    </row>
    <row r="180" spans="1:3" s="266" customFormat="1" x14ac:dyDescent="0.25">
      <c r="A180" s="275"/>
      <c r="C180" s="275"/>
    </row>
    <row r="181" spans="1:3" s="266" customFormat="1" x14ac:dyDescent="0.25">
      <c r="A181" s="275"/>
      <c r="C181" s="275"/>
    </row>
    <row r="182" spans="1:3" s="266" customFormat="1" x14ac:dyDescent="0.25">
      <c r="A182" s="275"/>
      <c r="C182" s="275"/>
    </row>
    <row r="183" spans="1:3" s="266" customFormat="1" x14ac:dyDescent="0.25">
      <c r="A183" s="275"/>
      <c r="C183" s="275"/>
    </row>
    <row r="184" spans="1:3" s="266" customFormat="1" x14ac:dyDescent="0.25">
      <c r="A184" s="275"/>
      <c r="C184" s="275"/>
    </row>
    <row r="185" spans="1:3" s="266" customFormat="1" x14ac:dyDescent="0.25">
      <c r="A185" s="275"/>
      <c r="C185" s="275"/>
    </row>
    <row r="186" spans="1:3" s="266" customFormat="1" x14ac:dyDescent="0.25">
      <c r="A186" s="275"/>
      <c r="C186" s="275"/>
    </row>
    <row r="187" spans="1:3" s="266" customFormat="1" x14ac:dyDescent="0.25">
      <c r="A187" s="275"/>
      <c r="C187" s="275"/>
    </row>
    <row r="188" spans="1:3" s="266" customFormat="1" x14ac:dyDescent="0.25">
      <c r="A188" s="275"/>
      <c r="C188" s="275"/>
    </row>
    <row r="189" spans="1:3" s="266" customFormat="1" x14ac:dyDescent="0.25">
      <c r="A189" s="275"/>
      <c r="C189" s="275"/>
    </row>
    <row r="190" spans="1:3" s="266" customFormat="1" x14ac:dyDescent="0.25">
      <c r="A190" s="275"/>
      <c r="C190" s="275"/>
    </row>
    <row r="191" spans="1:3" s="266" customFormat="1" x14ac:dyDescent="0.25">
      <c r="A191" s="275"/>
      <c r="C191" s="275"/>
    </row>
    <row r="192" spans="1:3" s="266" customFormat="1" x14ac:dyDescent="0.25">
      <c r="A192" s="275"/>
      <c r="C192" s="275"/>
    </row>
  </sheetData>
  <mergeCells count="8">
    <mergeCell ref="G1:L1"/>
    <mergeCell ref="M1:R1"/>
    <mergeCell ref="S1:AJ1"/>
    <mergeCell ref="I39:N39"/>
    <mergeCell ref="O39:AD39"/>
    <mergeCell ref="AE39:AG39"/>
    <mergeCell ref="AH39:AJ39"/>
    <mergeCell ref="C39:H39"/>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38"/>
  <sheetViews>
    <sheetView zoomScale="98" zoomScaleNormal="98" workbookViewId="0">
      <pane xSplit="2" ySplit="3" topLeftCell="L4" activePane="bottomRight" state="frozen"/>
      <selection pane="topRight" activeCell="C1" sqref="C1"/>
      <selection pane="bottomLeft" activeCell="A3" sqref="A3"/>
      <selection pane="bottomRight" activeCell="M19" sqref="M19"/>
    </sheetView>
  </sheetViews>
  <sheetFormatPr defaultRowHeight="15" x14ac:dyDescent="0.25"/>
  <cols>
    <col min="1" max="1" width="13.7109375" style="34" customWidth="1"/>
    <col min="2" max="2" width="25.5703125" style="19" customWidth="1"/>
    <col min="3" max="3" width="6.5703125" style="21" customWidth="1"/>
    <col min="4" max="4" width="9.140625" style="16"/>
    <col min="5" max="6" width="5.85546875" style="16" bestFit="1" customWidth="1"/>
    <col min="7" max="8" width="9.140625" style="16"/>
    <col min="9" max="9" width="9.140625" style="26"/>
    <col min="10" max="10" width="7.28515625" style="16" customWidth="1"/>
    <col min="11" max="11" width="12.140625" style="16" customWidth="1"/>
    <col min="12" max="12" width="13.42578125" style="16" customWidth="1"/>
    <col min="13" max="13" width="12.28515625" style="16" customWidth="1"/>
    <col min="14" max="14" width="7.85546875" style="16" customWidth="1"/>
    <col min="15" max="15" width="7.85546875" style="26" customWidth="1"/>
    <col min="16" max="16" width="11.28515625" style="16" customWidth="1"/>
    <col min="17" max="20" width="9.140625" style="16"/>
    <col min="21" max="21" width="11.5703125" style="16" customWidth="1"/>
    <col min="22" max="22" width="12.42578125" style="16" customWidth="1"/>
    <col min="23" max="23" width="13.140625" style="16" customWidth="1"/>
    <col min="24" max="24" width="13.7109375" style="16" customWidth="1"/>
    <col min="25" max="25" width="13" style="16" customWidth="1"/>
    <col min="26" max="26" width="13.28515625" style="16" bestFit="1" customWidth="1"/>
    <col min="27" max="27" width="9.5703125" style="16" bestFit="1" customWidth="1"/>
    <col min="28" max="28" width="13.42578125" style="16" bestFit="1" customWidth="1"/>
    <col min="29" max="29" width="11.7109375" style="16" bestFit="1" customWidth="1"/>
    <col min="30" max="30" width="10.85546875" style="26" customWidth="1"/>
    <col min="31" max="31" width="9.5703125" bestFit="1" customWidth="1"/>
    <col min="34" max="34" width="9.140625" style="26"/>
    <col min="36" max="36" width="9.140625" style="26"/>
    <col min="37" max="37" width="9.140625" style="59"/>
  </cols>
  <sheetData>
    <row r="1" spans="1:37" s="36" customFormat="1" ht="15.75" thickTop="1" x14ac:dyDescent="0.25">
      <c r="A1" s="36" t="s">
        <v>104</v>
      </c>
      <c r="C1" s="35" t="str">
        <f>A4</f>
        <v>From the Environment</v>
      </c>
      <c r="I1" s="38"/>
      <c r="J1" s="36" t="s">
        <v>85</v>
      </c>
      <c r="K1" s="37"/>
      <c r="L1" s="109"/>
      <c r="O1" s="38"/>
      <c r="P1" s="35" t="s">
        <v>55</v>
      </c>
      <c r="AD1" s="38"/>
      <c r="AE1" s="36" t="s">
        <v>56</v>
      </c>
      <c r="AH1" s="38"/>
      <c r="AI1" s="36" t="s">
        <v>84</v>
      </c>
      <c r="AJ1" s="38"/>
      <c r="AK1" s="57" t="s">
        <v>4</v>
      </c>
    </row>
    <row r="2" spans="1:37" s="32" customFormat="1" ht="18.75" customHeight="1" x14ac:dyDescent="0.25">
      <c r="A2" s="40"/>
      <c r="C2" s="29" t="s">
        <v>59</v>
      </c>
      <c r="D2" s="32" t="s">
        <v>60</v>
      </c>
      <c r="E2" s="32" t="s">
        <v>61</v>
      </c>
      <c r="F2" s="32" t="s">
        <v>62</v>
      </c>
      <c r="G2" s="32" t="s">
        <v>63</v>
      </c>
      <c r="H2" s="32" t="s">
        <v>66</v>
      </c>
      <c r="I2" s="31" t="str">
        <f>B10</f>
        <v>Soil water</v>
      </c>
      <c r="J2" s="32" t="s">
        <v>67</v>
      </c>
      <c r="K2" s="32" t="s">
        <v>68</v>
      </c>
      <c r="L2" s="62" t="s">
        <v>186</v>
      </c>
      <c r="M2" s="32" t="s">
        <v>69</v>
      </c>
      <c r="N2" s="32" t="s">
        <v>70</v>
      </c>
      <c r="O2" s="31" t="s">
        <v>71</v>
      </c>
      <c r="P2" s="32" t="s">
        <v>5</v>
      </c>
      <c r="Q2" s="32" t="s">
        <v>72</v>
      </c>
      <c r="R2" s="32" t="s">
        <v>74</v>
      </c>
      <c r="S2" s="32" t="s">
        <v>76</v>
      </c>
      <c r="T2" s="32" t="s">
        <v>77</v>
      </c>
      <c r="U2" s="32" t="s">
        <v>78</v>
      </c>
      <c r="V2" s="32" t="s">
        <v>75</v>
      </c>
      <c r="W2" s="32" t="s">
        <v>73</v>
      </c>
      <c r="X2" s="39" t="s">
        <v>82</v>
      </c>
      <c r="Y2" s="32" t="s">
        <v>9</v>
      </c>
      <c r="Z2" s="32" t="s">
        <v>10</v>
      </c>
      <c r="AA2" s="32" t="s">
        <v>79</v>
      </c>
      <c r="AB2" s="32" t="s">
        <v>81</v>
      </c>
      <c r="AC2" s="32" t="s">
        <v>80</v>
      </c>
      <c r="AD2" s="31" t="s">
        <v>0</v>
      </c>
      <c r="AE2" s="32" t="s">
        <v>2</v>
      </c>
      <c r="AH2" s="31" t="s">
        <v>57</v>
      </c>
      <c r="AI2" s="32" t="s">
        <v>12</v>
      </c>
      <c r="AJ2" s="31" t="s">
        <v>0</v>
      </c>
      <c r="AK2" s="5"/>
    </row>
    <row r="3" spans="1:37" s="19" customFormat="1" ht="15.75" thickBot="1" x14ac:dyDescent="0.3">
      <c r="A3" s="34"/>
      <c r="C3" s="24"/>
      <c r="D3" s="20"/>
      <c r="E3" s="20"/>
      <c r="F3" s="20"/>
      <c r="G3" s="20"/>
      <c r="H3" s="20"/>
      <c r="I3" s="27"/>
      <c r="J3" s="20"/>
      <c r="K3" s="20"/>
      <c r="L3" s="20"/>
      <c r="M3" s="20"/>
      <c r="N3" s="20"/>
      <c r="O3" s="27"/>
      <c r="P3" s="20"/>
      <c r="Q3" s="20"/>
      <c r="R3" s="20"/>
      <c r="S3" s="20"/>
      <c r="T3" s="20"/>
      <c r="U3" s="20"/>
      <c r="V3" s="20"/>
      <c r="W3" s="20"/>
      <c r="X3" s="20"/>
      <c r="Y3" s="20"/>
      <c r="Z3" s="20"/>
      <c r="AA3" s="20"/>
      <c r="AB3" s="20"/>
      <c r="AC3" s="20"/>
      <c r="AD3" s="27"/>
      <c r="AE3" s="52" t="s">
        <v>98</v>
      </c>
      <c r="AF3" s="52" t="s">
        <v>99</v>
      </c>
      <c r="AG3" s="52" t="s">
        <v>100</v>
      </c>
      <c r="AH3" s="27"/>
      <c r="AJ3" s="27"/>
      <c r="AK3" s="58"/>
    </row>
    <row r="4" spans="1:37" s="16" customFormat="1" x14ac:dyDescent="0.25">
      <c r="A4" s="36" t="s">
        <v>53</v>
      </c>
      <c r="B4" s="20" t="s">
        <v>59</v>
      </c>
      <c r="C4" s="21"/>
      <c r="I4" s="26"/>
      <c r="J4" s="43"/>
      <c r="N4" s="43"/>
      <c r="O4" s="45"/>
      <c r="R4" s="43"/>
      <c r="T4" s="43"/>
      <c r="AD4" s="26"/>
      <c r="AE4" s="43"/>
      <c r="AF4" s="43"/>
      <c r="AG4" s="43"/>
      <c r="AH4" s="26"/>
      <c r="AJ4" s="26"/>
      <c r="AK4" s="59"/>
    </row>
    <row r="5" spans="1:37" s="16" customFormat="1" x14ac:dyDescent="0.25">
      <c r="A5" s="36"/>
      <c r="B5" s="20" t="s">
        <v>60</v>
      </c>
      <c r="C5" s="21"/>
      <c r="I5" s="26"/>
      <c r="N5" s="43"/>
      <c r="O5" s="46"/>
      <c r="R5" s="43"/>
      <c r="AD5" s="26"/>
      <c r="AE5" s="43"/>
      <c r="AF5" s="43"/>
      <c r="AG5" s="43"/>
      <c r="AH5" s="26"/>
      <c r="AJ5" s="26"/>
      <c r="AK5" s="59"/>
    </row>
    <row r="6" spans="1:37" s="16" customFormat="1" x14ac:dyDescent="0.25">
      <c r="A6" s="36"/>
      <c r="B6" s="20" t="s">
        <v>61</v>
      </c>
      <c r="C6" s="21"/>
      <c r="I6" s="26"/>
      <c r="N6" s="43"/>
      <c r="O6" s="46"/>
      <c r="R6" s="43"/>
      <c r="T6" s="43"/>
      <c r="AD6" s="26"/>
      <c r="AE6" s="43"/>
      <c r="AF6" s="43"/>
      <c r="AG6" s="43"/>
      <c r="AH6" s="26"/>
      <c r="AJ6" s="26"/>
      <c r="AK6" s="59"/>
    </row>
    <row r="7" spans="1:37" s="16" customFormat="1" x14ac:dyDescent="0.25">
      <c r="A7" s="36"/>
      <c r="B7" s="20" t="s">
        <v>62</v>
      </c>
      <c r="C7" s="21"/>
      <c r="I7" s="26"/>
      <c r="J7" s="43"/>
      <c r="O7" s="46"/>
      <c r="R7" s="48"/>
      <c r="AD7" s="26"/>
      <c r="AE7" s="43"/>
      <c r="AF7" s="43"/>
      <c r="AG7" s="43"/>
      <c r="AH7" s="26"/>
      <c r="AJ7" s="26"/>
      <c r="AK7" s="59"/>
    </row>
    <row r="8" spans="1:37" s="16" customFormat="1" x14ac:dyDescent="0.25">
      <c r="A8" s="36"/>
      <c r="B8" s="20" t="s">
        <v>63</v>
      </c>
      <c r="C8" s="21"/>
      <c r="I8" s="26"/>
      <c r="J8" s="43"/>
      <c r="N8" s="43"/>
      <c r="O8" s="46"/>
      <c r="R8" s="48"/>
      <c r="T8" s="48"/>
      <c r="AD8" s="26"/>
      <c r="AE8" s="43"/>
      <c r="AF8" s="43"/>
      <c r="AG8" s="43"/>
      <c r="AH8" s="26"/>
      <c r="AJ8" s="26"/>
      <c r="AK8" s="59"/>
    </row>
    <row r="9" spans="1:37" s="16" customFormat="1" x14ac:dyDescent="0.25">
      <c r="A9" s="36"/>
      <c r="B9" s="20" t="s">
        <v>87</v>
      </c>
      <c r="C9" s="21"/>
      <c r="I9" s="26"/>
      <c r="O9" s="46"/>
      <c r="Q9" s="43"/>
      <c r="R9" s="43"/>
      <c r="S9" s="43"/>
      <c r="AD9" s="26"/>
      <c r="AE9" s="43"/>
      <c r="AF9" s="43"/>
      <c r="AG9" s="43"/>
      <c r="AH9" s="26"/>
      <c r="AJ9" s="26"/>
      <c r="AK9" s="59"/>
    </row>
    <row r="10" spans="1:37" s="17" customFormat="1" x14ac:dyDescent="0.25">
      <c r="A10" s="40"/>
      <c r="B10" s="32" t="s">
        <v>88</v>
      </c>
      <c r="C10" s="23"/>
      <c r="I10" s="25"/>
      <c r="O10" s="25"/>
      <c r="Q10" s="44"/>
      <c r="S10" s="44"/>
      <c r="AD10" s="25"/>
      <c r="AH10" s="25"/>
      <c r="AJ10" s="25"/>
      <c r="AK10" s="60"/>
    </row>
    <row r="11" spans="1:37" x14ac:dyDescent="0.25">
      <c r="A11" s="36" t="s">
        <v>54</v>
      </c>
      <c r="B11" s="20" t="s">
        <v>212</v>
      </c>
      <c r="K11" s="108">
        <f>'[11]Fees and charges'!$K$209</f>
        <v>26494000</v>
      </c>
      <c r="L11" s="108">
        <f>'[11]Fees and charges'!$K$214+'[11]Fees and charges'!$K$215</f>
        <v>32434000</v>
      </c>
      <c r="M11" s="108">
        <f>+'[11]Fees and charges'!$K$217+'[11]Fees and charges'!$K$218</f>
        <v>13140000</v>
      </c>
      <c r="P11" s="108">
        <f>'[11]Fees and charges'!$K$194</f>
        <v>4059000</v>
      </c>
      <c r="T11" s="15"/>
      <c r="U11" s="108">
        <f>'[11]Fees and charges'!$K$199</f>
        <v>48282000</v>
      </c>
      <c r="V11" s="108">
        <f>'[11]Fees and charges'!$K$200</f>
        <v>95326000</v>
      </c>
      <c r="W11" s="108">
        <f>'[11]Fees and charges'!$K$201</f>
        <v>20367000</v>
      </c>
      <c r="X11" s="108">
        <f>'[11]Fees and charges'!$K$202</f>
        <v>49931000</v>
      </c>
      <c r="Y11" s="108">
        <f>'[11]Fees and charges'!$K$203</f>
        <v>86615000</v>
      </c>
      <c r="Z11" s="64">
        <f>'[11]Fees and charges'!$K$204</f>
        <v>11142000</v>
      </c>
      <c r="AA11" s="55" t="s">
        <v>97</v>
      </c>
      <c r="AB11" s="108">
        <f>'[11]Fees and charges'!$K$206</f>
        <v>5694000</v>
      </c>
      <c r="AC11" s="108">
        <f>'[11]Fees and charges'!$K$207</f>
        <v>2628000</v>
      </c>
      <c r="AD11" s="106">
        <f>'[11]Fees and charges'!$K$208</f>
        <v>8322000</v>
      </c>
      <c r="AH11" s="46">
        <v>0</v>
      </c>
    </row>
    <row r="12" spans="1:37" x14ac:dyDescent="0.25">
      <c r="A12" s="50" t="s">
        <v>83</v>
      </c>
      <c r="B12" s="20" t="s">
        <v>211</v>
      </c>
      <c r="U12" s="173">
        <f>GEOMEAN('[12]Annual reports'!$G$65:$H$65)</f>
        <v>4657.8114156758211</v>
      </c>
      <c r="V12" s="173">
        <f>GEOMEAN('[12]Annual reports'!$G$67:$H$67)</f>
        <v>3711.3431416552025</v>
      </c>
      <c r="W12" s="173">
        <f>GEOMEAN('[12]Annual reports'!$G$66:$H$66)</f>
        <v>4646.0003202754942</v>
      </c>
      <c r="X12" s="173">
        <f>GEOMEAN('[12]Annual reports'!$G$65:$H$65)</f>
        <v>4657.8114156758211</v>
      </c>
      <c r="Y12" s="173">
        <f>GEOMEAN('[12]Annual reports'!$G$66:$H$66)</f>
        <v>4646.0003202754942</v>
      </c>
      <c r="Z12" s="173">
        <f>GEOMEAN('[12]Annual reports'!$G$65:$H$65)</f>
        <v>4657.8114156758211</v>
      </c>
      <c r="AA12" s="173">
        <f>GEOMEAN('[12]Annual reports'!$G$64:$H$64)</f>
        <v>3801.3476105191958</v>
      </c>
      <c r="AB12" s="173">
        <f>GEOMEAN('[12]Annual reports'!$F$64:$G$64)</f>
        <v>3301.8352551270632</v>
      </c>
      <c r="AC12" s="173">
        <f>GEOMEAN('[12]Annual reports'!$G$64:$H$64)</f>
        <v>3801.3476105191958</v>
      </c>
      <c r="AD12" s="174">
        <f>GEOMEAN('[12]Annual reports'!$G$64:$H$64)</f>
        <v>3801.3476105191958</v>
      </c>
      <c r="AE12" s="173">
        <f>GEOMEAN('[12]Annual reports'!$G$63:$H$63)</f>
        <v>3290.0891216652471</v>
      </c>
      <c r="AF12" s="53"/>
      <c r="AG12" s="51"/>
      <c r="AI12" s="48"/>
    </row>
    <row r="13" spans="1:37" x14ac:dyDescent="0.25">
      <c r="A13" s="50"/>
      <c r="B13" s="62" t="s">
        <v>213</v>
      </c>
      <c r="U13" s="64">
        <f>GEOMEAN('[12]Annual reports'!$G$86:$H$86)</f>
        <v>2605.7628441590764</v>
      </c>
      <c r="V13" s="64">
        <f>GEOMEAN('[12]Annual reports'!$G$86:$H$86)</f>
        <v>2605.7628441590764</v>
      </c>
      <c r="W13" s="64">
        <f>GEOMEAN('[12]Annual reports'!$G$86:$H$86)</f>
        <v>2605.7628441590764</v>
      </c>
      <c r="X13" s="64">
        <f>GEOMEAN('[12]Annual reports'!$G$86:$H$86)</f>
        <v>2605.7628441590764</v>
      </c>
      <c r="Y13" s="64">
        <f>GEOMEAN('[12]Annual reports'!$G$86:$H$86)</f>
        <v>2605.7628441590764</v>
      </c>
      <c r="Z13" s="64">
        <f>GEOMEAN('[12]Annual reports'!$G$86:$H$86)</f>
        <v>2605.7628441590764</v>
      </c>
      <c r="AA13" s="64">
        <f>GEOMEAN('[12]Annual reports'!$G$86:$H$86)</f>
        <v>2605.7628441590764</v>
      </c>
      <c r="AB13" s="64">
        <f>GEOMEAN('[12]Annual reports'!$G$86:$H$86)</f>
        <v>2605.7628441590764</v>
      </c>
      <c r="AC13" s="64">
        <f>GEOMEAN('[12]Annual reports'!$G$86:$H$86)</f>
        <v>2605.7628441590764</v>
      </c>
      <c r="AD13" s="106">
        <f>GEOMEAN('[12]Annual reports'!$G$86:$H$86)</f>
        <v>2605.7628441590764</v>
      </c>
      <c r="AE13" s="64">
        <f>GEOMEAN('[12]Annual reports'!$G$86:$H$86)</f>
        <v>2605.7628441590764</v>
      </c>
      <c r="AF13" s="53"/>
      <c r="AI13" s="48"/>
    </row>
    <row r="14" spans="1:37" x14ac:dyDescent="0.25">
      <c r="B14" s="20" t="s">
        <v>214</v>
      </c>
      <c r="Z14" s="64">
        <f>'Meta data'!$C$36</f>
        <v>333.33333333333331</v>
      </c>
      <c r="AA14" s="64">
        <f>'Meta data'!$C$36</f>
        <v>333.33333333333331</v>
      </c>
      <c r="AB14" s="64">
        <f>'Meta data'!$C$36</f>
        <v>333.33333333333331</v>
      </c>
      <c r="AC14" s="64">
        <f>'Meta data'!$C$36</f>
        <v>333.33333333333331</v>
      </c>
      <c r="AD14" s="106">
        <f>'Meta data'!$C$36</f>
        <v>333.33333333333331</v>
      </c>
      <c r="AE14" s="114">
        <v>333.33333333333331</v>
      </c>
      <c r="AF14" s="53"/>
      <c r="AG14" s="48" t="s">
        <v>101</v>
      </c>
    </row>
    <row r="15" spans="1:37" x14ac:dyDescent="0.25">
      <c r="B15" s="20" t="s">
        <v>215</v>
      </c>
      <c r="U15" s="64">
        <f>'Meta data'!$C$36</f>
        <v>333.33333333333331</v>
      </c>
      <c r="V15" s="64"/>
      <c r="W15" s="64"/>
      <c r="Y15" s="64">
        <f>'Meta data'!$C$36</f>
        <v>333.33333333333331</v>
      </c>
      <c r="Z15" s="64">
        <f>'Meta data'!$C$36</f>
        <v>333.33333333333331</v>
      </c>
      <c r="AA15" s="64"/>
      <c r="AB15" s="64">
        <f>'Meta data'!$C$36</f>
        <v>333.33333333333331</v>
      </c>
      <c r="AC15" s="64">
        <f>'Meta data'!$C$36</f>
        <v>333.33333333333331</v>
      </c>
      <c r="AD15" s="106">
        <f>'Meta data'!$C$36</f>
        <v>333.33333333333331</v>
      </c>
      <c r="AE15" s="64">
        <f>'Meta data'!$C$36</f>
        <v>333.33333333333331</v>
      </c>
      <c r="AF15" s="53"/>
      <c r="AG15" s="48" t="s">
        <v>101</v>
      </c>
      <c r="AI15" s="48"/>
    </row>
    <row r="16" spans="1:37" s="17" customFormat="1" x14ac:dyDescent="0.25">
      <c r="A16" s="40"/>
      <c r="B16" s="32" t="s">
        <v>71</v>
      </c>
      <c r="C16" s="23"/>
      <c r="I16" s="25"/>
      <c r="O16" s="25"/>
      <c r="U16" s="102">
        <f>'Meta data'!$C$36</f>
        <v>333.33333333333331</v>
      </c>
      <c r="Y16" s="102">
        <f>'Meta data'!$C$36</f>
        <v>333.33333333333331</v>
      </c>
      <c r="Z16" s="102">
        <f>'Meta data'!$C$36</f>
        <v>333.33333333333331</v>
      </c>
      <c r="AD16" s="113">
        <f>'Meta data'!$C$36</f>
        <v>333.33333333333331</v>
      </c>
      <c r="AE16" s="112">
        <f>'Meta data'!$C$36</f>
        <v>333.33333333333331</v>
      </c>
      <c r="AF16" s="54" t="s">
        <v>102</v>
      </c>
      <c r="AH16" s="25"/>
      <c r="AJ16" s="25"/>
      <c r="AK16" s="60"/>
    </row>
    <row r="17" spans="1:37" x14ac:dyDescent="0.25">
      <c r="A17" s="34" t="s">
        <v>103</v>
      </c>
      <c r="B17" s="19" t="s">
        <v>5</v>
      </c>
      <c r="AI17" s="51"/>
    </row>
    <row r="18" spans="1:37" x14ac:dyDescent="0.25">
      <c r="B18" s="19" t="s">
        <v>72</v>
      </c>
    </row>
    <row r="19" spans="1:37" x14ac:dyDescent="0.25">
      <c r="B19" s="19" t="s">
        <v>74</v>
      </c>
    </row>
    <row r="20" spans="1:37" x14ac:dyDescent="0.25">
      <c r="B20" s="19" t="s">
        <v>76</v>
      </c>
    </row>
    <row r="21" spans="1:37" x14ac:dyDescent="0.25">
      <c r="B21" s="19" t="s">
        <v>77</v>
      </c>
    </row>
    <row r="22" spans="1:37" x14ac:dyDescent="0.25">
      <c r="B22" s="19" t="s">
        <v>78</v>
      </c>
      <c r="K22" s="64">
        <f>GEOMEAN('[12]Annual reports'!$G$110:$H$110)</f>
        <v>3777.725355819292</v>
      </c>
      <c r="AI22" s="48"/>
      <c r="AJ22" s="46"/>
    </row>
    <row r="23" spans="1:37" x14ac:dyDescent="0.25">
      <c r="B23" s="19" t="s">
        <v>75</v>
      </c>
      <c r="K23" s="64">
        <f>GEOMEAN('[12]Annual reports'!$G$112:$H$112)</f>
        <v>4634.1891683443391</v>
      </c>
      <c r="L23" s="43"/>
      <c r="AI23" s="48"/>
    </row>
    <row r="24" spans="1:37" x14ac:dyDescent="0.25">
      <c r="B24" s="20" t="s">
        <v>73</v>
      </c>
      <c r="K24" s="64">
        <f>GEOMEAN('[12]Annual reports'!$G$111:$H$111)</f>
        <v>4634.1891683443391</v>
      </c>
      <c r="L24" s="43"/>
      <c r="AI24" s="48"/>
    </row>
    <row r="25" spans="1:37" ht="25.5" x14ac:dyDescent="0.25">
      <c r="B25" s="33" t="s">
        <v>82</v>
      </c>
      <c r="K25" s="64">
        <f>GEOMEAN('[12]Annual reports'!$G$110:$H$110)</f>
        <v>3777.725355819292</v>
      </c>
      <c r="L25" s="43"/>
      <c r="AI25" s="48"/>
    </row>
    <row r="26" spans="1:37" x14ac:dyDescent="0.25">
      <c r="B26" s="20" t="s">
        <v>9</v>
      </c>
      <c r="K26" s="64">
        <f>GEOMEAN('[12]Annual reports'!$G$112:$H$112)</f>
        <v>4634.1891683443391</v>
      </c>
      <c r="L26" s="43"/>
    </row>
    <row r="27" spans="1:37" x14ac:dyDescent="0.25">
      <c r="B27" s="19" t="s">
        <v>10</v>
      </c>
      <c r="K27" s="64">
        <f>GEOMEAN('[12]Annual reports'!$G$111:$H$111)</f>
        <v>4634.1891683443391</v>
      </c>
      <c r="L27" s="43"/>
    </row>
    <row r="28" spans="1:37" x14ac:dyDescent="0.25">
      <c r="B28" s="19" t="s">
        <v>79</v>
      </c>
      <c r="K28" s="64">
        <f>GEOMEAN('[12]Annual reports'!$G$110:$H$110)</f>
        <v>3777.725355819292</v>
      </c>
      <c r="L28" s="43"/>
    </row>
    <row r="29" spans="1:37" x14ac:dyDescent="0.25">
      <c r="B29" s="19" t="s">
        <v>81</v>
      </c>
      <c r="K29" s="64">
        <f>GEOMEAN('[12]Annual reports'!$G$110:$H$110)</f>
        <v>3777.725355819292</v>
      </c>
      <c r="L29" s="43"/>
    </row>
    <row r="30" spans="1:37" x14ac:dyDescent="0.25">
      <c r="B30" s="19" t="s">
        <v>80</v>
      </c>
      <c r="K30" s="64">
        <f>GEOMEAN('[12]Annual reports'!$G$110:$H$110)</f>
        <v>3777.725355819292</v>
      </c>
      <c r="L30" s="43"/>
    </row>
    <row r="31" spans="1:37" s="17" customFormat="1" x14ac:dyDescent="0.25">
      <c r="A31" s="40"/>
      <c r="B31" s="32" t="s">
        <v>0</v>
      </c>
      <c r="C31" s="23"/>
      <c r="I31" s="25"/>
      <c r="K31" s="102">
        <f>GEOMEAN('[12]Annual reports'!$G$111:$H$111)</f>
        <v>4634.1891683443391</v>
      </c>
      <c r="L31" s="44"/>
      <c r="O31" s="25"/>
      <c r="AD31" s="25"/>
      <c r="AH31" s="25"/>
      <c r="AJ31" s="25"/>
      <c r="AK31" s="60"/>
    </row>
    <row r="32" spans="1:37" x14ac:dyDescent="0.25">
      <c r="A32" s="34" t="s">
        <v>56</v>
      </c>
      <c r="B32" s="19" t="s">
        <v>2</v>
      </c>
      <c r="K32" s="64">
        <f>GEOMEAN('[12]Annual reports'!$G$109:$H$109)</f>
        <v>2301.7913716060366</v>
      </c>
      <c r="L32" s="43"/>
    </row>
    <row r="33" spans="1:37" x14ac:dyDescent="0.25">
      <c r="B33" s="19" t="s">
        <v>57</v>
      </c>
    </row>
    <row r="34" spans="1:37" s="15" customFormat="1" x14ac:dyDescent="0.25">
      <c r="A34" s="41" t="s">
        <v>84</v>
      </c>
      <c r="B34" s="18" t="s">
        <v>12</v>
      </c>
      <c r="C34" s="22"/>
      <c r="I34" s="42"/>
      <c r="O34" s="42"/>
      <c r="AD34" s="42"/>
      <c r="AH34" s="42"/>
      <c r="AJ34" s="42"/>
      <c r="AK34" s="61"/>
    </row>
    <row r="35" spans="1:37" s="17" customFormat="1" x14ac:dyDescent="0.25">
      <c r="A35" s="40"/>
      <c r="B35" s="32" t="s">
        <v>0</v>
      </c>
      <c r="C35" s="23"/>
      <c r="I35" s="25"/>
      <c r="O35" s="25"/>
      <c r="AD35" s="25"/>
      <c r="AH35" s="25"/>
      <c r="AJ35" s="25"/>
      <c r="AK35" s="60"/>
    </row>
    <row r="36" spans="1:37" x14ac:dyDescent="0.25">
      <c r="A36" s="34" t="s">
        <v>4</v>
      </c>
      <c r="B36" s="20"/>
      <c r="C36" s="28"/>
      <c r="D36" s="30"/>
      <c r="E36" s="30"/>
      <c r="F36" s="30"/>
      <c r="G36" s="30"/>
      <c r="H36" s="30"/>
      <c r="I36" s="56"/>
      <c r="J36" s="30"/>
      <c r="K36" s="30"/>
      <c r="L36" s="30"/>
      <c r="M36" s="30"/>
      <c r="N36" s="30"/>
      <c r="O36" s="56"/>
      <c r="P36" s="30"/>
      <c r="Q36" s="30"/>
      <c r="R36" s="30"/>
      <c r="S36" s="30"/>
      <c r="T36" s="30"/>
      <c r="U36" s="30"/>
      <c r="V36" s="30"/>
      <c r="W36" s="30"/>
      <c r="X36" s="30"/>
      <c r="Y36" s="30"/>
      <c r="Z36" s="30"/>
      <c r="AA36" s="30"/>
      <c r="AB36" s="30"/>
      <c r="AC36" s="30"/>
      <c r="AD36" s="56"/>
      <c r="AE36" s="30"/>
      <c r="AF36" s="30"/>
      <c r="AG36" s="30"/>
      <c r="AH36" s="56"/>
      <c r="AI36" s="30"/>
      <c r="AJ36" s="56"/>
      <c r="AK36" s="1"/>
    </row>
    <row r="37" spans="1:37" x14ac:dyDescent="0.25">
      <c r="B37" s="20"/>
    </row>
    <row r="38" spans="1:37" x14ac:dyDescent="0.25">
      <c r="B38" s="20"/>
    </row>
  </sheetData>
  <pageMargins left="0.7" right="0.7" top="0.75" bottom="0.75" header="0.3" footer="0.3"/>
  <pageSetup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4"/>
  <sheetViews>
    <sheetView topLeftCell="A26" zoomScale="93" zoomScaleNormal="93" workbookViewId="0">
      <pane xSplit="1" ySplit="6" topLeftCell="B38" activePane="bottomRight" state="frozen"/>
      <selection activeCell="A26" sqref="A26"/>
      <selection pane="topRight" activeCell="B26" sqref="B26"/>
      <selection pane="bottomLeft" activeCell="A32" sqref="A32"/>
      <selection pane="bottomRight" activeCell="B54" sqref="B54"/>
    </sheetView>
  </sheetViews>
  <sheetFormatPr defaultRowHeight="15" x14ac:dyDescent="0.25"/>
  <cols>
    <col min="1" max="1" width="32.5703125" customWidth="1"/>
    <col min="2" max="2" width="18.140625" customWidth="1"/>
    <col min="3" max="3" width="22.28515625" bestFit="1" customWidth="1"/>
    <col min="4" max="4" width="22.28515625" customWidth="1"/>
    <col min="5" max="5" width="16.85546875" style="66" bestFit="1" customWidth="1"/>
    <col min="6" max="6" width="17.140625" bestFit="1" customWidth="1"/>
    <col min="7" max="7" width="15.140625" customWidth="1"/>
    <col min="8" max="9" width="15.28515625" customWidth="1"/>
    <col min="10" max="10" width="17.85546875" customWidth="1"/>
    <col min="11" max="11" width="13.7109375" customWidth="1"/>
    <col min="12" max="12" width="20.140625" bestFit="1" customWidth="1"/>
    <col min="13" max="13" width="16.140625" customWidth="1"/>
    <col min="14" max="14" width="17.140625" bestFit="1" customWidth="1"/>
    <col min="15" max="15" width="24.7109375" customWidth="1"/>
    <col min="16" max="16" width="16.140625" bestFit="1" customWidth="1"/>
    <col min="17" max="17" width="13.140625" customWidth="1"/>
    <col min="20" max="20" width="12.85546875" bestFit="1" customWidth="1"/>
    <col min="21" max="21" width="18.5703125" customWidth="1"/>
  </cols>
  <sheetData>
    <row r="1" spans="1:14" x14ac:dyDescent="0.25">
      <c r="C1">
        <v>2018</v>
      </c>
    </row>
    <row r="2" spans="1:14" x14ac:dyDescent="0.25">
      <c r="A2" s="9" t="s">
        <v>229</v>
      </c>
      <c r="C2" s="67">
        <f>C3+C4</f>
        <v>255477187463706.31</v>
      </c>
      <c r="D2" s="67"/>
    </row>
    <row r="3" spans="1:14" x14ac:dyDescent="0.25">
      <c r="A3" s="126" t="s">
        <v>232</v>
      </c>
      <c r="C3" s="66">
        <f>'Table 5&amp; 6 PSUT '!V12</f>
        <v>255477187463706.31</v>
      </c>
      <c r="D3" s="66"/>
    </row>
    <row r="4" spans="1:14" x14ac:dyDescent="0.25">
      <c r="A4" s="126" t="s">
        <v>233</v>
      </c>
      <c r="C4">
        <v>0</v>
      </c>
    </row>
    <row r="8" spans="1:14" x14ac:dyDescent="0.25">
      <c r="A8" s="9" t="s">
        <v>230</v>
      </c>
      <c r="C8" s="67">
        <f>C15+C9</f>
        <v>252839020749791.25</v>
      </c>
      <c r="D8" s="67"/>
    </row>
    <row r="9" spans="1:14" x14ac:dyDescent="0.25">
      <c r="A9" s="126" t="s">
        <v>234</v>
      </c>
      <c r="C9" s="67">
        <f>'Table 5&amp; 6 PSUT '!U73</f>
        <v>223240794278088.28</v>
      </c>
      <c r="D9" s="67"/>
      <c r="N9">
        <f>22*10</f>
        <v>220</v>
      </c>
    </row>
    <row r="10" spans="1:14" hidden="1" x14ac:dyDescent="0.25">
      <c r="A10" s="126" t="s">
        <v>235</v>
      </c>
      <c r="C10" s="67"/>
      <c r="D10" s="67"/>
    </row>
    <row r="11" spans="1:14" hidden="1" x14ac:dyDescent="0.25">
      <c r="A11" s="126" t="s">
        <v>32</v>
      </c>
    </row>
    <row r="12" spans="1:14" hidden="1" x14ac:dyDescent="0.25">
      <c r="A12" s="126" t="s">
        <v>236</v>
      </c>
    </row>
    <row r="13" spans="1:14" x14ac:dyDescent="0.25">
      <c r="N13">
        <f>N9/5</f>
        <v>44</v>
      </c>
    </row>
    <row r="15" spans="1:14" x14ac:dyDescent="0.25">
      <c r="A15" s="9" t="s">
        <v>231</v>
      </c>
      <c r="C15" s="67">
        <f>'Table 5&amp; 6 PSUT '!V33</f>
        <v>29598226471702.973</v>
      </c>
      <c r="D15" s="67"/>
    </row>
    <row r="16" spans="1:14" hidden="1" x14ac:dyDescent="0.25">
      <c r="A16" s="126" t="s">
        <v>235</v>
      </c>
      <c r="C16" s="67"/>
      <c r="D16" s="67"/>
    </row>
    <row r="17" spans="1:22" hidden="1" x14ac:dyDescent="0.25">
      <c r="A17" s="126" t="s">
        <v>32</v>
      </c>
      <c r="C17" s="67"/>
      <c r="D17" s="67"/>
    </row>
    <row r="18" spans="1:22" hidden="1" x14ac:dyDescent="0.25">
      <c r="A18" s="126" t="s">
        <v>236</v>
      </c>
      <c r="C18" s="67"/>
      <c r="D18" s="67"/>
    </row>
    <row r="19" spans="1:22" hidden="1" x14ac:dyDescent="0.25"/>
    <row r="21" spans="1:22" x14ac:dyDescent="0.25">
      <c r="A21" t="s">
        <v>252</v>
      </c>
      <c r="C21" s="66">
        <v>38335300</v>
      </c>
      <c r="D21" s="66"/>
    </row>
    <row r="22" spans="1:22" x14ac:dyDescent="0.25">
      <c r="A22" t="s">
        <v>276</v>
      </c>
      <c r="C22" s="66">
        <f>C21/4.7</f>
        <v>8156446.8085106378</v>
      </c>
      <c r="D22" s="66"/>
    </row>
    <row r="24" spans="1:22" x14ac:dyDescent="0.25">
      <c r="A24" t="s">
        <v>253</v>
      </c>
      <c r="C24" s="252">
        <f>L53/C21*1000</f>
        <v>840912.31212729821</v>
      </c>
      <c r="D24" s="141"/>
    </row>
    <row r="25" spans="1:22" x14ac:dyDescent="0.25">
      <c r="A25" t="s">
        <v>254</v>
      </c>
      <c r="C25" s="141">
        <f>L52/C22*1000</f>
        <v>10.679843573833173</v>
      </c>
      <c r="D25" s="141"/>
    </row>
    <row r="26" spans="1:22" x14ac:dyDescent="0.25">
      <c r="A26" t="s">
        <v>277</v>
      </c>
      <c r="C26">
        <v>58.653289999999998</v>
      </c>
      <c r="G26" s="67"/>
    </row>
    <row r="27" spans="1:22" x14ac:dyDescent="0.25">
      <c r="G27" s="67">
        <v>1000</v>
      </c>
    </row>
    <row r="28" spans="1:22" x14ac:dyDescent="0.25">
      <c r="C28" s="67"/>
      <c r="D28" s="67"/>
      <c r="F28" s="98"/>
      <c r="G28" s="98"/>
      <c r="H28" s="97"/>
      <c r="I28" s="97"/>
    </row>
    <row r="29" spans="1:22" x14ac:dyDescent="0.25">
      <c r="A29" s="9" t="s">
        <v>312</v>
      </c>
      <c r="G29" s="114"/>
    </row>
    <row r="30" spans="1:22" x14ac:dyDescent="0.25">
      <c r="M30">
        <v>1000</v>
      </c>
    </row>
    <row r="31" spans="1:22" s="65" customFormat="1" ht="73.5" customHeight="1" x14ac:dyDescent="0.25">
      <c r="A31" s="140" t="s">
        <v>248</v>
      </c>
      <c r="B31" s="138" t="s">
        <v>310</v>
      </c>
      <c r="C31" s="138" t="str">
        <f>'Table 5&amp; 6 PSUT '!A81</f>
        <v>Total abstraction</v>
      </c>
      <c r="D31" s="138" t="str">
        <f>'Table 5&amp; 6 PSUT '!A82</f>
        <v>Total supply</v>
      </c>
      <c r="E31" s="139" t="s">
        <v>246</v>
      </c>
      <c r="F31" s="138" t="s">
        <v>251</v>
      </c>
      <c r="G31" s="139" t="s">
        <v>329</v>
      </c>
      <c r="H31" s="233" t="s">
        <v>330</v>
      </c>
      <c r="I31" s="239" t="s">
        <v>326</v>
      </c>
      <c r="J31" s="239" t="s">
        <v>327</v>
      </c>
      <c r="K31" s="239" t="s">
        <v>302</v>
      </c>
      <c r="L31" s="138" t="s">
        <v>245</v>
      </c>
      <c r="M31" s="138" t="s">
        <v>249</v>
      </c>
      <c r="N31" s="138" t="s">
        <v>333</v>
      </c>
      <c r="V31" s="65" t="s">
        <v>322</v>
      </c>
    </row>
    <row r="32" spans="1:22" s="92" customFormat="1" ht="20.25" customHeight="1" x14ac:dyDescent="0.25">
      <c r="A32" s="134" t="s">
        <v>323</v>
      </c>
      <c r="B32" s="231">
        <f>SUM(B33:B38)</f>
        <v>33260864.170308564</v>
      </c>
      <c r="C32" s="231">
        <f t="shared" ref="C32:F32" si="0">SUM(C33:C38)</f>
        <v>253836891717.79327</v>
      </c>
      <c r="D32" s="231">
        <f t="shared" si="0"/>
        <v>221626373737.87494</v>
      </c>
      <c r="E32" s="231">
        <f t="shared" si="0"/>
        <v>253836920675.52771</v>
      </c>
      <c r="F32" s="136">
        <f t="shared" si="0"/>
        <v>99.357869137156825</v>
      </c>
      <c r="G32" s="231">
        <f>SUM(G33:G38)</f>
        <v>463327.68433453806</v>
      </c>
      <c r="H32" s="234">
        <f>B32/G32*1000</f>
        <v>71786.913009698561</v>
      </c>
      <c r="I32" s="240">
        <f t="shared" ref="I32:I48" si="1">(B32/E32)*1000</f>
        <v>0.13103241278610117</v>
      </c>
      <c r="J32" s="241">
        <f t="shared" ref="J32:J51" si="2">(B32/E32*F32)*1000</f>
        <v>13.019101322327355</v>
      </c>
      <c r="K32" s="249"/>
      <c r="L32" s="231">
        <f>SUM(L33:L38)</f>
        <v>32210546937.652767</v>
      </c>
      <c r="M32" s="136">
        <f>SUM(M33:M38)</f>
        <v>99.919101888529724</v>
      </c>
      <c r="N32" s="253">
        <f>(B32/L32)*1000</f>
        <v>1.0326078670656791</v>
      </c>
    </row>
    <row r="33" spans="1:23" x14ac:dyDescent="0.25">
      <c r="A33" s="137" t="s">
        <v>5</v>
      </c>
      <c r="B33" s="124">
        <f>0.05*([13]AGDP_CP_CY!$O$6+[13]AGDP_CP_CY!$O$7)*1000</f>
        <v>959176.75886469777</v>
      </c>
      <c r="C33" s="123">
        <f>('Table 5&amp; 6 PSUT '!B81)/1000</f>
        <v>262585.43360000005</v>
      </c>
      <c r="D33" s="123">
        <f>('Table 5&amp; 6 PSUT '!B82)/1000</f>
        <v>131292.71680000002</v>
      </c>
      <c r="E33" s="124">
        <f>('Table 5&amp; 6 PSUT '!B83)/1000</f>
        <v>262585.43360000005</v>
      </c>
      <c r="F33" s="131">
        <f>(E33/$E$53)*100</f>
        <v>1.0278224727718936E-4</v>
      </c>
      <c r="G33" s="235">
        <f>E33</f>
        <v>262585.43360000005</v>
      </c>
      <c r="H33" s="236">
        <f>B33/G33*1000</f>
        <v>3652.8178494692311</v>
      </c>
      <c r="I33" s="242">
        <f t="shared" si="1"/>
        <v>3652.8178494692311</v>
      </c>
      <c r="J33" s="241">
        <f t="shared" si="2"/>
        <v>0.3754448274626776</v>
      </c>
      <c r="K33" s="250">
        <f>E33/B33*1000</f>
        <v>273.76125534025846</v>
      </c>
      <c r="L33" s="124">
        <f>('Table 5&amp; 6 PSUT '!B84)/1000</f>
        <v>131292.71680000002</v>
      </c>
      <c r="M33" s="131">
        <f>L33/L$53*100</f>
        <v>4.0727809970298676E-4</v>
      </c>
      <c r="N33" s="132">
        <f>(B33/L33)*1000</f>
        <v>7305.6356989384622</v>
      </c>
      <c r="O33" s="221">
        <v>95265.753519999998</v>
      </c>
      <c r="P33" s="67">
        <f>L33-O33</f>
        <v>36026.963280000025</v>
      </c>
      <c r="V33" t="e">
        <f>E33/$E$54</f>
        <v>#DIV/0!</v>
      </c>
      <c r="W33" s="227" t="e">
        <f>J33*V33</f>
        <v>#DIV/0!</v>
      </c>
    </row>
    <row r="34" spans="1:23" x14ac:dyDescent="0.25">
      <c r="A34" s="137" t="s">
        <v>238</v>
      </c>
      <c r="B34" s="124">
        <f>0.95*([13]AGDP_CP_CY!$O$6+[13]AGDP_CP_CY!$O$7)*1000</f>
        <v>18224358.418429255</v>
      </c>
      <c r="C34" s="123">
        <f>('Table 5&amp; 6 PSUT '!C81)/1000</f>
        <v>169768210667.25003</v>
      </c>
      <c r="D34" s="123">
        <f>('Table 5&amp; 6 PSUT '!C82)/1000</f>
        <v>152791389600.52502</v>
      </c>
      <c r="E34" s="124">
        <f>('Table 5&amp; 6 PSUT '!C83)/1000</f>
        <v>169768210667.25003</v>
      </c>
      <c r="F34" s="131">
        <f>(E34/E$53*100)</f>
        <v>66.451356304812421</v>
      </c>
      <c r="G34" s="237"/>
      <c r="H34" s="237"/>
      <c r="I34" s="242">
        <f t="shared" si="1"/>
        <v>0.10734847440990856</v>
      </c>
      <c r="J34" s="241">
        <f t="shared" si="2"/>
        <v>7.1334517217908724</v>
      </c>
      <c r="K34" s="250">
        <f>E34/B34*1000</f>
        <v>9315456.092850605</v>
      </c>
      <c r="L34" s="124">
        <f>('Table 5&amp; 6 PSUT '!C84)/1000</f>
        <v>16976821066.725</v>
      </c>
      <c r="M34" s="131">
        <f>L34/L$53*100</f>
        <v>52.663145310535533</v>
      </c>
      <c r="N34" s="132">
        <f>(B34/L34)*1000</f>
        <v>1.0734847440990858</v>
      </c>
      <c r="O34" s="221">
        <v>12014737.7699572</v>
      </c>
      <c r="P34" s="67">
        <f t="shared" ref="P34:P52" si="3">L34-O34</f>
        <v>16964806328.955044</v>
      </c>
      <c r="V34" t="e">
        <f>E34/$E$54</f>
        <v>#DIV/0!</v>
      </c>
      <c r="W34" s="227">
        <f>J34*F34</f>
        <v>474.0275420479029</v>
      </c>
    </row>
    <row r="35" spans="1:23" x14ac:dyDescent="0.25">
      <c r="A35" s="137" t="s">
        <v>74</v>
      </c>
      <c r="B35" s="124">
        <f>[13]AGDP_CP_CY!$O$8*1000</f>
        <v>5095936.644089533</v>
      </c>
      <c r="C35" s="123">
        <f>('Table 5&amp; 6 PSUT '!D81)/1000</f>
        <v>52592102955.130028</v>
      </c>
      <c r="D35" s="123">
        <f>('Table 5&amp; 6 PSUT '!D82)/1000</f>
        <v>43651444350.841606</v>
      </c>
      <c r="E35" s="124">
        <f>('Table 5&amp; 6 PSUT '!D83)/1000</f>
        <v>52592131912.864471</v>
      </c>
      <c r="F35" s="131">
        <f>(E35/E$53*100)</f>
        <v>20.585823946871805</v>
      </c>
      <c r="G35" s="236">
        <f>'Table 5&amp; 6 PSUT '!D92/1000</f>
        <v>30285.344457538013</v>
      </c>
      <c r="H35" s="236">
        <f>B35/G35*1000</f>
        <v>168264.11372782508</v>
      </c>
      <c r="I35" s="242">
        <f t="shared" si="1"/>
        <v>9.6895418739300521E-2</v>
      </c>
      <c r="J35" s="241">
        <f t="shared" si="2"/>
        <v>1.9946720314256636</v>
      </c>
      <c r="K35" s="250">
        <f>E35/B35*1000</f>
        <v>10320405.371181939</v>
      </c>
      <c r="L35" s="124">
        <f>('Table 5&amp; 6 PSUT '!D84)/1000</f>
        <v>8940687562.0228596</v>
      </c>
      <c r="M35" s="131">
        <f>L35/L$53*100</f>
        <v>27.734563874138672</v>
      </c>
      <c r="N35" s="132">
        <f>(B35/L35)*1000</f>
        <v>0.56997144892249885</v>
      </c>
      <c r="O35" s="221">
        <v>11685191.4961587</v>
      </c>
      <c r="P35" s="67">
        <f t="shared" si="3"/>
        <v>8929002370.526701</v>
      </c>
      <c r="V35" t="e">
        <f>E35/$E$54</f>
        <v>#DIV/0!</v>
      </c>
      <c r="W35" s="227">
        <f>J35*F35</f>
        <v>41.061967270677854</v>
      </c>
    </row>
    <row r="36" spans="1:23" x14ac:dyDescent="0.25">
      <c r="A36" s="137" t="s">
        <v>331</v>
      </c>
      <c r="B36" s="124">
        <f>[13]AGDP_CP_CY!$O$9*1000</f>
        <v>19590.433698767836</v>
      </c>
      <c r="C36" s="237"/>
      <c r="D36" s="237"/>
      <c r="E36" s="237"/>
      <c r="F36" s="237"/>
      <c r="G36" s="237"/>
      <c r="H36" s="237"/>
      <c r="I36" s="243"/>
      <c r="J36" s="243"/>
      <c r="K36" s="243"/>
      <c r="L36" s="237"/>
      <c r="M36" s="237"/>
      <c r="N36" s="254"/>
      <c r="O36" s="221"/>
      <c r="P36" s="67"/>
      <c r="W36" s="227"/>
    </row>
    <row r="37" spans="1:23" x14ac:dyDescent="0.25">
      <c r="A37" s="137" t="s">
        <v>239</v>
      </c>
      <c r="B37" s="124">
        <f>[13]AGDP_CP_CY!$O$10*1000</f>
        <v>5526992.3177029798</v>
      </c>
      <c r="C37" s="123">
        <f>('Table 5&amp; 6 PSUT '!E81)/1000</f>
        <v>31462907976.650009</v>
      </c>
      <c r="D37" s="123">
        <f>('Table 5&amp; 6 PSUT '!E82)/1000</f>
        <v>25170324592.400009</v>
      </c>
      <c r="E37" s="124">
        <f>('Table 5&amp; 6 PSUT '!E83)/1000</f>
        <v>31462907976.650009</v>
      </c>
      <c r="F37" s="131">
        <f t="shared" ref="F37:F38" si="4">(E37/E$53*100)</f>
        <v>12.315338072566618</v>
      </c>
      <c r="G37" s="237"/>
      <c r="H37" s="237"/>
      <c r="I37" s="242">
        <f t="shared" si="1"/>
        <v>0.17566692569564138</v>
      </c>
      <c r="J37" s="241">
        <f t="shared" si="2"/>
        <v>2.1633975781102639</v>
      </c>
      <c r="K37" s="250">
        <f>E37/B37*1000</f>
        <v>5692591.2264929665</v>
      </c>
      <c r="L37" s="124">
        <f>('Table 5&amp; 6 PSUT '!E84)/1000</f>
        <v>6292583384.25</v>
      </c>
      <c r="M37" s="131">
        <f>L37/L$53*100</f>
        <v>19.519981499536836</v>
      </c>
      <c r="N37" s="132">
        <f>(B37/L37)*1000</f>
        <v>0.87833437877625054</v>
      </c>
      <c r="O37" s="221">
        <v>4460548.1031428603</v>
      </c>
      <c r="P37" s="67">
        <f t="shared" si="3"/>
        <v>6288122836.1468573</v>
      </c>
      <c r="V37" t="e">
        <f>E37/$E$54</f>
        <v>#DIV/0!</v>
      </c>
      <c r="W37" s="227">
        <f>J37*F37</f>
        <v>26.642972559799748</v>
      </c>
    </row>
    <row r="38" spans="1:23" x14ac:dyDescent="0.25">
      <c r="A38" s="137" t="s">
        <v>240</v>
      </c>
      <c r="B38" s="124">
        <f>[13]AGDP_CP_CY!$O$11*1000</f>
        <v>3434809.597523333</v>
      </c>
      <c r="C38" s="123">
        <f>('Table 5&amp; 6 PSUT '!F81)/1000</f>
        <v>13407533.329580573</v>
      </c>
      <c r="D38" s="123">
        <f>('Table 5&amp; 6 PSUT '!F82)/1000</f>
        <v>13083901.3914731</v>
      </c>
      <c r="E38" s="124">
        <f>('Table 5&amp; 6 PSUT '!F83)/1000</f>
        <v>13407533.329580573</v>
      </c>
      <c r="F38" s="131">
        <f t="shared" si="4"/>
        <v>5.2480306586896227E-3</v>
      </c>
      <c r="G38" s="236">
        <f>'Table 5&amp; 6 PSUT '!F92/1000</f>
        <v>170456.906277</v>
      </c>
      <c r="H38" s="236">
        <f>B38/G38*1000</f>
        <v>20150.60388308125</v>
      </c>
      <c r="I38" s="242">
        <f t="shared" si="1"/>
        <v>256.18505008264515</v>
      </c>
      <c r="J38" s="241">
        <f t="shared" si="2"/>
        <v>1.3444669971316581</v>
      </c>
      <c r="K38" s="250">
        <f>E38/B38*1000</f>
        <v>3903.4283994222169</v>
      </c>
      <c r="L38" s="124">
        <f>'Table 5&amp; 6 PSUT '!F84/1000</f>
        <v>323631.93810747529</v>
      </c>
      <c r="M38" s="131">
        <f>L38/L$53*100</f>
        <v>1.0039262189721642E-3</v>
      </c>
      <c r="N38" s="132">
        <f>(B38/L38)*1000</f>
        <v>10613.320853341314</v>
      </c>
      <c r="O38" s="221">
        <v>0</v>
      </c>
      <c r="P38" s="67">
        <f t="shared" si="3"/>
        <v>323631.93810747529</v>
      </c>
      <c r="V38" t="e">
        <f>E38/$E$54</f>
        <v>#DIV/0!</v>
      </c>
      <c r="W38" s="227">
        <f>J38*F38</f>
        <v>7.0558040205433142E-3</v>
      </c>
    </row>
    <row r="39" spans="1:23" s="9" customFormat="1" x14ac:dyDescent="0.25">
      <c r="A39" s="134" t="s">
        <v>248</v>
      </c>
      <c r="B39" s="135">
        <f t="shared" ref="B39:G39" si="5">SUM(B40:B45)</f>
        <v>36178736.949487142</v>
      </c>
      <c r="C39" s="135">
        <f t="shared" si="5"/>
        <v>1640290668.0589578</v>
      </c>
      <c r="D39" s="135">
        <f t="shared" si="5"/>
        <v>1614358737.5420091</v>
      </c>
      <c r="E39" s="135">
        <f t="shared" si="5"/>
        <v>1640313128.0453687</v>
      </c>
      <c r="F39" s="136">
        <f t="shared" si="5"/>
        <v>0.64205796653443548</v>
      </c>
      <c r="G39" s="238">
        <f t="shared" si="5"/>
        <v>703460.30039213842</v>
      </c>
      <c r="H39" s="234">
        <f>B39/G39*1000</f>
        <v>51429.678304972702</v>
      </c>
      <c r="I39" s="244">
        <f t="shared" si="1"/>
        <v>22.055994267752084</v>
      </c>
      <c r="J39" s="241">
        <f t="shared" si="2"/>
        <v>14.161226829448069</v>
      </c>
      <c r="K39" s="244"/>
      <c r="L39" s="135">
        <f>SUM(L40:L45)</f>
        <v>25954390.503359765</v>
      </c>
      <c r="M39" s="136">
        <f>SUM(M40:M45)</f>
        <v>8.0512119032924226E-2</v>
      </c>
      <c r="N39" s="253">
        <f t="shared" ref="N39:N45" si="6">(B39/L39)*1000</f>
        <v>1393.9351395982058</v>
      </c>
      <c r="O39" s="228"/>
      <c r="P39" s="229"/>
      <c r="W39" s="230"/>
    </row>
    <row r="40" spans="1:23" x14ac:dyDescent="0.25">
      <c r="A40" s="137" t="s">
        <v>78</v>
      </c>
      <c r="B40" s="124">
        <f>[13]AGDP_CP_CY!$O$13*1000</f>
        <v>1742856.7449349682</v>
      </c>
      <c r="C40" s="123">
        <f>('Table 5&amp; 6 PSUT '!G81)/1000</f>
        <v>128522.79838118689</v>
      </c>
      <c r="D40" s="123">
        <f>('Table 5&amp; 6 PSUT '!G82)/1000</f>
        <v>89965.958866830813</v>
      </c>
      <c r="E40" s="124">
        <f>('Table 5&amp; 6 PSUT '!G83)/1000</f>
        <v>129886.403051011</v>
      </c>
      <c r="F40" s="131">
        <f t="shared" ref="F40:F45" si="7">(E40/E$53*100)</f>
        <v>5.0840658650814412E-5</v>
      </c>
      <c r="G40" s="235">
        <f t="shared" ref="G40:G51" si="8">E40</f>
        <v>129886.403051011</v>
      </c>
      <c r="H40" s="236">
        <f t="shared" ref="H40:H44" si="9">B40/G40*1000</f>
        <v>13418.315574190521</v>
      </c>
      <c r="I40" s="242">
        <f t="shared" si="1"/>
        <v>13418.315574190521</v>
      </c>
      <c r="J40" s="245">
        <f t="shared" si="2"/>
        <v>0.68219600177632711</v>
      </c>
      <c r="K40" s="250">
        <f t="shared" ref="K40:K45" si="10">E40/B40*1000</f>
        <v>74.525002372388045</v>
      </c>
      <c r="L40" s="124">
        <f>('Table 5&amp; 6 PSUT '!G84)/1000</f>
        <v>39920.444184180182</v>
      </c>
      <c r="M40" s="131">
        <f t="shared" ref="M40:M45" si="11">L40/L$53*100</f>
        <v>1.2383567834458928E-4</v>
      </c>
      <c r="N40" s="132">
        <f t="shared" si="6"/>
        <v>43658.250316403886</v>
      </c>
      <c r="O40" s="221">
        <v>1238.1265744346101</v>
      </c>
      <c r="P40" s="67">
        <f t="shared" si="3"/>
        <v>38682.317609745573</v>
      </c>
      <c r="V40" t="e">
        <f t="shared" ref="V40:V45" si="12">E40/$E$54</f>
        <v>#DIV/0!</v>
      </c>
      <c r="W40" s="227">
        <f t="shared" ref="W40:W45" si="13">J40*F40</f>
        <v>3.4683294059260631E-5</v>
      </c>
    </row>
    <row r="41" spans="1:23" ht="30" x14ac:dyDescent="0.25">
      <c r="A41" s="137" t="s">
        <v>6</v>
      </c>
      <c r="B41" s="124">
        <f>0.47*[13]AGDP_CP_CY!$O$14*1000</f>
        <v>10183003.677325243</v>
      </c>
      <c r="C41" s="123">
        <f>('Table 5&amp; 6 PSUT '!H81)/1000</f>
        <v>10916.48</v>
      </c>
      <c r="D41" s="123">
        <f>('Table 5&amp; 6 PSUT '!H82)/1000</f>
        <v>11114.448155445501</v>
      </c>
      <c r="E41" s="124">
        <f>('Table 5&amp; 6 PSUT '!H83)/1000</f>
        <v>23483.524940278443</v>
      </c>
      <c r="F41" s="131">
        <f t="shared" si="7"/>
        <v>9.1920158489390852E-6</v>
      </c>
      <c r="G41" s="235">
        <f t="shared" si="8"/>
        <v>23483.524940278443</v>
      </c>
      <c r="H41" s="236">
        <f t="shared" si="9"/>
        <v>433623.30413436232</v>
      </c>
      <c r="I41" s="242">
        <f t="shared" si="1"/>
        <v>433623.30413436232</v>
      </c>
      <c r="J41" s="245">
        <f t="shared" si="2"/>
        <v>3.9858722840723919</v>
      </c>
      <c r="K41" s="250">
        <f t="shared" si="10"/>
        <v>2.3061491171381792</v>
      </c>
      <c r="L41" s="124">
        <f>('Table 5&amp; 6 PSUT '!H84)/1000</f>
        <v>12369.076784832943</v>
      </c>
      <c r="M41" s="124">
        <f t="shared" si="11"/>
        <v>3.8369638551093564E-5</v>
      </c>
      <c r="N41" s="132">
        <f t="shared" si="6"/>
        <v>823263.0336495057</v>
      </c>
      <c r="O41" s="221">
        <v>10464.2707765343</v>
      </c>
      <c r="P41" s="67">
        <f t="shared" si="3"/>
        <v>1904.8060082986431</v>
      </c>
      <c r="V41" t="e">
        <f t="shared" si="12"/>
        <v>#DIV/0!</v>
      </c>
      <c r="W41" s="227">
        <f t="shared" si="13"/>
        <v>3.663820120704046E-5</v>
      </c>
    </row>
    <row r="42" spans="1:23" x14ac:dyDescent="0.25">
      <c r="A42" s="137" t="s">
        <v>7</v>
      </c>
      <c r="B42" s="124">
        <f>((1-0.47)*[13]AGDP_CP_CY!$O$14)*1000</f>
        <v>11482961.593579531</v>
      </c>
      <c r="C42" s="123">
        <f>('Table 5&amp; 6 PSUT '!I81)/1000</f>
        <v>6902.3689999999997</v>
      </c>
      <c r="D42" s="123">
        <f>('Table 5&amp; 6 PSUT '!I82)/1000</f>
        <v>7569.7499417180979</v>
      </c>
      <c r="E42" s="124">
        <f>('Table 5&amp; 6 PSUT '!I83)/1000</f>
        <v>13249.960541565944</v>
      </c>
      <c r="F42" s="131">
        <f t="shared" si="7"/>
        <v>5.1863528838038041E-6</v>
      </c>
      <c r="G42" s="235">
        <f t="shared" si="8"/>
        <v>13249.960541565944</v>
      </c>
      <c r="H42" s="236">
        <f t="shared" si="9"/>
        <v>866641.19168934668</v>
      </c>
      <c r="I42" s="242">
        <f t="shared" si="1"/>
        <v>866641.19168934668</v>
      </c>
      <c r="J42" s="245">
        <f t="shared" si="2"/>
        <v>4.494707043741208</v>
      </c>
      <c r="K42" s="250">
        <f t="shared" si="10"/>
        <v>1.1538800712330515</v>
      </c>
      <c r="L42" s="124">
        <f>('Table 5&amp; 6 PSUT '!I84)/1000</f>
        <v>5680.2105998478455</v>
      </c>
      <c r="M42" s="124">
        <f t="shared" si="11"/>
        <v>1.7620363378898356E-5</v>
      </c>
      <c r="N42" s="132">
        <f t="shared" si="6"/>
        <v>2021573.2131282459</v>
      </c>
      <c r="O42" s="221">
        <v>6535.0206141501403</v>
      </c>
      <c r="P42" s="67">
        <f t="shared" si="3"/>
        <v>-854.8100143022948</v>
      </c>
      <c r="V42" t="e">
        <f t="shared" si="12"/>
        <v>#DIV/0!</v>
      </c>
      <c r="W42" s="227">
        <f t="shared" si="13"/>
        <v>2.3311136838160483E-5</v>
      </c>
    </row>
    <row r="43" spans="1:23" x14ac:dyDescent="0.25">
      <c r="A43" s="137" t="s">
        <v>8</v>
      </c>
      <c r="B43" s="124">
        <f>[13]AGDP_CP_CY!$O$15*1000</f>
        <v>1816972.1811941818</v>
      </c>
      <c r="C43" s="123">
        <f>('Table 5&amp; 6 PSUT '!J81)/1000</f>
        <v>109858928.75849999</v>
      </c>
      <c r="D43" s="123">
        <f>('Table 5&amp; 6 PSUT '!J82)/1000</f>
        <v>109749275.76698501</v>
      </c>
      <c r="E43" s="124">
        <f>('Table 5&amp; 6 PSUT '!J83)/1000</f>
        <v>109859157.76467659</v>
      </c>
      <c r="F43" s="131">
        <f t="shared" si="7"/>
        <v>4.3001513694904146E-2</v>
      </c>
      <c r="G43" s="236">
        <f>'Table 5&amp; 6 PSUT '!J34/1000</f>
        <v>157687.11567691478</v>
      </c>
      <c r="H43" s="236">
        <f t="shared" si="9"/>
        <v>11522.641995158167</v>
      </c>
      <c r="I43" s="242">
        <f t="shared" si="1"/>
        <v>16.539105325076498</v>
      </c>
      <c r="J43" s="245">
        <f t="shared" si="2"/>
        <v>0.71120656413773919</v>
      </c>
      <c r="K43" s="246">
        <f t="shared" si="10"/>
        <v>60462.762667325514</v>
      </c>
      <c r="L43" s="124">
        <f>('Table 5&amp; 6 PSUT '!J84)/1000</f>
        <v>109881.9976915741</v>
      </c>
      <c r="M43" s="131">
        <f t="shared" si="11"/>
        <v>3.4086072938504592E-4</v>
      </c>
      <c r="N43" s="132">
        <f t="shared" si="6"/>
        <v>16535.667528490063</v>
      </c>
      <c r="O43" s="221">
        <v>87474.18268943789</v>
      </c>
      <c r="P43" s="67">
        <f t="shared" si="3"/>
        <v>22407.815002136209</v>
      </c>
      <c r="V43" t="e">
        <f t="shared" si="12"/>
        <v>#DIV/0!</v>
      </c>
      <c r="W43" s="227">
        <f t="shared" si="13"/>
        <v>3.0582958807674716E-2</v>
      </c>
    </row>
    <row r="44" spans="1:23" ht="27" customHeight="1" x14ac:dyDescent="0.25">
      <c r="A44" s="137" t="s">
        <v>36</v>
      </c>
      <c r="B44" s="124">
        <f>[13]AGDP_CP_CY!$O$16*1000</f>
        <v>3114374.4346802835</v>
      </c>
      <c r="C44" s="123">
        <f>('Table 5&amp; 6 PSUT '!K81)/1000</f>
        <v>1530061127.6197538</v>
      </c>
      <c r="D44" s="123">
        <f>('Table 5&amp; 6 PSUT '!K82)/1000</f>
        <v>1504455605.3514385</v>
      </c>
      <c r="E44" s="124">
        <f>('Table 5&amp; 6 PSUT '!K83)/1000</f>
        <v>1530061127.6197538</v>
      </c>
      <c r="F44" s="131">
        <f t="shared" si="7"/>
        <v>0.59890268478406827</v>
      </c>
      <c r="G44" s="235">
        <f>('Table 5&amp; 6 PSUT '!K58+'Table 5&amp; 6 PSUT '!K66-'Table 5&amp; 6 PSUT '!K51+'Table 5&amp; 6 PSUT '!K49)/1000</f>
        <v>152930.52377691923</v>
      </c>
      <c r="H44" s="236">
        <f t="shared" si="9"/>
        <v>20364.635899784415</v>
      </c>
      <c r="I44" s="242">
        <f t="shared" si="1"/>
        <v>2.0354575241873989</v>
      </c>
      <c r="J44" s="245">
        <f t="shared" si="2"/>
        <v>1.2190409759997658</v>
      </c>
      <c r="K44" s="246">
        <f t="shared" si="10"/>
        <v>491290.03583566449</v>
      </c>
      <c r="L44" s="124">
        <f>('Table 5&amp; 6 PSUT '!K84)/1000</f>
        <v>25605522.268315431</v>
      </c>
      <c r="M44" s="131">
        <f t="shared" si="11"/>
        <v>7.9429908265421914E-2</v>
      </c>
      <c r="N44" s="132">
        <f t="shared" si="6"/>
        <v>121.62901432141638</v>
      </c>
      <c r="O44" s="221">
        <v>9940.0161567871601</v>
      </c>
      <c r="P44" s="67">
        <f t="shared" si="3"/>
        <v>25595582.252158642</v>
      </c>
      <c r="V44" t="e">
        <f t="shared" si="12"/>
        <v>#DIV/0!</v>
      </c>
      <c r="W44" s="227">
        <f t="shared" si="13"/>
        <v>0.73008691338805065</v>
      </c>
    </row>
    <row r="45" spans="1:23" x14ac:dyDescent="0.25">
      <c r="A45" s="137" t="s">
        <v>9</v>
      </c>
      <c r="B45" s="124">
        <f>[13]AGDP_CP_CY!$O$17*1000</f>
        <v>7838568.3177729361</v>
      </c>
      <c r="C45" s="123">
        <f>('Table 5&amp; 6 PSUT '!L81)/1000</f>
        <v>224270.03332275577</v>
      </c>
      <c r="D45" s="123">
        <f>('Table 5&amp; 6 PSUT '!L82)/1000</f>
        <v>45206.266621548937</v>
      </c>
      <c r="E45" s="124">
        <f>('Table 5&amp; 6 PSUT '!L83)/1000</f>
        <v>226222.77240544904</v>
      </c>
      <c r="F45" s="131">
        <f t="shared" si="7"/>
        <v>8.8549028079477554E-5</v>
      </c>
      <c r="G45" s="235">
        <f t="shared" si="8"/>
        <v>226222.77240544904</v>
      </c>
      <c r="H45" s="236">
        <f>B45/G45*1000</f>
        <v>34649.775680956722</v>
      </c>
      <c r="I45" s="242">
        <f t="shared" si="1"/>
        <v>34649.775680956722</v>
      </c>
      <c r="J45" s="245">
        <f t="shared" si="2"/>
        <v>3.0682039597206354</v>
      </c>
      <c r="K45" s="246">
        <f t="shared" si="10"/>
        <v>28.860215696853505</v>
      </c>
      <c r="L45" s="124">
        <f>('Table 5&amp; 6 PSUT '!L84)/1000</f>
        <v>181016.50578390009</v>
      </c>
      <c r="M45" s="131">
        <f t="shared" si="11"/>
        <v>5.6152435784268527E-4</v>
      </c>
      <c r="N45" s="132">
        <f t="shared" si="6"/>
        <v>43303.05838038175</v>
      </c>
      <c r="O45" s="221">
        <v>12418.9251365743</v>
      </c>
      <c r="P45" s="67">
        <f t="shared" si="3"/>
        <v>168597.58064732578</v>
      </c>
      <c r="V45" t="e">
        <f t="shared" si="12"/>
        <v>#DIV/0!</v>
      </c>
      <c r="W45" s="227">
        <f t="shared" si="13"/>
        <v>2.7168647858286679E-4</v>
      </c>
    </row>
    <row r="46" spans="1:23" s="9" customFormat="1" x14ac:dyDescent="0.25">
      <c r="A46" s="134" t="s">
        <v>324</v>
      </c>
      <c r="B46" s="135">
        <f t="shared" ref="B46:G46" si="14">SUM(B47:B52)</f>
        <v>69785699.507876262</v>
      </c>
      <c r="C46" s="135">
        <f t="shared" si="14"/>
        <v>5077.8540819918071</v>
      </c>
      <c r="D46" s="135">
        <f t="shared" si="14"/>
        <v>61802.671365609647</v>
      </c>
      <c r="E46" s="135">
        <f t="shared" si="14"/>
        <v>186233.60885483393</v>
      </c>
      <c r="F46" s="136">
        <f t="shared" si="14"/>
        <v>7.28963087335584E-5</v>
      </c>
      <c r="G46" s="238">
        <f t="shared" si="14"/>
        <v>120010.57224600913</v>
      </c>
      <c r="H46" s="234">
        <f>B46/G46*1000</f>
        <v>581496.2648859208</v>
      </c>
      <c r="I46" s="244">
        <f t="shared" si="1"/>
        <v>374721.29728352674</v>
      </c>
      <c r="J46" s="245">
        <f t="shared" si="2"/>
        <v>27.315799375819481</v>
      </c>
      <c r="K46" s="244"/>
      <c r="L46" s="135">
        <f>SUM(L47:L52)</f>
        <v>124430.93748922428</v>
      </c>
      <c r="M46" s="136">
        <f>SUM(M47:M52)</f>
        <v>3.8599243735713747E-4</v>
      </c>
      <c r="N46" s="253">
        <f t="shared" ref="N46:N53" si="15">(B46/L46)*1000</f>
        <v>560838.81481580657</v>
      </c>
      <c r="O46" s="228"/>
      <c r="P46" s="229"/>
      <c r="W46" s="230"/>
    </row>
    <row r="47" spans="1:23" x14ac:dyDescent="0.25">
      <c r="A47" s="137" t="s">
        <v>10</v>
      </c>
      <c r="B47" s="124">
        <f>[13]AGDP_CP_CY!$O$21*1000</f>
        <v>3759369.9315506122</v>
      </c>
      <c r="C47" s="123">
        <f>('Table 5&amp; 6 PSUT '!M81)/1000</f>
        <v>367.20779999999996</v>
      </c>
      <c r="D47" s="123">
        <f>('Table 5&amp; 6 PSUT '!M82)/1000</f>
        <v>609.35334430924684</v>
      </c>
      <c r="E47" s="124">
        <f>('Table 5&amp; 6 PSUT '!M83)/1000</f>
        <v>3332.2444607395882</v>
      </c>
      <c r="F47" s="131">
        <f t="shared" ref="F47:F52" si="16">(E47/E$53*100)</f>
        <v>1.3043205384861867E-6</v>
      </c>
      <c r="G47" s="235">
        <f t="shared" si="8"/>
        <v>3332.2444607395882</v>
      </c>
      <c r="H47" s="236">
        <f>B47/G47*1000</f>
        <v>1128179.512590809</v>
      </c>
      <c r="I47" s="246">
        <f t="shared" si="1"/>
        <v>1128179.512590809</v>
      </c>
      <c r="J47" s="245">
        <f t="shared" si="2"/>
        <v>1.4715077093715276</v>
      </c>
      <c r="K47" s="250">
        <f>E47/B47*1000</f>
        <v>0.8863837614845077</v>
      </c>
      <c r="L47" s="124">
        <f>('Table 5&amp; 6 PSUT '!M84)/1000</f>
        <v>2722.8911164303413</v>
      </c>
      <c r="M47" s="131">
        <f t="shared" ref="M47:M52" si="17">L47/L$53*100</f>
        <v>8.4465760677891114E-6</v>
      </c>
      <c r="N47" s="132">
        <f t="shared" si="15"/>
        <v>1380653.787022918</v>
      </c>
      <c r="O47" s="221">
        <v>2303.3724671834698</v>
      </c>
      <c r="P47" s="67">
        <f t="shared" si="3"/>
        <v>419.51864924687152</v>
      </c>
      <c r="V47" t="e">
        <f t="shared" ref="V47:V52" si="18">E47/$E$54</f>
        <v>#DIV/0!</v>
      </c>
      <c r="W47" s="227">
        <f t="shared" ref="W47:W52" si="19">J47*F47</f>
        <v>1.9193177278740461E-6</v>
      </c>
    </row>
    <row r="48" spans="1:23" x14ac:dyDescent="0.25">
      <c r="A48" s="137" t="s">
        <v>79</v>
      </c>
      <c r="B48" s="124">
        <f>[13]AGDP_CP_CY!$O$27*1000</f>
        <v>3658485.6857823404</v>
      </c>
      <c r="C48" s="123">
        <f>('Table 5&amp; 6 PSUT '!N81)/1000</f>
        <v>78.314999999999998</v>
      </c>
      <c r="D48" s="123">
        <f>('Table 5&amp; 6 PSUT '!N82)/1000</f>
        <v>4172.4702752585372</v>
      </c>
      <c r="E48" s="124">
        <f>('Table 5&amp; 6 PSUT '!N83)/1000</f>
        <v>23163.87128076965</v>
      </c>
      <c r="F48" s="131">
        <f t="shared" si="16"/>
        <v>9.0668957269876933E-6</v>
      </c>
      <c r="G48" s="235">
        <f t="shared" si="8"/>
        <v>23163.87128076965</v>
      </c>
      <c r="H48" s="236">
        <f t="shared" ref="H48:H52" si="20">B48/G48*1000</f>
        <v>157939.3030395385</v>
      </c>
      <c r="I48" s="246">
        <f t="shared" si="1"/>
        <v>157939.3030395385</v>
      </c>
      <c r="J48" s="245">
        <f t="shared" si="2"/>
        <v>1.432019191852606</v>
      </c>
      <c r="K48" s="250">
        <f>E48/B48*1000</f>
        <v>6.331546238048551</v>
      </c>
      <c r="L48" s="124">
        <f>('Table 5&amp; 6 PSUT '!N84)/1000</f>
        <v>18991.401005511114</v>
      </c>
      <c r="M48" s="131">
        <f t="shared" si="17"/>
        <v>5.8912496448713581E-5</v>
      </c>
      <c r="N48" s="132">
        <f t="shared" si="15"/>
        <v>192639.06252733458</v>
      </c>
      <c r="O48" s="221">
        <v>17236.585340130197</v>
      </c>
      <c r="P48" s="67">
        <f t="shared" si="3"/>
        <v>1754.8156653809165</v>
      </c>
      <c r="Q48" t="s">
        <v>285</v>
      </c>
      <c r="S48" s="66">
        <v>8655924</v>
      </c>
      <c r="V48" t="e">
        <f t="shared" si="18"/>
        <v>#DIV/0!</v>
      </c>
      <c r="W48" s="227">
        <f t="shared" si="19"/>
        <v>1.2983968691572763E-5</v>
      </c>
    </row>
    <row r="49" spans="1:23" x14ac:dyDescent="0.25">
      <c r="A49" s="137" t="s">
        <v>81</v>
      </c>
      <c r="B49" s="124">
        <f>[13]AGDP_CP_CY!$O$28*1000</f>
        <v>5968554.2489063842</v>
      </c>
      <c r="C49" s="123">
        <f>('Table 5&amp; 6 PSUT '!O81)/1000</f>
        <v>269.57499999999999</v>
      </c>
      <c r="D49" s="123">
        <f>('Table 5&amp; 6 PSUT '!O82)/1000</f>
        <v>385.14470413657051</v>
      </c>
      <c r="E49" s="124">
        <f>('Table 5&amp; 6 PSUT '!O83)/1000</f>
        <v>2089.8945334091927</v>
      </c>
      <c r="F49" s="131">
        <f t="shared" si="16"/>
        <v>8.1803492970338877E-7</v>
      </c>
      <c r="G49" s="235">
        <f t="shared" si="8"/>
        <v>2089.8945334091927</v>
      </c>
      <c r="H49" s="236">
        <f t="shared" si="20"/>
        <v>2855911.6996062142</v>
      </c>
      <c r="I49" s="246"/>
      <c r="J49" s="245">
        <f t="shared" si="2"/>
        <v>2.3362355264264552</v>
      </c>
      <c r="K49" s="250">
        <f>E49/B49*1000</f>
        <v>0.35015088181398757</v>
      </c>
      <c r="L49" s="124">
        <f>('Table 5&amp; 6 PSUT '!O84)/1000</f>
        <v>1704.7498292726223</v>
      </c>
      <c r="M49" s="131">
        <f t="shared" si="17"/>
        <v>5.2882390421762121E-6</v>
      </c>
      <c r="N49" s="132">
        <f t="shared" si="15"/>
        <v>3501132.040853777</v>
      </c>
      <c r="O49" s="221">
        <v>1421.2951703599801</v>
      </c>
      <c r="P49" s="67">
        <f t="shared" si="3"/>
        <v>283.45465891264212</v>
      </c>
      <c r="S49" s="66">
        <v>1457277</v>
      </c>
      <c r="V49" t="e">
        <f t="shared" si="18"/>
        <v>#DIV/0!</v>
      </c>
      <c r="W49" s="227">
        <f t="shared" si="19"/>
        <v>1.9111222646308249E-6</v>
      </c>
    </row>
    <row r="50" spans="1:23" x14ac:dyDescent="0.25">
      <c r="A50" s="137" t="s">
        <v>80</v>
      </c>
      <c r="B50" s="124">
        <f>[13]AGDP_CP_CY!$O$29*1000</f>
        <v>4564489.8027089639</v>
      </c>
      <c r="C50" s="123">
        <f>('Table 5&amp; 6 PSUT '!P81)/1000</f>
        <v>1065.511</v>
      </c>
      <c r="D50" s="123">
        <f>('Table 5&amp; 6 PSUT '!P82)/1000</f>
        <v>834.05938755082332</v>
      </c>
      <c r="E50" s="124">
        <f>('Table 5&amp; 6 PSUT '!P83)/1000</f>
        <v>4495.1322972575181</v>
      </c>
      <c r="F50" s="131">
        <f t="shared" si="16"/>
        <v>1.7595027758630493E-6</v>
      </c>
      <c r="G50" s="235">
        <f t="shared" si="8"/>
        <v>4495.1322972575181</v>
      </c>
      <c r="H50" s="236">
        <f t="shared" si="20"/>
        <v>1015429.4692269148</v>
      </c>
      <c r="I50" s="246">
        <f>(B50/E50)*1000</f>
        <v>1015429.4692269148</v>
      </c>
      <c r="J50" s="245">
        <f t="shared" si="2"/>
        <v>1.7866509697978994</v>
      </c>
      <c r="K50" s="250">
        <f>E50/B50*1000</f>
        <v>0.98480498183821485</v>
      </c>
      <c r="L50" s="124">
        <f>('Table 5&amp; 6 PSUT '!P84)/1000</f>
        <v>3661.0729097066951</v>
      </c>
      <c r="M50" s="131">
        <f t="shared" si="17"/>
        <v>1.1356873815101273E-5</v>
      </c>
      <c r="N50" s="132">
        <f t="shared" si="15"/>
        <v>1246762.8794299662</v>
      </c>
      <c r="O50" s="221">
        <v>2543.1377832994699</v>
      </c>
      <c r="P50" s="67">
        <f t="shared" si="3"/>
        <v>1117.9351264072252</v>
      </c>
      <c r="S50" s="66">
        <v>240839</v>
      </c>
      <c r="V50" t="e">
        <f t="shared" si="18"/>
        <v>#DIV/0!</v>
      </c>
      <c r="W50" s="227">
        <f t="shared" si="19"/>
        <v>3.1436173408578132E-6</v>
      </c>
    </row>
    <row r="51" spans="1:23" x14ac:dyDescent="0.25">
      <c r="A51" s="137" t="s">
        <v>0</v>
      </c>
      <c r="B51" s="124">
        <f>SUM([13]AGDP_CP_CY!$O$34,[13]AGDP_CP_CY!$O$30:$O$31,[13]AGDP_CP_CY!$O$22:$O$26,[13]AGDP_CP_CY!$O$19:$O$20)*1000</f>
        <v>50769170.133705564</v>
      </c>
      <c r="C51" s="123">
        <f>('Table 5&amp; 6 PSUT '!Q81)/1000</f>
        <v>3297.2452819918067</v>
      </c>
      <c r="D51" s="123">
        <f>('Table 5&amp; 6 PSUT '!Q82)/1000</f>
        <v>2332.2992576366582</v>
      </c>
      <c r="E51" s="124">
        <f>('Table 5&amp; 6 PSUT '!Q83)/1000</f>
        <v>12573.545852755726</v>
      </c>
      <c r="F51" s="131">
        <f t="shared" si="16"/>
        <v>4.9215879238665333E-6</v>
      </c>
      <c r="G51" s="235">
        <f t="shared" si="8"/>
        <v>12573.545852755726</v>
      </c>
      <c r="H51" s="236">
        <f t="shared" si="20"/>
        <v>4037776.6724076932</v>
      </c>
      <c r="I51" s="246">
        <f t="shared" ref="I51:I53" si="21">(B51/E51)*1000</f>
        <v>4037776.6724076932</v>
      </c>
      <c r="J51" s="245">
        <f t="shared" si="2"/>
        <v>19.8722729101917</v>
      </c>
      <c r="K51" s="250">
        <f>E51/B51*1000</f>
        <v>0.24766104743571871</v>
      </c>
      <c r="L51" s="66">
        <f>('Table 5&amp; 6 PSUT '!Q84)/1000</f>
        <v>10241.246595119066</v>
      </c>
      <c r="M51" s="131">
        <f t="shared" si="17"/>
        <v>3.1768978154390484E-5</v>
      </c>
      <c r="N51" s="132">
        <f t="shared" si="15"/>
        <v>4957323.277217241</v>
      </c>
      <c r="O51" s="221">
        <v>8517.2885013444502</v>
      </c>
      <c r="P51" s="67">
        <f t="shared" si="3"/>
        <v>1723.9580937746159</v>
      </c>
      <c r="S51" s="66">
        <v>250621</v>
      </c>
      <c r="V51" t="e">
        <f t="shared" si="18"/>
        <v>#DIV/0!</v>
      </c>
      <c r="W51" s="227">
        <f t="shared" si="19"/>
        <v>9.7803138374579521E-5</v>
      </c>
    </row>
    <row r="52" spans="1:23" x14ac:dyDescent="0.25">
      <c r="A52" s="137" t="s">
        <v>2</v>
      </c>
      <c r="B52" s="124">
        <f>[13]AGDP_CP_CY!$O$32*1000</f>
        <v>1065629.7052224022</v>
      </c>
      <c r="C52" s="123">
        <f>('Table 5&amp; 6 PSUT '!R81)/1000</f>
        <v>0</v>
      </c>
      <c r="D52" s="123">
        <f>('Table 5&amp; 6 PSUT '!R82)/1000</f>
        <v>53469.34439671781</v>
      </c>
      <c r="E52" s="124">
        <f>('Table 5&amp; 6 PSUT '!R83)/1000</f>
        <v>140578.92042990227</v>
      </c>
      <c r="F52" s="131">
        <f t="shared" si="16"/>
        <v>5.5025966838651548E-5</v>
      </c>
      <c r="G52" s="235">
        <f>'Table 5&amp; 6 PSUT '!R92/1000</f>
        <v>74355.883821077456</v>
      </c>
      <c r="H52" s="235">
        <f t="shared" si="20"/>
        <v>14331.477893351745</v>
      </c>
      <c r="I52" s="246">
        <f t="shared" si="21"/>
        <v>7580.2951250700753</v>
      </c>
      <c r="J52" s="247"/>
      <c r="K52" s="251"/>
      <c r="L52" s="67">
        <f>('Table 5&amp; 6 PSUT '!R84)/1000</f>
        <v>87109.576033184436</v>
      </c>
      <c r="M52" s="131">
        <f t="shared" si="17"/>
        <v>2.7021927382896681E-4</v>
      </c>
      <c r="N52" s="132">
        <f t="shared" si="15"/>
        <v>12233.209639505651</v>
      </c>
      <c r="O52" s="221">
        <v>56213.257374409302</v>
      </c>
      <c r="P52" s="67">
        <f t="shared" si="3"/>
        <v>30896.318658775133</v>
      </c>
      <c r="S52" s="66">
        <f>SUM(S48:S51)</f>
        <v>10604661</v>
      </c>
      <c r="V52" t="e">
        <f t="shared" si="18"/>
        <v>#DIV/0!</v>
      </c>
      <c r="W52" s="227">
        <f t="shared" si="19"/>
        <v>0</v>
      </c>
    </row>
    <row r="53" spans="1:23" s="9" customFormat="1" x14ac:dyDescent="0.25">
      <c r="A53" s="134" t="s">
        <v>325</v>
      </c>
      <c r="B53" s="135">
        <f>B32+B39+B46</f>
        <v>139225300.62767196</v>
      </c>
      <c r="C53" s="135">
        <f t="shared" ref="C53" si="22">C32+C39+C46</f>
        <v>255477187463.70633</v>
      </c>
      <c r="D53" s="135">
        <f>D32+D39+D46</f>
        <v>223240794278.08832</v>
      </c>
      <c r="E53" s="135">
        <f>E32+E39+E46</f>
        <v>255477420037.18195</v>
      </c>
      <c r="F53" s="136">
        <f>F46+F39+F32</f>
        <v>100</v>
      </c>
      <c r="G53" s="135">
        <f>SUM(G32,G39,G46)</f>
        <v>1286798.5569726857</v>
      </c>
      <c r="H53" s="135">
        <f>(H32*G32/G53)+(H39*G39/G53)+(H46*G46/G53)</f>
        <v>108195.10161342777</v>
      </c>
      <c r="I53" s="240">
        <f t="shared" si="21"/>
        <v>0.54496127527594906</v>
      </c>
      <c r="J53" s="248">
        <f>(B53/E53*F53)*1000</f>
        <v>54.496127527594901</v>
      </c>
      <c r="K53" s="244">
        <f>E53/B53*1000</f>
        <v>1834992.7698874304</v>
      </c>
      <c r="L53" s="135">
        <f>L46+L39+L32</f>
        <v>32236625759.093616</v>
      </c>
      <c r="M53" s="136">
        <f>M46+M39+M32</f>
        <v>100</v>
      </c>
      <c r="N53" s="253">
        <f t="shared" si="15"/>
        <v>4.3188546365898102</v>
      </c>
      <c r="S53" s="9">
        <f>E49*1000000/S52</f>
        <v>197.0732052075208</v>
      </c>
      <c r="T53" s="9" t="s">
        <v>286</v>
      </c>
      <c r="W53" s="227"/>
    </row>
    <row r="54" spans="1:23" x14ac:dyDescent="0.25">
      <c r="B54">
        <f>B46/B53*100</f>
        <v>50.124294358324327</v>
      </c>
      <c r="J54">
        <f>L53/E53*100</f>
        <v>12.618189801040705</v>
      </c>
      <c r="Q54">
        <f>S53/240</f>
        <v>0.8211383550313367</v>
      </c>
      <c r="R54" s="9" t="s">
        <v>287</v>
      </c>
    </row>
    <row r="55" spans="1:23" x14ac:dyDescent="0.25">
      <c r="F55">
        <f>L53/E53*100</f>
        <v>12.618189801040705</v>
      </c>
    </row>
    <row r="56" spans="1:23" x14ac:dyDescent="0.25">
      <c r="B56">
        <f>L52/C22</f>
        <v>1.0679843573833173E-2</v>
      </c>
      <c r="C56" t="s">
        <v>311</v>
      </c>
      <c r="H56" t="s">
        <v>289</v>
      </c>
      <c r="O56" t="s">
        <v>288</v>
      </c>
      <c r="Q56" s="67">
        <f>(S48*0.05)+(S49*0.5)</f>
        <v>1161434.7</v>
      </c>
    </row>
    <row r="57" spans="1:23" x14ac:dyDescent="0.25">
      <c r="A57" t="s">
        <v>279</v>
      </c>
      <c r="B57" s="66">
        <f>B56*1000000</f>
        <v>10679.843573833174</v>
      </c>
      <c r="C57" t="s">
        <v>282</v>
      </c>
      <c r="F57">
        <v>100</v>
      </c>
      <c r="H57" s="98">
        <f>E53/C21</f>
        <v>6664.2864419264215</v>
      </c>
      <c r="I57" s="98"/>
      <c r="J57" t="s">
        <v>281</v>
      </c>
      <c r="L57">
        <f>E52/C22</f>
        <v>1.7235313823565766E-2</v>
      </c>
      <c r="M57" t="s">
        <v>281</v>
      </c>
      <c r="Q57" s="67">
        <f>E49*1000000/Q56</f>
        <v>1799.4076924076687</v>
      </c>
      <c r="R57" s="9" t="s">
        <v>286</v>
      </c>
    </row>
    <row r="58" spans="1:23" x14ac:dyDescent="0.25">
      <c r="B58" s="66">
        <f>B57/365</f>
        <v>29.259845407762121</v>
      </c>
      <c r="C58" t="s">
        <v>283</v>
      </c>
      <c r="H58" s="67">
        <f>H57*1000*1000</f>
        <v>6664286441.9264212</v>
      </c>
      <c r="I58" s="67"/>
      <c r="J58" t="s">
        <v>290</v>
      </c>
      <c r="L58" s="66">
        <f>L57*1000*1000</f>
        <v>17235.313823565764</v>
      </c>
      <c r="M58" t="s">
        <v>282</v>
      </c>
      <c r="Q58" s="67">
        <f>Q57/240</f>
        <v>7.4975320516986192</v>
      </c>
      <c r="R58" s="9" t="s">
        <v>287</v>
      </c>
    </row>
    <row r="59" spans="1:23" x14ac:dyDescent="0.25">
      <c r="A59" t="s">
        <v>280</v>
      </c>
      <c r="H59" s="67">
        <f>H58/360</f>
        <v>18511906.783128947</v>
      </c>
      <c r="I59" s="67"/>
      <c r="J59" t="s">
        <v>284</v>
      </c>
      <c r="L59" s="66">
        <f>L58/365</f>
        <v>47.220037872782918</v>
      </c>
      <c r="M59" t="s">
        <v>283</v>
      </c>
    </row>
    <row r="61" spans="1:23" ht="15.75" thickBot="1" x14ac:dyDescent="0.3">
      <c r="A61" s="9" t="s">
        <v>291</v>
      </c>
      <c r="B61">
        <v>2015</v>
      </c>
      <c r="C61">
        <v>2016</v>
      </c>
      <c r="E61" s="66">
        <v>2017</v>
      </c>
    </row>
    <row r="62" spans="1:23" ht="30.75" thickBot="1" x14ac:dyDescent="0.3">
      <c r="A62" s="155" t="s">
        <v>292</v>
      </c>
      <c r="C62" s="159">
        <f>'Table 5&amp; 6 PSUT '!V81/1000</f>
        <v>255477199632.15546</v>
      </c>
      <c r="D62" s="160"/>
    </row>
    <row r="63" spans="1:23" ht="30.75" thickBot="1" x14ac:dyDescent="0.3">
      <c r="A63" s="158" t="s">
        <v>297</v>
      </c>
      <c r="C63" s="160">
        <f>'Table 5&amp; 6 PSUT '!U78/1000-'Table 5&amp; 6 PSUT '!V66/1000</f>
        <v>252839004857.76343</v>
      </c>
      <c r="D63" s="160"/>
    </row>
    <row r="64" spans="1:23" ht="30.75" thickBot="1" x14ac:dyDescent="0.3">
      <c r="A64" s="158" t="s">
        <v>298</v>
      </c>
      <c r="C64" s="160">
        <f>L53</f>
        <v>32236625759.093616</v>
      </c>
      <c r="D64" s="160"/>
      <c r="F64" s="67">
        <f>L53-C64</f>
        <v>0</v>
      </c>
    </row>
    <row r="65" spans="1:6" ht="30.75" thickBot="1" x14ac:dyDescent="0.3">
      <c r="A65" s="158" t="s">
        <v>294</v>
      </c>
      <c r="C65" s="257">
        <f>N53</f>
        <v>4.3188546365898102</v>
      </c>
      <c r="D65" s="160"/>
    </row>
    <row r="66" spans="1:6" ht="18" thickBot="1" x14ac:dyDescent="0.3">
      <c r="A66" s="158" t="s">
        <v>332</v>
      </c>
      <c r="C66" s="160">
        <f>H53</f>
        <v>108195.10161342777</v>
      </c>
      <c r="D66" s="160"/>
    </row>
    <row r="67" spans="1:6" ht="30.75" thickBot="1" x14ac:dyDescent="0.3">
      <c r="A67" s="158" t="s">
        <v>321</v>
      </c>
      <c r="C67" s="161">
        <f>E53/C21*1000</f>
        <v>6664286.4419264216</v>
      </c>
      <c r="D67" s="161"/>
    </row>
    <row r="68" spans="1:6" ht="30.75" thickBot="1" x14ac:dyDescent="0.3">
      <c r="A68" s="158" t="s">
        <v>253</v>
      </c>
      <c r="C68" s="161">
        <f>L53/C21*1000</f>
        <v>840912.31212729821</v>
      </c>
      <c r="D68" s="161"/>
    </row>
    <row r="69" spans="1:6" ht="15.75" thickBot="1" x14ac:dyDescent="0.3">
      <c r="A69" s="158" t="s">
        <v>295</v>
      </c>
      <c r="C69" s="160">
        <f>E52*1000000/C22/365</f>
        <v>47.220037872782925</v>
      </c>
      <c r="D69" s="160"/>
      <c r="F69">
        <f>C69/C67</f>
        <v>7.0855354559359542E-6</v>
      </c>
    </row>
    <row r="70" spans="1:6" ht="30.75" thickBot="1" x14ac:dyDescent="0.3">
      <c r="A70" s="158" t="s">
        <v>296</v>
      </c>
      <c r="C70" s="160">
        <f>L52/C22*1000000/365</f>
        <v>29.259845407762121</v>
      </c>
      <c r="D70" s="160"/>
    </row>
    <row r="71" spans="1:6" ht="30.75" thickBot="1" x14ac:dyDescent="0.3">
      <c r="A71" s="156" t="s">
        <v>293</v>
      </c>
      <c r="C71" s="256">
        <f>'Table 5&amp; 6 PSUT '!K32/SUM('Table 5&amp; 6 PSUT '!K14:K15)*100</f>
        <v>3125.1501266975056</v>
      </c>
      <c r="D71" s="161"/>
    </row>
    <row r="72" spans="1:6" x14ac:dyDescent="0.25">
      <c r="A72" s="157"/>
    </row>
    <row r="73" spans="1:6" x14ac:dyDescent="0.25">
      <c r="A73" s="157"/>
    </row>
    <row r="74" spans="1:6" x14ac:dyDescent="0.25">
      <c r="A74" s="9"/>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95"/>
  <sheetViews>
    <sheetView tabSelected="1" zoomScale="80" zoomScaleNormal="80" workbookViewId="0">
      <pane xSplit="3" ySplit="2" topLeftCell="K18" activePane="bottomRight" state="frozen"/>
      <selection pane="topRight" activeCell="D1" sqref="D1"/>
      <selection pane="bottomLeft" activeCell="A3" sqref="A3"/>
      <selection pane="bottomRight" activeCell="A43" sqref="A43:V78"/>
    </sheetView>
  </sheetViews>
  <sheetFormatPr defaultRowHeight="15" x14ac:dyDescent="0.25"/>
  <cols>
    <col min="1" max="1" width="35.5703125" customWidth="1"/>
    <col min="2" max="2" width="13.42578125" bestFit="1" customWidth="1"/>
    <col min="3" max="3" width="26.5703125" bestFit="1" customWidth="1"/>
    <col min="4" max="4" width="21.28515625" bestFit="1" customWidth="1"/>
    <col min="5" max="5" width="20.85546875" bestFit="1" customWidth="1"/>
    <col min="6" max="6" width="17" bestFit="1" customWidth="1"/>
    <col min="7" max="7" width="14.42578125" bestFit="1" customWidth="1"/>
    <col min="8" max="9" width="15.5703125" bestFit="1" customWidth="1"/>
    <col min="10" max="10" width="17.28515625" bestFit="1" customWidth="1"/>
    <col min="11" max="11" width="21.28515625" bestFit="1" customWidth="1"/>
    <col min="12" max="12" width="14.28515625" customWidth="1"/>
    <col min="13" max="13" width="17" bestFit="1" customWidth="1"/>
    <col min="14" max="14" width="16" bestFit="1" customWidth="1"/>
    <col min="15" max="16" width="12" bestFit="1" customWidth="1"/>
    <col min="17" max="18" width="13" bestFit="1" customWidth="1"/>
    <col min="19" max="19" width="14.5703125" bestFit="1" customWidth="1"/>
    <col min="20" max="20" width="11.7109375" bestFit="1" customWidth="1"/>
    <col min="21" max="21" width="22" bestFit="1" customWidth="1"/>
    <col min="22" max="23" width="21.28515625" bestFit="1" customWidth="1"/>
    <col min="24" max="24" width="40.140625" style="207" bestFit="1" customWidth="1"/>
    <col min="25" max="25" width="72.85546875" bestFit="1" customWidth="1"/>
    <col min="26" max="26" width="14.85546875" customWidth="1"/>
  </cols>
  <sheetData>
    <row r="1" spans="1:31" x14ac:dyDescent="0.25">
      <c r="A1" s="11" t="s">
        <v>47</v>
      </c>
      <c r="B1" s="1"/>
      <c r="C1" s="1"/>
      <c r="E1" s="6"/>
      <c r="F1" s="6"/>
      <c r="G1" s="6"/>
      <c r="H1" s="6"/>
      <c r="I1" s="6"/>
      <c r="J1" s="6"/>
      <c r="K1" s="6"/>
      <c r="L1" s="6"/>
      <c r="M1" s="6"/>
      <c r="N1" s="6"/>
      <c r="O1" s="6"/>
      <c r="P1" s="7"/>
    </row>
    <row r="2" spans="1:31" ht="60" x14ac:dyDescent="0.25">
      <c r="A2" s="2" t="s">
        <v>1</v>
      </c>
      <c r="B2" s="4" t="s">
        <v>5</v>
      </c>
      <c r="C2" s="4" t="s">
        <v>238</v>
      </c>
      <c r="D2" s="4" t="s">
        <v>74</v>
      </c>
      <c r="E2" s="4" t="s">
        <v>239</v>
      </c>
      <c r="F2" s="4" t="s">
        <v>240</v>
      </c>
      <c r="G2" s="4" t="s">
        <v>78</v>
      </c>
      <c r="H2" s="4" t="s">
        <v>6</v>
      </c>
      <c r="I2" s="4" t="s">
        <v>7</v>
      </c>
      <c r="J2" s="4" t="s">
        <v>8</v>
      </c>
      <c r="K2" s="4" t="s">
        <v>36</v>
      </c>
      <c r="L2" s="4" t="s">
        <v>9</v>
      </c>
      <c r="M2" s="4" t="s">
        <v>10</v>
      </c>
      <c r="N2" s="4" t="s">
        <v>79</v>
      </c>
      <c r="O2" s="4" t="s">
        <v>81</v>
      </c>
      <c r="P2" s="4" t="s">
        <v>80</v>
      </c>
      <c r="Q2" s="4" t="s">
        <v>0</v>
      </c>
      <c r="R2" s="4" t="s">
        <v>2</v>
      </c>
      <c r="S2" s="4" t="s">
        <v>35</v>
      </c>
      <c r="T2" s="4" t="s">
        <v>3</v>
      </c>
      <c r="U2" s="4" t="s">
        <v>220</v>
      </c>
      <c r="V2" s="116" t="s">
        <v>221</v>
      </c>
    </row>
    <row r="3" spans="1:31" x14ac:dyDescent="0.25">
      <c r="A3" s="3" t="s">
        <v>18</v>
      </c>
      <c r="B3" s="3"/>
      <c r="C3" s="3"/>
      <c r="D3" s="3"/>
      <c r="E3" s="3"/>
      <c r="F3" s="3"/>
      <c r="G3" s="3"/>
      <c r="H3" s="3"/>
      <c r="I3" s="3"/>
      <c r="J3" s="3"/>
      <c r="K3" s="3"/>
      <c r="L3" s="3"/>
      <c r="M3" s="3"/>
      <c r="N3" s="5"/>
      <c r="O3" s="5"/>
      <c r="P3" s="5"/>
      <c r="Q3" s="5"/>
      <c r="R3" s="5"/>
      <c r="S3" s="5"/>
      <c r="T3" s="5"/>
      <c r="U3" s="5"/>
      <c r="V3" s="3"/>
    </row>
    <row r="4" spans="1:31" x14ac:dyDescent="0.25">
      <c r="A4" s="162" t="s">
        <v>11</v>
      </c>
      <c r="B4" s="3"/>
      <c r="C4" s="3"/>
      <c r="D4" s="3"/>
      <c r="E4" s="3"/>
      <c r="F4" s="3"/>
      <c r="G4" s="3"/>
      <c r="H4" s="3"/>
      <c r="I4" s="3"/>
      <c r="J4" s="3"/>
      <c r="K4" s="3"/>
      <c r="L4" s="3"/>
      <c r="M4" s="3"/>
      <c r="N4" s="3"/>
      <c r="O4" s="3"/>
      <c r="P4" s="3"/>
      <c r="Q4" s="3"/>
      <c r="R4" s="3"/>
      <c r="S4" s="3"/>
      <c r="T4" s="3"/>
      <c r="U4" s="3"/>
      <c r="V4" s="3"/>
      <c r="X4" s="208"/>
    </row>
    <row r="5" spans="1:31" s="8" customFormat="1" x14ac:dyDescent="0.25">
      <c r="A5" s="163" t="s">
        <v>12</v>
      </c>
      <c r="B5" s="121"/>
      <c r="C5" s="118"/>
      <c r="D5" s="118"/>
      <c r="E5" s="118"/>
      <c r="F5" s="118"/>
      <c r="G5" s="118"/>
      <c r="H5" s="118"/>
      <c r="I5" s="118"/>
      <c r="J5" s="118"/>
      <c r="K5" s="119"/>
      <c r="L5" s="118"/>
      <c r="M5" s="118"/>
      <c r="N5" s="118"/>
      <c r="O5" s="118"/>
      <c r="P5" s="118"/>
      <c r="Q5" s="118"/>
      <c r="R5" s="118"/>
      <c r="S5" s="120"/>
      <c r="T5" s="120"/>
      <c r="U5" s="117">
        <f>'Table 1  Water Input table'!$AK$42</f>
        <v>110668113242.78812</v>
      </c>
      <c r="V5" s="117">
        <f>U5</f>
        <v>110668113242.78812</v>
      </c>
      <c r="X5" s="208">
        <f t="shared" ref="X5:X18" si="0">V5-V46</f>
        <v>0</v>
      </c>
      <c r="Y5" s="205"/>
    </row>
    <row r="6" spans="1:31" s="8" customFormat="1" x14ac:dyDescent="0.25">
      <c r="A6" s="163" t="s">
        <v>13</v>
      </c>
      <c r="B6" s="118"/>
      <c r="C6" s="121"/>
      <c r="D6" s="121"/>
      <c r="E6" s="121"/>
      <c r="F6" s="121"/>
      <c r="G6" s="121"/>
      <c r="H6" s="121"/>
      <c r="I6" s="121"/>
      <c r="J6" s="121"/>
      <c r="K6" s="121"/>
      <c r="L6" s="121"/>
      <c r="M6" s="120"/>
      <c r="N6" s="120"/>
      <c r="O6" s="120"/>
      <c r="P6" s="120"/>
      <c r="Q6" s="120"/>
      <c r="R6" s="120"/>
      <c r="S6" s="120"/>
      <c r="T6" s="120"/>
      <c r="U6" s="117">
        <f>'Table 1  Water Input table'!$AK$43+'Table 1  Water Input table'!$AK$44+'Table 1  Water Input table'!$AK$45</f>
        <v>181832911.57792988</v>
      </c>
      <c r="V6" s="117">
        <f>U6</f>
        <v>181832911.57792988</v>
      </c>
      <c r="X6" s="232">
        <f>V6-V47</f>
        <v>0</v>
      </c>
      <c r="Y6" s="205"/>
    </row>
    <row r="7" spans="1:31" s="8" customFormat="1" ht="17.25" customHeight="1" x14ac:dyDescent="0.25">
      <c r="A7" s="163" t="s">
        <v>14</v>
      </c>
      <c r="B7" s="121"/>
      <c r="C7" s="121"/>
      <c r="D7" s="121"/>
      <c r="E7" s="121"/>
      <c r="F7" s="121"/>
      <c r="G7" s="121"/>
      <c r="H7" s="121"/>
      <c r="I7" s="121"/>
      <c r="J7" s="121"/>
      <c r="K7" s="121"/>
      <c r="L7" s="121"/>
      <c r="M7" s="120"/>
      <c r="N7" s="120"/>
      <c r="O7" s="120"/>
      <c r="P7" s="120"/>
      <c r="Q7" s="120"/>
      <c r="R7" s="120"/>
      <c r="S7" s="120"/>
      <c r="T7" s="120"/>
      <c r="U7" s="117">
        <f>'Table 1  Water Input table'!$AK$46</f>
        <v>0</v>
      </c>
      <c r="V7" s="117">
        <f>U7</f>
        <v>0</v>
      </c>
      <c r="X7" s="225">
        <f t="shared" si="0"/>
        <v>0</v>
      </c>
      <c r="Y7" s="205"/>
    </row>
    <row r="8" spans="1:31" ht="17.25" customHeight="1" x14ac:dyDescent="0.25">
      <c r="A8" s="162" t="s">
        <v>4</v>
      </c>
      <c r="B8" s="121"/>
      <c r="C8" s="121"/>
      <c r="D8" s="121"/>
      <c r="E8" s="121"/>
      <c r="F8" s="121"/>
      <c r="G8" s="121"/>
      <c r="H8" s="121"/>
      <c r="I8" s="121"/>
      <c r="J8" s="121"/>
      <c r="K8" s="121"/>
      <c r="L8" s="121"/>
      <c r="M8" s="120"/>
      <c r="N8" s="120"/>
      <c r="O8" s="120"/>
      <c r="P8" s="120"/>
      <c r="Q8" s="120"/>
      <c r="R8" s="120"/>
      <c r="S8" s="120"/>
      <c r="T8" s="120"/>
      <c r="U8" s="122">
        <f>SUM(U5:U7)</f>
        <v>110849946154.36604</v>
      </c>
      <c r="V8" s="117">
        <f>U8</f>
        <v>110849946154.36604</v>
      </c>
      <c r="X8" s="225">
        <f>V8-V49</f>
        <v>0</v>
      </c>
      <c r="Y8" s="206"/>
    </row>
    <row r="9" spans="1:31" x14ac:dyDescent="0.25">
      <c r="A9" s="162" t="s">
        <v>15</v>
      </c>
      <c r="B9" s="3"/>
      <c r="C9" s="3"/>
      <c r="D9" s="3"/>
      <c r="E9" s="3"/>
      <c r="F9" s="3"/>
      <c r="G9" s="3"/>
      <c r="H9" s="3"/>
      <c r="I9" s="3"/>
      <c r="J9" s="3"/>
      <c r="K9" s="3"/>
      <c r="L9" s="3"/>
      <c r="M9" s="3"/>
      <c r="N9" s="3"/>
      <c r="O9" s="3"/>
      <c r="P9" s="3"/>
      <c r="Q9" s="3"/>
      <c r="R9" s="3"/>
      <c r="S9" s="3"/>
      <c r="T9" s="3"/>
      <c r="U9" s="3"/>
      <c r="V9" s="3"/>
      <c r="X9" s="225">
        <f t="shared" si="0"/>
        <v>0</v>
      </c>
      <c r="Y9" s="206"/>
    </row>
    <row r="10" spans="1:31" s="8" customFormat="1" x14ac:dyDescent="0.25">
      <c r="A10" s="163" t="s">
        <v>16</v>
      </c>
      <c r="B10" s="120"/>
      <c r="C10" s="120"/>
      <c r="D10" s="120"/>
      <c r="E10" s="120"/>
      <c r="F10" s="120"/>
      <c r="G10" s="120"/>
      <c r="H10" s="120"/>
      <c r="I10" s="120"/>
      <c r="J10" s="120"/>
      <c r="K10" s="120"/>
      <c r="L10" s="120"/>
      <c r="M10" s="120"/>
      <c r="N10" s="120"/>
      <c r="O10" s="120"/>
      <c r="P10" s="120"/>
      <c r="Q10" s="120"/>
      <c r="R10" s="120"/>
      <c r="S10" s="120"/>
      <c r="T10" s="120"/>
      <c r="U10" s="117">
        <f>'Table 1  Water Input table'!$AK$41</f>
        <v>255366337517551.94</v>
      </c>
      <c r="V10" s="117">
        <f>U10</f>
        <v>255366337517551.94</v>
      </c>
      <c r="X10" s="225">
        <f t="shared" si="0"/>
        <v>0</v>
      </c>
      <c r="Y10" s="205"/>
    </row>
    <row r="11" spans="1:31" x14ac:dyDescent="0.25">
      <c r="A11" s="162" t="s">
        <v>4</v>
      </c>
      <c r="B11" s="120"/>
      <c r="C11" s="120"/>
      <c r="D11" s="120"/>
      <c r="E11" s="120"/>
      <c r="F11" s="120"/>
      <c r="G11" s="120"/>
      <c r="H11" s="120"/>
      <c r="I11" s="120"/>
      <c r="J11" s="120"/>
      <c r="K11" s="120"/>
      <c r="L11" s="120"/>
      <c r="M11" s="120"/>
      <c r="N11" s="120"/>
      <c r="O11" s="120"/>
      <c r="P11" s="120"/>
      <c r="Q11" s="120"/>
      <c r="R11" s="120"/>
      <c r="S11" s="120"/>
      <c r="T11" s="120"/>
      <c r="U11" s="122">
        <f>U10</f>
        <v>255366337517551.94</v>
      </c>
      <c r="V11" s="117">
        <f>U11</f>
        <v>255366337517551.94</v>
      </c>
      <c r="X11" s="225">
        <f t="shared" si="0"/>
        <v>0</v>
      </c>
      <c r="Y11" s="206"/>
      <c r="AC11" s="8"/>
      <c r="AD11" s="8"/>
      <c r="AE11" s="8"/>
    </row>
    <row r="12" spans="1:31" x14ac:dyDescent="0.25">
      <c r="A12" s="3" t="s">
        <v>237</v>
      </c>
      <c r="B12" s="3"/>
      <c r="C12" s="3"/>
      <c r="D12" s="3"/>
      <c r="E12" s="3"/>
      <c r="F12" s="3"/>
      <c r="G12" s="3"/>
      <c r="H12" s="121"/>
      <c r="I12" s="121"/>
      <c r="J12" s="121"/>
      <c r="K12" s="121"/>
      <c r="L12" s="121"/>
      <c r="M12" s="120"/>
      <c r="N12" s="120"/>
      <c r="O12" s="120"/>
      <c r="P12" s="120"/>
      <c r="Q12" s="120"/>
      <c r="R12" s="120"/>
      <c r="S12" s="120"/>
      <c r="T12" s="120"/>
      <c r="U12" s="122">
        <f>U11+U8</f>
        <v>255477187463706.31</v>
      </c>
      <c r="V12" s="117">
        <f>U12</f>
        <v>255477187463706.31</v>
      </c>
      <c r="X12" s="225">
        <f>V12-V53</f>
        <v>0</v>
      </c>
      <c r="Y12" s="206"/>
      <c r="AC12" s="8"/>
      <c r="AD12" s="8"/>
      <c r="AE12" s="8"/>
    </row>
    <row r="13" spans="1:31" x14ac:dyDescent="0.25">
      <c r="A13" s="3" t="s">
        <v>19</v>
      </c>
      <c r="B13" s="3"/>
      <c r="C13" s="3"/>
      <c r="D13" s="3"/>
      <c r="E13" s="3"/>
      <c r="F13" s="3"/>
      <c r="G13" s="3"/>
      <c r="H13" s="3"/>
      <c r="I13" s="3"/>
      <c r="J13" s="3"/>
      <c r="K13" s="3"/>
      <c r="L13" s="3"/>
      <c r="M13" s="3"/>
      <c r="N13" s="3"/>
      <c r="O13" s="3"/>
      <c r="P13" s="3"/>
      <c r="Q13" s="3"/>
      <c r="R13" s="3"/>
      <c r="S13" s="3"/>
      <c r="T13" s="3"/>
      <c r="U13" s="3"/>
      <c r="V13" s="3"/>
      <c r="X13" s="208">
        <f t="shared" si="0"/>
        <v>0</v>
      </c>
      <c r="Y13" s="206"/>
      <c r="AC13" s="8"/>
      <c r="AD13" s="8"/>
      <c r="AE13" s="8"/>
    </row>
    <row r="14" spans="1:31" s="8" customFormat="1" x14ac:dyDescent="0.25">
      <c r="A14" s="163" t="s">
        <v>267</v>
      </c>
      <c r="B14" s="120"/>
      <c r="C14" s="120"/>
      <c r="D14" s="120"/>
      <c r="E14" s="120"/>
      <c r="F14" s="120"/>
      <c r="G14" s="120"/>
      <c r="H14" s="120"/>
      <c r="I14" s="120"/>
      <c r="J14" s="120"/>
      <c r="K14" s="117">
        <f>V55</f>
        <v>160283882.84877729</v>
      </c>
      <c r="L14" s="120"/>
      <c r="M14" s="120"/>
      <c r="N14" s="120"/>
      <c r="O14" s="120"/>
      <c r="P14" s="120"/>
      <c r="Q14" s="120"/>
      <c r="R14" s="120"/>
      <c r="S14" s="120"/>
      <c r="T14" s="128">
        <v>0</v>
      </c>
      <c r="U14" s="120"/>
      <c r="V14" s="117">
        <f>SUM(T14,K14)</f>
        <v>160283882.84877729</v>
      </c>
      <c r="X14" s="208">
        <f t="shared" si="0"/>
        <v>0</v>
      </c>
      <c r="Y14" s="205"/>
    </row>
    <row r="15" spans="1:31" s="8" customFormat="1" x14ac:dyDescent="0.25">
      <c r="A15" s="163" t="s">
        <v>268</v>
      </c>
      <c r="B15" s="120"/>
      <c r="C15" s="120"/>
      <c r="D15" s="120"/>
      <c r="E15" s="120"/>
      <c r="F15" s="120"/>
      <c r="G15" s="120"/>
      <c r="H15" s="120"/>
      <c r="I15" s="120"/>
      <c r="J15" s="120"/>
      <c r="K15" s="117">
        <f>V56</f>
        <v>6066556.1645306349</v>
      </c>
      <c r="L15" s="120"/>
      <c r="M15" s="120"/>
      <c r="N15" s="120"/>
      <c r="O15" s="120"/>
      <c r="P15" s="120"/>
      <c r="Q15" s="120"/>
      <c r="R15" s="120"/>
      <c r="S15" s="120"/>
      <c r="T15" s="128"/>
      <c r="U15" s="120"/>
      <c r="V15" s="117">
        <f>SUM(T15,K15)</f>
        <v>6066556.1645306349</v>
      </c>
      <c r="X15" s="208">
        <f t="shared" si="0"/>
        <v>0</v>
      </c>
      <c r="Y15" s="205"/>
    </row>
    <row r="16" spans="1:31" s="8" customFormat="1" x14ac:dyDescent="0.25">
      <c r="A16" s="163" t="s">
        <v>49</v>
      </c>
      <c r="B16" s="117">
        <f t="shared" ref="B16:J16" si="1">B57</f>
        <v>262585433.60000002</v>
      </c>
      <c r="C16" s="117">
        <f t="shared" si="1"/>
        <v>169768210667250.03</v>
      </c>
      <c r="D16" s="117">
        <f t="shared" si="1"/>
        <v>52592102955130.031</v>
      </c>
      <c r="E16" s="117">
        <f t="shared" si="1"/>
        <v>31462907976650.008</v>
      </c>
      <c r="F16" s="117">
        <f t="shared" si="1"/>
        <v>13407533329.580574</v>
      </c>
      <c r="G16" s="117">
        <f t="shared" si="1"/>
        <v>128522798.38118689</v>
      </c>
      <c r="H16" s="117">
        <f t="shared" si="1"/>
        <v>10916480</v>
      </c>
      <c r="I16" s="117">
        <f t="shared" si="1"/>
        <v>6902369</v>
      </c>
      <c r="J16" s="117">
        <f t="shared" si="1"/>
        <v>109858928758.5</v>
      </c>
      <c r="K16" s="117">
        <f>K57+R57</f>
        <v>1529906945629.9541</v>
      </c>
      <c r="L16" s="117">
        <f t="shared" ref="L16:Q16" si="2">L57</f>
        <v>224270033.32275575</v>
      </c>
      <c r="M16" s="117">
        <f t="shared" si="2"/>
        <v>367207.8</v>
      </c>
      <c r="N16" s="117">
        <f t="shared" si="2"/>
        <v>78315</v>
      </c>
      <c r="O16" s="117">
        <f t="shared" si="2"/>
        <v>269575</v>
      </c>
      <c r="P16" s="117">
        <f t="shared" si="2"/>
        <v>1065511</v>
      </c>
      <c r="Q16" s="117">
        <f t="shared" si="2"/>
        <v>3297245.2819918068</v>
      </c>
      <c r="R16" s="120"/>
      <c r="S16" s="120"/>
      <c r="T16" s="120"/>
      <c r="U16" s="120"/>
      <c r="V16" s="117">
        <f>SUM(B16:R16)</f>
        <v>255477033281716.5</v>
      </c>
      <c r="W16" s="154"/>
      <c r="X16" s="208">
        <f t="shared" si="0"/>
        <v>0</v>
      </c>
      <c r="Y16" s="205"/>
    </row>
    <row r="17" spans="1:25" s="8" customFormat="1" x14ac:dyDescent="0.25">
      <c r="A17" s="3" t="s">
        <v>4</v>
      </c>
      <c r="B17" s="122">
        <f t="shared" ref="B17:J17" si="3">B16</f>
        <v>262585433.60000002</v>
      </c>
      <c r="C17" s="122">
        <f t="shared" si="3"/>
        <v>169768210667250.03</v>
      </c>
      <c r="D17" s="122">
        <f t="shared" si="3"/>
        <v>52592102955130.031</v>
      </c>
      <c r="E17" s="122">
        <f t="shared" si="3"/>
        <v>31462907976650.008</v>
      </c>
      <c r="F17" s="122">
        <f t="shared" si="3"/>
        <v>13407533329.580574</v>
      </c>
      <c r="G17" s="122">
        <f t="shared" si="3"/>
        <v>128522798.38118689</v>
      </c>
      <c r="H17" s="122">
        <f t="shared" si="3"/>
        <v>10916480</v>
      </c>
      <c r="I17" s="122">
        <f t="shared" si="3"/>
        <v>6902369</v>
      </c>
      <c r="J17" s="122">
        <f t="shared" si="3"/>
        <v>109858928758.5</v>
      </c>
      <c r="K17" s="122">
        <f>K16+K14+K15</f>
        <v>1530073296068.9675</v>
      </c>
      <c r="L17" s="122">
        <f t="shared" ref="L17:Q17" si="4">L16</f>
        <v>224270033.32275575</v>
      </c>
      <c r="M17" s="122">
        <f t="shared" si="4"/>
        <v>367207.8</v>
      </c>
      <c r="N17" s="122">
        <f t="shared" si="4"/>
        <v>78315</v>
      </c>
      <c r="O17" s="122">
        <f t="shared" si="4"/>
        <v>269575</v>
      </c>
      <c r="P17" s="122">
        <f t="shared" si="4"/>
        <v>1065511</v>
      </c>
      <c r="Q17" s="122">
        <f t="shared" si="4"/>
        <v>3297245.2819918068</v>
      </c>
      <c r="R17" s="120"/>
      <c r="S17" s="120"/>
      <c r="T17" s="122">
        <f>T14</f>
        <v>0</v>
      </c>
      <c r="U17" s="120"/>
      <c r="V17" s="117">
        <f>SUM(V14:V16)</f>
        <v>255477199632155.5</v>
      </c>
      <c r="W17" s="127"/>
      <c r="X17" s="208">
        <f t="shared" si="0"/>
        <v>0</v>
      </c>
      <c r="Y17" s="205"/>
    </row>
    <row r="18" spans="1:25" x14ac:dyDescent="0.25">
      <c r="A18" s="3" t="s">
        <v>303</v>
      </c>
      <c r="B18" s="3"/>
      <c r="C18" s="3"/>
      <c r="D18" s="3"/>
      <c r="E18" s="3"/>
      <c r="F18" s="3"/>
      <c r="G18" s="3"/>
      <c r="H18" s="3"/>
      <c r="I18" s="3"/>
      <c r="J18" s="3"/>
      <c r="K18" s="122"/>
      <c r="L18" s="3"/>
      <c r="M18" s="3"/>
      <c r="N18" s="3"/>
      <c r="O18" s="3"/>
      <c r="P18" s="3"/>
      <c r="Q18" s="3"/>
      <c r="R18" s="3"/>
      <c r="S18" s="3"/>
      <c r="T18" s="3"/>
      <c r="U18" s="3"/>
      <c r="V18" s="117"/>
      <c r="X18" s="208">
        <f t="shared" si="0"/>
        <v>0</v>
      </c>
      <c r="Y18" s="206"/>
    </row>
    <row r="19" spans="1:25" x14ac:dyDescent="0.25">
      <c r="A19" s="162" t="s">
        <v>22</v>
      </c>
      <c r="B19" s="3"/>
      <c r="C19" s="3"/>
      <c r="D19" s="3"/>
      <c r="E19" s="3"/>
      <c r="F19" s="3"/>
      <c r="G19" s="3"/>
      <c r="H19" s="3"/>
      <c r="I19" s="3"/>
      <c r="J19" s="3"/>
      <c r="K19" s="3"/>
      <c r="L19" s="3"/>
      <c r="M19" s="3"/>
      <c r="N19" s="3"/>
      <c r="O19" s="3"/>
      <c r="P19" s="3"/>
      <c r="Q19" s="3"/>
      <c r="R19" s="3"/>
      <c r="S19" s="3"/>
      <c r="T19" s="3"/>
      <c r="U19" s="3"/>
      <c r="V19" s="3"/>
      <c r="X19" s="208"/>
      <c r="Y19" s="206"/>
    </row>
    <row r="20" spans="1:25" s="8" customFormat="1" x14ac:dyDescent="0.25">
      <c r="A20" s="163" t="s">
        <v>50</v>
      </c>
      <c r="B20" s="117">
        <f>'Table 1  Water Input table'!$J$61</f>
        <v>0</v>
      </c>
      <c r="C20" s="117">
        <f>'Table 1  Water Input table'!$J$62</f>
        <v>0</v>
      </c>
      <c r="D20" s="117">
        <f>'Table 1  Water Input table'!$J$63</f>
        <v>2895773.4438339723</v>
      </c>
      <c r="E20" s="117">
        <f>'Table 1  Water Input table'!$J$64</f>
        <v>0</v>
      </c>
      <c r="F20" s="117">
        <f>'Table 1  Water Input table'!$J$65</f>
        <v>0</v>
      </c>
      <c r="G20" s="117">
        <f>'Table 1  Water Input table'!$J$66</f>
        <v>0</v>
      </c>
      <c r="H20" s="117">
        <f>'Table 1  Water Input table'!$J$67</f>
        <v>1254628.6293874418</v>
      </c>
      <c r="I20" s="117">
        <f>'Table 1  Water Input table'!$J$68</f>
        <v>633710.63870244613</v>
      </c>
      <c r="J20" s="117">
        <f>'Table 1  Water Input table'!$J$69</f>
        <v>22862.789686890414</v>
      </c>
      <c r="K20" s="117">
        <f>'Table 1  Water Input table'!$J$70</f>
        <v>0</v>
      </c>
      <c r="L20" s="117">
        <f>'Table 1  Water Input table'!$J$71</f>
        <v>191439.29770432791</v>
      </c>
      <c r="M20" s="117">
        <f>'Table 1  Water Input table'!$J$72</f>
        <v>285477.73919335444</v>
      </c>
      <c r="N20" s="117">
        <f>'Table 1  Water Input table'!$J$73</f>
        <v>2301519.9044769648</v>
      </c>
      <c r="O20" s="117">
        <f>'Table 1  Water Input table'!$J$74</f>
        <v>164171.01272634015</v>
      </c>
      <c r="P20" s="117">
        <f>'Table 1  Water Input table'!$J$75</f>
        <v>324835.35950340214</v>
      </c>
      <c r="Q20" s="117">
        <f>'Table 1  Water Input table'!$J$76</f>
        <v>912049.56457243231</v>
      </c>
      <c r="R20" s="117">
        <f>'Table 1  Water Input table'!$J$77</f>
        <v>6905559.4381077457</v>
      </c>
      <c r="S20" s="120"/>
      <c r="T20" s="120"/>
      <c r="U20" s="120"/>
      <c r="V20" s="117">
        <f>SUM(B20:R20)</f>
        <v>15892027.817895319</v>
      </c>
      <c r="X20" s="208">
        <f t="shared" ref="X20:X27" si="5">V20-V61</f>
        <v>0</v>
      </c>
      <c r="Y20" s="205"/>
    </row>
    <row r="21" spans="1:25" s="8" customFormat="1" x14ac:dyDescent="0.25">
      <c r="A21" s="163" t="s">
        <v>24</v>
      </c>
      <c r="B21" s="6"/>
      <c r="C21" s="6"/>
      <c r="D21" s="6"/>
      <c r="E21" s="6"/>
      <c r="F21" s="6"/>
      <c r="G21" s="6"/>
      <c r="H21" s="6"/>
      <c r="I21" s="6"/>
      <c r="J21" s="6"/>
      <c r="K21" s="150"/>
      <c r="L21" s="6"/>
      <c r="M21" s="6"/>
      <c r="N21" s="6"/>
      <c r="O21" s="6"/>
      <c r="P21" s="6"/>
      <c r="Q21" s="6"/>
      <c r="R21" s="6"/>
      <c r="S21" s="120"/>
      <c r="T21" s="120"/>
      <c r="U21" s="120"/>
      <c r="V21" s="117">
        <f>SUM(B21:R21)</f>
        <v>0</v>
      </c>
      <c r="X21" s="208">
        <f t="shared" si="5"/>
        <v>0</v>
      </c>
      <c r="Y21" s="205"/>
    </row>
    <row r="22" spans="1:25" x14ac:dyDescent="0.25">
      <c r="A22" s="162" t="s">
        <v>25</v>
      </c>
      <c r="B22" s="3"/>
      <c r="C22" s="3"/>
      <c r="D22" s="3"/>
      <c r="E22" s="3"/>
      <c r="F22" s="3"/>
      <c r="G22" s="3"/>
      <c r="H22" s="3"/>
      <c r="I22" s="3"/>
      <c r="J22" s="3"/>
      <c r="K22" s="3"/>
      <c r="L22" s="3"/>
      <c r="M22" s="3"/>
      <c r="N22" s="3"/>
      <c r="O22" s="3"/>
      <c r="P22" s="3"/>
      <c r="Q22" s="3"/>
      <c r="R22" s="3"/>
      <c r="S22" s="120"/>
      <c r="T22" s="120"/>
      <c r="U22" s="120"/>
      <c r="V22" s="117"/>
      <c r="X22" s="208">
        <f t="shared" si="5"/>
        <v>0</v>
      </c>
      <c r="Y22" s="206"/>
    </row>
    <row r="23" spans="1:25" s="8" customFormat="1" x14ac:dyDescent="0.25">
      <c r="A23" s="163" t="s">
        <v>48</v>
      </c>
      <c r="B23" s="12"/>
      <c r="C23" s="12"/>
      <c r="D23" s="12"/>
      <c r="E23" s="12"/>
      <c r="F23" s="12"/>
      <c r="G23" s="12"/>
      <c r="H23" s="12"/>
      <c r="I23" s="12"/>
      <c r="J23" s="12"/>
      <c r="K23" s="6"/>
      <c r="L23" s="12"/>
      <c r="M23" s="6"/>
      <c r="N23" s="6"/>
      <c r="O23" s="6"/>
      <c r="P23" s="6"/>
      <c r="Q23" s="6"/>
      <c r="R23" s="6"/>
      <c r="S23" s="120"/>
      <c r="T23" s="120"/>
      <c r="U23" s="120"/>
      <c r="V23" s="117">
        <f>SUM(B23:R23)</f>
        <v>0</v>
      </c>
      <c r="X23" s="208">
        <f t="shared" si="5"/>
        <v>0</v>
      </c>
      <c r="Y23" s="205"/>
    </row>
    <row r="24" spans="1:25" s="8" customFormat="1" x14ac:dyDescent="0.25">
      <c r="A24" s="163" t="s">
        <v>49</v>
      </c>
      <c r="B24" s="12"/>
      <c r="C24" s="12"/>
      <c r="D24" s="12"/>
      <c r="E24" s="12"/>
      <c r="F24" s="12"/>
      <c r="G24" s="12"/>
      <c r="H24" s="12"/>
      <c r="I24" s="12"/>
      <c r="J24" s="12"/>
      <c r="K24" s="6"/>
      <c r="L24" s="12"/>
      <c r="M24" s="6"/>
      <c r="N24" s="6"/>
      <c r="O24" s="6"/>
      <c r="P24" s="6"/>
      <c r="Q24" s="6"/>
      <c r="R24" s="6"/>
      <c r="S24" s="120"/>
      <c r="T24" s="120"/>
      <c r="U24" s="120"/>
      <c r="V24" s="117">
        <f>SUM(B24:R24)</f>
        <v>0</v>
      </c>
      <c r="X24" s="208">
        <f t="shared" si="5"/>
        <v>0</v>
      </c>
      <c r="Y24" s="205"/>
    </row>
    <row r="25" spans="1:25" x14ac:dyDescent="0.25">
      <c r="A25" s="162" t="s">
        <v>4</v>
      </c>
      <c r="B25" s="3"/>
      <c r="C25" s="3"/>
      <c r="D25" s="3"/>
      <c r="E25" s="3"/>
      <c r="F25" s="3"/>
      <c r="G25" s="3"/>
      <c r="H25" s="122"/>
      <c r="I25" s="122"/>
      <c r="J25" s="122"/>
      <c r="K25" s="122"/>
      <c r="L25" s="122"/>
      <c r="M25" s="122"/>
      <c r="N25" s="122"/>
      <c r="O25" s="122"/>
      <c r="P25" s="122"/>
      <c r="Q25" s="122"/>
      <c r="R25" s="122"/>
      <c r="S25" s="120"/>
      <c r="T25" s="120"/>
      <c r="U25" s="120"/>
      <c r="V25" s="117">
        <f>SUM(V20:V21,V23:V24)</f>
        <v>15892027.817895319</v>
      </c>
      <c r="X25" s="208">
        <f t="shared" si="5"/>
        <v>0</v>
      </c>
      <c r="Y25" s="206"/>
    </row>
    <row r="26" spans="1:25" x14ac:dyDescent="0.25">
      <c r="A26" s="3" t="s">
        <v>26</v>
      </c>
      <c r="B26" s="3"/>
      <c r="C26" s="3"/>
      <c r="D26" s="3"/>
      <c r="E26" s="3"/>
      <c r="F26" s="3"/>
      <c r="G26" s="3"/>
      <c r="H26" s="3"/>
      <c r="I26" s="3"/>
      <c r="J26" s="3"/>
      <c r="K26" s="3"/>
      <c r="L26" s="3"/>
      <c r="M26" s="3"/>
      <c r="N26" s="3"/>
      <c r="O26" s="3"/>
      <c r="P26" s="3"/>
      <c r="Q26" s="3"/>
      <c r="R26" s="3"/>
      <c r="S26" s="120"/>
      <c r="T26" s="120"/>
      <c r="U26" s="120"/>
      <c r="V26" s="3"/>
      <c r="X26" s="208">
        <f t="shared" si="5"/>
        <v>0</v>
      </c>
      <c r="Y26" s="206"/>
    </row>
    <row r="27" spans="1:25" x14ac:dyDescent="0.25">
      <c r="A27" s="162" t="s">
        <v>28</v>
      </c>
      <c r="B27" s="3"/>
      <c r="C27" s="3"/>
      <c r="D27" s="3"/>
      <c r="E27" s="3"/>
      <c r="F27" s="3"/>
      <c r="G27" s="3"/>
      <c r="H27" s="3"/>
      <c r="I27" s="3"/>
      <c r="J27" s="3"/>
      <c r="K27" s="3"/>
      <c r="L27" s="3"/>
      <c r="M27" s="3"/>
      <c r="N27" s="3"/>
      <c r="O27" s="3"/>
      <c r="P27" s="3"/>
      <c r="Q27" s="3"/>
      <c r="R27" s="3"/>
      <c r="S27" s="120"/>
      <c r="T27" s="120"/>
      <c r="U27" s="120"/>
      <c r="V27" s="3"/>
      <c r="X27" s="208">
        <f t="shared" si="5"/>
        <v>0</v>
      </c>
      <c r="Y27" s="206"/>
    </row>
    <row r="28" spans="1:25" x14ac:dyDescent="0.25">
      <c r="A28" s="163" t="s">
        <v>12</v>
      </c>
      <c r="B28" s="124">
        <f>'Table 1  Water Input table'!AH61</f>
        <v>0</v>
      </c>
      <c r="C28" s="124">
        <f>'Table 1  Water Input table'!AH62</f>
        <v>50930463200175.008</v>
      </c>
      <c r="D28" s="124">
        <f>'Table 1  Water Input table'!AH63</f>
        <v>13148025406880.004</v>
      </c>
      <c r="E28" s="124">
        <f>'Table 1  Water Input table'!AH64</f>
        <v>3146290574050.001</v>
      </c>
      <c r="F28" s="124">
        <f>'Table 1  Water Input table'!S80</f>
        <v>13083901391.473099</v>
      </c>
      <c r="G28" s="124">
        <f>'Table 1  Water Input table'!AH66</f>
        <v>0</v>
      </c>
      <c r="H28" s="124">
        <f>'Table 1  Water Input table'!AH67</f>
        <v>6668668.8932673009</v>
      </c>
      <c r="I28" s="124">
        <f>'Table 1  Water Input table'!AH68</f>
        <v>3784874.9708590489</v>
      </c>
      <c r="J28" s="124">
        <f>'Table 1  Water Input table'!AH69</f>
        <v>109749275766.98502</v>
      </c>
      <c r="K28" s="124">
        <f>SUM('Table 1  Water Input table'!AH56:AH60)+'Table 1  Water Input table'!AH70</f>
        <v>1499256904395.8523</v>
      </c>
      <c r="L28" s="124">
        <f>'Table 1  Water Input table'!AH71</f>
        <v>0</v>
      </c>
      <c r="M28" s="124">
        <f>'Table 1  Water Input table'!AH72</f>
        <v>0</v>
      </c>
      <c r="N28" s="124">
        <f>'Table 1  Water Input table'!AH73</f>
        <v>0</v>
      </c>
      <c r="O28" s="124">
        <f>'Table 1  Water Input table'!AH74</f>
        <v>0</v>
      </c>
      <c r="P28" s="124">
        <f>'Table 1  Water Input table'!AH75</f>
        <v>0</v>
      </c>
      <c r="Q28" s="124">
        <f>'Table 1  Water Input table'!AH76</f>
        <v>0</v>
      </c>
      <c r="R28" s="124">
        <f>'Table 1  Water Input table'!AH77</f>
        <v>0</v>
      </c>
      <c r="S28" s="120"/>
      <c r="T28" s="120"/>
      <c r="U28" s="120"/>
      <c r="V28" s="117">
        <f>SUM(B28:R28)</f>
        <v>68846879716203.187</v>
      </c>
      <c r="X28" s="208">
        <f>V28-V70</f>
        <v>0</v>
      </c>
      <c r="Y28" s="206"/>
    </row>
    <row r="29" spans="1:25" x14ac:dyDescent="0.25">
      <c r="A29" s="163" t="s">
        <v>13</v>
      </c>
      <c r="B29" s="124">
        <f>'Table 1  Water Input table'!AI61</f>
        <v>131292716.80000001</v>
      </c>
      <c r="C29" s="124">
        <f>'Table 1  Water Input table'!AI62</f>
        <v>33953642133450.008</v>
      </c>
      <c r="D29" s="124">
        <f>'Table 1  Water Input table'!AI63</f>
        <v>7888815244128.002</v>
      </c>
      <c r="E29" s="124">
        <f>'Table 1  Water Input table'!AI64</f>
        <v>6292581148100.002</v>
      </c>
      <c r="F29" s="124"/>
      <c r="G29" s="124">
        <f>'Table 1  Water Input table'!AI66</f>
        <v>0</v>
      </c>
      <c r="H29" s="124">
        <f>'Table 1  Water Input table'!AI67</f>
        <v>2222889.6310891001</v>
      </c>
      <c r="I29" s="124">
        <f>'Table 1  Water Input table'!AI68</f>
        <v>0</v>
      </c>
      <c r="J29" s="124">
        <f>'Table 1  Water Input table'!AI69</f>
        <v>0</v>
      </c>
      <c r="K29" s="124">
        <f>SUM('Table 1  Water Input table'!AI56:AI60)+'Table 1  Water Input table'!AI70</f>
        <v>5198700955.5862494</v>
      </c>
      <c r="L29" s="124">
        <f>'Table 1  Water Input table'!AI71</f>
        <v>0</v>
      </c>
      <c r="M29" s="124">
        <f>'Table 1  Water Input table'!AI72</f>
        <v>0</v>
      </c>
      <c r="N29" s="124">
        <f>'Table 1  Water Input table'!AI73</f>
        <v>0</v>
      </c>
      <c r="O29" s="124">
        <f>'Table 1  Water Input table'!AI74</f>
        <v>0</v>
      </c>
      <c r="P29" s="124">
        <f>'Table 1  Water Input table'!AI75</f>
        <v>0</v>
      </c>
      <c r="Q29" s="124">
        <f>'Table 1  Water Input table'!AI76</f>
        <v>0</v>
      </c>
      <c r="R29" s="124">
        <f>'Table 1  Water Input table'!AI77</f>
        <v>0</v>
      </c>
      <c r="S29" s="120"/>
      <c r="T29" s="120"/>
      <c r="U29" s="120"/>
      <c r="V29" s="117">
        <f>SUM(B29:R29)</f>
        <v>48140370742240.031</v>
      </c>
      <c r="X29" s="208">
        <f>V29-V71</f>
        <v>0</v>
      </c>
      <c r="Y29" s="206"/>
    </row>
    <row r="30" spans="1:25" x14ac:dyDescent="0.25">
      <c r="A30" s="165" t="s">
        <v>269</v>
      </c>
      <c r="B30" s="124">
        <f>'Table 1  Water Input table'!AJ61</f>
        <v>0</v>
      </c>
      <c r="C30" s="124">
        <f>'Table 1  Water Input table'!AJ62</f>
        <v>67907284266900.016</v>
      </c>
      <c r="D30" s="124">
        <f>'Table 1  Water Input table'!AJ63</f>
        <v>22614603699833.605</v>
      </c>
      <c r="E30" s="124">
        <f>'Table 1  Water Input table'!AJ64</f>
        <v>15731452870250.004</v>
      </c>
      <c r="F30" s="124"/>
      <c r="G30" s="124">
        <f>'Table 1  Water Input table'!AJ66</f>
        <v>89965958.866830811</v>
      </c>
      <c r="H30" s="124">
        <f>'Table 1  Water Input table'!AJ67</f>
        <v>2222889.6310891001</v>
      </c>
      <c r="I30" s="124">
        <f>'Table 1  Water Input table'!AJ68</f>
        <v>3784874.9708590489</v>
      </c>
      <c r="J30" s="124">
        <f>'Table 1  Water Input table'!AJ69</f>
        <v>0</v>
      </c>
      <c r="K30" s="124"/>
      <c r="L30" s="124">
        <f>'Table 1  Water Input table'!AJ71</f>
        <v>45206266.621548936</v>
      </c>
      <c r="M30" s="124">
        <f>'Table 1  Water Input table'!AJ72</f>
        <v>609353.34430924687</v>
      </c>
      <c r="N30" s="124">
        <f>'Table 1  Water Input table'!AJ73</f>
        <v>4172470.2752585369</v>
      </c>
      <c r="O30" s="124">
        <f>'Table 1  Water Input table'!AJ74</f>
        <v>385144.70413657051</v>
      </c>
      <c r="P30" s="124">
        <f>'Table 1  Water Input table'!AJ75</f>
        <v>834059.38755082327</v>
      </c>
      <c r="Q30" s="124">
        <f>'Table 1  Water Input table'!AJ76</f>
        <v>2332299.2576366584</v>
      </c>
      <c r="R30" s="124">
        <f>'Table 1  Water Input table'!AJ77</f>
        <v>53469344.396717809</v>
      </c>
      <c r="S30" s="120"/>
      <c r="T30" s="120"/>
      <c r="U30" s="120"/>
      <c r="V30" s="117">
        <f>SUM(B30:R30)</f>
        <v>106253543819645.06</v>
      </c>
      <c r="X30" s="208">
        <f>V30-V72</f>
        <v>0</v>
      </c>
      <c r="Y30" s="206"/>
    </row>
    <row r="31" spans="1:25" x14ac:dyDescent="0.25">
      <c r="A31" s="162" t="s">
        <v>30</v>
      </c>
      <c r="B31" s="122">
        <f>SUM(B28:B30)</f>
        <v>131292716.80000001</v>
      </c>
      <c r="C31" s="122">
        <f>SUM(C28:C30)</f>
        <v>152791389600525.03</v>
      </c>
      <c r="D31" s="122">
        <f t="shared" ref="D31:R31" si="6">SUM(D28:D30)</f>
        <v>43651444350841.609</v>
      </c>
      <c r="E31" s="122">
        <f>SUM(E28:E30)</f>
        <v>25170324592400.008</v>
      </c>
      <c r="F31" s="122">
        <f t="shared" si="6"/>
        <v>13083901391.473099</v>
      </c>
      <c r="G31" s="122">
        <f t="shared" si="6"/>
        <v>89965958.866830811</v>
      </c>
      <c r="H31" s="122">
        <f t="shared" si="6"/>
        <v>11114448.155445501</v>
      </c>
      <c r="I31" s="122">
        <f t="shared" si="6"/>
        <v>7569749.9417180978</v>
      </c>
      <c r="J31" s="122">
        <f t="shared" si="6"/>
        <v>109749275766.98502</v>
      </c>
      <c r="K31" s="122">
        <f t="shared" si="6"/>
        <v>1504455605351.4385</v>
      </c>
      <c r="L31" s="122">
        <f t="shared" si="6"/>
        <v>45206266.621548936</v>
      </c>
      <c r="M31" s="122">
        <f t="shared" si="6"/>
        <v>609353.34430924687</v>
      </c>
      <c r="N31" s="122">
        <f t="shared" si="6"/>
        <v>4172470.2752585369</v>
      </c>
      <c r="O31" s="122">
        <f t="shared" si="6"/>
        <v>385144.70413657051</v>
      </c>
      <c r="P31" s="122">
        <f t="shared" si="6"/>
        <v>834059.38755082327</v>
      </c>
      <c r="Q31" s="122">
        <f t="shared" si="6"/>
        <v>2332299.2576366584</v>
      </c>
      <c r="R31" s="122">
        <f t="shared" si="6"/>
        <v>53469344.396717809</v>
      </c>
      <c r="S31" s="120"/>
      <c r="T31" s="120"/>
      <c r="U31" s="120"/>
      <c r="V31" s="122">
        <f>SUM(V28:V30)</f>
        <v>223240794278088.28</v>
      </c>
      <c r="X31" s="208">
        <f>V31-V73</f>
        <v>0</v>
      </c>
      <c r="Y31" s="206"/>
    </row>
    <row r="32" spans="1:25" x14ac:dyDescent="0.25">
      <c r="A32" s="165" t="s">
        <v>51</v>
      </c>
      <c r="B32" s="124">
        <v>0</v>
      </c>
      <c r="C32" s="124">
        <v>0</v>
      </c>
      <c r="D32" s="124">
        <v>0</v>
      </c>
      <c r="E32" s="124">
        <v>0</v>
      </c>
      <c r="F32" s="124">
        <v>0</v>
      </c>
      <c r="G32" s="124">
        <v>0</v>
      </c>
      <c r="H32" s="124">
        <v>0</v>
      </c>
      <c r="I32" s="124">
        <v>0</v>
      </c>
      <c r="J32" s="124">
        <v>0</v>
      </c>
      <c r="K32" s="122">
        <f>K85</f>
        <v>5198700955.5862494</v>
      </c>
      <c r="L32" s="124">
        <v>0</v>
      </c>
      <c r="M32" s="124">
        <v>0</v>
      </c>
      <c r="N32" s="124">
        <v>0</v>
      </c>
      <c r="O32" s="124">
        <v>0</v>
      </c>
      <c r="P32" s="124">
        <v>0</v>
      </c>
      <c r="Q32" s="124">
        <v>0</v>
      </c>
      <c r="R32" s="124">
        <v>0</v>
      </c>
      <c r="S32" s="120"/>
      <c r="T32" s="120"/>
      <c r="U32" s="120"/>
      <c r="V32" s="117">
        <f>SUM(B32:R32)</f>
        <v>5198700955.5862494</v>
      </c>
      <c r="X32" s="208"/>
      <c r="Y32" s="206"/>
    </row>
    <row r="33" spans="1:25" x14ac:dyDescent="0.25">
      <c r="A33" s="10" t="s">
        <v>31</v>
      </c>
      <c r="B33" s="122">
        <f>SUM(B34:B36)+B39</f>
        <v>77375250.881913006</v>
      </c>
      <c r="C33" s="122">
        <f>SUM(C34:C36)+C39</f>
        <v>12661503313094.342</v>
      </c>
      <c r="D33" s="122">
        <f>SUM(D34:D36)+D39</f>
        <v>12220472592476.574</v>
      </c>
      <c r="E33" s="122">
        <f t="shared" ref="E33:R33" si="7">SUM(E34:E36)+E39</f>
        <v>4692522557048.5859</v>
      </c>
      <c r="F33" s="122">
        <f t="shared" si="7"/>
        <v>286967011.47047496</v>
      </c>
      <c r="G33" s="122">
        <f t="shared" si="7"/>
        <v>5559536.6559475139</v>
      </c>
      <c r="H33" s="122">
        <f t="shared" si="7"/>
        <v>7817321.8768842807</v>
      </c>
      <c r="I33" s="122">
        <f t="shared" si="7"/>
        <v>5876563.4091999829</v>
      </c>
      <c r="J33" s="122">
        <f t="shared" si="7"/>
        <v>84254751.990879625</v>
      </c>
      <c r="K33" s="122">
        <f t="shared" si="7"/>
        <v>23036665023.957619</v>
      </c>
      <c r="L33" s="122">
        <f t="shared" si="7"/>
        <v>117526862.75982451</v>
      </c>
      <c r="M33" s="122">
        <f t="shared" si="7"/>
        <v>2288637.9205600922</v>
      </c>
      <c r="N33" s="122">
        <f t="shared" si="7"/>
        <v>17147351.620725896</v>
      </c>
      <c r="O33" s="122">
        <f t="shared" si="7"/>
        <v>912773.32372203155</v>
      </c>
      <c r="P33" s="122">
        <f t="shared" si="7"/>
        <v>2299907.896136343</v>
      </c>
      <c r="Q33" s="122">
        <f t="shared" si="7"/>
        <v>5653621.95059417</v>
      </c>
      <c r="R33" s="122">
        <f t="shared" si="7"/>
        <v>77664467.758143514</v>
      </c>
      <c r="S33" s="120"/>
      <c r="T33" s="120"/>
      <c r="U33" s="120"/>
      <c r="V33" s="117">
        <f>SUM(B33:R33)</f>
        <v>29598226471702.973</v>
      </c>
      <c r="X33" s="208">
        <f>V33-V74</f>
        <v>0</v>
      </c>
      <c r="Y33" s="206"/>
    </row>
    <row r="34" spans="1:25" x14ac:dyDescent="0.25">
      <c r="A34" s="165" t="s">
        <v>227</v>
      </c>
      <c r="B34" s="124">
        <f>'Table 1  Water Input table'!O78</f>
        <v>0</v>
      </c>
      <c r="C34" s="124">
        <f>'Table 1  Water Input table'!P78</f>
        <v>243678504571.96658</v>
      </c>
      <c r="D34" s="124">
        <f>'Table 1  Water Input table'!Q78</f>
        <v>75488602666.13649</v>
      </c>
      <c r="E34" s="124">
        <f>'Table 1  Water Input table'!R78</f>
        <v>45160600651.335495</v>
      </c>
      <c r="F34" s="124">
        <f>'Table 1  Water Input table'!S78</f>
        <v>45949676.190476194</v>
      </c>
      <c r="G34" s="124">
        <f>'Table 1  Water Input table'!T78</f>
        <v>184476.48820612556</v>
      </c>
      <c r="H34" s="124">
        <f>'Table 1  Water Input table'!U78</f>
        <v>15669.079099877346</v>
      </c>
      <c r="I34" s="124">
        <f>'Table 1  Water Input table'!V78</f>
        <v>9907.3845999389268</v>
      </c>
      <c r="J34" s="124">
        <f>'Table 1  Water Input table'!W78</f>
        <v>157687115.67691478</v>
      </c>
      <c r="K34" s="124">
        <f>'Table 1  Water Input table'!X78</f>
        <v>2196093537.6900425</v>
      </c>
      <c r="L34" s="124">
        <f>'Table 1  Water Input table'!Y78</f>
        <v>321908.2425714506</v>
      </c>
      <c r="M34" s="124">
        <f>'Table 1  Water Input table'!Z78</f>
        <v>527.07540015572238</v>
      </c>
      <c r="N34" s="124">
        <f>'Table 1  Water Input table'!AA78</f>
        <v>112.41022103341868</v>
      </c>
      <c r="O34" s="124">
        <f>'Table 1  Water Input table'!AB78</f>
        <v>386.93718106472375</v>
      </c>
      <c r="P34" s="124">
        <f>'Table 1  Water Input table'!AC78</f>
        <v>1529.3919047888523</v>
      </c>
      <c r="Q34" s="124">
        <f>'Table 1  Water Input table'!AD78</f>
        <v>4732.734098832866</v>
      </c>
      <c r="R34" s="124">
        <f>'Table 1  Water Input table'!AE78</f>
        <v>95053.900053657315</v>
      </c>
      <c r="S34" s="129"/>
      <c r="T34" s="129"/>
      <c r="U34" s="129"/>
      <c r="V34" s="117"/>
      <c r="X34" s="208">
        <f>V34-V75</f>
        <v>0</v>
      </c>
      <c r="Y34" s="206"/>
    </row>
    <row r="35" spans="1:25" hidden="1" x14ac:dyDescent="0.25">
      <c r="A35" s="165" t="s">
        <v>32</v>
      </c>
      <c r="B35" s="124"/>
      <c r="C35" s="124"/>
      <c r="D35" s="124"/>
      <c r="E35" s="124"/>
      <c r="F35" s="124"/>
      <c r="G35" s="124"/>
      <c r="H35" s="124"/>
      <c r="I35" s="124"/>
      <c r="J35" s="124"/>
      <c r="K35" s="124"/>
      <c r="L35" s="124"/>
      <c r="M35" s="124"/>
      <c r="N35" s="124"/>
      <c r="O35" s="124"/>
      <c r="P35" s="124"/>
      <c r="Q35" s="124"/>
      <c r="R35" s="124"/>
      <c r="S35" s="129"/>
      <c r="T35" s="129"/>
      <c r="U35" s="129"/>
      <c r="V35" s="120"/>
      <c r="X35" s="208">
        <f>V35-V76</f>
        <v>0</v>
      </c>
      <c r="Y35" s="206"/>
    </row>
    <row r="36" spans="1:25" x14ac:dyDescent="0.25">
      <c r="A36" s="165" t="s">
        <v>33</v>
      </c>
      <c r="B36" s="124"/>
      <c r="C36" s="124"/>
      <c r="D36" s="124"/>
      <c r="E36" s="124"/>
      <c r="F36" s="124"/>
      <c r="G36" s="124"/>
      <c r="H36" s="124"/>
      <c r="I36" s="124"/>
      <c r="J36" s="124"/>
      <c r="K36" s="124"/>
      <c r="L36" s="124"/>
      <c r="M36" s="124"/>
      <c r="N36" s="124"/>
      <c r="O36" s="124"/>
      <c r="P36" s="124"/>
      <c r="Q36" s="124"/>
      <c r="R36" s="124"/>
      <c r="S36" s="130"/>
      <c r="T36" s="123"/>
      <c r="U36" s="123"/>
      <c r="V36" s="117"/>
      <c r="X36" s="208">
        <f>V36-V77</f>
        <v>0</v>
      </c>
      <c r="Y36" s="206"/>
    </row>
    <row r="37" spans="1:25" x14ac:dyDescent="0.25">
      <c r="A37" s="10" t="s">
        <v>52</v>
      </c>
      <c r="B37" s="122">
        <f>B17+B25+B31+B33</f>
        <v>471253401.28191304</v>
      </c>
      <c r="C37" s="122">
        <f t="shared" ref="C37:R37" si="8">C17+C25+C31+C33</f>
        <v>335221103580869.37</v>
      </c>
      <c r="D37" s="122">
        <f t="shared" si="8"/>
        <v>108464019898448.22</v>
      </c>
      <c r="E37" s="122">
        <f t="shared" si="8"/>
        <v>61325755126098.602</v>
      </c>
      <c r="F37" s="122">
        <f t="shared" si="8"/>
        <v>26778401732.524147</v>
      </c>
      <c r="G37" s="122">
        <f t="shared" si="8"/>
        <v>224048293.9039652</v>
      </c>
      <c r="H37" s="122">
        <f t="shared" si="8"/>
        <v>29848250.032329783</v>
      </c>
      <c r="I37" s="122">
        <f t="shared" si="8"/>
        <v>20348682.350918081</v>
      </c>
      <c r="J37" s="122">
        <f t="shared" si="8"/>
        <v>219692459277.47589</v>
      </c>
      <c r="K37" s="122">
        <f t="shared" si="8"/>
        <v>3057565566444.3638</v>
      </c>
      <c r="L37" s="122">
        <f t="shared" si="8"/>
        <v>387003162.70412922</v>
      </c>
      <c r="M37" s="122">
        <f t="shared" si="8"/>
        <v>3265199.0648693391</v>
      </c>
      <c r="N37" s="122">
        <f t="shared" si="8"/>
        <v>21398136.895984434</v>
      </c>
      <c r="O37" s="122">
        <f t="shared" si="8"/>
        <v>1567493.0278586019</v>
      </c>
      <c r="P37" s="122">
        <f t="shared" si="8"/>
        <v>4199478.2836871669</v>
      </c>
      <c r="Q37" s="122">
        <f t="shared" si="8"/>
        <v>11283166.490222635</v>
      </c>
      <c r="R37" s="122">
        <f t="shared" si="8"/>
        <v>131133812.15486133</v>
      </c>
      <c r="S37" s="120"/>
      <c r="T37" s="120"/>
      <c r="U37" s="122">
        <f>U12</f>
        <v>255477187463706.31</v>
      </c>
      <c r="V37" s="123">
        <f>V12+V17+V25+V31+V33</f>
        <v>763793423737680.87</v>
      </c>
      <c r="W37" s="67">
        <f>V12+V17+V25+V31+V33</f>
        <v>763793423737680.87</v>
      </c>
      <c r="X37" s="208">
        <f>V37-V78</f>
        <v>0</v>
      </c>
      <c r="Y37" s="206"/>
    </row>
    <row r="38" spans="1:25" x14ac:dyDescent="0.25">
      <c r="L38" s="67"/>
      <c r="X38" s="208"/>
      <c r="Y38" s="206">
        <f>V37-W37</f>
        <v>0</v>
      </c>
    </row>
    <row r="39" spans="1:25" x14ac:dyDescent="0.25">
      <c r="B39">
        <v>77375250.881913006</v>
      </c>
      <c r="C39">
        <v>12417824808522.375</v>
      </c>
      <c r="D39" s="67">
        <v>12144983989810.437</v>
      </c>
      <c r="E39" s="67">
        <v>4647361956397.25</v>
      </c>
      <c r="F39" s="67">
        <v>241017335.27999878</v>
      </c>
      <c r="G39" s="67">
        <v>5375060.1677413881</v>
      </c>
      <c r="H39" s="67">
        <v>7801652.797784403</v>
      </c>
      <c r="I39" s="67">
        <v>5866656.0246000439</v>
      </c>
      <c r="J39" s="67">
        <v>-73432363.686035156</v>
      </c>
      <c r="K39" s="67">
        <v>20840571486.267578</v>
      </c>
      <c r="L39" s="67">
        <v>117204954.51725307</v>
      </c>
      <c r="M39" s="67">
        <v>2288110.8451599367</v>
      </c>
      <c r="N39" s="67">
        <v>17147239.210504863</v>
      </c>
      <c r="O39" s="67">
        <v>912386.38654096681</v>
      </c>
      <c r="P39" s="67">
        <v>2298378.504231554</v>
      </c>
      <c r="Q39" s="67">
        <v>5648889.216495337</v>
      </c>
      <c r="R39" s="67">
        <v>77569413.858089864</v>
      </c>
      <c r="S39" s="67"/>
      <c r="T39" s="67"/>
      <c r="U39" s="67"/>
      <c r="V39" s="67"/>
      <c r="W39" s="67"/>
      <c r="X39" s="208"/>
    </row>
    <row r="40" spans="1:25" x14ac:dyDescent="0.25">
      <c r="X40" s="208"/>
      <c r="Y40" t="s">
        <v>300</v>
      </c>
    </row>
    <row r="41" spans="1:25" x14ac:dyDescent="0.25">
      <c r="M41" s="67"/>
      <c r="X41" s="208"/>
      <c r="Y41" t="s">
        <v>301</v>
      </c>
    </row>
    <row r="42" spans="1:25" x14ac:dyDescent="0.25">
      <c r="A42" s="11" t="s">
        <v>224</v>
      </c>
      <c r="B42" s="1"/>
      <c r="C42" s="1"/>
      <c r="X42" s="208"/>
    </row>
    <row r="43" spans="1:25" ht="60" x14ac:dyDescent="0.25">
      <c r="A43" s="2" t="s">
        <v>225</v>
      </c>
      <c r="B43" s="4" t="s">
        <v>5</v>
      </c>
      <c r="C43" s="4" t="s">
        <v>238</v>
      </c>
      <c r="D43" s="4" t="s">
        <v>74</v>
      </c>
      <c r="E43" s="4" t="s">
        <v>239</v>
      </c>
      <c r="F43" s="4" t="s">
        <v>240</v>
      </c>
      <c r="G43" s="4" t="s">
        <v>78</v>
      </c>
      <c r="H43" s="4" t="s">
        <v>6</v>
      </c>
      <c r="I43" s="4" t="s">
        <v>7</v>
      </c>
      <c r="J43" s="4" t="s">
        <v>8</v>
      </c>
      <c r="K43" s="4" t="s">
        <v>36</v>
      </c>
      <c r="L43" s="4" t="s">
        <v>9</v>
      </c>
      <c r="M43" s="4" t="s">
        <v>10</v>
      </c>
      <c r="N43" s="4" t="s">
        <v>79</v>
      </c>
      <c r="O43" s="4" t="s">
        <v>81</v>
      </c>
      <c r="P43" s="4" t="s">
        <v>80</v>
      </c>
      <c r="Q43" s="4" t="s">
        <v>0</v>
      </c>
      <c r="R43" s="4" t="s">
        <v>2</v>
      </c>
      <c r="S43" s="4" t="s">
        <v>35</v>
      </c>
      <c r="T43" s="4" t="s">
        <v>3</v>
      </c>
      <c r="U43" s="4" t="s">
        <v>37</v>
      </c>
      <c r="V43" s="4" t="s">
        <v>226</v>
      </c>
    </row>
    <row r="44" spans="1:25" x14ac:dyDescent="0.25">
      <c r="A44" s="3" t="s">
        <v>18</v>
      </c>
      <c r="B44" s="3"/>
      <c r="C44" s="3"/>
      <c r="D44" s="3"/>
      <c r="E44" s="3"/>
      <c r="F44" s="3"/>
      <c r="G44" s="3"/>
      <c r="H44" s="3"/>
      <c r="I44" s="3"/>
      <c r="J44" s="3"/>
      <c r="K44" s="3"/>
      <c r="L44" s="3"/>
      <c r="M44" s="3"/>
      <c r="N44" s="3"/>
      <c r="O44" s="3"/>
      <c r="P44" s="3"/>
      <c r="Q44" s="3"/>
      <c r="R44" s="3"/>
      <c r="S44" s="3"/>
      <c r="T44" s="3"/>
      <c r="U44" s="3"/>
      <c r="V44" s="3"/>
    </row>
    <row r="45" spans="1:25" x14ac:dyDescent="0.25">
      <c r="A45" s="162" t="s">
        <v>11</v>
      </c>
      <c r="B45" s="3"/>
      <c r="C45" s="3"/>
      <c r="D45" s="3"/>
      <c r="E45" s="3"/>
      <c r="F45" s="3"/>
      <c r="G45" s="3"/>
      <c r="H45" s="3"/>
      <c r="I45" s="3"/>
      <c r="J45" s="3"/>
      <c r="K45" s="3"/>
      <c r="L45" s="3"/>
      <c r="M45" s="3"/>
      <c r="N45" s="3"/>
      <c r="O45" s="3"/>
      <c r="P45" s="3"/>
      <c r="Q45" s="3"/>
      <c r="R45" s="3"/>
      <c r="S45" s="3"/>
      <c r="T45" s="3"/>
      <c r="U45" s="3"/>
      <c r="V45" s="3"/>
    </row>
    <row r="46" spans="1:25" x14ac:dyDescent="0.25">
      <c r="A46" s="163" t="s">
        <v>12</v>
      </c>
      <c r="B46" s="124">
        <f>'Table 1  Water Input table'!O51+'Table 1  Water Input table'!O48</f>
        <v>261899309.60000002</v>
      </c>
      <c r="C46" s="124">
        <f>'Table 1  Water Input table'!P51+'Table 1  Water Input table'!P48</f>
        <v>0</v>
      </c>
      <c r="D46" s="124">
        <f>'Table 1  Water Input table'!Q51+'Table 1  Water Input table'!Q48</f>
        <v>109500</v>
      </c>
      <c r="E46" s="124">
        <f>'Table 1  Water Input table'!R51+'Table 1  Water Input table'!R48</f>
        <v>2221550</v>
      </c>
      <c r="F46" s="124">
        <f>'Table 1  Water Input table'!S51+'Table 1  Water Input table'!S48</f>
        <v>37314600</v>
      </c>
      <c r="G46" s="124">
        <f>'Table 1  Water Input table'!T51+'Table 1  Water Input table'!T48</f>
        <v>125757499.33464836</v>
      </c>
      <c r="H46" s="124">
        <f>'Table 1  Water Input table'!U51+'Table 1  Water Input table'!U48</f>
        <v>8870772</v>
      </c>
      <c r="I46" s="124">
        <f>'Table 1  Water Input table'!V51+'Table 1  Water Input table'!V48</f>
        <v>5037525</v>
      </c>
      <c r="J46" s="124">
        <f>'Table 1  Water Input table'!W51+'Table 1  Water Input table'!W48</f>
        <v>109858797262</v>
      </c>
      <c r="K46" s="124">
        <f>'Table 1  Water Input table'!X48+'Table 1  Water Input table'!AE48+'Table 1  Water Input table'!AE51+'Table 1  Water Input table'!X51</f>
        <v>149793248.03486273</v>
      </c>
      <c r="L46" s="124">
        <f>'Table 1  Water Input table'!Y48+'Table 1  Water Input table'!Y51</f>
        <v>215295774.51568824</v>
      </c>
      <c r="M46" s="124">
        <f>'Table 1  Water Input table'!Z48+'Table 1  Water Input table'!Z51</f>
        <v>228824.8</v>
      </c>
      <c r="N46" s="124">
        <f>'Table 1  Water Input table'!AA48+'Table 1  Water Input table'!AA51</f>
        <v>1825</v>
      </c>
      <c r="O46" s="124">
        <f>'Table 1  Water Input table'!AB48+'Table 1  Water Input table'!AB51</f>
        <v>68255</v>
      </c>
      <c r="P46" s="124">
        <f>'Table 1  Water Input table'!AC48+'Table 1  Water Input table'!AC51</f>
        <v>989150</v>
      </c>
      <c r="Q46" s="124">
        <f>'Table 1  Water Input table'!AD48+'Table 1  Water Input table'!AD51</f>
        <v>1728147.5029052272</v>
      </c>
      <c r="R46" s="119"/>
      <c r="S46" s="120"/>
      <c r="T46" s="120"/>
      <c r="U46" s="120"/>
      <c r="V46" s="123">
        <f>SUM(B46:R46)</f>
        <v>110668113242.7881</v>
      </c>
    </row>
    <row r="47" spans="1:25" x14ac:dyDescent="0.25">
      <c r="A47" s="163" t="s">
        <v>13</v>
      </c>
      <c r="B47" s="124">
        <f>SUM('Table 1  Water Input table'!O52:O54,'Table 1  Water Input table'!O49)</f>
        <v>686124</v>
      </c>
      <c r="C47" s="124">
        <f>SUM('Table 1  Water Input table'!P52:P54,'Table 1  Water Input table'!P49)</f>
        <v>0</v>
      </c>
      <c r="D47" s="124">
        <f>SUM('Table 1  Water Input table'!Q52:Q54,'Table 1  Water Input table'!Q49)</f>
        <v>1218110.0191982919</v>
      </c>
      <c r="E47" s="124">
        <f>SUM('Table 1  Water Input table'!R52:R54,'Table 1  Water Input table'!R49)</f>
        <v>14600</v>
      </c>
      <c r="F47" s="124">
        <f>SUM('Table 1  Water Input table'!S52:S54,'Table 1  Water Input table'!S49)</f>
        <v>133142306.277</v>
      </c>
      <c r="G47" s="124">
        <f>SUM('Table 1  Water Input table'!T52:T54,'Table 1  Water Input table'!T49)</f>
        <v>2765299.0465385276</v>
      </c>
      <c r="H47" s="124">
        <f>SUM('Table 1  Water Input table'!U52:U54,'Table 1  Water Input table'!U49)</f>
        <v>2045708</v>
      </c>
      <c r="I47" s="124">
        <f>SUM('Table 1  Water Input table'!V52:V54,'Table 1  Water Input table'!V49)</f>
        <v>1864844</v>
      </c>
      <c r="J47" s="124">
        <f>SUM('Table 1  Water Input table'!W52:W54,'Table 1  Water Input table'!W49)</f>
        <v>131496.5</v>
      </c>
      <c r="K47" s="124">
        <f>SUM('Table 1  Water Input table'!X49,'Table 1  Water Input table'!X52:X54,'Table 1  Water Input table'!AE49,'Table 1  Water Input table'!AE52:AE54)</f>
        <v>28928513.149038956</v>
      </c>
      <c r="L47" s="124">
        <f>SUM('Table 1  Water Input table'!Y52:Y54,'Table 1  Water Input table'!Y49)</f>
        <v>8974258.8070675302</v>
      </c>
      <c r="M47" s="124">
        <f>SUM('Table 1  Water Input table'!Z52:Z54,'Table 1  Water Input table'!Z49)</f>
        <v>138383</v>
      </c>
      <c r="N47" s="124">
        <f>SUM('Table 1  Water Input table'!AA52:AA54,'Table 1  Water Input table'!AA49)</f>
        <v>76490</v>
      </c>
      <c r="O47" s="124">
        <f>SUM('Table 1  Water Input table'!AB52:AB54,'Table 1  Water Input table'!AB49)</f>
        <v>201320</v>
      </c>
      <c r="P47" s="124">
        <f>SUM('Table 1  Water Input table'!AC52:AC54,'Table 1  Water Input table'!AC49)</f>
        <v>76361</v>
      </c>
      <c r="Q47" s="124">
        <f>SUM('Table 1  Water Input table'!AD52:AD54,'Table 1  Water Input table'!AD49)</f>
        <v>1569097.7790865796</v>
      </c>
      <c r="R47" s="119"/>
      <c r="S47" s="120"/>
      <c r="T47" s="120"/>
      <c r="U47" s="120"/>
      <c r="V47" s="123">
        <f>SUM(B47:R47)</f>
        <v>181832911.57792988</v>
      </c>
    </row>
    <row r="48" spans="1:25" x14ac:dyDescent="0.25">
      <c r="A48" s="163" t="s">
        <v>14</v>
      </c>
      <c r="B48" s="1"/>
      <c r="C48" s="124"/>
      <c r="D48" s="124"/>
      <c r="E48" s="124"/>
      <c r="F48" s="124"/>
      <c r="G48" s="124"/>
      <c r="H48" s="124"/>
      <c r="I48" s="124"/>
      <c r="J48" s="124">
        <v>0</v>
      </c>
      <c r="K48" s="124"/>
      <c r="L48" s="124"/>
      <c r="M48" s="124"/>
      <c r="N48" s="124"/>
      <c r="O48" s="124"/>
      <c r="P48" s="124"/>
      <c r="Q48" s="1"/>
      <c r="R48" s="129"/>
      <c r="S48" s="120"/>
      <c r="T48" s="120"/>
      <c r="U48" s="120"/>
      <c r="V48" s="123">
        <f>SUM(B48:Q48)</f>
        <v>0</v>
      </c>
    </row>
    <row r="49" spans="1:22" x14ac:dyDescent="0.25">
      <c r="A49" s="162" t="s">
        <v>4</v>
      </c>
      <c r="B49" s="122">
        <f>SUM(B46:B48)</f>
        <v>262585433.60000002</v>
      </c>
      <c r="C49" s="122">
        <f t="shared" ref="C49:Q49" si="9">SUM(C46:C48)</f>
        <v>0</v>
      </c>
      <c r="D49" s="122">
        <f t="shared" si="9"/>
        <v>1327610.0191982919</v>
      </c>
      <c r="E49" s="122">
        <f t="shared" si="9"/>
        <v>2236150</v>
      </c>
      <c r="F49" s="122">
        <f t="shared" si="9"/>
        <v>170456906.27700001</v>
      </c>
      <c r="G49" s="122">
        <f t="shared" si="9"/>
        <v>128522798.38118689</v>
      </c>
      <c r="H49" s="122">
        <f>SUM(H46:H48)</f>
        <v>10916480</v>
      </c>
      <c r="I49" s="122">
        <f t="shared" si="9"/>
        <v>6902369</v>
      </c>
      <c r="J49" s="122">
        <f t="shared" si="9"/>
        <v>109858928758.5</v>
      </c>
      <c r="K49" s="122">
        <f t="shared" si="9"/>
        <v>178721761.18390167</v>
      </c>
      <c r="L49" s="122">
        <f t="shared" si="9"/>
        <v>224270033.32275578</v>
      </c>
      <c r="M49" s="122">
        <f t="shared" si="9"/>
        <v>367207.8</v>
      </c>
      <c r="N49" s="122">
        <f t="shared" si="9"/>
        <v>78315</v>
      </c>
      <c r="O49" s="122">
        <f t="shared" si="9"/>
        <v>269575</v>
      </c>
      <c r="P49" s="122">
        <f t="shared" si="9"/>
        <v>1065511</v>
      </c>
      <c r="Q49" s="122">
        <f t="shared" si="9"/>
        <v>3297245.2819918068</v>
      </c>
      <c r="R49" s="119"/>
      <c r="S49" s="120"/>
      <c r="T49" s="120"/>
      <c r="U49" s="120"/>
      <c r="V49" s="123">
        <f>SUM(V46:V48)</f>
        <v>110849946154.36603</v>
      </c>
    </row>
    <row r="50" spans="1:22" x14ac:dyDescent="0.25">
      <c r="A50" s="162" t="s">
        <v>15</v>
      </c>
      <c r="B50" s="3"/>
      <c r="C50" s="3"/>
      <c r="D50" s="3"/>
      <c r="E50" s="3"/>
      <c r="F50" s="3"/>
      <c r="G50" s="3"/>
      <c r="H50" s="3"/>
      <c r="I50" s="3"/>
      <c r="J50" s="3"/>
      <c r="K50" s="3"/>
      <c r="L50" s="3"/>
      <c r="M50" s="3"/>
      <c r="N50" s="3"/>
      <c r="O50" s="3"/>
      <c r="P50" s="3"/>
      <c r="Q50" s="3"/>
      <c r="R50" s="3"/>
      <c r="S50" s="3"/>
      <c r="T50" s="3"/>
      <c r="U50" s="3"/>
      <c r="V50" s="122"/>
    </row>
    <row r="51" spans="1:22" x14ac:dyDescent="0.25">
      <c r="A51" s="163" t="s">
        <v>244</v>
      </c>
      <c r="B51" s="120"/>
      <c r="C51" s="124">
        <f>'Table 1  Water Input table'!$P$55</f>
        <v>169768210667250.03</v>
      </c>
      <c r="D51" s="124">
        <f>'Table 1  Water Input table'!$Q$55</f>
        <v>52592101627520.016</v>
      </c>
      <c r="E51" s="124">
        <f>'Table 1  Water Input table'!$R$55</f>
        <v>31462905740500.008</v>
      </c>
      <c r="F51" s="124">
        <f>'Table 1  Water Input table'!$S$55</f>
        <v>13237076423.303574</v>
      </c>
      <c r="G51" s="1"/>
      <c r="H51" s="1"/>
      <c r="I51" s="1"/>
      <c r="J51" s="1"/>
      <c r="K51" s="125">
        <f>'Table 1  Water Input table'!$X$55+'Table 1  Water Input table'!AE55</f>
        <v>1529882405858.5701</v>
      </c>
      <c r="L51" s="1"/>
      <c r="M51" s="1"/>
      <c r="N51" s="1"/>
      <c r="O51" s="1"/>
      <c r="P51" s="1"/>
      <c r="Q51" s="1"/>
      <c r="R51" s="119"/>
      <c r="S51" s="120"/>
      <c r="T51" s="120"/>
      <c r="U51" s="120"/>
      <c r="V51" s="123">
        <f>SUM(B51:R51)</f>
        <v>255366337517551.94</v>
      </c>
    </row>
    <row r="52" spans="1:22" x14ac:dyDescent="0.25">
      <c r="A52" s="162" t="s">
        <v>4</v>
      </c>
      <c r="B52" s="125">
        <f>B51</f>
        <v>0</v>
      </c>
      <c r="C52" s="125">
        <f>C51</f>
        <v>169768210667250.03</v>
      </c>
      <c r="D52" s="125">
        <f t="shared" ref="D52:Q52" si="10">D51</f>
        <v>52592101627520.016</v>
      </c>
      <c r="E52" s="125">
        <f t="shared" si="10"/>
        <v>31462905740500.008</v>
      </c>
      <c r="F52" s="125">
        <f t="shared" si="10"/>
        <v>13237076423.303574</v>
      </c>
      <c r="G52" s="125">
        <f t="shared" si="10"/>
        <v>0</v>
      </c>
      <c r="H52" s="125">
        <f t="shared" si="10"/>
        <v>0</v>
      </c>
      <c r="I52" s="125">
        <f t="shared" si="10"/>
        <v>0</v>
      </c>
      <c r="J52" s="125">
        <f t="shared" si="10"/>
        <v>0</v>
      </c>
      <c r="K52" s="125">
        <f t="shared" si="10"/>
        <v>1529882405858.5701</v>
      </c>
      <c r="L52" s="125">
        <f t="shared" si="10"/>
        <v>0</v>
      </c>
      <c r="M52" s="125">
        <f t="shared" si="10"/>
        <v>0</v>
      </c>
      <c r="N52" s="125">
        <f t="shared" si="10"/>
        <v>0</v>
      </c>
      <c r="O52" s="125">
        <f t="shared" si="10"/>
        <v>0</v>
      </c>
      <c r="P52" s="125">
        <f t="shared" si="10"/>
        <v>0</v>
      </c>
      <c r="Q52" s="125">
        <f t="shared" si="10"/>
        <v>0</v>
      </c>
      <c r="R52" s="119"/>
      <c r="S52" s="120"/>
      <c r="T52" s="120"/>
      <c r="U52" s="120"/>
      <c r="V52" s="123">
        <f>V51</f>
        <v>255366337517551.94</v>
      </c>
    </row>
    <row r="53" spans="1:22" x14ac:dyDescent="0.25">
      <c r="A53" s="3" t="s">
        <v>17</v>
      </c>
      <c r="B53" s="124">
        <f>B52+B49</f>
        <v>262585433.60000002</v>
      </c>
      <c r="C53" s="124">
        <f>C52+C49</f>
        <v>169768210667250.03</v>
      </c>
      <c r="D53" s="124">
        <f t="shared" ref="D53:Q53" si="11">D52+D49</f>
        <v>52592102955130.031</v>
      </c>
      <c r="E53" s="124">
        <f t="shared" si="11"/>
        <v>31462907976650.008</v>
      </c>
      <c r="F53" s="124">
        <f t="shared" si="11"/>
        <v>13407533329.580574</v>
      </c>
      <c r="G53" s="124">
        <f t="shared" si="11"/>
        <v>128522798.38118689</v>
      </c>
      <c r="H53" s="124">
        <f>H52+H49</f>
        <v>10916480</v>
      </c>
      <c r="I53" s="124">
        <f t="shared" si="11"/>
        <v>6902369</v>
      </c>
      <c r="J53" s="124">
        <f t="shared" si="11"/>
        <v>109858928758.5</v>
      </c>
      <c r="K53" s="124">
        <f t="shared" si="11"/>
        <v>1530061127619.7539</v>
      </c>
      <c r="L53" s="124">
        <f t="shared" si="11"/>
        <v>224270033.32275578</v>
      </c>
      <c r="M53" s="124">
        <f t="shared" si="11"/>
        <v>367207.8</v>
      </c>
      <c r="N53" s="124">
        <f t="shared" si="11"/>
        <v>78315</v>
      </c>
      <c r="O53" s="124">
        <f t="shared" si="11"/>
        <v>269575</v>
      </c>
      <c r="P53" s="124">
        <f t="shared" si="11"/>
        <v>1065511</v>
      </c>
      <c r="Q53" s="124">
        <f t="shared" si="11"/>
        <v>3297245.2819918068</v>
      </c>
      <c r="R53" s="119"/>
      <c r="S53" s="120"/>
      <c r="T53" s="120"/>
      <c r="U53" s="120"/>
      <c r="V53" s="123">
        <f>V49+V52</f>
        <v>255477187463706.31</v>
      </c>
    </row>
    <row r="54" spans="1:22" x14ac:dyDescent="0.25">
      <c r="A54" s="3" t="s">
        <v>19</v>
      </c>
      <c r="B54" s="3"/>
      <c r="C54" s="3"/>
      <c r="D54" s="3"/>
      <c r="E54" s="3"/>
      <c r="F54" s="3"/>
      <c r="G54" s="3"/>
      <c r="H54" s="3"/>
      <c r="I54" s="3"/>
      <c r="J54" s="3"/>
      <c r="K54" s="3"/>
      <c r="L54" s="3"/>
      <c r="M54" s="3"/>
      <c r="N54" s="3"/>
      <c r="O54" s="3"/>
      <c r="P54" s="3"/>
      <c r="Q54" s="3"/>
      <c r="R54" s="3"/>
      <c r="S54" s="3"/>
      <c r="T54" s="3"/>
      <c r="U54" s="3"/>
      <c r="V54" s="3"/>
    </row>
    <row r="55" spans="1:22" x14ac:dyDescent="0.25">
      <c r="A55" s="163" t="s">
        <v>270</v>
      </c>
      <c r="B55" s="122">
        <f>'Table 1  Water Input table'!O56</f>
        <v>0</v>
      </c>
      <c r="C55" s="122">
        <f>'Table 1  Water Input table'!P56</f>
        <v>0</v>
      </c>
      <c r="D55" s="122">
        <f>'Table 1  Water Input table'!Q56</f>
        <v>28957734.438339721</v>
      </c>
      <c r="E55" s="122">
        <f>'Table 1  Water Input table'!R56</f>
        <v>0</v>
      </c>
      <c r="F55" s="122">
        <f>'Table 1  Water Input table'!S56</f>
        <v>0</v>
      </c>
      <c r="G55" s="122">
        <f>'Table 1  Water Input table'!T56</f>
        <v>1363604.6698241122</v>
      </c>
      <c r="H55" s="122">
        <f>'Table 1  Water Input table'!U56</f>
        <v>12546286.293874418</v>
      </c>
      <c r="I55" s="122">
        <f>'Table 1  Water Input table'!V56</f>
        <v>6337106.3870244613</v>
      </c>
      <c r="J55" s="122">
        <f>'Table 1  Water Input table'!W56</f>
        <v>228627.89686890412</v>
      </c>
      <c r="K55" s="122"/>
      <c r="L55" s="122">
        <f>'Table 1  Water Input table'!Y56</f>
        <v>1914392.977043279</v>
      </c>
      <c r="M55" s="122">
        <f>'Table 1  Water Input table'!Z56</f>
        <v>2854777.3919335445</v>
      </c>
      <c r="N55" s="122">
        <f>'Table 1  Water Input table'!AA56</f>
        <v>23015199.044769648</v>
      </c>
      <c r="O55" s="122">
        <f>'Table 1  Water Input table'!AB56</f>
        <v>1641710.1272634014</v>
      </c>
      <c r="P55" s="122">
        <f>'Table 1  Water Input table'!AC56</f>
        <v>3248353.5950340214</v>
      </c>
      <c r="Q55" s="122">
        <f>'Table 1  Water Input table'!AD56</f>
        <v>9120495.6457243226</v>
      </c>
      <c r="R55" s="122">
        <f>'Table 1  Water Input table'!AE56</f>
        <v>69055594.381077453</v>
      </c>
      <c r="S55" s="120"/>
      <c r="T55" s="124">
        <v>0</v>
      </c>
      <c r="U55" s="120"/>
      <c r="V55" s="123">
        <f>SUM(B55:R55)</f>
        <v>160283882.84877729</v>
      </c>
    </row>
    <row r="56" spans="1:22" x14ac:dyDescent="0.25">
      <c r="A56" s="163" t="s">
        <v>271</v>
      </c>
      <c r="B56" s="122">
        <f>SUM('Table 1  Water Input table'!O57:O58)</f>
        <v>0</v>
      </c>
      <c r="C56" s="122">
        <f>SUM('Table 1  Water Input table'!P57:P58)</f>
        <v>0</v>
      </c>
      <c r="D56" s="122">
        <f>SUM('Table 1  Water Input table'!Q57:Q58)</f>
        <v>0</v>
      </c>
      <c r="E56" s="122">
        <f>SUM('Table 1  Water Input table'!R57:R58)</f>
        <v>0</v>
      </c>
      <c r="F56" s="122">
        <f>SUM('Table 1  Water Input table'!S57:S58)</f>
        <v>0</v>
      </c>
      <c r="G56" s="122">
        <f>SUM('Table 1  Water Input table'!T57:T58)</f>
        <v>0</v>
      </c>
      <c r="H56" s="122">
        <f>SUM('Table 1  Water Input table'!U57:U58)</f>
        <v>20758.646404026102</v>
      </c>
      <c r="I56" s="122">
        <f>SUM('Table 1  Water Input table'!V57:V58)</f>
        <v>10485.154541480839</v>
      </c>
      <c r="J56" s="122">
        <f>SUM('Table 1  Water Input table'!W57:W58)</f>
        <v>378.2797202320267</v>
      </c>
      <c r="K56" s="122">
        <f>SUM('Table 1  Water Input table'!X57:X58)</f>
        <v>0</v>
      </c>
      <c r="L56" s="122">
        <f>SUM('Table 1  Water Input table'!Y57:Y58)</f>
        <v>38346.105649966586</v>
      </c>
      <c r="M56" s="122">
        <f>SUM('Table 1  Water Input table'!Z57:Z58)</f>
        <v>110259.26880604423</v>
      </c>
      <c r="N56" s="122">
        <f>SUM('Table 1  Water Input table'!AA57:AA58)</f>
        <v>70357.236000000004</v>
      </c>
      <c r="O56" s="122">
        <f>SUM('Table 1  Water Input table'!AB57:AB58)</f>
        <v>178609.40614579117</v>
      </c>
      <c r="P56" s="122">
        <f>SUM('Table 1  Water Input table'!AC57:AC58)</f>
        <v>181267.70222349762</v>
      </c>
      <c r="Q56" s="122">
        <f>SUM('Table 1  Water Input table'!AD57:AD58)</f>
        <v>155804.92503959697</v>
      </c>
      <c r="R56" s="122">
        <f>SUM('Table 1  Water Input table'!AE57:AE59)</f>
        <v>5300289.4399999995</v>
      </c>
      <c r="S56" s="120"/>
      <c r="T56" s="124">
        <v>0</v>
      </c>
      <c r="U56" s="120"/>
      <c r="V56" s="123">
        <f>SUM(T56,B56:R56)</f>
        <v>6066556.1645306349</v>
      </c>
    </row>
    <row r="57" spans="1:22" x14ac:dyDescent="0.25">
      <c r="A57" s="163" t="s">
        <v>49</v>
      </c>
      <c r="B57" s="123">
        <f>'Table 1  Water Input table'!O60</f>
        <v>262585433.60000002</v>
      </c>
      <c r="C57" s="123">
        <f>'Table 1  Water Input table'!P60</f>
        <v>169768210667250.03</v>
      </c>
      <c r="D57" s="123">
        <f>'Table 1  Water Input table'!Q60</f>
        <v>52592102955130.031</v>
      </c>
      <c r="E57" s="123">
        <f>'Table 1  Water Input table'!R60</f>
        <v>31462907976650.008</v>
      </c>
      <c r="F57" s="123">
        <f>'Table 1  Water Input table'!S60</f>
        <v>13407533329.580574</v>
      </c>
      <c r="G57" s="123">
        <f>'Table 1  Water Input table'!T60</f>
        <v>128522798.38118689</v>
      </c>
      <c r="H57" s="123">
        <f>'Table 1  Water Input table'!U60</f>
        <v>10916480</v>
      </c>
      <c r="I57" s="123">
        <f>'Table 1  Water Input table'!V60</f>
        <v>6902369</v>
      </c>
      <c r="J57" s="123">
        <f>'Table 1  Water Input table'!W59</f>
        <v>109858928758.5</v>
      </c>
      <c r="K57" s="123">
        <f>'Table 1  Water Input table'!X60</f>
        <v>1529840722593.3452</v>
      </c>
      <c r="L57" s="123">
        <f>'Table 1  Water Input table'!Y60</f>
        <v>224270033.32275575</v>
      </c>
      <c r="M57" s="123">
        <f>'Table 1  Water Input table'!Z60</f>
        <v>367207.8</v>
      </c>
      <c r="N57" s="123">
        <f>'Table 1  Water Input table'!AA60</f>
        <v>78315</v>
      </c>
      <c r="O57" s="123">
        <f>'Table 1  Water Input table'!AB60</f>
        <v>269575</v>
      </c>
      <c r="P57" s="123">
        <f>'Table 1  Water Input table'!AC60</f>
        <v>1065511</v>
      </c>
      <c r="Q57" s="123">
        <f>'Table 1  Water Input table'!AD60</f>
        <v>3297245.2819918068</v>
      </c>
      <c r="R57" s="123">
        <f>'Table 1  Water Input table'!AE60</f>
        <v>66223036.60882479</v>
      </c>
      <c r="S57" s="120"/>
      <c r="T57" s="120"/>
      <c r="U57" s="120"/>
      <c r="V57" s="123">
        <f>SUM(T57,B57:R57)</f>
        <v>255477033281716.47</v>
      </c>
    </row>
    <row r="58" spans="1:22" x14ac:dyDescent="0.25">
      <c r="A58" s="162" t="s">
        <v>4</v>
      </c>
      <c r="B58" s="125">
        <f t="shared" ref="B58:R58" si="12">SUM(B55:B57)</f>
        <v>262585433.60000002</v>
      </c>
      <c r="C58" s="125">
        <f>SUM(C55:C57)</f>
        <v>169768210667250.03</v>
      </c>
      <c r="D58" s="125">
        <f t="shared" si="12"/>
        <v>52592131912864.469</v>
      </c>
      <c r="E58" s="125">
        <f t="shared" si="12"/>
        <v>31462907976650.008</v>
      </c>
      <c r="F58" s="125">
        <f t="shared" si="12"/>
        <v>13407533329.580574</v>
      </c>
      <c r="G58" s="125">
        <f t="shared" si="12"/>
        <v>129886403.051011</v>
      </c>
      <c r="H58" s="125">
        <f t="shared" si="12"/>
        <v>23483524.940278444</v>
      </c>
      <c r="I58" s="125">
        <f t="shared" si="12"/>
        <v>13249960.541565944</v>
      </c>
      <c r="J58" s="125">
        <f t="shared" si="12"/>
        <v>109859157764.67659</v>
      </c>
      <c r="K58" s="125">
        <f>SUM(K55:K57)</f>
        <v>1529840722593.3452</v>
      </c>
      <c r="L58" s="125">
        <f t="shared" si="12"/>
        <v>226222772.405449</v>
      </c>
      <c r="M58" s="125">
        <f t="shared" si="12"/>
        <v>3332244.4607395884</v>
      </c>
      <c r="N58" s="125">
        <f t="shared" si="12"/>
        <v>23163871.28076965</v>
      </c>
      <c r="O58" s="125">
        <f t="shared" si="12"/>
        <v>2089894.5334091927</v>
      </c>
      <c r="P58" s="125">
        <f t="shared" si="12"/>
        <v>4495132.2972575184</v>
      </c>
      <c r="Q58" s="125">
        <f t="shared" si="12"/>
        <v>12573545.852755725</v>
      </c>
      <c r="R58" s="125">
        <f t="shared" si="12"/>
        <v>140578920.42990226</v>
      </c>
      <c r="S58" s="120"/>
      <c r="T58" s="125">
        <f>T55+T56</f>
        <v>0</v>
      </c>
      <c r="U58" s="120"/>
      <c r="V58" s="123">
        <f>SUM(V55:V57)</f>
        <v>255477199632155.47</v>
      </c>
    </row>
    <row r="59" spans="1:22" x14ac:dyDescent="0.25">
      <c r="A59" s="3" t="s">
        <v>21</v>
      </c>
      <c r="B59" s="3"/>
      <c r="C59" s="3"/>
      <c r="D59" s="3"/>
      <c r="E59" s="3"/>
      <c r="F59" s="3"/>
      <c r="G59" s="3"/>
      <c r="H59" s="3"/>
      <c r="I59" s="3"/>
      <c r="J59" s="3"/>
      <c r="K59" s="3"/>
      <c r="L59" s="3"/>
      <c r="M59" s="3"/>
      <c r="N59" s="3"/>
      <c r="O59" s="3"/>
      <c r="P59" s="3"/>
      <c r="Q59" s="3"/>
      <c r="R59" s="3"/>
      <c r="S59" s="3"/>
      <c r="T59" s="3"/>
      <c r="U59" s="3"/>
      <c r="V59" s="3"/>
    </row>
    <row r="60" spans="1:22" x14ac:dyDescent="0.25">
      <c r="A60" s="162" t="s">
        <v>22</v>
      </c>
      <c r="B60" s="3"/>
      <c r="C60" s="3"/>
      <c r="D60" s="3"/>
      <c r="E60" s="3"/>
      <c r="F60" s="3"/>
      <c r="G60" s="3"/>
      <c r="H60" s="3"/>
      <c r="I60" s="3"/>
      <c r="J60" s="3"/>
      <c r="K60" s="3"/>
      <c r="L60" s="3"/>
      <c r="M60" s="3"/>
      <c r="N60" s="3"/>
      <c r="O60" s="3"/>
      <c r="P60" s="3"/>
      <c r="Q60" s="3"/>
      <c r="R60" s="3"/>
      <c r="S60" s="3"/>
      <c r="T60" s="3"/>
      <c r="U60" s="3"/>
      <c r="V60" s="3"/>
    </row>
    <row r="61" spans="1:22" x14ac:dyDescent="0.25">
      <c r="A61" s="163" t="s">
        <v>23</v>
      </c>
      <c r="B61" s="120"/>
      <c r="C61" s="120"/>
      <c r="D61" s="120"/>
      <c r="E61" s="120"/>
      <c r="F61" s="120"/>
      <c r="G61" s="120"/>
      <c r="H61" s="120"/>
      <c r="I61" s="120"/>
      <c r="J61" s="120"/>
      <c r="K61" s="124">
        <f>V20</f>
        <v>15892027.817895319</v>
      </c>
      <c r="L61" s="120"/>
      <c r="M61" s="120"/>
      <c r="N61" s="120"/>
      <c r="O61" s="120"/>
      <c r="P61" s="120"/>
      <c r="Q61" s="120"/>
      <c r="R61" s="120"/>
      <c r="S61" s="120"/>
      <c r="T61" s="125">
        <v>0</v>
      </c>
      <c r="U61" s="120"/>
      <c r="V61" s="123">
        <f>SUM(T61,K61)</f>
        <v>15892027.817895319</v>
      </c>
    </row>
    <row r="62" spans="1:22" x14ac:dyDescent="0.25">
      <c r="A62" s="163" t="s">
        <v>24</v>
      </c>
      <c r="B62" s="1"/>
      <c r="C62" s="1"/>
      <c r="D62" s="1"/>
      <c r="E62" s="1"/>
      <c r="F62" s="1"/>
      <c r="G62" s="1"/>
      <c r="H62" s="1"/>
      <c r="I62" s="1"/>
      <c r="J62" s="1"/>
      <c r="K62" s="1"/>
      <c r="L62" s="1"/>
      <c r="M62" s="1"/>
      <c r="N62" s="1"/>
      <c r="O62" s="1"/>
      <c r="P62" s="1"/>
      <c r="Q62" s="1"/>
      <c r="R62" s="1"/>
      <c r="S62" s="120"/>
      <c r="T62" s="1"/>
      <c r="U62" s="120"/>
      <c r="V62" s="125">
        <f>SUM(T62,B62:R62)</f>
        <v>0</v>
      </c>
    </row>
    <row r="63" spans="1:22" x14ac:dyDescent="0.25">
      <c r="A63" s="162" t="s">
        <v>25</v>
      </c>
      <c r="B63" s="3"/>
      <c r="C63" s="3"/>
      <c r="D63" s="3"/>
      <c r="E63" s="3"/>
      <c r="F63" s="3"/>
      <c r="G63" s="3"/>
      <c r="H63" s="3"/>
      <c r="I63" s="3"/>
      <c r="J63" s="3"/>
      <c r="K63" s="3"/>
      <c r="L63" s="3"/>
      <c r="M63" s="3"/>
      <c r="N63" s="3"/>
      <c r="O63" s="3"/>
      <c r="P63" s="3"/>
      <c r="Q63" s="3"/>
      <c r="R63" s="3"/>
      <c r="S63" s="3"/>
      <c r="T63" s="3"/>
      <c r="U63" s="3"/>
      <c r="V63" s="3"/>
    </row>
    <row r="64" spans="1:22" x14ac:dyDescent="0.25">
      <c r="A64" s="163" t="s">
        <v>299</v>
      </c>
      <c r="B64" s="1"/>
      <c r="C64" s="1"/>
      <c r="D64" s="1"/>
      <c r="E64" s="1"/>
      <c r="F64" s="1"/>
      <c r="G64" s="1"/>
      <c r="H64" s="1"/>
      <c r="I64" s="1"/>
      <c r="J64" s="1"/>
      <c r="K64" s="1"/>
      <c r="L64" s="1"/>
      <c r="M64" s="1"/>
      <c r="N64" s="1"/>
      <c r="O64" s="1"/>
      <c r="P64" s="1"/>
      <c r="Q64" s="1"/>
      <c r="R64" s="1"/>
      <c r="S64" s="120"/>
      <c r="T64" s="120"/>
      <c r="U64" s="120"/>
      <c r="V64" s="125">
        <f>SUM(B64:R64)</f>
        <v>0</v>
      </c>
    </row>
    <row r="65" spans="1:24" x14ac:dyDescent="0.25">
      <c r="A65" s="163" t="s">
        <v>20</v>
      </c>
      <c r="B65" s="1"/>
      <c r="C65" s="1"/>
      <c r="D65" s="1"/>
      <c r="E65" s="1"/>
      <c r="F65" s="1"/>
      <c r="G65" s="1"/>
      <c r="H65" s="1"/>
      <c r="I65" s="1"/>
      <c r="J65" s="1"/>
      <c r="K65" s="1"/>
      <c r="L65" s="1"/>
      <c r="M65" s="1"/>
      <c r="N65" s="1"/>
      <c r="O65" s="1"/>
      <c r="P65" s="1"/>
      <c r="Q65" s="1"/>
      <c r="R65" s="1"/>
      <c r="S65" s="120"/>
      <c r="T65" s="120"/>
      <c r="U65" s="120"/>
      <c r="V65" s="125">
        <f>SUM(B65:R65)</f>
        <v>0</v>
      </c>
    </row>
    <row r="66" spans="1:24" x14ac:dyDescent="0.25">
      <c r="A66" s="162" t="s">
        <v>4</v>
      </c>
      <c r="B66" s="123">
        <f t="shared" ref="B66:J66" si="13">SUM(B62,B64)</f>
        <v>0</v>
      </c>
      <c r="C66" s="123">
        <f t="shared" si="13"/>
        <v>0</v>
      </c>
      <c r="D66" s="123">
        <f t="shared" si="13"/>
        <v>0</v>
      </c>
      <c r="E66" s="123">
        <f t="shared" si="13"/>
        <v>0</v>
      </c>
      <c r="F66" s="123">
        <f t="shared" si="13"/>
        <v>0</v>
      </c>
      <c r="G66" s="123">
        <f t="shared" si="13"/>
        <v>0</v>
      </c>
      <c r="H66" s="123">
        <f t="shared" si="13"/>
        <v>0</v>
      </c>
      <c r="I66" s="123">
        <f t="shared" si="13"/>
        <v>0</v>
      </c>
      <c r="J66" s="123">
        <f t="shared" si="13"/>
        <v>0</v>
      </c>
      <c r="K66" s="123">
        <f>SUM(K62,K64,K61)</f>
        <v>15892027.817895319</v>
      </c>
      <c r="L66" s="123">
        <f t="shared" ref="L66:R66" si="14">SUM(L62,L64)</f>
        <v>0</v>
      </c>
      <c r="M66" s="123">
        <f t="shared" si="14"/>
        <v>0</v>
      </c>
      <c r="N66" s="123">
        <f t="shared" si="14"/>
        <v>0</v>
      </c>
      <c r="O66" s="123">
        <f t="shared" si="14"/>
        <v>0</v>
      </c>
      <c r="P66" s="123">
        <f t="shared" si="14"/>
        <v>0</v>
      </c>
      <c r="Q66" s="123">
        <f t="shared" si="14"/>
        <v>0</v>
      </c>
      <c r="R66" s="123">
        <f t="shared" si="14"/>
        <v>0</v>
      </c>
      <c r="S66" s="120"/>
      <c r="T66" s="123">
        <f>SUM(T62,T64)</f>
        <v>0</v>
      </c>
      <c r="U66" s="120"/>
      <c r="V66" s="123">
        <f>SUM(V61:V62,V64:V65)</f>
        <v>15892027.817895319</v>
      </c>
    </row>
    <row r="67" spans="1:24" x14ac:dyDescent="0.25">
      <c r="A67" s="3" t="s">
        <v>26</v>
      </c>
      <c r="B67" s="3"/>
      <c r="C67" s="3"/>
      <c r="D67" s="3"/>
      <c r="E67" s="3"/>
      <c r="F67" s="3"/>
      <c r="G67" s="3"/>
      <c r="H67" s="3"/>
      <c r="I67" s="3"/>
      <c r="J67" s="3"/>
      <c r="K67" s="3"/>
      <c r="L67" s="3"/>
      <c r="M67" s="3"/>
      <c r="N67" s="3"/>
      <c r="O67" s="3"/>
      <c r="P67" s="3"/>
      <c r="Q67" s="3"/>
      <c r="R67" s="3"/>
      <c r="S67" s="3"/>
      <c r="T67" s="3"/>
      <c r="U67" s="3"/>
      <c r="V67" s="3"/>
    </row>
    <row r="68" spans="1:24" x14ac:dyDescent="0.25">
      <c r="A68" s="162" t="s">
        <v>27</v>
      </c>
      <c r="B68" s="3"/>
      <c r="C68" s="3"/>
      <c r="D68" s="3"/>
      <c r="E68" s="3"/>
      <c r="F68" s="3"/>
      <c r="G68" s="3"/>
      <c r="H68" s="3"/>
      <c r="I68" s="3"/>
      <c r="J68" s="3"/>
      <c r="K68" s="3"/>
      <c r="L68" s="3"/>
      <c r="M68" s="3"/>
      <c r="N68" s="3"/>
      <c r="O68" s="3"/>
      <c r="P68" s="3"/>
      <c r="Q68" s="3"/>
      <c r="R68" s="3"/>
      <c r="S68" s="3"/>
      <c r="T68" s="3"/>
      <c r="U68" s="3"/>
      <c r="V68" s="3"/>
    </row>
    <row r="69" spans="1:24" x14ac:dyDescent="0.25">
      <c r="A69" s="164" t="s">
        <v>28</v>
      </c>
      <c r="B69" s="120"/>
      <c r="C69" s="120"/>
      <c r="D69" s="120"/>
      <c r="E69" s="120"/>
      <c r="F69" s="120"/>
      <c r="G69" s="120"/>
      <c r="H69" s="120"/>
      <c r="I69" s="120"/>
      <c r="J69" s="120"/>
      <c r="K69" s="120"/>
      <c r="L69" s="120"/>
      <c r="M69" s="120"/>
      <c r="N69" s="120"/>
      <c r="O69" s="120"/>
      <c r="P69" s="120"/>
      <c r="Q69" s="120"/>
      <c r="R69" s="120"/>
      <c r="S69" s="120"/>
      <c r="T69" s="120"/>
      <c r="V69" s="1"/>
    </row>
    <row r="70" spans="1:24" x14ac:dyDescent="0.25">
      <c r="A70" s="163" t="s">
        <v>12</v>
      </c>
      <c r="B70" s="120"/>
      <c r="C70" s="120"/>
      <c r="D70" s="120"/>
      <c r="E70" s="120"/>
      <c r="F70" s="120"/>
      <c r="G70" s="120"/>
      <c r="H70" s="120"/>
      <c r="I70" s="120"/>
      <c r="J70" s="120"/>
      <c r="K70" s="120"/>
      <c r="L70" s="120"/>
      <c r="M70" s="120"/>
      <c r="N70" s="120"/>
      <c r="O70" s="120"/>
      <c r="P70" s="120"/>
      <c r="Q70" s="120"/>
      <c r="R70" s="120"/>
      <c r="S70" s="120"/>
      <c r="T70" s="120"/>
      <c r="U70" s="123">
        <f>V28</f>
        <v>68846879716203.187</v>
      </c>
      <c r="V70" s="123">
        <f>V28</f>
        <v>68846879716203.187</v>
      </c>
      <c r="W70" s="67"/>
    </row>
    <row r="71" spans="1:24" x14ac:dyDescent="0.25">
      <c r="A71" s="163" t="s">
        <v>13</v>
      </c>
      <c r="B71" s="120"/>
      <c r="C71" s="120"/>
      <c r="D71" s="120"/>
      <c r="E71" s="120"/>
      <c r="F71" s="120"/>
      <c r="G71" s="120"/>
      <c r="H71" s="120"/>
      <c r="I71" s="120"/>
      <c r="J71" s="120"/>
      <c r="K71" s="120"/>
      <c r="L71" s="120"/>
      <c r="M71" s="120"/>
      <c r="N71" s="120"/>
      <c r="O71" s="120"/>
      <c r="P71" s="120"/>
      <c r="Q71" s="120"/>
      <c r="R71" s="120"/>
      <c r="S71" s="120"/>
      <c r="T71" s="120"/>
      <c r="U71" s="123">
        <f>V29</f>
        <v>48140370742240.031</v>
      </c>
      <c r="V71" s="123">
        <f>V29</f>
        <v>48140370742240.031</v>
      </c>
      <c r="W71" s="67"/>
    </row>
    <row r="72" spans="1:24" x14ac:dyDescent="0.25">
      <c r="A72" s="165" t="s">
        <v>29</v>
      </c>
      <c r="B72" s="120"/>
      <c r="C72" s="120"/>
      <c r="D72" s="120"/>
      <c r="E72" s="120"/>
      <c r="F72" s="120"/>
      <c r="G72" s="120"/>
      <c r="H72" s="120"/>
      <c r="I72" s="120"/>
      <c r="J72" s="120"/>
      <c r="K72" s="120"/>
      <c r="L72" s="120"/>
      <c r="M72" s="120"/>
      <c r="N72" s="120"/>
      <c r="O72" s="120"/>
      <c r="P72" s="120"/>
      <c r="Q72" s="120"/>
      <c r="R72" s="120"/>
      <c r="S72" s="120"/>
      <c r="T72" s="120"/>
      <c r="U72" s="123">
        <f>V30</f>
        <v>106253543819645.06</v>
      </c>
      <c r="V72" s="123">
        <f>V30</f>
        <v>106253543819645.06</v>
      </c>
      <c r="W72" s="67"/>
    </row>
    <row r="73" spans="1:24" x14ac:dyDescent="0.25">
      <c r="A73" s="162" t="s">
        <v>30</v>
      </c>
      <c r="B73" s="120"/>
      <c r="C73" s="120"/>
      <c r="D73" s="120"/>
      <c r="E73" s="120"/>
      <c r="F73" s="120"/>
      <c r="G73" s="120"/>
      <c r="H73" s="120"/>
      <c r="I73" s="120"/>
      <c r="J73" s="120"/>
      <c r="K73" s="120"/>
      <c r="L73" s="120"/>
      <c r="M73" s="120"/>
      <c r="N73" s="120"/>
      <c r="O73" s="120"/>
      <c r="P73" s="120"/>
      <c r="Q73" s="120"/>
      <c r="R73" s="120"/>
      <c r="S73" s="120"/>
      <c r="T73" s="120"/>
      <c r="U73" s="123">
        <f>SUM(U70:U72)</f>
        <v>223240794278088.28</v>
      </c>
      <c r="V73" s="123">
        <f>SUM(V70:V72)</f>
        <v>223240794278088.28</v>
      </c>
      <c r="W73" s="67"/>
    </row>
    <row r="74" spans="1:24" x14ac:dyDescent="0.25">
      <c r="A74" s="14" t="s">
        <v>31</v>
      </c>
      <c r="B74" s="3"/>
      <c r="C74" s="3"/>
      <c r="D74" s="3"/>
      <c r="E74" s="3"/>
      <c r="F74" s="3"/>
      <c r="G74" s="3"/>
      <c r="H74" s="3"/>
      <c r="I74" s="3"/>
      <c r="J74" s="3"/>
      <c r="K74" s="3"/>
      <c r="L74" s="3"/>
      <c r="M74" s="3"/>
      <c r="N74" s="3"/>
      <c r="O74" s="3"/>
      <c r="P74" s="3"/>
      <c r="Q74" s="3"/>
      <c r="R74" s="3"/>
      <c r="S74" s="3"/>
      <c r="T74" s="3"/>
      <c r="U74" s="122">
        <f>V33</f>
        <v>29598226471702.973</v>
      </c>
      <c r="V74" s="122">
        <f>U74</f>
        <v>29598226471702.973</v>
      </c>
    </row>
    <row r="75" spans="1:24" x14ac:dyDescent="0.25">
      <c r="A75" s="165" t="s">
        <v>227</v>
      </c>
      <c r="B75" s="120"/>
      <c r="C75" s="120"/>
      <c r="D75" s="120"/>
      <c r="E75" s="120"/>
      <c r="F75" s="120"/>
      <c r="G75" s="120"/>
      <c r="H75" s="120"/>
      <c r="I75" s="120"/>
      <c r="J75" s="120"/>
      <c r="K75" s="120"/>
      <c r="L75" s="120"/>
      <c r="M75" s="120"/>
      <c r="N75" s="120"/>
      <c r="O75" s="120"/>
      <c r="P75" s="120"/>
      <c r="Q75" s="120"/>
      <c r="R75" s="120"/>
      <c r="S75" s="120"/>
      <c r="T75" s="120"/>
      <c r="U75" s="123"/>
      <c r="V75" s="123"/>
    </row>
    <row r="76" spans="1:24" hidden="1" x14ac:dyDescent="0.25">
      <c r="A76" s="165" t="s">
        <v>32</v>
      </c>
      <c r="B76" s="120"/>
      <c r="C76" s="120"/>
      <c r="D76" s="120"/>
      <c r="E76" s="120"/>
      <c r="F76" s="120"/>
      <c r="G76" s="120"/>
      <c r="H76" s="120"/>
      <c r="I76" s="120"/>
      <c r="J76" s="120"/>
      <c r="K76" s="120"/>
      <c r="L76" s="120"/>
      <c r="M76" s="120"/>
      <c r="N76" s="120"/>
      <c r="O76" s="120"/>
      <c r="P76" s="120"/>
      <c r="Q76" s="120"/>
      <c r="R76" s="120"/>
      <c r="S76" s="120"/>
      <c r="T76" s="120"/>
      <c r="U76" s="120"/>
      <c r="V76" s="120"/>
    </row>
    <row r="77" spans="1:24" x14ac:dyDescent="0.25">
      <c r="A77" s="165" t="s">
        <v>33</v>
      </c>
      <c r="B77" s="120"/>
      <c r="C77" s="120"/>
      <c r="D77" s="120"/>
      <c r="E77" s="120"/>
      <c r="F77" s="120"/>
      <c r="G77" s="120"/>
      <c r="H77" s="120"/>
      <c r="I77" s="120"/>
      <c r="J77" s="120"/>
      <c r="K77" s="120"/>
      <c r="L77" s="120"/>
      <c r="M77" s="120"/>
      <c r="N77" s="120"/>
      <c r="O77" s="120"/>
      <c r="P77" s="120"/>
      <c r="Q77" s="120"/>
      <c r="R77" s="120"/>
      <c r="S77" s="123"/>
      <c r="T77" s="120"/>
      <c r="U77" s="1"/>
      <c r="V77" s="123"/>
    </row>
    <row r="78" spans="1:24" x14ac:dyDescent="0.25">
      <c r="A78" s="10" t="s">
        <v>34</v>
      </c>
      <c r="B78" s="123">
        <f t="shared" ref="B78:R78" si="15">B53+B58+B66</f>
        <v>525170867.20000005</v>
      </c>
      <c r="C78" s="123">
        <f t="shared" si="15"/>
        <v>339536421334500.06</v>
      </c>
      <c r="D78" s="123">
        <f t="shared" si="15"/>
        <v>105184234867994.5</v>
      </c>
      <c r="E78" s="123">
        <f t="shared" si="15"/>
        <v>62925815953300.016</v>
      </c>
      <c r="F78" s="123">
        <f t="shared" si="15"/>
        <v>26815066659.161148</v>
      </c>
      <c r="G78" s="123">
        <f t="shared" si="15"/>
        <v>258409201.43219787</v>
      </c>
      <c r="H78" s="123">
        <f t="shared" si="15"/>
        <v>34400004.940278441</v>
      </c>
      <c r="I78" s="123">
        <f t="shared" si="15"/>
        <v>20152329.541565944</v>
      </c>
      <c r="J78" s="123">
        <f t="shared" si="15"/>
        <v>219718086523.17657</v>
      </c>
      <c r="K78" s="123">
        <f t="shared" si="15"/>
        <v>3059917742240.917</v>
      </c>
      <c r="L78" s="123">
        <f t="shared" si="15"/>
        <v>450492805.72820479</v>
      </c>
      <c r="M78" s="123">
        <f t="shared" si="15"/>
        <v>3699452.2607395882</v>
      </c>
      <c r="N78" s="123">
        <f t="shared" si="15"/>
        <v>23242186.28076965</v>
      </c>
      <c r="O78" s="123">
        <f t="shared" si="15"/>
        <v>2359469.5334091927</v>
      </c>
      <c r="P78" s="123">
        <f t="shared" si="15"/>
        <v>5560643.2972575184</v>
      </c>
      <c r="Q78" s="123">
        <f t="shared" si="15"/>
        <v>15870791.134747531</v>
      </c>
      <c r="R78" s="123">
        <f t="shared" si="15"/>
        <v>140578920.42990226</v>
      </c>
      <c r="S78" s="123">
        <f>S77</f>
        <v>0</v>
      </c>
      <c r="T78" s="1"/>
      <c r="U78" s="123">
        <f>U73+U74</f>
        <v>252839020749791.25</v>
      </c>
      <c r="V78" s="123">
        <f>V53+V58+V66+V73+V74</f>
        <v>763793423737680.87</v>
      </c>
    </row>
    <row r="79" spans="1:24" x14ac:dyDescent="0.25">
      <c r="A79" t="s">
        <v>272</v>
      </c>
      <c r="B79" s="67">
        <f t="shared" ref="B79:R79" si="16">B78-B37</f>
        <v>53917465.918087006</v>
      </c>
      <c r="C79" s="67">
        <f t="shared" si="16"/>
        <v>4315317753630.6875</v>
      </c>
      <c r="D79" s="67">
        <f t="shared" si="16"/>
        <v>-3279785030453.7187</v>
      </c>
      <c r="E79" s="67">
        <f t="shared" si="16"/>
        <v>1600060827201.4141</v>
      </c>
      <c r="F79" s="67">
        <f t="shared" si="16"/>
        <v>36664926.637001038</v>
      </c>
      <c r="G79" s="67">
        <f t="shared" si="16"/>
        <v>34360907.528232664</v>
      </c>
      <c r="H79" s="67">
        <f t="shared" si="16"/>
        <v>4551754.9079486579</v>
      </c>
      <c r="I79" s="67">
        <f t="shared" si="16"/>
        <v>-196352.80935213715</v>
      </c>
      <c r="J79" s="67">
        <f t="shared" si="16"/>
        <v>25627245.700683594</v>
      </c>
      <c r="K79" s="67">
        <f t="shared" si="16"/>
        <v>2352175796.5532227</v>
      </c>
      <c r="L79" s="67">
        <f t="shared" si="16"/>
        <v>63489643.024075568</v>
      </c>
      <c r="M79" s="67">
        <f t="shared" si="16"/>
        <v>434253.19587024907</v>
      </c>
      <c r="N79" s="67">
        <f t="shared" si="16"/>
        <v>1844049.3847852163</v>
      </c>
      <c r="O79" s="67">
        <f t="shared" si="16"/>
        <v>791976.50555059081</v>
      </c>
      <c r="P79" s="67">
        <f t="shared" si="16"/>
        <v>1361165.0135703515</v>
      </c>
      <c r="Q79" s="67">
        <f t="shared" si="16"/>
        <v>4587624.6445248965</v>
      </c>
      <c r="R79" s="67">
        <f t="shared" si="16"/>
        <v>9445108.2750409245</v>
      </c>
      <c r="U79" s="67">
        <f>U78-U37</f>
        <v>-2638166713915.0625</v>
      </c>
      <c r="V79" s="67">
        <f>V78-V37</f>
        <v>0</v>
      </c>
      <c r="W79" s="152"/>
      <c r="X79" s="209"/>
    </row>
    <row r="80" spans="1:24" x14ac:dyDescent="0.25">
      <c r="D80" s="67"/>
      <c r="E80" s="67"/>
      <c r="F80" s="67"/>
      <c r="G80" s="67"/>
      <c r="H80" s="67"/>
      <c r="I80" s="67"/>
      <c r="J80" s="67"/>
      <c r="K80" s="67">
        <f>K79-'Table 1  Water Input table'!X70</f>
        <v>2339179542.1791611</v>
      </c>
      <c r="L80" s="67"/>
      <c r="M80" s="67"/>
      <c r="N80" s="67"/>
      <c r="O80" s="67"/>
      <c r="P80" s="67"/>
      <c r="Q80" s="67"/>
      <c r="R80" s="67"/>
      <c r="S80" s="67"/>
      <c r="T80" s="67"/>
      <c r="U80" s="67"/>
      <c r="V80" s="67"/>
      <c r="W80" s="67"/>
    </row>
    <row r="81" spans="1:27" x14ac:dyDescent="0.25">
      <c r="A81" t="s">
        <v>241</v>
      </c>
      <c r="B81" s="67">
        <f>B53</f>
        <v>262585433.60000002</v>
      </c>
      <c r="C81" s="67">
        <f t="shared" ref="C81:T81" si="17">C53</f>
        <v>169768210667250.03</v>
      </c>
      <c r="D81" s="67">
        <f t="shared" si="17"/>
        <v>52592102955130.031</v>
      </c>
      <c r="E81" s="67">
        <f t="shared" si="17"/>
        <v>31462907976650.008</v>
      </c>
      <c r="F81" s="67">
        <f t="shared" si="17"/>
        <v>13407533329.580574</v>
      </c>
      <c r="G81" s="67">
        <f t="shared" si="17"/>
        <v>128522798.38118689</v>
      </c>
      <c r="H81" s="67">
        <f t="shared" si="17"/>
        <v>10916480</v>
      </c>
      <c r="I81" s="67">
        <f t="shared" si="17"/>
        <v>6902369</v>
      </c>
      <c r="J81" s="67">
        <f t="shared" si="17"/>
        <v>109858928758.5</v>
      </c>
      <c r="K81" s="67">
        <f t="shared" si="17"/>
        <v>1530061127619.7539</v>
      </c>
      <c r="L81" s="67">
        <f t="shared" si="17"/>
        <v>224270033.32275578</v>
      </c>
      <c r="M81" s="67">
        <f t="shared" si="17"/>
        <v>367207.8</v>
      </c>
      <c r="N81" s="67">
        <f t="shared" si="17"/>
        <v>78315</v>
      </c>
      <c r="O81" s="67">
        <f t="shared" si="17"/>
        <v>269575</v>
      </c>
      <c r="P81" s="67">
        <f t="shared" si="17"/>
        <v>1065511</v>
      </c>
      <c r="Q81" s="67">
        <f t="shared" si="17"/>
        <v>3297245.2819918068</v>
      </c>
      <c r="R81" s="67">
        <f t="shared" si="17"/>
        <v>0</v>
      </c>
      <c r="S81" s="67">
        <f t="shared" si="17"/>
        <v>0</v>
      </c>
      <c r="T81" s="67">
        <f t="shared" si="17"/>
        <v>0</v>
      </c>
      <c r="U81" s="67">
        <f t="shared" ref="U81:V81" si="18">U84+U31</f>
        <v>0</v>
      </c>
      <c r="V81" s="67">
        <f t="shared" si="18"/>
        <v>255477199632155.47</v>
      </c>
      <c r="Y81" s="66">
        <v>323900217134.75299</v>
      </c>
    </row>
    <row r="82" spans="1:27" x14ac:dyDescent="0.25">
      <c r="A82" t="s">
        <v>52</v>
      </c>
      <c r="B82" s="67">
        <f>B25+B31</f>
        <v>131292716.80000001</v>
      </c>
      <c r="C82" s="67">
        <f t="shared" ref="C82:R82" si="19">C25+C31</f>
        <v>152791389600525.03</v>
      </c>
      <c r="D82" s="67">
        <f t="shared" si="19"/>
        <v>43651444350841.609</v>
      </c>
      <c r="E82" s="67">
        <f>E25+E31</f>
        <v>25170324592400.008</v>
      </c>
      <c r="F82" s="67">
        <f t="shared" si="19"/>
        <v>13083901391.473099</v>
      </c>
      <c r="G82" s="67">
        <f t="shared" si="19"/>
        <v>89965958.866830811</v>
      </c>
      <c r="H82" s="67">
        <f t="shared" si="19"/>
        <v>11114448.155445501</v>
      </c>
      <c r="I82" s="67">
        <f t="shared" si="19"/>
        <v>7569749.9417180978</v>
      </c>
      <c r="J82" s="67">
        <f t="shared" si="19"/>
        <v>109749275766.98502</v>
      </c>
      <c r="K82" s="67">
        <f t="shared" si="19"/>
        <v>1504455605351.4385</v>
      </c>
      <c r="L82" s="67">
        <f t="shared" si="19"/>
        <v>45206266.621548936</v>
      </c>
      <c r="M82" s="67">
        <f t="shared" si="19"/>
        <v>609353.34430924687</v>
      </c>
      <c r="N82" s="67">
        <f t="shared" si="19"/>
        <v>4172470.2752585369</v>
      </c>
      <c r="O82" s="67">
        <f t="shared" si="19"/>
        <v>385144.70413657051</v>
      </c>
      <c r="P82" s="67">
        <f t="shared" si="19"/>
        <v>834059.38755082327</v>
      </c>
      <c r="Q82" s="67">
        <f t="shared" si="19"/>
        <v>2332299.2576366584</v>
      </c>
      <c r="R82" s="67">
        <f t="shared" si="19"/>
        <v>53469344.396717809</v>
      </c>
      <c r="S82" s="67">
        <f t="shared" ref="S82:V82" si="20">S25+S31</f>
        <v>0</v>
      </c>
      <c r="T82" s="67">
        <f t="shared" si="20"/>
        <v>0</v>
      </c>
      <c r="U82" s="67">
        <f t="shared" si="20"/>
        <v>0</v>
      </c>
      <c r="V82" s="67">
        <f t="shared" si="20"/>
        <v>223240810170116.09</v>
      </c>
      <c r="Y82" s="66">
        <v>291755707221.10333</v>
      </c>
    </row>
    <row r="83" spans="1:27" x14ac:dyDescent="0.25">
      <c r="A83" t="s">
        <v>242</v>
      </c>
      <c r="B83" s="67">
        <f>B81+SUM(B55:B56)</f>
        <v>262585433.60000002</v>
      </c>
      <c r="C83" s="67">
        <f t="shared" ref="C83:Q83" si="21">C81+SUM(C55:C56)</f>
        <v>169768210667250.03</v>
      </c>
      <c r="D83" s="67">
        <f t="shared" si="21"/>
        <v>52592131912864.469</v>
      </c>
      <c r="E83" s="67">
        <f>E81+SUM(E55:E56)</f>
        <v>31462907976650.008</v>
      </c>
      <c r="F83" s="67">
        <f t="shared" si="21"/>
        <v>13407533329.580574</v>
      </c>
      <c r="G83" s="67">
        <f t="shared" si="21"/>
        <v>129886403.051011</v>
      </c>
      <c r="H83" s="67">
        <f t="shared" si="21"/>
        <v>23483524.940278444</v>
      </c>
      <c r="I83" s="67">
        <f t="shared" si="21"/>
        <v>13249960.541565944</v>
      </c>
      <c r="J83" s="67">
        <f t="shared" si="21"/>
        <v>109859157764.67659</v>
      </c>
      <c r="K83" s="67">
        <f t="shared" si="21"/>
        <v>1530061127619.7539</v>
      </c>
      <c r="L83" s="67">
        <f t="shared" si="21"/>
        <v>226222772.40544903</v>
      </c>
      <c r="M83" s="67">
        <f t="shared" si="21"/>
        <v>3332244.4607395884</v>
      </c>
      <c r="N83" s="67">
        <f t="shared" si="21"/>
        <v>23163871.28076965</v>
      </c>
      <c r="O83" s="67">
        <f t="shared" si="21"/>
        <v>2089894.5334091927</v>
      </c>
      <c r="P83" s="67">
        <f t="shared" si="21"/>
        <v>4495132.2972575184</v>
      </c>
      <c r="Q83" s="67">
        <f t="shared" si="21"/>
        <v>12573545.852755725</v>
      </c>
      <c r="R83" s="67">
        <f t="shared" ref="R83" si="22">R58+R66</f>
        <v>140578920.42990226</v>
      </c>
      <c r="S83" s="67">
        <f t="shared" ref="S83:V83" si="23">S58+S66</f>
        <v>0</v>
      </c>
      <c r="T83" s="67">
        <f t="shared" si="23"/>
        <v>0</v>
      </c>
      <c r="U83" s="67">
        <f t="shared" si="23"/>
        <v>0</v>
      </c>
      <c r="V83" s="67">
        <f t="shared" si="23"/>
        <v>255477215524183.28</v>
      </c>
      <c r="W83" s="67"/>
      <c r="Y83" s="66">
        <v>323913118195.59039</v>
      </c>
      <c r="AA83" s="67"/>
    </row>
    <row r="84" spans="1:27" x14ac:dyDescent="0.25">
      <c r="A84" t="s">
        <v>243</v>
      </c>
      <c r="B84" s="67">
        <f>B83-B82</f>
        <v>131292716.80000001</v>
      </c>
      <c r="C84" s="67">
        <f>C83-C82</f>
        <v>16976821066725</v>
      </c>
      <c r="D84" s="67">
        <f t="shared" ref="D84:R84" si="24">D83-D82</f>
        <v>8940687562022.8594</v>
      </c>
      <c r="E84" s="67">
        <f t="shared" si="24"/>
        <v>6292583384250</v>
      </c>
      <c r="F84" s="67">
        <f>F83-F82</f>
        <v>323631938.10747528</v>
      </c>
      <c r="G84" s="67">
        <f t="shared" si="24"/>
        <v>39920444.184180185</v>
      </c>
      <c r="H84" s="67">
        <f t="shared" si="24"/>
        <v>12369076.784832943</v>
      </c>
      <c r="I84" s="67">
        <f t="shared" si="24"/>
        <v>5680210.5998478457</v>
      </c>
      <c r="J84" s="67">
        <f t="shared" si="24"/>
        <v>109881997.6915741</v>
      </c>
      <c r="K84" s="153">
        <f t="shared" si="24"/>
        <v>25605522268.31543</v>
      </c>
      <c r="L84" s="67">
        <f t="shared" si="24"/>
        <v>181016505.78390008</v>
      </c>
      <c r="M84" s="67">
        <f t="shared" si="24"/>
        <v>2722891.1164303413</v>
      </c>
      <c r="N84" s="67">
        <f t="shared" si="24"/>
        <v>18991401.005511113</v>
      </c>
      <c r="O84" s="67">
        <f t="shared" si="24"/>
        <v>1704749.8292726222</v>
      </c>
      <c r="P84" s="67">
        <f t="shared" si="24"/>
        <v>3661072.909706695</v>
      </c>
      <c r="Q84" s="67">
        <f t="shared" si="24"/>
        <v>10241246.595119067</v>
      </c>
      <c r="R84" s="67">
        <f t="shared" si="24"/>
        <v>87109576.033184439</v>
      </c>
      <c r="S84" s="67">
        <f t="shared" ref="S84:V84" si="25">S83-S82</f>
        <v>0</v>
      </c>
      <c r="T84" s="67">
        <f t="shared" si="25"/>
        <v>0</v>
      </c>
      <c r="U84" s="67">
        <f t="shared" si="25"/>
        <v>0</v>
      </c>
      <c r="V84" s="67">
        <f t="shared" si="25"/>
        <v>32236405354067.187</v>
      </c>
      <c r="W84" s="98"/>
      <c r="Y84" s="66">
        <v>32157410974.487061</v>
      </c>
    </row>
    <row r="85" spans="1:27" x14ac:dyDescent="0.25">
      <c r="A85" t="s">
        <v>278</v>
      </c>
      <c r="B85" s="67">
        <f>B33-B84</f>
        <v>-53917465.918087006</v>
      </c>
      <c r="C85" s="67">
        <f t="shared" ref="C85:J85" si="26">C33-C84</f>
        <v>-4315317753630.6582</v>
      </c>
      <c r="D85" s="67">
        <f t="shared" si="26"/>
        <v>3279785030453.7148</v>
      </c>
      <c r="E85" s="67">
        <f t="shared" si="26"/>
        <v>-1600060827201.4141</v>
      </c>
      <c r="F85" s="67">
        <f t="shared" si="26"/>
        <v>-36664926.637000322</v>
      </c>
      <c r="G85" s="67">
        <f t="shared" si="26"/>
        <v>-34360907.528232671</v>
      </c>
      <c r="H85" s="153">
        <f t="shared" si="26"/>
        <v>-4551754.9079486625</v>
      </c>
      <c r="I85" s="67">
        <f t="shared" si="26"/>
        <v>196352.80935213715</v>
      </c>
      <c r="J85" s="67">
        <f t="shared" si="26"/>
        <v>-25627245.700694472</v>
      </c>
      <c r="K85" s="67">
        <f>SUM('Table 1  Water Input table'!AI56:AI59)</f>
        <v>5198700955.5862494</v>
      </c>
      <c r="L85" s="67">
        <f t="shared" ref="L85:T85" si="27">L33-L84</f>
        <v>-63489643.024075568</v>
      </c>
      <c r="M85" s="67">
        <f t="shared" si="27"/>
        <v>-434253.19587024907</v>
      </c>
      <c r="N85" s="67">
        <f t="shared" si="27"/>
        <v>-1844049.3847852163</v>
      </c>
      <c r="O85" s="67">
        <f t="shared" si="27"/>
        <v>-791976.50555059069</v>
      </c>
      <c r="P85" s="67">
        <f t="shared" si="27"/>
        <v>-1361165.013570352</v>
      </c>
      <c r="Q85" s="67">
        <f t="shared" si="27"/>
        <v>-4587624.6445248965</v>
      </c>
      <c r="R85" s="67">
        <f t="shared" si="27"/>
        <v>-9445108.2750409245</v>
      </c>
      <c r="S85" s="67">
        <f t="shared" si="27"/>
        <v>0</v>
      </c>
      <c r="T85" s="67">
        <f t="shared" si="27"/>
        <v>0</v>
      </c>
      <c r="Y85" s="66"/>
    </row>
    <row r="86" spans="1:27" x14ac:dyDescent="0.25">
      <c r="B86" s="67"/>
      <c r="C86" s="67"/>
      <c r="D86" s="67"/>
      <c r="E86" s="67"/>
      <c r="F86" s="67"/>
      <c r="G86" s="67"/>
      <c r="H86" s="67"/>
      <c r="I86" s="67"/>
      <c r="J86" s="67"/>
      <c r="K86" s="67"/>
      <c r="L86" s="67"/>
      <c r="M86" s="67"/>
      <c r="N86" s="67"/>
      <c r="O86" s="67"/>
      <c r="P86" s="67"/>
      <c r="Q86" s="67"/>
      <c r="R86" s="67"/>
      <c r="S86" s="67"/>
      <c r="T86" s="67"/>
      <c r="U86" s="67"/>
      <c r="V86" s="67"/>
      <c r="Y86" s="66"/>
    </row>
    <row r="87" spans="1:27" x14ac:dyDescent="0.25">
      <c r="A87" t="s">
        <v>273</v>
      </c>
      <c r="B87" s="67">
        <f t="shared" ref="B87:V87" si="28">B81+B66</f>
        <v>262585433.60000002</v>
      </c>
      <c r="C87" s="67">
        <f t="shared" si="28"/>
        <v>169768210667250.03</v>
      </c>
      <c r="D87" s="67">
        <f t="shared" si="28"/>
        <v>52592102955130.031</v>
      </c>
      <c r="E87" s="67">
        <f t="shared" si="28"/>
        <v>31462907976650.008</v>
      </c>
      <c r="F87" s="67">
        <f t="shared" si="28"/>
        <v>13407533329.580574</v>
      </c>
      <c r="G87" s="67">
        <f t="shared" si="28"/>
        <v>128522798.38118689</v>
      </c>
      <c r="H87" s="67">
        <f t="shared" si="28"/>
        <v>10916480</v>
      </c>
      <c r="I87" s="67">
        <f t="shared" si="28"/>
        <v>6902369</v>
      </c>
      <c r="J87" s="67">
        <f t="shared" si="28"/>
        <v>109858928758.5</v>
      </c>
      <c r="K87" s="67">
        <f t="shared" si="28"/>
        <v>1530077019647.5718</v>
      </c>
      <c r="L87" s="67">
        <f t="shared" si="28"/>
        <v>224270033.32275578</v>
      </c>
      <c r="M87" s="67">
        <f t="shared" si="28"/>
        <v>367207.8</v>
      </c>
      <c r="N87" s="67">
        <f t="shared" si="28"/>
        <v>78315</v>
      </c>
      <c r="O87" s="67">
        <f t="shared" si="28"/>
        <v>269575</v>
      </c>
      <c r="P87" s="67">
        <f t="shared" si="28"/>
        <v>1065511</v>
      </c>
      <c r="Q87" s="67">
        <f t="shared" si="28"/>
        <v>3297245.2819918068</v>
      </c>
      <c r="R87" s="67">
        <f t="shared" si="28"/>
        <v>0</v>
      </c>
      <c r="S87" s="67">
        <f t="shared" si="28"/>
        <v>0</v>
      </c>
      <c r="T87" s="67">
        <f t="shared" si="28"/>
        <v>0</v>
      </c>
      <c r="U87" s="67">
        <f t="shared" si="28"/>
        <v>0</v>
      </c>
      <c r="V87" s="67">
        <f t="shared" si="28"/>
        <v>255477215524183.28</v>
      </c>
      <c r="Y87" s="66">
        <v>323913118195.59039</v>
      </c>
    </row>
    <row r="88" spans="1:27" x14ac:dyDescent="0.25">
      <c r="A88" t="s">
        <v>274</v>
      </c>
      <c r="B88" s="67">
        <f t="shared" ref="B88:V88" si="29">B25+B31+B84</f>
        <v>262585433.60000002</v>
      </c>
      <c r="C88" s="67">
        <f t="shared" si="29"/>
        <v>169768210667250.03</v>
      </c>
      <c r="D88" s="67">
        <f t="shared" si="29"/>
        <v>52592131912864.469</v>
      </c>
      <c r="E88" s="67">
        <f t="shared" si="29"/>
        <v>31462907976650.008</v>
      </c>
      <c r="F88" s="67">
        <f t="shared" si="29"/>
        <v>13407533329.580574</v>
      </c>
      <c r="G88" s="67">
        <f t="shared" si="29"/>
        <v>129886403.051011</v>
      </c>
      <c r="H88" s="67">
        <f t="shared" si="29"/>
        <v>23483524.940278444</v>
      </c>
      <c r="I88" s="67">
        <f t="shared" si="29"/>
        <v>13249960.541565944</v>
      </c>
      <c r="J88" s="67">
        <f t="shared" si="29"/>
        <v>109859157764.67659</v>
      </c>
      <c r="K88" s="67">
        <f t="shared" si="29"/>
        <v>1530061127619.7539</v>
      </c>
      <c r="L88" s="67">
        <f t="shared" si="29"/>
        <v>226222772.40544903</v>
      </c>
      <c r="M88" s="67">
        <f t="shared" si="29"/>
        <v>3332244.4607395884</v>
      </c>
      <c r="N88" s="67">
        <f t="shared" si="29"/>
        <v>23163871.28076965</v>
      </c>
      <c r="O88" s="67">
        <f t="shared" si="29"/>
        <v>2089894.5334091927</v>
      </c>
      <c r="P88" s="67">
        <f t="shared" si="29"/>
        <v>4495132.2972575184</v>
      </c>
      <c r="Q88" s="67">
        <f t="shared" si="29"/>
        <v>12573545.852755725</v>
      </c>
      <c r="R88" s="67">
        <f t="shared" si="29"/>
        <v>140578920.42990226</v>
      </c>
      <c r="S88" s="67">
        <f t="shared" si="29"/>
        <v>0</v>
      </c>
      <c r="T88" s="67">
        <f t="shared" si="29"/>
        <v>0</v>
      </c>
      <c r="U88" s="67">
        <f t="shared" si="29"/>
        <v>0</v>
      </c>
      <c r="V88" s="67">
        <f t="shared" si="29"/>
        <v>255477215524183.28</v>
      </c>
      <c r="Y88" s="66">
        <v>323913118195.59039</v>
      </c>
    </row>
    <row r="89" spans="1:27" x14ac:dyDescent="0.25">
      <c r="D89" s="67"/>
      <c r="E89" s="67"/>
      <c r="F89" s="67"/>
      <c r="G89" s="67"/>
      <c r="H89" s="67"/>
      <c r="I89" s="67"/>
      <c r="J89" s="67"/>
      <c r="K89" s="67"/>
      <c r="L89" s="67"/>
      <c r="M89" s="67"/>
      <c r="N89" s="67"/>
      <c r="O89" s="67"/>
      <c r="P89" s="67"/>
      <c r="Y89" s="66"/>
    </row>
    <row r="90" spans="1:27" x14ac:dyDescent="0.25">
      <c r="M90" s="67">
        <f>K87-K88</f>
        <v>15892027.817871094</v>
      </c>
    </row>
    <row r="91" spans="1:27" x14ac:dyDescent="0.25">
      <c r="L91" s="67"/>
    </row>
    <row r="92" spans="1:27" x14ac:dyDescent="0.25">
      <c r="A92" t="s">
        <v>328</v>
      </c>
      <c r="C92" s="67"/>
      <c r="D92" s="67">
        <f>SUM(D49,D55:D56)</f>
        <v>30285344.457538012</v>
      </c>
      <c r="E92" s="67">
        <f t="shared" ref="E92:F92" si="30">SUM(E49,E55:E56)</f>
        <v>2236150</v>
      </c>
      <c r="F92" s="67">
        <f t="shared" si="30"/>
        <v>170456906.27700001</v>
      </c>
      <c r="N92" s="67"/>
      <c r="R92" s="67">
        <f t="shared" ref="R92" si="31">SUM(R49,R55:R56)</f>
        <v>74355883.821077451</v>
      </c>
      <c r="X92"/>
    </row>
    <row r="93" spans="1:27" x14ac:dyDescent="0.25">
      <c r="T93" s="98"/>
    </row>
    <row r="94" spans="1:27" x14ac:dyDescent="0.25">
      <c r="T94" s="98"/>
    </row>
    <row r="95" spans="1:27" x14ac:dyDescent="0.25">
      <c r="T95" s="98"/>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09"/>
  <sheetViews>
    <sheetView topLeftCell="A73" workbookViewId="0">
      <selection activeCell="F15" sqref="F15"/>
    </sheetView>
  </sheetViews>
  <sheetFormatPr defaultColWidth="17.42578125" defaultRowHeight="15" x14ac:dyDescent="0.25"/>
  <cols>
    <col min="1" max="1" width="27.7109375" customWidth="1"/>
    <col min="7" max="7" width="28.140625" customWidth="1"/>
    <col min="12" max="12" width="32.140625" customWidth="1"/>
  </cols>
  <sheetData>
    <row r="2" spans="1:11" x14ac:dyDescent="0.25">
      <c r="A2" s="9" t="s">
        <v>246</v>
      </c>
      <c r="G2" s="9" t="s">
        <v>315</v>
      </c>
    </row>
    <row r="3" spans="1:11" s="65" customFormat="1" x14ac:dyDescent="0.25">
      <c r="A3" s="139"/>
      <c r="B3" s="217">
        <v>2015</v>
      </c>
      <c r="C3" s="217">
        <v>2016</v>
      </c>
      <c r="D3" s="217">
        <v>2017</v>
      </c>
      <c r="E3" s="217">
        <v>2018</v>
      </c>
      <c r="G3" s="139"/>
      <c r="H3" s="217">
        <v>2015</v>
      </c>
      <c r="I3" s="217">
        <v>2016</v>
      </c>
      <c r="J3" s="217">
        <v>2017</v>
      </c>
      <c r="K3" s="217">
        <v>2018</v>
      </c>
    </row>
    <row r="4" spans="1:11" x14ac:dyDescent="0.25">
      <c r="A4" s="216" t="s">
        <v>238</v>
      </c>
      <c r="B4" s="124">
        <v>141076765.93655717</v>
      </c>
      <c r="C4" s="124">
        <v>120147377.69957143</v>
      </c>
      <c r="D4" s="124">
        <v>134555524.29335716</v>
      </c>
      <c r="E4" s="213">
        <v>134555524.29335716</v>
      </c>
      <c r="G4" s="216" t="s">
        <v>5</v>
      </c>
      <c r="H4" s="124">
        <v>74362.048600000009</v>
      </c>
      <c r="I4" s="124">
        <v>190531.50704</v>
      </c>
      <c r="J4" s="124">
        <v>133045.32819999999</v>
      </c>
      <c r="K4" s="213">
        <v>155288.3388</v>
      </c>
    </row>
    <row r="5" spans="1:11" x14ac:dyDescent="0.25">
      <c r="A5" s="216" t="s">
        <v>74</v>
      </c>
      <c r="B5" s="124">
        <v>68408768.246954903</v>
      </c>
      <c r="C5" s="124">
        <v>58277479.787473015</v>
      </c>
      <c r="D5" s="124">
        <v>65224922.271491855</v>
      </c>
      <c r="E5" s="213">
        <v>65224998.802235201</v>
      </c>
      <c r="G5" s="216" t="s">
        <v>240</v>
      </c>
      <c r="H5" s="124">
        <v>64589.5</v>
      </c>
      <c r="I5" s="124">
        <v>146500.377725</v>
      </c>
      <c r="J5" s="124">
        <v>149664.64086000001</v>
      </c>
      <c r="K5" s="213">
        <v>133791.97964000001</v>
      </c>
    </row>
    <row r="6" spans="1:11" x14ac:dyDescent="0.25">
      <c r="A6" s="216" t="s">
        <v>239</v>
      </c>
      <c r="B6" s="124">
        <v>26168343.669571429</v>
      </c>
      <c r="C6" s="124">
        <v>22289467.555714283</v>
      </c>
      <c r="D6" s="124">
        <v>24962022.043571431</v>
      </c>
      <c r="E6" s="213">
        <v>24962028.44357143</v>
      </c>
      <c r="G6" s="216" t="s">
        <v>78</v>
      </c>
      <c r="H6" s="124">
        <v>131084.67145557315</v>
      </c>
      <c r="I6" s="124">
        <v>4119.1856330542314</v>
      </c>
      <c r="J6" s="124">
        <v>5201.2177232908107</v>
      </c>
      <c r="K6" s="213">
        <v>16614.061254286415</v>
      </c>
    </row>
    <row r="7" spans="1:11" ht="30" x14ac:dyDescent="0.25">
      <c r="A7" s="216" t="s">
        <v>8</v>
      </c>
      <c r="B7" s="124">
        <v>51920825.644024059</v>
      </c>
      <c r="C7" s="124">
        <v>87453416.858494967</v>
      </c>
      <c r="D7" s="124">
        <v>97363920.241324589</v>
      </c>
      <c r="E7" s="213">
        <v>100382332.94713056</v>
      </c>
      <c r="G7" s="216" t="s">
        <v>6</v>
      </c>
      <c r="H7" s="124">
        <v>184161.23147357692</v>
      </c>
      <c r="I7" s="124">
        <v>19794.383351121858</v>
      </c>
      <c r="J7" s="124">
        <v>28800.95234131383</v>
      </c>
      <c r="K7" s="213">
        <v>165271.22305884436</v>
      </c>
    </row>
    <row r="8" spans="1:11" ht="45" x14ac:dyDescent="0.25">
      <c r="A8" s="216" t="s">
        <v>36</v>
      </c>
      <c r="B8" s="124">
        <v>1285079.7140334274</v>
      </c>
      <c r="C8" s="124">
        <v>1097893.9901179597</v>
      </c>
      <c r="D8" s="124">
        <v>1229214.44547802</v>
      </c>
      <c r="E8" s="213">
        <v>1228091.1017096608</v>
      </c>
      <c r="G8" s="216" t="s">
        <v>7</v>
      </c>
      <c r="H8" s="124">
        <v>10833.37372974038</v>
      </c>
      <c r="I8" s="132">
        <v>15476.606978824433</v>
      </c>
      <c r="J8" s="132">
        <v>20164.090925391094</v>
      </c>
      <c r="K8" s="213">
        <v>20555.838293841909</v>
      </c>
    </row>
    <row r="9" spans="1:11" x14ac:dyDescent="0.25">
      <c r="G9" s="216" t="s">
        <v>9</v>
      </c>
      <c r="H9" s="124">
        <v>42106.971337795796</v>
      </c>
      <c r="I9" s="124">
        <v>15481.141032027137</v>
      </c>
      <c r="J9" s="124">
        <v>16086.950380354447</v>
      </c>
      <c r="K9" s="213">
        <v>148803.7966207393</v>
      </c>
    </row>
    <row r="10" spans="1:11" x14ac:dyDescent="0.25">
      <c r="G10" s="216" t="s">
        <v>10</v>
      </c>
      <c r="H10" s="124">
        <v>3373.6286569563649</v>
      </c>
      <c r="I10" s="124">
        <v>2815.815868299761</v>
      </c>
      <c r="J10" s="124">
        <v>4842.5625243818768</v>
      </c>
      <c r="K10" s="213">
        <v>4666.0687156493532</v>
      </c>
    </row>
    <row r="11" spans="1:11" x14ac:dyDescent="0.25">
      <c r="G11" s="216" t="s">
        <v>79</v>
      </c>
      <c r="H11" s="124">
        <v>17920.303034259581</v>
      </c>
      <c r="I11" s="124">
        <v>21022.298892873958</v>
      </c>
      <c r="J11" s="124">
        <v>37350.306246983288</v>
      </c>
      <c r="K11" s="213">
        <v>36012.194659538683</v>
      </c>
    </row>
    <row r="12" spans="1:11" x14ac:dyDescent="0.25">
      <c r="G12" s="216" t="s">
        <v>81</v>
      </c>
      <c r="H12" s="124">
        <v>2352.5505931418888</v>
      </c>
      <c r="I12" s="124">
        <v>1740.1593932508204</v>
      </c>
      <c r="J12" s="124">
        <v>2918.2351121449137</v>
      </c>
      <c r="K12" s="213">
        <v>2840.5588371292247</v>
      </c>
    </row>
    <row r="13" spans="1:11" x14ac:dyDescent="0.25">
      <c r="G13" s="216" t="s">
        <v>80</v>
      </c>
      <c r="H13" s="124">
        <v>3349.1346403724624</v>
      </c>
      <c r="I13" s="124">
        <v>3106.7818601646336</v>
      </c>
      <c r="J13" s="124">
        <v>5610.0051445871177</v>
      </c>
      <c r="K13" s="213">
        <v>6238.3611460700258</v>
      </c>
    </row>
    <row r="14" spans="1:11" x14ac:dyDescent="0.25">
      <c r="G14" s="216" t="s">
        <v>0</v>
      </c>
      <c r="H14" s="124">
        <v>14773.279608141769</v>
      </c>
      <c r="I14" s="124">
        <v>10444.06004167536</v>
      </c>
      <c r="J14" s="124">
        <v>16640.670603177758</v>
      </c>
      <c r="K14" s="213">
        <v>16481.826759296331</v>
      </c>
    </row>
    <row r="15" spans="1:11" x14ac:dyDescent="0.25">
      <c r="G15" s="216" t="s">
        <v>2</v>
      </c>
      <c r="H15" s="124">
        <v>278412.28431037709</v>
      </c>
      <c r="I15" s="66">
        <v>89500.693721538817</v>
      </c>
      <c r="J15" s="66">
        <v>157189.94030567029</v>
      </c>
      <c r="K15" s="213">
        <v>150081.35628023441</v>
      </c>
    </row>
    <row r="16" spans="1:11" x14ac:dyDescent="0.25">
      <c r="G16" s="216" t="s">
        <v>4</v>
      </c>
      <c r="H16" s="135">
        <v>289687102.18858093</v>
      </c>
      <c r="I16" s="135">
        <v>289786168.90290952</v>
      </c>
      <c r="J16" s="135">
        <v>323913118.19559032</v>
      </c>
      <c r="K16" s="139">
        <v>327209621.19206959</v>
      </c>
    </row>
    <row r="17" spans="1:13" x14ac:dyDescent="0.25">
      <c r="I17" s="218">
        <f>I16/H16-1</f>
        <v>3.4197834000937455E-4</v>
      </c>
      <c r="J17" s="218">
        <f>J16/I16-1</f>
        <v>0.11776597006641398</v>
      </c>
      <c r="K17" s="218">
        <f>K16/J16-1</f>
        <v>1.0177120997269196E-2</v>
      </c>
    </row>
    <row r="18" spans="1:13" x14ac:dyDescent="0.25">
      <c r="K18" s="211">
        <f>K16/H16-1</f>
        <v>0.12952775156369301</v>
      </c>
    </row>
    <row r="21" spans="1:13" s="9" customFormat="1" x14ac:dyDescent="0.25"/>
    <row r="25" spans="1:13" x14ac:dyDescent="0.25">
      <c r="A25" s="9" t="s">
        <v>317</v>
      </c>
      <c r="G25" s="9" t="s">
        <v>314</v>
      </c>
    </row>
    <row r="26" spans="1:13" x14ac:dyDescent="0.25">
      <c r="A26" s="139"/>
      <c r="B26" s="138">
        <v>2015</v>
      </c>
      <c r="C26" s="138">
        <v>2016</v>
      </c>
      <c r="D26" s="138">
        <v>2017</v>
      </c>
      <c r="E26" s="138">
        <v>2018</v>
      </c>
      <c r="G26" s="139"/>
      <c r="H26" s="138">
        <v>2015</v>
      </c>
      <c r="I26" s="138">
        <v>2016</v>
      </c>
      <c r="J26" s="138">
        <v>2017</v>
      </c>
      <c r="K26" s="138">
        <v>2018</v>
      </c>
      <c r="M26" s="9"/>
    </row>
    <row r="27" spans="1:13" x14ac:dyDescent="0.25">
      <c r="A27" s="137" t="s">
        <v>238</v>
      </c>
      <c r="B27" s="172">
        <f>(B4/$H$16)*100</f>
        <v>48.699705603295662</v>
      </c>
      <c r="C27" s="172">
        <f>(C4/$I$16)*100</f>
        <v>41.460701231681568</v>
      </c>
      <c r="D27" s="172">
        <f>(D4/$J$16)*100</f>
        <v>41.540622078821684</v>
      </c>
      <c r="E27" s="172">
        <f>(E4/$K$16)*100</f>
        <v>41.12211731524058</v>
      </c>
      <c r="G27" s="137" t="s">
        <v>5</v>
      </c>
      <c r="H27" s="224">
        <f t="shared" ref="H27:H38" si="0">((H4/$H$16))*100</f>
        <v>2.5669782340392806E-2</v>
      </c>
      <c r="I27" s="223">
        <f t="shared" ref="I27:I38" si="1">(I4/$I$16)*100</f>
        <v>6.5748999602474476E-2</v>
      </c>
      <c r="J27" s="223">
        <f t="shared" ref="J27:J38" si="2">(J4/$J$16)*100</f>
        <v>4.1074387150835452E-2</v>
      </c>
      <c r="K27" s="224">
        <f t="shared" ref="K27:K38" si="3">(K4/$K$16)*100</f>
        <v>4.7458365751674191E-2</v>
      </c>
    </row>
    <row r="28" spans="1:13" x14ac:dyDescent="0.25">
      <c r="A28" s="137" t="s">
        <v>74</v>
      </c>
      <c r="B28" s="172">
        <f>(B5/$H$16)*100</f>
        <v>23.61470970924417</v>
      </c>
      <c r="C28" s="172">
        <f>(C5/$I$16)*100</f>
        <v>20.110511142786255</v>
      </c>
      <c r="D28" s="172">
        <f>(D5/$J$16)*100</f>
        <v>20.136548539570637</v>
      </c>
      <c r="E28" s="172">
        <f>(E5/$K$16)*100</f>
        <v>19.933704444451106</v>
      </c>
      <c r="G28" s="137" t="s">
        <v>240</v>
      </c>
      <c r="H28" s="224">
        <f t="shared" si="0"/>
        <v>2.2296298147907682E-2</v>
      </c>
      <c r="I28" s="223">
        <f t="shared" si="1"/>
        <v>5.0554648028796625E-2</v>
      </c>
      <c r="J28" s="223">
        <f t="shared" si="2"/>
        <v>4.6205180479793703E-2</v>
      </c>
      <c r="K28" s="224">
        <f t="shared" si="3"/>
        <v>4.0888767008921509E-2</v>
      </c>
    </row>
    <row r="29" spans="1:13" x14ac:dyDescent="0.25">
      <c r="A29" s="137" t="s">
        <v>239</v>
      </c>
      <c r="B29" s="172">
        <f>(B6/$H$16)*100</f>
        <v>9.0333133480469296</v>
      </c>
      <c r="C29" s="172">
        <f>(C6/$I$16)*100</f>
        <v>7.6916947555154671</v>
      </c>
      <c r="D29" s="172">
        <f>(D6/$J$16)*100</f>
        <v>7.7063942895015671</v>
      </c>
      <c r="E29" s="172">
        <f>(E6/$K$16)*100</f>
        <v>7.6287574774333748</v>
      </c>
      <c r="G29" s="137" t="s">
        <v>78</v>
      </c>
      <c r="H29" s="224">
        <f t="shared" si="0"/>
        <v>4.5250434163354454E-2</v>
      </c>
      <c r="I29" s="223">
        <f t="shared" si="1"/>
        <v>1.421456948290148E-3</v>
      </c>
      <c r="J29" s="223">
        <f t="shared" si="2"/>
        <v>1.605744698536763E-3</v>
      </c>
      <c r="K29" s="224">
        <f t="shared" si="3"/>
        <v>5.0774977807067859E-3</v>
      </c>
    </row>
    <row r="30" spans="1:13" ht="30" x14ac:dyDescent="0.25">
      <c r="A30" s="137" t="s">
        <v>8</v>
      </c>
      <c r="B30" s="172">
        <f>(B7/$H$16)*100</f>
        <v>17.923071221246349</v>
      </c>
      <c r="C30" s="172">
        <f>(C7/$I$16)*100</f>
        <v>30.17860279170036</v>
      </c>
      <c r="D30" s="172">
        <f>(D7/$J$16)*100</f>
        <v>30.058653006616659</v>
      </c>
      <c r="E30" s="172">
        <f>(E7/$K$16)*100</f>
        <v>30.678295027335668</v>
      </c>
      <c r="G30" s="137" t="s">
        <v>6</v>
      </c>
      <c r="H30" s="224">
        <f t="shared" si="0"/>
        <v>6.3572464939668366E-2</v>
      </c>
      <c r="I30" s="223">
        <f t="shared" si="1"/>
        <v>6.8306860282741112E-3</v>
      </c>
      <c r="J30" s="223">
        <f t="shared" si="2"/>
        <v>8.891567128171322E-3</v>
      </c>
      <c r="K30" s="224">
        <f t="shared" si="3"/>
        <v>5.050927978729311E-2</v>
      </c>
    </row>
    <row r="31" spans="1:13" ht="45" x14ac:dyDescent="0.25">
      <c r="A31" s="215" t="s">
        <v>36</v>
      </c>
      <c r="B31" s="172">
        <f>(B8/$H$16)*100</f>
        <v>0.44360957195700912</v>
      </c>
      <c r="C31" s="172">
        <f>(C8/$I$16)*100</f>
        <v>0.37886348899067024</v>
      </c>
      <c r="D31" s="172">
        <f>(D8/$J$16)*100</f>
        <v>0.37948893589909388</v>
      </c>
      <c r="E31" s="172">
        <f>(E8/$K$16)*100</f>
        <v>0.37532243007878446</v>
      </c>
      <c r="G31" s="137" t="s">
        <v>7</v>
      </c>
      <c r="H31" s="224">
        <f t="shared" si="0"/>
        <v>3.7396810724034425E-3</v>
      </c>
      <c r="I31" s="223">
        <f t="shared" si="1"/>
        <v>5.3406989841567436E-3</v>
      </c>
      <c r="J31" s="223">
        <f t="shared" si="2"/>
        <v>6.2251541517424104E-3</v>
      </c>
      <c r="K31" s="224">
        <f t="shared" si="3"/>
        <v>6.2821619422296221E-3</v>
      </c>
    </row>
    <row r="32" spans="1:13" x14ac:dyDescent="0.25">
      <c r="G32" s="137" t="s">
        <v>9</v>
      </c>
      <c r="H32" s="224">
        <f t="shared" si="0"/>
        <v>1.4535328297213915E-2</v>
      </c>
      <c r="I32" s="223">
        <f t="shared" si="1"/>
        <v>5.3422636044489647E-3</v>
      </c>
      <c r="J32" s="223">
        <f t="shared" si="2"/>
        <v>4.9664399114087657E-3</v>
      </c>
      <c r="K32" s="224">
        <f t="shared" si="3"/>
        <v>4.5476595730475966E-2</v>
      </c>
    </row>
    <row r="33" spans="1:11" x14ac:dyDescent="0.25">
      <c r="G33" s="137" t="s">
        <v>10</v>
      </c>
      <c r="H33" s="224">
        <f t="shared" si="0"/>
        <v>1.1645767559096212E-3</v>
      </c>
      <c r="I33" s="223">
        <f t="shared" si="1"/>
        <v>9.7168746146858963E-4</v>
      </c>
      <c r="J33" s="223">
        <f t="shared" si="2"/>
        <v>1.495018957971861E-3</v>
      </c>
      <c r="K33" s="224">
        <f t="shared" si="3"/>
        <v>1.4260181893949891E-3</v>
      </c>
    </row>
    <row r="34" spans="1:11" x14ac:dyDescent="0.25">
      <c r="G34" s="137" t="s">
        <v>79</v>
      </c>
      <c r="H34" s="224">
        <f t="shared" si="0"/>
        <v>6.1860893698311072E-3</v>
      </c>
      <c r="I34" s="223">
        <f t="shared" si="1"/>
        <v>7.2544176185017671E-3</v>
      </c>
      <c r="J34" s="223">
        <f t="shared" si="2"/>
        <v>1.1530964369411504E-2</v>
      </c>
      <c r="K34" s="224">
        <f t="shared" si="3"/>
        <v>1.1005848339159867E-2</v>
      </c>
    </row>
    <row r="35" spans="1:11" x14ac:dyDescent="0.25">
      <c r="G35" s="137" t="s">
        <v>81</v>
      </c>
      <c r="H35" s="224">
        <f t="shared" si="0"/>
        <v>8.1210056483992923E-4</v>
      </c>
      <c r="I35" s="223">
        <f t="shared" si="1"/>
        <v>6.004977393637605E-4</v>
      </c>
      <c r="J35" s="223">
        <f t="shared" si="2"/>
        <v>9.0093143754146421E-4</v>
      </c>
      <c r="K35" s="224">
        <f t="shared" si="3"/>
        <v>8.6811592727031644E-4</v>
      </c>
    </row>
    <row r="36" spans="1:11" x14ac:dyDescent="0.25">
      <c r="F36" s="138"/>
      <c r="G36" s="137" t="s">
        <v>80</v>
      </c>
      <c r="H36" s="224">
        <f t="shared" si="0"/>
        <v>1.1561214203427801E-3</v>
      </c>
      <c r="I36" s="223">
        <f t="shared" si="1"/>
        <v>1.0720945971736612E-3</v>
      </c>
      <c r="J36" s="223">
        <f t="shared" si="2"/>
        <v>1.7319474974766523E-3</v>
      </c>
      <c r="K36" s="224">
        <f t="shared" si="3"/>
        <v>1.9065335314233179E-3</v>
      </c>
    </row>
    <row r="37" spans="1:11" x14ac:dyDescent="0.25">
      <c r="G37" s="137" t="s">
        <v>0</v>
      </c>
      <c r="H37" s="224">
        <f t="shared" si="0"/>
        <v>5.0997367492476896E-3</v>
      </c>
      <c r="I37" s="223">
        <f t="shared" si="1"/>
        <v>3.6040574611325075E-3</v>
      </c>
      <c r="J37" s="223">
        <f t="shared" si="2"/>
        <v>5.1373870548612746E-3</v>
      </c>
      <c r="K37" s="224">
        <f t="shared" si="3"/>
        <v>5.0370850035676741E-3</v>
      </c>
    </row>
    <row r="38" spans="1:11" x14ac:dyDescent="0.25">
      <c r="G38" s="137" t="s">
        <v>2</v>
      </c>
      <c r="H38" s="224">
        <f t="shared" si="0"/>
        <v>9.6107932388766096E-2</v>
      </c>
      <c r="I38" s="223">
        <f t="shared" si="1"/>
        <v>3.088508125159186E-2</v>
      </c>
      <c r="J38" s="223">
        <f t="shared" si="2"/>
        <v>4.8528426752618703E-2</v>
      </c>
      <c r="K38" s="224">
        <f t="shared" si="3"/>
        <v>4.5867036468386052E-2</v>
      </c>
    </row>
    <row r="39" spans="1:11" x14ac:dyDescent="0.25">
      <c r="G39" s="214"/>
      <c r="H39" s="222">
        <f>SUM(H27:H38,B27:B31)</f>
        <v>100</v>
      </c>
      <c r="I39" s="222">
        <f>SUM(I27:I38,C27:C31)</f>
        <v>100</v>
      </c>
      <c r="J39" s="222">
        <f>SUM(J27:J38,D27:D31)</f>
        <v>99.999999999999986</v>
      </c>
      <c r="K39" s="222">
        <f>SUM(K27:K38,E27:E31)</f>
        <v>100</v>
      </c>
    </row>
    <row r="43" spans="1:11" x14ac:dyDescent="0.25">
      <c r="A43" s="9" t="s">
        <v>247</v>
      </c>
    </row>
    <row r="44" spans="1:11" x14ac:dyDescent="0.25">
      <c r="A44" s="138"/>
      <c r="B44" s="138">
        <v>2015</v>
      </c>
      <c r="C44" s="138">
        <v>2016</v>
      </c>
      <c r="D44" s="138">
        <v>2017</v>
      </c>
      <c r="E44" s="138">
        <v>2018</v>
      </c>
    </row>
    <row r="45" spans="1:11" x14ac:dyDescent="0.25">
      <c r="A45" s="137" t="s">
        <v>5</v>
      </c>
      <c r="B45" s="131">
        <v>0.66808187261560936</v>
      </c>
      <c r="C45" s="131">
        <v>0.63151493465095976</v>
      </c>
      <c r="D45" s="131">
        <v>0.60748229132845988</v>
      </c>
      <c r="E45" s="131">
        <v>0.62156786191728131</v>
      </c>
    </row>
    <row r="46" spans="1:11" x14ac:dyDescent="0.25">
      <c r="A46" s="137" t="s">
        <v>238</v>
      </c>
      <c r="B46" s="131">
        <v>12.693555579696575</v>
      </c>
      <c r="C46" s="131">
        <v>11.998783758368235</v>
      </c>
      <c r="D46" s="131">
        <v>11.542163535240736</v>
      </c>
      <c r="E46" s="131">
        <v>11.809789376428343</v>
      </c>
    </row>
    <row r="47" spans="1:11" x14ac:dyDescent="0.25">
      <c r="A47" s="137" t="s">
        <v>74</v>
      </c>
      <c r="B47" s="131">
        <v>3.9502041059920971</v>
      </c>
      <c r="C47" s="131">
        <v>3.9922100645845044</v>
      </c>
      <c r="D47" s="131">
        <v>3.1352758924670066</v>
      </c>
      <c r="E47" s="131">
        <v>4.1287461490963544</v>
      </c>
    </row>
    <row r="48" spans="1:11" x14ac:dyDescent="0.25">
      <c r="A48" s="137" t="s">
        <v>239</v>
      </c>
      <c r="B48" s="131">
        <v>3.7695616634663809</v>
      </c>
      <c r="C48" s="131">
        <v>3.4049252476088596</v>
      </c>
      <c r="D48" s="131">
        <v>2.5576366579530894</v>
      </c>
      <c r="E48" s="131">
        <v>3.3807853951541107</v>
      </c>
    </row>
    <row r="49" spans="1:5" x14ac:dyDescent="0.25">
      <c r="A49" s="137" t="s">
        <v>240</v>
      </c>
      <c r="B49" s="131">
        <v>1.4851259043096987</v>
      </c>
      <c r="C49" s="131">
        <v>1.4545694637328965</v>
      </c>
      <c r="D49" s="131">
        <v>1.1668478363600452</v>
      </c>
      <c r="E49" s="131">
        <v>1.4331082319586712</v>
      </c>
    </row>
    <row r="50" spans="1:5" x14ac:dyDescent="0.25">
      <c r="A50" s="137" t="s">
        <v>78</v>
      </c>
      <c r="B50" s="131">
        <v>0.62910130979832024</v>
      </c>
      <c r="C50" s="131">
        <v>0.64705708216073565</v>
      </c>
      <c r="D50" s="131">
        <v>0.42938763267014085</v>
      </c>
      <c r="E50" s="131">
        <v>0.36163766846172801</v>
      </c>
    </row>
    <row r="51" spans="1:5" ht="30" x14ac:dyDescent="0.25">
      <c r="A51" s="137" t="s">
        <v>6</v>
      </c>
      <c r="B51" s="131">
        <v>12.531028325031427</v>
      </c>
      <c r="C51" s="131">
        <v>12.3014242223485</v>
      </c>
      <c r="D51" s="131">
        <v>9.6896144460302569</v>
      </c>
      <c r="E51" s="124">
        <v>10.857362544096242</v>
      </c>
    </row>
    <row r="52" spans="1:5" x14ac:dyDescent="0.25">
      <c r="A52" s="137" t="s">
        <v>7</v>
      </c>
      <c r="B52" s="131">
        <v>9.1313092143001402</v>
      </c>
      <c r="C52" s="131">
        <v>11.245735683749009</v>
      </c>
      <c r="D52" s="131">
        <v>7.699273441495186</v>
      </c>
      <c r="E52" s="124">
        <v>9.8614057395233399</v>
      </c>
    </row>
    <row r="53" spans="1:5" x14ac:dyDescent="0.25">
      <c r="A53" s="137" t="s">
        <v>8</v>
      </c>
      <c r="B53" s="131">
        <v>0.83015652400170847</v>
      </c>
      <c r="C53" s="131">
        <v>0.88269517254506846</v>
      </c>
      <c r="D53" s="131">
        <v>0.76211527737169515</v>
      </c>
      <c r="E53" s="131">
        <v>1.0261024849525073</v>
      </c>
    </row>
    <row r="54" spans="1:5" ht="45" x14ac:dyDescent="0.25">
      <c r="A54" s="137" t="s">
        <v>36</v>
      </c>
      <c r="B54" s="131">
        <v>2.3950693219240158</v>
      </c>
      <c r="C54" s="131">
        <v>2.5833984512321333</v>
      </c>
      <c r="D54" s="131">
        <v>2.1083440230106079</v>
      </c>
      <c r="E54" s="131">
        <v>2.7569430110510154</v>
      </c>
    </row>
    <row r="55" spans="1:5" x14ac:dyDescent="0.25">
      <c r="A55" s="137" t="s">
        <v>9</v>
      </c>
      <c r="B55" s="131">
        <v>6.9576972044868342</v>
      </c>
      <c r="C55" s="131">
        <v>6.9031638005505309</v>
      </c>
      <c r="D55" s="131">
        <v>5.2144333565395309</v>
      </c>
      <c r="E55" s="131">
        <v>7.5442886001734282</v>
      </c>
    </row>
    <row r="56" spans="1:5" x14ac:dyDescent="0.25">
      <c r="A56" s="137" t="s">
        <v>10</v>
      </c>
      <c r="B56" s="131">
        <v>2.3834564737093755</v>
      </c>
      <c r="C56" s="131">
        <v>2.4617448228396874</v>
      </c>
      <c r="D56" s="131">
        <v>2.089877375428276</v>
      </c>
      <c r="E56" s="131">
        <v>2.7532128824302351</v>
      </c>
    </row>
    <row r="57" spans="1:5" x14ac:dyDescent="0.25">
      <c r="A57" s="137" t="s">
        <v>79</v>
      </c>
      <c r="B57" s="131">
        <v>2.8511443767442008</v>
      </c>
      <c r="C57" s="131">
        <v>2.9290583904991023</v>
      </c>
      <c r="D57" s="131">
        <v>2.2641143235552641</v>
      </c>
      <c r="E57" s="131">
        <v>2.8679808759952041</v>
      </c>
    </row>
    <row r="58" spans="1:5" x14ac:dyDescent="0.25">
      <c r="A58" s="137" t="s">
        <v>81</v>
      </c>
      <c r="B58" s="131">
        <v>5.7069377383639139</v>
      </c>
      <c r="C58" s="131">
        <v>6.4341318129568519</v>
      </c>
      <c r="D58" s="131">
        <v>5.4624710302403185</v>
      </c>
      <c r="E58" s="131">
        <v>7.1048206331359802</v>
      </c>
    </row>
    <row r="59" spans="1:5" x14ac:dyDescent="0.25">
      <c r="A59" s="137" t="s">
        <v>80</v>
      </c>
      <c r="B59" s="131">
        <v>2.9846773755613074</v>
      </c>
      <c r="C59" s="131">
        <v>2.9398051185114276</v>
      </c>
      <c r="D59" s="131">
        <v>2.3157202868545741</v>
      </c>
      <c r="E59" s="131">
        <v>2.966372067555926</v>
      </c>
    </row>
    <row r="60" spans="1:5" x14ac:dyDescent="0.25">
      <c r="A60" s="137" t="s">
        <v>2</v>
      </c>
      <c r="B60" s="133"/>
      <c r="C60" s="133"/>
      <c r="D60" s="133"/>
      <c r="E60" s="133"/>
    </row>
    <row r="61" spans="1:5" x14ac:dyDescent="0.25">
      <c r="A61" s="134" t="s">
        <v>4</v>
      </c>
      <c r="B61" s="11">
        <v>100</v>
      </c>
      <c r="C61" s="11">
        <v>100</v>
      </c>
      <c r="D61" s="11">
        <v>100</v>
      </c>
      <c r="E61" s="11">
        <v>100.00000000000001</v>
      </c>
    </row>
    <row r="65" spans="1:16" x14ac:dyDescent="0.25">
      <c r="A65" s="9" t="s">
        <v>245</v>
      </c>
      <c r="G65" s="9" t="s">
        <v>316</v>
      </c>
      <c r="L65" s="9" t="s">
        <v>320</v>
      </c>
    </row>
    <row r="66" spans="1:16" x14ac:dyDescent="0.25">
      <c r="A66" s="140"/>
      <c r="B66" s="138">
        <v>2015</v>
      </c>
      <c r="C66" s="138">
        <v>2016</v>
      </c>
      <c r="D66" s="138">
        <v>2017</v>
      </c>
      <c r="E66" s="138">
        <v>2018</v>
      </c>
      <c r="G66" s="140"/>
      <c r="H66" s="138">
        <v>2016</v>
      </c>
      <c r="I66" s="138">
        <v>2017</v>
      </c>
      <c r="J66" s="138">
        <v>2018</v>
      </c>
      <c r="L66" s="140"/>
      <c r="M66" s="138">
        <v>2015</v>
      </c>
      <c r="N66" s="138">
        <v>2016</v>
      </c>
      <c r="O66" s="138">
        <v>2017</v>
      </c>
      <c r="P66" s="138">
        <v>2018</v>
      </c>
    </row>
    <row r="67" spans="1:16" x14ac:dyDescent="0.25">
      <c r="A67" s="137" t="s">
        <v>5</v>
      </c>
      <c r="B67" s="124">
        <v>37181.024300000005</v>
      </c>
      <c r="C67" s="124">
        <v>95265.753519999998</v>
      </c>
      <c r="D67" s="124">
        <v>66522.664099999995</v>
      </c>
      <c r="E67" s="124">
        <v>77644.169399999999</v>
      </c>
      <c r="G67" s="137" t="s">
        <v>5</v>
      </c>
      <c r="H67" s="220">
        <f t="shared" ref="H67:H84" si="4">C67/B67-1</f>
        <v>1.5622143368438612</v>
      </c>
      <c r="I67" s="219">
        <f t="shared" ref="I67:I84" si="5">D67/C67-1</f>
        <v>-0.30171481731854155</v>
      </c>
      <c r="J67" s="219">
        <f t="shared" ref="J67:J84" si="6">E67/D67-1</f>
        <v>0.16718370273447913</v>
      </c>
      <c r="L67" s="137" t="s">
        <v>5</v>
      </c>
      <c r="M67" s="172">
        <f>(B67/$B$84)*100</f>
        <v>0.11019319315192964</v>
      </c>
      <c r="N67" s="172">
        <f>(C67/$C$84)*100</f>
        <v>0.33448470458120683</v>
      </c>
      <c r="O67" s="172">
        <f>(D67/$D$84)*100</f>
        <v>0.20678277545755791</v>
      </c>
      <c r="P67" s="172">
        <f>(E67/$E$84)*100</f>
        <v>0.23988914559651742</v>
      </c>
    </row>
    <row r="68" spans="1:16" x14ac:dyDescent="0.25">
      <c r="A68" s="137" t="s">
        <v>238</v>
      </c>
      <c r="B68" s="124">
        <v>14107676.59365572</v>
      </c>
      <c r="C68" s="124">
        <v>12014737.769957153</v>
      </c>
      <c r="D68" s="124">
        <v>13455552.429335708</v>
      </c>
      <c r="E68" s="124">
        <v>13455552.429335708</v>
      </c>
      <c r="G68" s="137" t="s">
        <v>238</v>
      </c>
      <c r="H68" s="220">
        <f t="shared" si="4"/>
        <v>-0.14835460749360885</v>
      </c>
      <c r="I68" s="219">
        <f t="shared" si="5"/>
        <v>0.11992060808695393</v>
      </c>
      <c r="J68" s="219">
        <f t="shared" si="6"/>
        <v>0</v>
      </c>
      <c r="L68" s="137" t="s">
        <v>238</v>
      </c>
      <c r="M68" s="172">
        <f t="shared" ref="M68:M84" si="7">(B68/$B$84)*100</f>
        <v>41.810841983975713</v>
      </c>
      <c r="N68" s="172">
        <f t="shared" ref="N68:N84" si="8">(C68/$C$84)*100</f>
        <v>42.184582235641422</v>
      </c>
      <c r="O68" s="172">
        <f t="shared" ref="O68:O84" si="9">(D68/$D$84)*100</f>
        <v>41.825992904765883</v>
      </c>
      <c r="P68" s="172">
        <f t="shared" ref="P68:P84" si="10">(E68/$E$84)*100</f>
        <v>41.572226230840293</v>
      </c>
    </row>
    <row r="69" spans="1:16" x14ac:dyDescent="0.25">
      <c r="A69" s="137" t="s">
        <v>74</v>
      </c>
      <c r="B69" s="124">
        <v>13700213.840063468</v>
      </c>
      <c r="C69" s="124">
        <v>11685191.496158745</v>
      </c>
      <c r="D69" s="124">
        <v>13045258.436120423</v>
      </c>
      <c r="E69" s="124">
        <v>13045334.96686377</v>
      </c>
      <c r="G69" s="137" t="s">
        <v>74</v>
      </c>
      <c r="H69" s="220">
        <f t="shared" si="4"/>
        <v>-0.14707962718159939</v>
      </c>
      <c r="I69" s="219">
        <f t="shared" si="5"/>
        <v>0.11639235355353561</v>
      </c>
      <c r="J69" s="219">
        <f t="shared" si="6"/>
        <v>5.8665563218429639E-6</v>
      </c>
      <c r="L69" s="137" t="s">
        <v>74</v>
      </c>
      <c r="M69" s="172">
        <f t="shared" si="7"/>
        <v>40.603246906805978</v>
      </c>
      <c r="N69" s="172">
        <f t="shared" si="8"/>
        <v>41.027522285297806</v>
      </c>
      <c r="O69" s="172">
        <f t="shared" si="9"/>
        <v>40.550612073007805</v>
      </c>
      <c r="P69" s="172">
        <f t="shared" si="10"/>
        <v>40.304819839071172</v>
      </c>
    </row>
    <row r="70" spans="1:16" x14ac:dyDescent="0.25">
      <c r="A70" s="137" t="s">
        <v>239</v>
      </c>
      <c r="B70" s="124">
        <v>5233668.7339142859</v>
      </c>
      <c r="C70" s="124">
        <v>4460548.1031428566</v>
      </c>
      <c r="D70" s="124">
        <v>4995047.7287142863</v>
      </c>
      <c r="E70" s="124">
        <v>4995054.1287142867</v>
      </c>
      <c r="G70" s="137" t="s">
        <v>239</v>
      </c>
      <c r="H70" s="220">
        <f t="shared" si="4"/>
        <v>-0.14772058952863998</v>
      </c>
      <c r="I70" s="219">
        <f t="shared" si="5"/>
        <v>0.11982823931319708</v>
      </c>
      <c r="J70" s="219">
        <f t="shared" si="6"/>
        <v>1.2812690384222947E-6</v>
      </c>
      <c r="L70" s="137" t="s">
        <v>239</v>
      </c>
      <c r="M70" s="172">
        <f t="shared" si="7"/>
        <v>15.510994668574311</v>
      </c>
      <c r="N70" s="172">
        <f t="shared" si="8"/>
        <v>15.661295475259898</v>
      </c>
      <c r="O70" s="172">
        <f t="shared" si="9"/>
        <v>15.526886165199613</v>
      </c>
      <c r="P70" s="172">
        <f t="shared" si="10"/>
        <v>15.432701211246739</v>
      </c>
    </row>
    <row r="71" spans="1:16" x14ac:dyDescent="0.25">
      <c r="A71" s="137" t="s">
        <v>240</v>
      </c>
      <c r="B71" s="124">
        <v>0</v>
      </c>
      <c r="C71" s="124">
        <v>0</v>
      </c>
      <c r="D71" s="124">
        <v>0</v>
      </c>
      <c r="E71" s="124">
        <v>0</v>
      </c>
      <c r="G71" s="137" t="s">
        <v>240</v>
      </c>
      <c r="H71" s="219" t="e">
        <f t="shared" si="4"/>
        <v>#DIV/0!</v>
      </c>
      <c r="I71" s="219" t="e">
        <f t="shared" si="5"/>
        <v>#DIV/0!</v>
      </c>
      <c r="J71" s="219" t="e">
        <f t="shared" si="6"/>
        <v>#DIV/0!</v>
      </c>
      <c r="L71" s="137" t="s">
        <v>240</v>
      </c>
      <c r="M71" s="172">
        <f t="shared" si="7"/>
        <v>0</v>
      </c>
      <c r="N71" s="172">
        <f t="shared" si="8"/>
        <v>0</v>
      </c>
      <c r="O71" s="172">
        <f t="shared" si="9"/>
        <v>0</v>
      </c>
      <c r="P71" s="172">
        <f t="shared" si="10"/>
        <v>0</v>
      </c>
    </row>
    <row r="72" spans="1:16" x14ac:dyDescent="0.25">
      <c r="A72" s="137" t="s">
        <v>78</v>
      </c>
      <c r="B72" s="124">
        <v>35430.561528814549</v>
      </c>
      <c r="C72" s="124">
        <v>1238.1265744346106</v>
      </c>
      <c r="D72" s="124">
        <v>2159.7255066676485</v>
      </c>
      <c r="E72" s="124">
        <v>5610.4509144032727</v>
      </c>
      <c r="G72" s="137" t="s">
        <v>78</v>
      </c>
      <c r="H72" s="220">
        <f t="shared" si="4"/>
        <v>-0.96505484189327106</v>
      </c>
      <c r="I72" s="219">
        <f t="shared" si="5"/>
        <v>0.74434952876597871</v>
      </c>
      <c r="J72" s="219">
        <f t="shared" si="6"/>
        <v>1.5977611030116163</v>
      </c>
      <c r="L72" s="137" t="s">
        <v>78</v>
      </c>
      <c r="M72" s="172">
        <f t="shared" si="7"/>
        <v>0.10500535645614228</v>
      </c>
      <c r="N72" s="172">
        <f t="shared" si="8"/>
        <v>4.3471487515916131E-3</v>
      </c>
      <c r="O72" s="172">
        <f t="shared" si="9"/>
        <v>6.7134117452643761E-3</v>
      </c>
      <c r="P72" s="172">
        <f t="shared" si="10"/>
        <v>1.7334028899630434E-2</v>
      </c>
    </row>
    <row r="73" spans="1:16" ht="30" x14ac:dyDescent="0.25">
      <c r="A73" s="137" t="s">
        <v>6</v>
      </c>
      <c r="B73" s="124">
        <v>92559.661232773462</v>
      </c>
      <c r="C73" s="132">
        <v>10467.869993781815</v>
      </c>
      <c r="D73" s="132">
        <v>15023.195602341779</v>
      </c>
      <c r="E73" s="124">
        <v>83204.10844391631</v>
      </c>
      <c r="G73" s="137" t="s">
        <v>6</v>
      </c>
      <c r="H73" s="220">
        <f t="shared" si="4"/>
        <v>-0.88690678148165736</v>
      </c>
      <c r="I73" s="219">
        <f t="shared" si="5"/>
        <v>0.43517216121961244</v>
      </c>
      <c r="J73" s="219">
        <f t="shared" si="6"/>
        <v>4.5383761648518144</v>
      </c>
      <c r="L73" s="137" t="s">
        <v>6</v>
      </c>
      <c r="M73" s="172">
        <f t="shared" si="7"/>
        <v>0.27431854878457929</v>
      </c>
      <c r="N73" s="172">
        <f t="shared" si="8"/>
        <v>3.6753421592676756E-2</v>
      </c>
      <c r="O73" s="172">
        <f t="shared" si="9"/>
        <v>4.6698942757676054E-2</v>
      </c>
      <c r="P73" s="172">
        <f t="shared" si="10"/>
        <v>0.25706711320336517</v>
      </c>
    </row>
    <row r="74" spans="1:16" x14ac:dyDescent="0.25">
      <c r="A74" s="137" t="s">
        <v>7</v>
      </c>
      <c r="B74" s="124">
        <v>4623.7075023391953</v>
      </c>
      <c r="C74" s="124">
        <v>6536.5410881850612</v>
      </c>
      <c r="D74" s="124">
        <v>8443.0777129175476</v>
      </c>
      <c r="E74" s="124">
        <v>8566.9114265264088</v>
      </c>
      <c r="G74" s="137" t="s">
        <v>7</v>
      </c>
      <c r="H74" s="219">
        <f t="shared" si="4"/>
        <v>0.41370125270210933</v>
      </c>
      <c r="I74" s="219">
        <f t="shared" si="5"/>
        <v>0.29167362355888682</v>
      </c>
      <c r="J74" s="219">
        <f t="shared" si="6"/>
        <v>1.4666892550260435E-2</v>
      </c>
      <c r="L74" s="137" t="s">
        <v>7</v>
      </c>
      <c r="M74" s="172">
        <f t="shared" si="7"/>
        <v>1.370325598811674E-2</v>
      </c>
      <c r="N74" s="172">
        <f t="shared" si="8"/>
        <v>2.2950251628519321E-2</v>
      </c>
      <c r="O74" s="172">
        <f t="shared" si="9"/>
        <v>2.624493571478808E-2</v>
      </c>
      <c r="P74" s="172">
        <f t="shared" si="10"/>
        <v>2.646829862939409E-2</v>
      </c>
    </row>
    <row r="75" spans="1:16" x14ac:dyDescent="0.25">
      <c r="A75" s="137" t="s">
        <v>8</v>
      </c>
      <c r="B75" s="124">
        <v>51938.26724204421</v>
      </c>
      <c r="C75" s="124">
        <v>87474.194721786494</v>
      </c>
      <c r="D75" s="124">
        <v>97386.592872833251</v>
      </c>
      <c r="E75" s="124">
        <v>100403.03138754272</v>
      </c>
      <c r="G75" s="137" t="s">
        <v>8</v>
      </c>
      <c r="H75" s="219">
        <f t="shared" si="4"/>
        <v>0.68419547602804553</v>
      </c>
      <c r="I75" s="219">
        <f t="shared" si="5"/>
        <v>0.11331796974608732</v>
      </c>
      <c r="J75" s="219">
        <f t="shared" si="6"/>
        <v>3.0973858163908741E-2</v>
      </c>
      <c r="L75" s="137" t="s">
        <v>8</v>
      </c>
      <c r="M75" s="172">
        <f t="shared" si="7"/>
        <v>0.15392915127889892</v>
      </c>
      <c r="N75" s="172">
        <f t="shared" si="8"/>
        <v>0.3071279982460135</v>
      </c>
      <c r="O75" s="172">
        <f t="shared" si="9"/>
        <v>0.30272194054536805</v>
      </c>
      <c r="P75" s="172">
        <f t="shared" si="10"/>
        <v>0.31020484346707361</v>
      </c>
    </row>
    <row r="76" spans="1:16" ht="45" x14ac:dyDescent="0.25">
      <c r="A76" s="137" t="s">
        <v>36</v>
      </c>
      <c r="B76" s="124">
        <v>249272.17610037653</v>
      </c>
      <c r="C76" s="124">
        <v>19226.490499652624</v>
      </c>
      <c r="D76" s="124">
        <v>320273.46994684613</v>
      </c>
      <c r="E76" s="124">
        <v>329973.19182057533</v>
      </c>
      <c r="G76" s="137" t="s">
        <v>36</v>
      </c>
      <c r="H76" s="220">
        <f t="shared" si="4"/>
        <v>-0.92286948828211568</v>
      </c>
      <c r="I76" s="219">
        <f t="shared" si="5"/>
        <v>15.65792672628594</v>
      </c>
      <c r="J76" s="219">
        <f t="shared" si="6"/>
        <v>3.0285748848754235E-2</v>
      </c>
      <c r="L76" s="137" t="s">
        <v>36</v>
      </c>
      <c r="M76" s="172">
        <f t="shared" si="7"/>
        <v>0.73876655002295366</v>
      </c>
      <c r="N76" s="172">
        <f t="shared" si="8"/>
        <v>6.7505549027747691E-2</v>
      </c>
      <c r="O76" s="172">
        <f t="shared" si="9"/>
        <v>0.99555599459270028</v>
      </c>
      <c r="P76" s="172">
        <f t="shared" si="10"/>
        <v>1.0194839827289537</v>
      </c>
    </row>
    <row r="77" spans="1:16" x14ac:dyDescent="0.25">
      <c r="A77" s="137" t="s">
        <v>9</v>
      </c>
      <c r="B77" s="124">
        <v>28150.758394937402</v>
      </c>
      <c r="C77" s="124">
        <v>12419.743931463327</v>
      </c>
      <c r="D77" s="124">
        <v>12907.567717115127</v>
      </c>
      <c r="E77" s="124">
        <v>119077.73526139429</v>
      </c>
      <c r="G77" s="137" t="s">
        <v>9</v>
      </c>
      <c r="H77" s="220">
        <f t="shared" si="4"/>
        <v>-0.55881316740308928</v>
      </c>
      <c r="I77" s="219">
        <f t="shared" si="5"/>
        <v>3.9278087241072734E-2</v>
      </c>
      <c r="J77" s="219">
        <f t="shared" si="6"/>
        <v>8.2254201466245309</v>
      </c>
      <c r="L77" s="137" t="s">
        <v>9</v>
      </c>
      <c r="M77" s="172">
        <f t="shared" si="7"/>
        <v>8.3430244744135282E-2</v>
      </c>
      <c r="N77" s="172">
        <f t="shared" si="8"/>
        <v>4.3606587114409533E-2</v>
      </c>
      <c r="O77" s="172">
        <f t="shared" si="9"/>
        <v>4.0122606529094815E-2</v>
      </c>
      <c r="P77" s="172">
        <f t="shared" si="10"/>
        <v>0.36790214116739811</v>
      </c>
    </row>
    <row r="78" spans="1:16" x14ac:dyDescent="0.25">
      <c r="A78" s="137" t="s">
        <v>10</v>
      </c>
      <c r="B78" s="124">
        <v>2742.5036603040485</v>
      </c>
      <c r="C78" s="124">
        <v>2304.5934689139958</v>
      </c>
      <c r="D78" s="124">
        <v>3930.727360144846</v>
      </c>
      <c r="E78" s="124">
        <v>3784.5972044713935</v>
      </c>
      <c r="G78" s="137" t="s">
        <v>10</v>
      </c>
      <c r="H78" s="220">
        <f t="shared" si="4"/>
        <v>-0.15967533525242539</v>
      </c>
      <c r="I78" s="219">
        <f t="shared" si="5"/>
        <v>0.70560552790125741</v>
      </c>
      <c r="J78" s="219">
        <f t="shared" si="6"/>
        <v>-3.7176365157024716E-2</v>
      </c>
      <c r="L78" s="137" t="s">
        <v>10</v>
      </c>
      <c r="M78" s="172">
        <f t="shared" si="7"/>
        <v>8.1279427140407735E-3</v>
      </c>
      <c r="N78" s="172">
        <f t="shared" si="8"/>
        <v>8.0915883950641795E-3</v>
      </c>
      <c r="O78" s="172">
        <f t="shared" si="9"/>
        <v>1.221849311199957E-2</v>
      </c>
      <c r="P78" s="172">
        <f t="shared" si="10"/>
        <v>1.169287786608238E-2</v>
      </c>
    </row>
    <row r="79" spans="1:16" x14ac:dyDescent="0.25">
      <c r="A79" s="137" t="s">
        <v>79</v>
      </c>
      <c r="B79" s="124">
        <v>14687.751302092856</v>
      </c>
      <c r="C79" s="124">
        <v>17236.585340130176</v>
      </c>
      <c r="D79" s="124">
        <v>30337.177394427294</v>
      </c>
      <c r="E79" s="124">
        <v>29226.901306392625</v>
      </c>
      <c r="G79" s="137" t="s">
        <v>79</v>
      </c>
      <c r="H79" s="220">
        <f t="shared" si="4"/>
        <v>0.1735346674663627</v>
      </c>
      <c r="I79" s="219">
        <f t="shared" si="5"/>
        <v>0.7600456700548659</v>
      </c>
      <c r="J79" s="219">
        <f t="shared" si="6"/>
        <v>-3.6597870447849123E-2</v>
      </c>
      <c r="L79" s="137" t="s">
        <v>79</v>
      </c>
      <c r="M79" s="172">
        <f t="shared" si="7"/>
        <v>4.3530006143456992E-2</v>
      </c>
      <c r="N79" s="172">
        <f t="shared" si="8"/>
        <v>6.051885323377855E-2</v>
      </c>
      <c r="O79" s="172">
        <f t="shared" si="9"/>
        <v>9.4301781596386205E-2</v>
      </c>
      <c r="P79" s="172">
        <f t="shared" si="10"/>
        <v>9.0299328809926915E-2</v>
      </c>
    </row>
    <row r="80" spans="1:16" x14ac:dyDescent="0.25">
      <c r="A80" s="137" t="s">
        <v>81</v>
      </c>
      <c r="B80" s="124">
        <v>1907.1141520546482</v>
      </c>
      <c r="C80" s="124">
        <v>1421.9973375104139</v>
      </c>
      <c r="D80" s="124">
        <v>2367.1817918998158</v>
      </c>
      <c r="E80" s="124">
        <v>2302.2027159554082</v>
      </c>
      <c r="G80" s="137" t="s">
        <v>81</v>
      </c>
      <c r="H80" s="220">
        <f t="shared" si="4"/>
        <v>-0.25437219582351112</v>
      </c>
      <c r="I80" s="219">
        <f t="shared" si="5"/>
        <v>0.66468792131791177</v>
      </c>
      <c r="J80" s="219">
        <f t="shared" si="6"/>
        <v>-2.7449972860875138E-2</v>
      </c>
      <c r="L80" s="137" t="s">
        <v>81</v>
      </c>
      <c r="M80" s="172">
        <f t="shared" si="7"/>
        <v>5.652103514537557E-3</v>
      </c>
      <c r="N80" s="172">
        <f t="shared" si="8"/>
        <v>4.9927318241657411E-3</v>
      </c>
      <c r="O80" s="172">
        <f t="shared" si="9"/>
        <v>7.3582804832622341E-3</v>
      </c>
      <c r="P80" s="172">
        <f t="shared" si="10"/>
        <v>7.1128772036361653E-3</v>
      </c>
    </row>
    <row r="81" spans="1:16" x14ac:dyDescent="0.25">
      <c r="A81" s="137" t="s">
        <v>80</v>
      </c>
      <c r="B81" s="124">
        <v>2728.919497733712</v>
      </c>
      <c r="C81" s="124">
        <v>2544.5271194249717</v>
      </c>
      <c r="D81" s="124">
        <v>4552.4953238959461</v>
      </c>
      <c r="E81" s="124">
        <v>5049.5646336285408</v>
      </c>
      <c r="G81" s="137" t="s">
        <v>80</v>
      </c>
      <c r="H81" s="220">
        <f t="shared" si="4"/>
        <v>-6.7569739034761822E-2</v>
      </c>
      <c r="I81" s="219">
        <f t="shared" si="5"/>
        <v>0.78913216885845094</v>
      </c>
      <c r="J81" s="219">
        <f t="shared" si="6"/>
        <v>0.10918612197655397</v>
      </c>
      <c r="L81" s="137" t="s">
        <v>80</v>
      </c>
      <c r="M81" s="172">
        <f t="shared" si="7"/>
        <v>8.0876834076310713E-3</v>
      </c>
      <c r="N81" s="172">
        <f t="shared" si="8"/>
        <v>8.9340121753306717E-3</v>
      </c>
      <c r="O81" s="172">
        <f t="shared" si="9"/>
        <v>1.4151231479810169E-2</v>
      </c>
      <c r="P81" s="172">
        <f t="shared" si="10"/>
        <v>1.5601116670526742E-2</v>
      </c>
    </row>
    <row r="82" spans="1:16" x14ac:dyDescent="0.25">
      <c r="A82" s="137" t="s">
        <v>0</v>
      </c>
      <c r="B82" s="124">
        <v>9732.2973162956077</v>
      </c>
      <c r="C82" s="66">
        <v>8521.1893802704653</v>
      </c>
      <c r="D82" s="66">
        <v>13493.610299356433</v>
      </c>
      <c r="E82" s="66">
        <v>13350.76844768157</v>
      </c>
      <c r="G82" s="137" t="s">
        <v>0</v>
      </c>
      <c r="H82" s="220">
        <f t="shared" si="4"/>
        <v>-0.12444214317181634</v>
      </c>
      <c r="I82" s="219">
        <f t="shared" si="5"/>
        <v>0.58353601794121146</v>
      </c>
      <c r="J82" s="219">
        <f t="shared" si="6"/>
        <v>-1.0585888320909564E-2</v>
      </c>
      <c r="L82" s="137" t="s">
        <v>0</v>
      </c>
      <c r="M82" s="172">
        <f t="shared" si="7"/>
        <v>2.8843554963238819E-2</v>
      </c>
      <c r="N82" s="172">
        <f t="shared" si="8"/>
        <v>2.9918490194295412E-2</v>
      </c>
      <c r="O82" s="172">
        <f t="shared" si="9"/>
        <v>4.1944294119808295E-2</v>
      </c>
      <c r="P82" s="172">
        <f t="shared" si="10"/>
        <v>4.1248486019238362E-2</v>
      </c>
    </row>
    <row r="83" spans="1:16" x14ac:dyDescent="0.25">
      <c r="A83" s="137" t="s">
        <v>2</v>
      </c>
      <c r="B83" s="124">
        <v>169156.72920827352</v>
      </c>
      <c r="C83" s="67">
        <v>56213.257374409281</v>
      </c>
      <c r="D83" s="67">
        <v>97055.955525247467</v>
      </c>
      <c r="E83" s="67">
        <v>92552.049636645766</v>
      </c>
      <c r="G83" s="137" t="s">
        <v>2</v>
      </c>
      <c r="H83" s="220">
        <f t="shared" si="4"/>
        <v>-0.66768536115878108</v>
      </c>
      <c r="I83" s="219">
        <f t="shared" si="5"/>
        <v>0.72656700676149688</v>
      </c>
      <c r="J83" s="219">
        <f t="shared" si="6"/>
        <v>-4.6405250087204419E-2</v>
      </c>
      <c r="L83" s="137" t="s">
        <v>2</v>
      </c>
      <c r="M83" s="172">
        <f t="shared" si="7"/>
        <v>0.50132884947432543</v>
      </c>
      <c r="N83" s="172">
        <f t="shared" si="8"/>
        <v>0.19736866703604314</v>
      </c>
      <c r="O83" s="172">
        <f t="shared" si="9"/>
        <v>0.30169416889297396</v>
      </c>
      <c r="P83" s="172">
        <f t="shared" si="10"/>
        <v>0.28594847858004679</v>
      </c>
    </row>
    <row r="84" spans="1:16" x14ac:dyDescent="0.25">
      <c r="A84" s="134" t="s">
        <v>4</v>
      </c>
      <c r="B84" s="135">
        <v>33741670.639071517</v>
      </c>
      <c r="C84" s="135">
        <v>28481348.239608727</v>
      </c>
      <c r="D84" s="135">
        <v>32170312.035324115</v>
      </c>
      <c r="E84" s="135">
        <v>32366687.2075129</v>
      </c>
      <c r="G84" s="134" t="s">
        <v>4</v>
      </c>
      <c r="H84" s="220">
        <f t="shared" si="4"/>
        <v>-0.15589987987647369</v>
      </c>
      <c r="I84" s="219">
        <f t="shared" si="5"/>
        <v>0.12952209160467976</v>
      </c>
      <c r="J84" s="219">
        <f t="shared" si="6"/>
        <v>6.1042358548826225E-3</v>
      </c>
      <c r="L84" s="134" t="s">
        <v>4</v>
      </c>
      <c r="M84" s="172">
        <f t="shared" si="7"/>
        <v>100</v>
      </c>
      <c r="N84" s="172">
        <f t="shared" si="8"/>
        <v>100</v>
      </c>
      <c r="O84" s="172">
        <f t="shared" si="9"/>
        <v>100</v>
      </c>
      <c r="P84" s="172">
        <f t="shared" si="10"/>
        <v>100</v>
      </c>
    </row>
    <row r="89" spans="1:16" x14ac:dyDescent="0.25">
      <c r="A89" s="9" t="s">
        <v>250</v>
      </c>
    </row>
    <row r="90" spans="1:16" x14ac:dyDescent="0.25">
      <c r="A90" s="140" t="s">
        <v>248</v>
      </c>
      <c r="B90" s="138">
        <v>2015</v>
      </c>
      <c r="C90" s="138">
        <v>2016</v>
      </c>
      <c r="D90" s="138">
        <v>2017</v>
      </c>
      <c r="E90" s="138">
        <v>2018</v>
      </c>
    </row>
    <row r="91" spans="1:16" x14ac:dyDescent="0.25">
      <c r="A91" s="137" t="s">
        <v>5</v>
      </c>
      <c r="B91" s="124">
        <v>15357.209446191362</v>
      </c>
      <c r="C91" s="124">
        <v>6202.0132797624074</v>
      </c>
      <c r="D91" s="124">
        <v>11873.468022811774</v>
      </c>
      <c r="E91" s="124">
        <v>8771.3716882504541</v>
      </c>
    </row>
    <row r="92" spans="1:16" x14ac:dyDescent="0.25">
      <c r="A92" s="137" t="s">
        <v>238</v>
      </c>
      <c r="B92" s="124">
        <v>769.00960284703376</v>
      </c>
      <c r="C92" s="124">
        <v>934.3483074915805</v>
      </c>
      <c r="D92" s="124">
        <v>1115.3194826820852</v>
      </c>
      <c r="E92" s="124">
        <v>961.6752328364712</v>
      </c>
    </row>
    <row r="93" spans="1:16" x14ac:dyDescent="0.25">
      <c r="A93" s="137" t="s">
        <v>74</v>
      </c>
      <c r="B93" s="124">
        <v>246.4314653698236</v>
      </c>
      <c r="C93" s="124">
        <v>319.64169453482742</v>
      </c>
      <c r="D93" s="124">
        <v>312.49039573816458</v>
      </c>
      <c r="E93" s="124">
        <v>346.7773779667238</v>
      </c>
    </row>
    <row r="94" spans="1:16" x14ac:dyDescent="0.25">
      <c r="A94" s="137" t="s">
        <v>239</v>
      </c>
      <c r="B94" s="124">
        <v>615.58579676246052</v>
      </c>
      <c r="C94" s="124">
        <v>714.17596072473748</v>
      </c>
      <c r="D94" s="124">
        <v>665.75249653898982</v>
      </c>
      <c r="E94" s="124">
        <v>741.59230823894097</v>
      </c>
    </row>
    <row r="95" spans="1:16" x14ac:dyDescent="0.25">
      <c r="A95" s="137" t="s">
        <v>240</v>
      </c>
      <c r="B95" s="124">
        <v>0</v>
      </c>
      <c r="C95" s="124">
        <v>0</v>
      </c>
      <c r="D95" s="124">
        <v>0</v>
      </c>
      <c r="E95" s="124">
        <v>0</v>
      </c>
    </row>
    <row r="96" spans="1:16" x14ac:dyDescent="0.25">
      <c r="A96" s="137" t="s">
        <v>78</v>
      </c>
      <c r="B96" s="124">
        <v>15175.622799557586</v>
      </c>
      <c r="C96" s="124">
        <v>488948.84322396666</v>
      </c>
      <c r="D96" s="124">
        <v>258502.39571120709</v>
      </c>
      <c r="E96" s="124">
        <v>70625.852880536957</v>
      </c>
    </row>
    <row r="97" spans="1:10" ht="30" x14ac:dyDescent="0.25">
      <c r="A97" s="137" t="s">
        <v>6</v>
      </c>
      <c r="B97" s="124">
        <v>115709.47538946623</v>
      </c>
      <c r="C97" s="124">
        <v>1099468.8982266013</v>
      </c>
      <c r="D97" s="124">
        <v>838605.62847530714</v>
      </c>
      <c r="E97" s="124">
        <v>142977.39508673176</v>
      </c>
      <c r="G97" s="67">
        <f>B97+B98</f>
        <v>1803609.2931110186</v>
      </c>
      <c r="H97" s="67">
        <f>C97+C98</f>
        <v>2709097.7555175787</v>
      </c>
      <c r="I97" s="67">
        <f>D97+D98</f>
        <v>2024272.1448099138</v>
      </c>
      <c r="J97" s="67">
        <f>E97+E98</f>
        <v>1404230.8329331838</v>
      </c>
    </row>
    <row r="98" spans="1:10" x14ac:dyDescent="0.25">
      <c r="A98" s="137" t="s">
        <v>7</v>
      </c>
      <c r="B98" s="124">
        <v>1687899.8177215524</v>
      </c>
      <c r="C98" s="124">
        <v>1609628.8572909771</v>
      </c>
      <c r="D98" s="124">
        <v>1185666.5163346066</v>
      </c>
      <c r="E98" s="124">
        <v>1261253.437846452</v>
      </c>
    </row>
    <row r="99" spans="1:10" x14ac:dyDescent="0.25">
      <c r="A99" s="137" t="s">
        <v>8</v>
      </c>
      <c r="B99" s="124">
        <v>13660.811475504177</v>
      </c>
      <c r="C99" s="124">
        <v>9440.971170975612</v>
      </c>
      <c r="D99" s="124">
        <v>10175.015832008019</v>
      </c>
      <c r="E99" s="124">
        <v>11197.774719077408</v>
      </c>
    </row>
    <row r="100" spans="1:10" ht="45" x14ac:dyDescent="0.25">
      <c r="A100" s="137" t="s">
        <v>36</v>
      </c>
      <c r="B100" s="124">
        <v>8211.9869830816406</v>
      </c>
      <c r="C100" s="124">
        <v>125712.1489350453</v>
      </c>
      <c r="D100" s="124">
        <v>8559.2184388169317</v>
      </c>
      <c r="E100" s="124">
        <v>9154.5487781140291</v>
      </c>
    </row>
    <row r="101" spans="1:10" x14ac:dyDescent="0.25">
      <c r="A101" s="137" t="s">
        <v>9</v>
      </c>
      <c r="B101" s="124">
        <v>211241.57380174266</v>
      </c>
      <c r="C101" s="124">
        <v>520021.63212931884</v>
      </c>
      <c r="D101" s="124">
        <v>525262.39218945126</v>
      </c>
      <c r="E101" s="124">
        <v>69418.550210452362</v>
      </c>
    </row>
    <row r="102" spans="1:10" x14ac:dyDescent="0.25">
      <c r="A102" s="137" t="s">
        <v>10</v>
      </c>
      <c r="B102" s="124">
        <v>742786.46040586371</v>
      </c>
      <c r="C102" s="124">
        <v>999389.03366179497</v>
      </c>
      <c r="D102" s="124">
        <v>691291.9201195254</v>
      </c>
      <c r="E102" s="124">
        <v>797091.06446703593</v>
      </c>
    </row>
    <row r="103" spans="1:10" x14ac:dyDescent="0.25">
      <c r="A103" s="137" t="s">
        <v>79</v>
      </c>
      <c r="B103" s="124">
        <v>165908.20659048497</v>
      </c>
      <c r="C103" s="124">
        <v>158987.38587166803</v>
      </c>
      <c r="D103" s="124">
        <v>97036.869926862739</v>
      </c>
      <c r="E103" s="124">
        <v>107518.02790163583</v>
      </c>
    </row>
    <row r="104" spans="1:10" x14ac:dyDescent="0.25">
      <c r="A104" s="137" t="s">
        <v>81</v>
      </c>
      <c r="B104" s="124">
        <v>2557586.9948889948</v>
      </c>
      <c r="C104" s="124">
        <v>4233280.4772215514</v>
      </c>
      <c r="D104" s="124">
        <v>3000344.5683421101</v>
      </c>
      <c r="E104" s="204">
        <v>3381406.3840482412</v>
      </c>
    </row>
    <row r="105" spans="1:10" x14ac:dyDescent="0.25">
      <c r="A105" s="137" t="s">
        <v>80</v>
      </c>
      <c r="B105" s="124">
        <v>934782.64030761493</v>
      </c>
      <c r="C105" s="124">
        <v>1080929.4040667696</v>
      </c>
      <c r="D105" s="124">
        <v>661378.6784958546</v>
      </c>
      <c r="E105" s="124">
        <v>643664.41444231675</v>
      </c>
    </row>
    <row r="106" spans="1:10" x14ac:dyDescent="0.25">
      <c r="A106" s="137" t="s">
        <v>0</v>
      </c>
      <c r="B106" s="124">
        <v>2725278.3463321524</v>
      </c>
      <c r="C106" s="124">
        <v>3204914.9341230448</v>
      </c>
      <c r="D106" s="124">
        <v>4139058.9401904279</v>
      </c>
      <c r="E106" s="124">
        <v>2505242.039137789</v>
      </c>
    </row>
    <row r="107" spans="1:10" x14ac:dyDescent="0.25">
      <c r="A107" s="137" t="s">
        <v>2</v>
      </c>
      <c r="B107" s="133"/>
      <c r="C107" s="133"/>
      <c r="D107" s="133"/>
      <c r="E107" s="133"/>
    </row>
    <row r="108" spans="1:10" x14ac:dyDescent="0.25">
      <c r="A108" s="134" t="s">
        <v>4</v>
      </c>
      <c r="B108" s="135">
        <v>2533.012817955127</v>
      </c>
      <c r="C108" s="135">
        <v>3284.9240229554043</v>
      </c>
      <c r="D108" s="135">
        <v>4041.646492598848</v>
      </c>
      <c r="E108" s="135">
        <v>3385.2407579655514</v>
      </c>
    </row>
    <row r="109" spans="1:10" x14ac:dyDescent="0.25">
      <c r="B109" s="210" t="e">
        <f>B108/A108-1</f>
        <v>#VALUE!</v>
      </c>
      <c r="C109" s="210">
        <f>C108/B108-1</f>
        <v>0.29684461115648308</v>
      </c>
      <c r="D109" s="210">
        <f>D108/C108-1</f>
        <v>0.23036224410530814</v>
      </c>
      <c r="E109" s="210">
        <f>E108/D108-1</f>
        <v>-0.16241047697648003</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Y121"/>
  <sheetViews>
    <sheetView topLeftCell="A109" workbookViewId="0">
      <selection activeCell="E27" sqref="E27"/>
    </sheetView>
  </sheetViews>
  <sheetFormatPr defaultRowHeight="15" x14ac:dyDescent="0.25"/>
  <cols>
    <col min="1" max="1" width="35.140625" bestFit="1" customWidth="1"/>
    <col min="2" max="2" width="20" bestFit="1" customWidth="1"/>
    <col min="3" max="3" width="21" bestFit="1" customWidth="1"/>
    <col min="4" max="4" width="20.7109375" bestFit="1" customWidth="1"/>
    <col min="5" max="5" width="20" bestFit="1" customWidth="1"/>
    <col min="6" max="6" width="17.42578125" bestFit="1" customWidth="1"/>
    <col min="7" max="7" width="16" bestFit="1" customWidth="1"/>
    <col min="8" max="8" width="17" bestFit="1" customWidth="1"/>
    <col min="9" max="9" width="16.28515625" bestFit="1" customWidth="1"/>
    <col min="10" max="10" width="20.140625" bestFit="1" customWidth="1"/>
    <col min="11" max="11" width="19" bestFit="1" customWidth="1"/>
    <col min="12" max="12" width="17.140625" bestFit="1" customWidth="1"/>
    <col min="13" max="13" width="16" bestFit="1" customWidth="1"/>
    <col min="14" max="14" width="17" bestFit="1" customWidth="1"/>
    <col min="15" max="16" width="16" bestFit="1" customWidth="1"/>
    <col min="17" max="17" width="17" bestFit="1" customWidth="1"/>
    <col min="18" max="18" width="17.42578125" bestFit="1" customWidth="1"/>
    <col min="19" max="20" width="9.5703125" bestFit="1" customWidth="1"/>
    <col min="21" max="21" width="19.85546875" bestFit="1" customWidth="1"/>
    <col min="22" max="22" width="21" bestFit="1" customWidth="1"/>
    <col min="25" max="25" width="20" bestFit="1" customWidth="1"/>
  </cols>
  <sheetData>
    <row r="2" spans="1:9" x14ac:dyDescent="0.25">
      <c r="B2" s="9">
        <v>2015</v>
      </c>
      <c r="C2" s="9">
        <v>2016</v>
      </c>
      <c r="D2" s="9">
        <v>2017</v>
      </c>
      <c r="E2" s="9">
        <v>2018</v>
      </c>
      <c r="I2">
        <v>1000</v>
      </c>
    </row>
    <row r="3" spans="1:9" x14ac:dyDescent="0.25">
      <c r="A3" t="s">
        <v>241</v>
      </c>
      <c r="B3" s="66">
        <v>289677177662.74634</v>
      </c>
      <c r="C3" s="67">
        <v>289774345993.06091</v>
      </c>
      <c r="D3" s="67">
        <v>323900217134.7533</v>
      </c>
      <c r="E3" s="66">
        <v>327197843475.00092</v>
      </c>
    </row>
    <row r="4" spans="1:9" x14ac:dyDescent="0.25">
      <c r="A4" t="s">
        <v>52</v>
      </c>
      <c r="B4" s="66">
        <v>255955356075.34396</v>
      </c>
      <c r="C4" s="67">
        <v>261316643573.14938</v>
      </c>
      <c r="D4" s="67">
        <v>291755707221.10333</v>
      </c>
      <c r="E4" s="66">
        <v>294854711701.62549</v>
      </c>
    </row>
    <row r="5" spans="1:9" x14ac:dyDescent="0.25">
      <c r="A5" t="s">
        <v>242</v>
      </c>
      <c r="B5" s="66">
        <v>289687102188.58087</v>
      </c>
      <c r="C5" s="67">
        <v>289786168902.90948</v>
      </c>
      <c r="D5" s="67">
        <v>323913118195.59039</v>
      </c>
      <c r="E5" s="66">
        <v>327209621192.06964</v>
      </c>
      <c r="G5">
        <f>11</f>
        <v>11</v>
      </c>
    </row>
    <row r="6" spans="1:9" x14ac:dyDescent="0.25">
      <c r="A6" t="s">
        <v>243</v>
      </c>
      <c r="B6" s="66">
        <v>33731746113.236904</v>
      </c>
      <c r="C6" s="67">
        <v>28469525329.760101</v>
      </c>
      <c r="D6" s="67">
        <v>32157410974.487061</v>
      </c>
      <c r="E6" s="66">
        <v>32354909490.444153</v>
      </c>
    </row>
    <row r="7" spans="1:9" x14ac:dyDescent="0.25">
      <c r="A7" s="126" t="s">
        <v>234</v>
      </c>
      <c r="B7" s="67">
        <v>289700213.48037559</v>
      </c>
      <c r="C7" s="67">
        <v>289765026590.81561</v>
      </c>
      <c r="D7" s="67">
        <v>291729905099.42908</v>
      </c>
      <c r="E7" s="67">
        <v>294831156267.48804</v>
      </c>
    </row>
    <row r="8" spans="1:9" x14ac:dyDescent="0.25">
      <c r="A8" t="s">
        <v>278</v>
      </c>
      <c r="B8" s="66">
        <v>0</v>
      </c>
      <c r="C8" s="67"/>
      <c r="E8" s="66"/>
    </row>
    <row r="9" spans="1:9" x14ac:dyDescent="0.25">
      <c r="B9" s="66">
        <v>0</v>
      </c>
      <c r="C9" s="67"/>
      <c r="D9" s="67"/>
      <c r="E9" s="66"/>
    </row>
    <row r="10" spans="1:9" x14ac:dyDescent="0.25">
      <c r="A10" t="s">
        <v>273</v>
      </c>
      <c r="B10" s="66">
        <v>289687102188.58087</v>
      </c>
      <c r="C10" s="67">
        <v>289786168902.90948</v>
      </c>
      <c r="D10" s="67">
        <v>323913118195.59039</v>
      </c>
      <c r="E10" s="66">
        <v>327209621192.06964</v>
      </c>
    </row>
    <row r="11" spans="1:9" x14ac:dyDescent="0.25">
      <c r="A11" t="s">
        <v>274</v>
      </c>
      <c r="B11" s="66">
        <v>289687102188.58087</v>
      </c>
      <c r="C11" s="67">
        <v>289786168902.90948</v>
      </c>
      <c r="D11" s="67">
        <v>323913118195.59039</v>
      </c>
      <c r="E11" s="66">
        <v>327209621192.06964</v>
      </c>
    </row>
    <row r="12" spans="1:9" x14ac:dyDescent="0.25">
      <c r="C12" s="67"/>
      <c r="D12" s="67"/>
      <c r="E12" s="66"/>
    </row>
    <row r="13" spans="1:9" x14ac:dyDescent="0.25">
      <c r="A13" s="9" t="s">
        <v>313</v>
      </c>
      <c r="C13" s="67"/>
      <c r="D13" s="67"/>
      <c r="E13" s="66"/>
    </row>
    <row r="14" spans="1:9" x14ac:dyDescent="0.25">
      <c r="A14" t="s">
        <v>241</v>
      </c>
      <c r="C14" s="211">
        <f t="shared" ref="C14:E17" si="0">C3/B3-1</f>
        <v>3.3543660946500076E-4</v>
      </c>
      <c r="D14" s="211">
        <f t="shared" si="0"/>
        <v>0.11776705430821544</v>
      </c>
      <c r="E14" s="211">
        <f t="shared" si="0"/>
        <v>1.018099453411514E-2</v>
      </c>
    </row>
    <row r="15" spans="1:9" x14ac:dyDescent="0.25">
      <c r="A15" t="s">
        <v>52</v>
      </c>
      <c r="C15" s="211">
        <f t="shared" si="0"/>
        <v>2.0946182099925492E-2</v>
      </c>
      <c r="D15" s="211">
        <f t="shared" si="0"/>
        <v>0.11648344794170473</v>
      </c>
      <c r="E15" s="211">
        <f t="shared" si="0"/>
        <v>1.0621915540365512E-2</v>
      </c>
    </row>
    <row r="16" spans="1:9" x14ac:dyDescent="0.25">
      <c r="A16" t="s">
        <v>242</v>
      </c>
      <c r="C16" s="211">
        <f t="shared" si="0"/>
        <v>3.4197834000959659E-4</v>
      </c>
      <c r="D16" s="211">
        <f t="shared" si="0"/>
        <v>0.11776597006641421</v>
      </c>
      <c r="E16" s="211">
        <f t="shared" si="0"/>
        <v>1.0177120997269196E-2</v>
      </c>
    </row>
    <row r="17" spans="1:12" x14ac:dyDescent="0.25">
      <c r="A17" t="s">
        <v>243</v>
      </c>
      <c r="C17" s="211">
        <f t="shared" si="0"/>
        <v>-0.15600202746135983</v>
      </c>
      <c r="D17" s="211">
        <f t="shared" si="0"/>
        <v>0.12953800957376327</v>
      </c>
      <c r="E17" s="211">
        <f t="shared" si="0"/>
        <v>6.1416174366084597E-3</v>
      </c>
    </row>
    <row r="18" spans="1:12" x14ac:dyDescent="0.25">
      <c r="A18" t="s">
        <v>278</v>
      </c>
      <c r="C18" s="211"/>
      <c r="D18" s="211"/>
      <c r="E18" s="211"/>
    </row>
    <row r="19" spans="1:12" x14ac:dyDescent="0.25">
      <c r="C19" s="211"/>
      <c r="D19" s="211"/>
      <c r="E19" s="211"/>
    </row>
    <row r="20" spans="1:12" x14ac:dyDescent="0.25">
      <c r="A20" t="s">
        <v>273</v>
      </c>
      <c r="C20" s="211">
        <f t="shared" ref="C20:E21" si="1">C10/B10-1</f>
        <v>3.4197834000959659E-4</v>
      </c>
      <c r="D20" s="211">
        <f t="shared" si="1"/>
        <v>0.11776597006641421</v>
      </c>
      <c r="E20" s="211">
        <f t="shared" si="1"/>
        <v>1.0177120997269196E-2</v>
      </c>
    </row>
    <row r="21" spans="1:12" x14ac:dyDescent="0.25">
      <c r="A21" t="s">
        <v>274</v>
      </c>
      <c r="C21" s="211">
        <f t="shared" si="1"/>
        <v>3.4197834000959659E-4</v>
      </c>
      <c r="D21" s="211">
        <f t="shared" si="1"/>
        <v>0.11776597006641421</v>
      </c>
      <c r="E21" s="211">
        <f t="shared" si="1"/>
        <v>1.0177120997269196E-2</v>
      </c>
    </row>
    <row r="22" spans="1:12" x14ac:dyDescent="0.25">
      <c r="C22" s="211"/>
      <c r="D22" s="211"/>
      <c r="E22" s="211"/>
    </row>
    <row r="23" spans="1:12" x14ac:dyDescent="0.25">
      <c r="C23" s="211"/>
      <c r="D23" s="211"/>
      <c r="E23" s="211"/>
    </row>
    <row r="24" spans="1:12" x14ac:dyDescent="0.25">
      <c r="A24" s="9" t="s">
        <v>229</v>
      </c>
      <c r="B24" s="67">
        <v>289700213.48037553</v>
      </c>
      <c r="C24" s="67">
        <v>289776860688.16663</v>
      </c>
      <c r="D24" s="67">
        <v>323784155972.63922</v>
      </c>
      <c r="E24" s="67">
        <v>327102008983.87317</v>
      </c>
    </row>
    <row r="25" spans="1:12" x14ac:dyDescent="0.25">
      <c r="A25" s="126" t="s">
        <v>232</v>
      </c>
      <c r="B25" s="66">
        <v>289700213.48037553</v>
      </c>
      <c r="C25" s="66">
        <v>289776860688.16663</v>
      </c>
      <c r="D25" s="66">
        <v>323784155972.63922</v>
      </c>
      <c r="E25" s="66">
        <v>327102008983.87317</v>
      </c>
    </row>
    <row r="26" spans="1:12" x14ac:dyDescent="0.25">
      <c r="A26" s="126" t="s">
        <v>233</v>
      </c>
      <c r="B26">
        <v>0</v>
      </c>
      <c r="C26">
        <v>0</v>
      </c>
      <c r="D26">
        <v>0</v>
      </c>
      <c r="E26">
        <v>0</v>
      </c>
    </row>
    <row r="29" spans="1:12" x14ac:dyDescent="0.25">
      <c r="A29" s="9" t="s">
        <v>230</v>
      </c>
    </row>
    <row r="31" spans="1:12" x14ac:dyDescent="0.25">
      <c r="B31" s="67">
        <v>255908271.52367485</v>
      </c>
      <c r="C31" s="67">
        <v>261292997753.45218</v>
      </c>
      <c r="D31" s="67">
        <v>291729905099.42908</v>
      </c>
      <c r="E31" s="67">
        <v>294831156267.48804</v>
      </c>
      <c r="L31">
        <v>220</v>
      </c>
    </row>
    <row r="32" spans="1:12" x14ac:dyDescent="0.25">
      <c r="A32" s="9">
        <v>2018</v>
      </c>
    </row>
    <row r="33" spans="1:25" ht="60" x14ac:dyDescent="0.25">
      <c r="A33" s="2" t="s">
        <v>1</v>
      </c>
      <c r="B33" s="4" t="s">
        <v>5</v>
      </c>
      <c r="C33" s="4" t="s">
        <v>238</v>
      </c>
      <c r="D33" s="4" t="s">
        <v>74</v>
      </c>
      <c r="E33" s="4" t="s">
        <v>239</v>
      </c>
      <c r="F33" s="4" t="s">
        <v>240</v>
      </c>
      <c r="G33" s="4" t="s">
        <v>78</v>
      </c>
      <c r="H33" s="4" t="s">
        <v>6</v>
      </c>
      <c r="I33" s="4" t="s">
        <v>7</v>
      </c>
      <c r="J33" s="4" t="s">
        <v>8</v>
      </c>
      <c r="K33" s="4" t="s">
        <v>36</v>
      </c>
      <c r="L33" s="4" t="s">
        <v>9</v>
      </c>
      <c r="M33" s="4" t="s">
        <v>10</v>
      </c>
      <c r="N33" s="4" t="s">
        <v>79</v>
      </c>
      <c r="O33" s="4" t="s">
        <v>81</v>
      </c>
      <c r="P33" s="4" t="s">
        <v>80</v>
      </c>
      <c r="Q33" s="4" t="s">
        <v>0</v>
      </c>
      <c r="R33" s="4" t="s">
        <v>2</v>
      </c>
      <c r="S33" s="4" t="s">
        <v>35</v>
      </c>
      <c r="T33" s="4" t="s">
        <v>3</v>
      </c>
      <c r="U33" s="4" t="s">
        <v>220</v>
      </c>
      <c r="V33" s="116" t="s">
        <v>221</v>
      </c>
      <c r="X33" s="207"/>
    </row>
    <row r="34" spans="1:25" s="212" customFormat="1" ht="12.75" x14ac:dyDescent="0.2">
      <c r="A34" s="212" t="s">
        <v>241</v>
      </c>
      <c r="B34" s="212">
        <v>155288338.80000001</v>
      </c>
      <c r="C34" s="212">
        <v>134555524293.35716</v>
      </c>
      <c r="D34" s="212">
        <v>65224998802.235199</v>
      </c>
      <c r="E34" s="212">
        <v>24962028443.57143</v>
      </c>
      <c r="F34" s="212">
        <v>133791979.64</v>
      </c>
      <c r="G34" s="212">
        <v>16614061.254286414</v>
      </c>
      <c r="H34" s="212">
        <v>165271223.05884436</v>
      </c>
      <c r="I34" s="212">
        <v>20555838.29384191</v>
      </c>
      <c r="J34" s="212">
        <v>100382332947.13055</v>
      </c>
      <c r="K34" s="212">
        <v>1228091101.7096608</v>
      </c>
      <c r="L34" s="212">
        <v>148803796.62073931</v>
      </c>
      <c r="M34" s="212">
        <v>4666068.7156493533</v>
      </c>
      <c r="N34" s="212">
        <v>36012194.659538686</v>
      </c>
      <c r="O34" s="212">
        <v>2840558.8371292241</v>
      </c>
      <c r="P34" s="212">
        <v>6238361.1460700259</v>
      </c>
      <c r="Q34" s="212">
        <v>16481826.759296332</v>
      </c>
      <c r="R34" s="212">
        <v>150081356.2802344</v>
      </c>
      <c r="S34" s="212">
        <v>0</v>
      </c>
      <c r="T34" s="212">
        <v>0</v>
      </c>
      <c r="U34" s="212">
        <v>0</v>
      </c>
      <c r="V34" s="212">
        <v>327197843475.00092</v>
      </c>
      <c r="Y34" s="212">
        <v>323900217134.75299</v>
      </c>
    </row>
    <row r="35" spans="1:25" s="212" customFormat="1" ht="12.75" x14ac:dyDescent="0.2">
      <c r="A35" s="212" t="s">
        <v>52</v>
      </c>
      <c r="B35" s="212">
        <v>77644169.400000006</v>
      </c>
      <c r="C35" s="212">
        <v>121099971864.02145</v>
      </c>
      <c r="D35" s="212">
        <v>52179663835.371429</v>
      </c>
      <c r="E35" s="212">
        <v>19966974314.857143</v>
      </c>
      <c r="F35" s="212">
        <v>133791979.64</v>
      </c>
      <c r="G35" s="212">
        <v>11003610.339883141</v>
      </c>
      <c r="H35" s="212">
        <v>82067114.614928052</v>
      </c>
      <c r="I35" s="212">
        <v>11988926.867315501</v>
      </c>
      <c r="J35" s="212">
        <v>100281929915.74301</v>
      </c>
      <c r="K35" s="212">
        <v>898117909.88908541</v>
      </c>
      <c r="L35" s="212">
        <v>29726061.359345015</v>
      </c>
      <c r="M35" s="212">
        <v>881471.51117795974</v>
      </c>
      <c r="N35" s="212">
        <v>6785293.3531460604</v>
      </c>
      <c r="O35" s="212">
        <v>538356.12117381603</v>
      </c>
      <c r="P35" s="212">
        <v>1188796.512441485</v>
      </c>
      <c r="Q35" s="212">
        <v>3131058.3116147616</v>
      </c>
      <c r="R35" s="212">
        <v>57529306.64358864</v>
      </c>
      <c r="S35" s="212">
        <v>0</v>
      </c>
      <c r="T35" s="212">
        <v>0</v>
      </c>
      <c r="U35" s="212">
        <v>0</v>
      </c>
      <c r="V35" s="212">
        <v>294854711701.62549</v>
      </c>
      <c r="Y35" s="212">
        <v>291755707221.10333</v>
      </c>
    </row>
    <row r="36" spans="1:25" s="212" customFormat="1" ht="12.75" x14ac:dyDescent="0.2">
      <c r="A36" s="212" t="s">
        <v>242</v>
      </c>
      <c r="B36" s="212">
        <v>155288338.80000001</v>
      </c>
      <c r="C36" s="212">
        <v>134555524293.35716</v>
      </c>
      <c r="D36" s="212">
        <v>65224998802.235199</v>
      </c>
      <c r="E36" s="212">
        <v>24962028443.57143</v>
      </c>
      <c r="F36" s="212">
        <v>133791979.64</v>
      </c>
      <c r="G36" s="212">
        <v>16614061.254286414</v>
      </c>
      <c r="H36" s="212">
        <v>165271223.05884436</v>
      </c>
      <c r="I36" s="212">
        <v>20555838.29384191</v>
      </c>
      <c r="J36" s="212">
        <v>100382332947.13055</v>
      </c>
      <c r="K36" s="212">
        <v>1228091101.7096608</v>
      </c>
      <c r="L36" s="212">
        <v>148803796.62073931</v>
      </c>
      <c r="M36" s="212">
        <v>4666068.7156493533</v>
      </c>
      <c r="N36" s="212">
        <v>36012194.659538686</v>
      </c>
      <c r="O36" s="212">
        <v>2840558.8371292246</v>
      </c>
      <c r="P36" s="212">
        <v>6238361.1460700259</v>
      </c>
      <c r="Q36" s="212">
        <v>16481826.759296332</v>
      </c>
      <c r="R36" s="212">
        <v>150081356.2802344</v>
      </c>
      <c r="S36" s="212">
        <v>0</v>
      </c>
      <c r="T36" s="212">
        <v>0</v>
      </c>
      <c r="U36" s="212">
        <v>0</v>
      </c>
      <c r="V36" s="212">
        <v>327209621192.06964</v>
      </c>
      <c r="Y36" s="212">
        <v>323913118195.59039</v>
      </c>
    </row>
    <row r="37" spans="1:25" s="212" customFormat="1" ht="12.75" x14ac:dyDescent="0.2">
      <c r="A37" s="212" t="s">
        <v>243</v>
      </c>
      <c r="B37" s="212">
        <v>77644169.400000006</v>
      </c>
      <c r="C37" s="212">
        <v>13455552429.335709</v>
      </c>
      <c r="D37" s="212">
        <v>13045334966.86377</v>
      </c>
      <c r="E37" s="212">
        <v>4995054128.7142868</v>
      </c>
      <c r="F37" s="212">
        <v>0</v>
      </c>
      <c r="G37" s="212">
        <v>5610450.9144032728</v>
      </c>
      <c r="H37" s="212">
        <v>83204108.443916306</v>
      </c>
      <c r="I37" s="212">
        <v>8566911.4265264086</v>
      </c>
      <c r="J37" s="212">
        <v>100403031.38754272</v>
      </c>
      <c r="K37" s="212">
        <v>329973191.82057536</v>
      </c>
      <c r="L37" s="212">
        <v>119077735.26139429</v>
      </c>
      <c r="M37" s="212">
        <v>3784597.2044713935</v>
      </c>
      <c r="N37" s="212">
        <v>29226901.306392625</v>
      </c>
      <c r="O37" s="212">
        <v>2302202.7159554083</v>
      </c>
      <c r="P37" s="212">
        <v>5049564.6336285407</v>
      </c>
      <c r="Q37" s="212">
        <v>13350768.44768157</v>
      </c>
      <c r="R37" s="212">
        <v>92552049.636645764</v>
      </c>
      <c r="S37" s="212">
        <v>0</v>
      </c>
      <c r="T37" s="212">
        <v>0</v>
      </c>
      <c r="U37" s="212">
        <v>0</v>
      </c>
      <c r="V37" s="212">
        <v>32354909490.444153</v>
      </c>
      <c r="Y37" s="212">
        <v>32157410974.487061</v>
      </c>
    </row>
    <row r="38" spans="1:25" s="212" customFormat="1" ht="12.75" x14ac:dyDescent="0.2">
      <c r="A38" s="212" t="s">
        <v>278</v>
      </c>
      <c r="B38" s="212">
        <v>-77644169.400000006</v>
      </c>
      <c r="C38" s="212">
        <v>-13455552429.335709</v>
      </c>
      <c r="D38" s="212">
        <v>-13045334966.86377</v>
      </c>
      <c r="E38" s="212">
        <v>-4995054128.7142868</v>
      </c>
      <c r="F38" s="212">
        <v>0</v>
      </c>
      <c r="G38" s="212">
        <v>-5610450.9144032728</v>
      </c>
      <c r="H38" s="212">
        <v>-83204108.443916306</v>
      </c>
      <c r="I38" s="212">
        <v>-8566911.4265264086</v>
      </c>
      <c r="J38" s="212">
        <v>-100403031.38754272</v>
      </c>
      <c r="K38" s="212">
        <v>-305646924.12775695</v>
      </c>
      <c r="L38" s="212">
        <v>-119077735.26139429</v>
      </c>
      <c r="M38" s="212">
        <v>-3784597.2044713935</v>
      </c>
      <c r="N38" s="212">
        <v>-29226901.306392625</v>
      </c>
      <c r="O38" s="212">
        <v>-2302202.7159554083</v>
      </c>
      <c r="P38" s="212">
        <v>-5049564.6336285407</v>
      </c>
      <c r="Q38" s="212">
        <v>-13350768.44768157</v>
      </c>
      <c r="R38" s="212">
        <v>-92552049.636645764</v>
      </c>
      <c r="S38" s="212">
        <v>0</v>
      </c>
      <c r="T38" s="212">
        <v>0</v>
      </c>
    </row>
    <row r="39" spans="1:25" s="212" customFormat="1" ht="12.75" x14ac:dyDescent="0.2"/>
    <row r="40" spans="1:25" s="212" customFormat="1" ht="12.75" x14ac:dyDescent="0.2">
      <c r="A40" s="212" t="s">
        <v>273</v>
      </c>
      <c r="B40" s="212">
        <v>155288338.80000001</v>
      </c>
      <c r="C40" s="212">
        <v>134555524293.35716</v>
      </c>
      <c r="D40" s="212">
        <v>65224998802.235199</v>
      </c>
      <c r="E40" s="212">
        <v>24962028443.57143</v>
      </c>
      <c r="F40" s="212">
        <v>133791979.64</v>
      </c>
      <c r="G40" s="212">
        <v>16614061.254286414</v>
      </c>
      <c r="H40" s="212">
        <v>165271223.05884436</v>
      </c>
      <c r="I40" s="212">
        <v>20555838.29384191</v>
      </c>
      <c r="J40" s="212">
        <v>100382332947.13055</v>
      </c>
      <c r="K40" s="212">
        <v>1239868818.7784033</v>
      </c>
      <c r="L40" s="212">
        <v>148803796.62073931</v>
      </c>
      <c r="M40" s="212">
        <v>4666068.7156493533</v>
      </c>
      <c r="N40" s="212">
        <v>36012194.659538686</v>
      </c>
      <c r="O40" s="212">
        <v>2840558.8371292241</v>
      </c>
      <c r="P40" s="212">
        <v>6238361.1460700259</v>
      </c>
      <c r="Q40" s="212">
        <v>16481826.759296332</v>
      </c>
      <c r="R40" s="212">
        <v>150081356.2802344</v>
      </c>
      <c r="S40" s="212">
        <v>0</v>
      </c>
      <c r="T40" s="212">
        <v>0</v>
      </c>
      <c r="U40" s="212">
        <v>0</v>
      </c>
      <c r="V40" s="212">
        <v>327209621192.06964</v>
      </c>
      <c r="Y40" s="212">
        <v>323913118195.59039</v>
      </c>
    </row>
    <row r="41" spans="1:25" s="212" customFormat="1" ht="12.75" x14ac:dyDescent="0.2">
      <c r="A41" s="212" t="s">
        <v>274</v>
      </c>
      <c r="B41" s="212">
        <v>155288338.80000001</v>
      </c>
      <c r="C41" s="212">
        <v>134555524293.35716</v>
      </c>
      <c r="D41" s="212">
        <v>65224998802.235199</v>
      </c>
      <c r="E41" s="212">
        <v>24962028443.57143</v>
      </c>
      <c r="F41" s="212">
        <v>133791979.64</v>
      </c>
      <c r="G41" s="212">
        <v>16614061.254286414</v>
      </c>
      <c r="H41" s="212">
        <v>165271223.05884436</v>
      </c>
      <c r="I41" s="212">
        <v>20555838.29384191</v>
      </c>
      <c r="J41" s="212">
        <v>100382332947.13055</v>
      </c>
      <c r="K41" s="212">
        <v>1228091101.7096608</v>
      </c>
      <c r="L41" s="212">
        <v>148803796.62073931</v>
      </c>
      <c r="M41" s="212">
        <v>4666068.7156493533</v>
      </c>
      <c r="N41" s="212">
        <v>36012194.659538686</v>
      </c>
      <c r="O41" s="212">
        <v>2840558.8371292241</v>
      </c>
      <c r="P41" s="212">
        <v>6238361.1460700259</v>
      </c>
      <c r="Q41" s="212">
        <v>16481826.759296332</v>
      </c>
      <c r="R41" s="212">
        <v>150081356.2802344</v>
      </c>
      <c r="S41" s="212">
        <v>0</v>
      </c>
      <c r="T41" s="212">
        <v>0</v>
      </c>
      <c r="U41" s="212">
        <v>0</v>
      </c>
      <c r="V41" s="212">
        <v>327209621192.06964</v>
      </c>
      <c r="Y41" s="212">
        <v>323913118195.59039</v>
      </c>
    </row>
    <row r="43" spans="1:25" x14ac:dyDescent="0.25">
      <c r="A43" s="9">
        <v>2017</v>
      </c>
    </row>
    <row r="44" spans="1:25" ht="60" x14ac:dyDescent="0.25">
      <c r="A44" s="2" t="s">
        <v>1</v>
      </c>
      <c r="B44" s="4" t="s">
        <v>5</v>
      </c>
      <c r="C44" s="4" t="s">
        <v>238</v>
      </c>
      <c r="D44" s="4" t="s">
        <v>74</v>
      </c>
      <c r="E44" s="4" t="s">
        <v>239</v>
      </c>
      <c r="F44" s="4" t="s">
        <v>240</v>
      </c>
      <c r="G44" s="4" t="s">
        <v>78</v>
      </c>
      <c r="H44" s="4" t="s">
        <v>6</v>
      </c>
      <c r="I44" s="4" t="s">
        <v>7</v>
      </c>
      <c r="J44" s="4" t="s">
        <v>8</v>
      </c>
      <c r="K44" s="4" t="s">
        <v>36</v>
      </c>
      <c r="L44" s="4" t="s">
        <v>9</v>
      </c>
      <c r="M44" s="4" t="s">
        <v>10</v>
      </c>
      <c r="N44" s="4" t="s">
        <v>79</v>
      </c>
      <c r="O44" s="4" t="s">
        <v>81</v>
      </c>
      <c r="P44" s="4" t="s">
        <v>80</v>
      </c>
      <c r="Q44" s="4" t="s">
        <v>0</v>
      </c>
      <c r="R44" s="4" t="s">
        <v>2</v>
      </c>
      <c r="S44" s="4" t="s">
        <v>35</v>
      </c>
      <c r="T44" s="4" t="s">
        <v>3</v>
      </c>
      <c r="U44" s="4" t="s">
        <v>220</v>
      </c>
      <c r="V44" s="116" t="s">
        <v>221</v>
      </c>
      <c r="X44" s="207"/>
    </row>
    <row r="45" spans="1:25" s="212" customFormat="1" ht="12.75" x14ac:dyDescent="0.2">
      <c r="A45" s="212" t="s">
        <v>241</v>
      </c>
      <c r="B45" s="212">
        <v>133045328.2</v>
      </c>
      <c r="C45" s="212">
        <v>134555524293.35716</v>
      </c>
      <c r="D45" s="212">
        <v>65224922271.491852</v>
      </c>
      <c r="E45" s="212">
        <v>24962022043.57143</v>
      </c>
      <c r="F45" s="212">
        <v>149664640.85999998</v>
      </c>
      <c r="G45" s="212">
        <v>5201217.7232908104</v>
      </c>
      <c r="H45" s="212">
        <v>28800952.341313832</v>
      </c>
      <c r="I45" s="212">
        <v>20164090.925391093</v>
      </c>
      <c r="J45" s="212">
        <v>97363920241.324585</v>
      </c>
      <c r="K45" s="212">
        <v>1229214445.4780183</v>
      </c>
      <c r="L45" s="212">
        <v>16086950.380354445</v>
      </c>
      <c r="M45" s="212">
        <v>4842562.5243818769</v>
      </c>
      <c r="N45" s="212">
        <v>37350306.24698329</v>
      </c>
      <c r="O45" s="212">
        <v>2918235.1121449135</v>
      </c>
      <c r="P45" s="212">
        <v>5610005.1445871182</v>
      </c>
      <c r="Q45" s="212">
        <v>16640670.603177756</v>
      </c>
      <c r="R45" s="212">
        <v>157189940.30567029</v>
      </c>
      <c r="S45" s="212">
        <v>0</v>
      </c>
      <c r="T45" s="212">
        <v>0</v>
      </c>
      <c r="U45" s="212">
        <v>0</v>
      </c>
      <c r="V45" s="212">
        <v>323900217134.7533</v>
      </c>
    </row>
    <row r="46" spans="1:25" s="212" customFormat="1" ht="12.75" x14ac:dyDescent="0.2">
      <c r="A46" s="212" t="s">
        <v>52</v>
      </c>
      <c r="B46" s="212">
        <v>66522664.100000001</v>
      </c>
      <c r="C46" s="212">
        <v>121099971864.02145</v>
      </c>
      <c r="D46" s="212">
        <v>52179663835.371429</v>
      </c>
      <c r="E46" s="212">
        <v>19966974314.857143</v>
      </c>
      <c r="F46" s="212">
        <v>149664640.85999998</v>
      </c>
      <c r="G46" s="212">
        <v>3041492.2166231619</v>
      </c>
      <c r="H46" s="212">
        <v>13777756.738972053</v>
      </c>
      <c r="I46" s="212">
        <v>11721013.212473545</v>
      </c>
      <c r="J46" s="212">
        <v>97266533648.451752</v>
      </c>
      <c r="K46" s="212">
        <v>908940975.53117216</v>
      </c>
      <c r="L46" s="212">
        <v>3179382.6632393198</v>
      </c>
      <c r="M46" s="212">
        <v>911835.16423703078</v>
      </c>
      <c r="N46" s="212">
        <v>7013128.8525559967</v>
      </c>
      <c r="O46" s="212">
        <v>551053.32024509786</v>
      </c>
      <c r="P46" s="212">
        <v>1057509.8206911716</v>
      </c>
      <c r="Q46" s="212">
        <v>3147060.303821323</v>
      </c>
      <c r="R46" s="212">
        <v>60133984.780422822</v>
      </c>
      <c r="S46" s="212">
        <v>0</v>
      </c>
      <c r="T46" s="212">
        <v>0</v>
      </c>
      <c r="U46" s="212">
        <v>0</v>
      </c>
      <c r="V46" s="212">
        <v>291755707221.10333</v>
      </c>
    </row>
    <row r="47" spans="1:25" s="212" customFormat="1" ht="12.75" x14ac:dyDescent="0.2">
      <c r="A47" s="212" t="s">
        <v>242</v>
      </c>
      <c r="B47" s="212">
        <v>133045328.2</v>
      </c>
      <c r="C47" s="212">
        <v>134555524293.35716</v>
      </c>
      <c r="D47" s="212">
        <v>65224922271.491852</v>
      </c>
      <c r="E47" s="212">
        <v>24962022043.57143</v>
      </c>
      <c r="F47" s="212">
        <v>149664640.86000001</v>
      </c>
      <c r="G47" s="212">
        <v>5201217.7232908104</v>
      </c>
      <c r="H47" s="212">
        <v>28800952.341313832</v>
      </c>
      <c r="I47" s="212">
        <v>20164090.925391093</v>
      </c>
      <c r="J47" s="212">
        <v>97363920241.324585</v>
      </c>
      <c r="K47" s="212">
        <v>1229214445.4780183</v>
      </c>
      <c r="L47" s="212">
        <v>16086950.380354447</v>
      </c>
      <c r="M47" s="212">
        <v>4842562.5243818769</v>
      </c>
      <c r="N47" s="212">
        <v>37350306.24698329</v>
      </c>
      <c r="O47" s="212">
        <v>2918235.1121449135</v>
      </c>
      <c r="P47" s="212">
        <v>5610005.1445871172</v>
      </c>
      <c r="Q47" s="212">
        <v>16640670.603177756</v>
      </c>
      <c r="R47" s="212">
        <v>157189940.30567029</v>
      </c>
      <c r="S47" s="212">
        <v>0</v>
      </c>
      <c r="T47" s="212">
        <v>0</v>
      </c>
      <c r="U47" s="212">
        <v>0</v>
      </c>
      <c r="V47" s="212">
        <v>323913118195.59039</v>
      </c>
    </row>
    <row r="48" spans="1:25" s="212" customFormat="1" ht="12.75" x14ac:dyDescent="0.2">
      <c r="A48" s="212" t="s">
        <v>243</v>
      </c>
      <c r="B48" s="212">
        <v>66522664.100000001</v>
      </c>
      <c r="C48" s="212">
        <v>13455552429.335709</v>
      </c>
      <c r="D48" s="212">
        <v>13045258436.120422</v>
      </c>
      <c r="E48" s="212">
        <v>4995047728.7142868</v>
      </c>
      <c r="F48" s="212">
        <v>0</v>
      </c>
      <c r="G48" s="212">
        <v>2159725.5066676484</v>
      </c>
      <c r="H48" s="212">
        <v>15023195.602341779</v>
      </c>
      <c r="I48" s="212">
        <v>8443077.7129175477</v>
      </c>
      <c r="J48" s="212">
        <v>97386592.872833252</v>
      </c>
      <c r="K48" s="212">
        <v>320273469.94684613</v>
      </c>
      <c r="L48" s="212">
        <v>12907567.717115127</v>
      </c>
      <c r="M48" s="212">
        <v>3930727.3601448461</v>
      </c>
      <c r="N48" s="212">
        <v>30337177.394427292</v>
      </c>
      <c r="O48" s="212">
        <v>2367181.7918998157</v>
      </c>
      <c r="P48" s="212">
        <v>4552495.3238959461</v>
      </c>
      <c r="Q48" s="212">
        <v>13493610.299356433</v>
      </c>
      <c r="R48" s="212">
        <v>97055955.52524747</v>
      </c>
      <c r="S48" s="212">
        <v>0</v>
      </c>
      <c r="T48" s="212">
        <v>0</v>
      </c>
      <c r="U48" s="212">
        <v>0</v>
      </c>
      <c r="V48" s="212">
        <v>32157410974.487061</v>
      </c>
    </row>
    <row r="49" spans="1:24" s="212" customFormat="1" ht="12.75" x14ac:dyDescent="0.2">
      <c r="A49" s="212" t="s">
        <v>278</v>
      </c>
      <c r="B49" s="212">
        <v>-66522664.100000001</v>
      </c>
      <c r="C49" s="212">
        <v>-13455552429.335709</v>
      </c>
      <c r="D49" s="212">
        <v>-13045258436.120422</v>
      </c>
      <c r="E49" s="212">
        <v>-4995047728.7142868</v>
      </c>
      <c r="F49" s="212">
        <v>0</v>
      </c>
      <c r="G49" s="212">
        <v>-2159725.5066676484</v>
      </c>
      <c r="H49" s="212">
        <v>-15023195.602341779</v>
      </c>
      <c r="I49" s="212">
        <v>-8443077.7129175477</v>
      </c>
      <c r="J49" s="212">
        <v>-97386592.872833252</v>
      </c>
      <c r="K49" s="212">
        <v>-295947202.25402772</v>
      </c>
      <c r="L49" s="212">
        <v>-12907567.717115127</v>
      </c>
      <c r="M49" s="212">
        <v>-3930727.3601448461</v>
      </c>
      <c r="N49" s="212">
        <v>-30337177.394427292</v>
      </c>
      <c r="O49" s="212">
        <v>-2367181.7918998157</v>
      </c>
      <c r="P49" s="212">
        <v>-4552495.3238959461</v>
      </c>
      <c r="Q49" s="212">
        <v>-13493610.299356433</v>
      </c>
      <c r="R49" s="212">
        <v>-97055955.52524747</v>
      </c>
      <c r="S49" s="212">
        <v>0</v>
      </c>
      <c r="T49" s="212">
        <v>0</v>
      </c>
    </row>
    <row r="50" spans="1:24" s="212" customFormat="1" ht="12.75" x14ac:dyDescent="0.2"/>
    <row r="51" spans="1:24" s="212" customFormat="1" ht="12.75" x14ac:dyDescent="0.2">
      <c r="A51" s="212" t="s">
        <v>273</v>
      </c>
      <c r="B51" s="212">
        <v>133045328.2</v>
      </c>
      <c r="C51" s="212">
        <v>134555524293.35716</v>
      </c>
      <c r="D51" s="212">
        <v>65224922271.491852</v>
      </c>
      <c r="E51" s="212">
        <v>24962022043.57143</v>
      </c>
      <c r="F51" s="212">
        <v>149664640.85999998</v>
      </c>
      <c r="G51" s="212">
        <v>5201217.7232908104</v>
      </c>
      <c r="H51" s="212">
        <v>28800952.341313832</v>
      </c>
      <c r="I51" s="212">
        <v>20164090.925391093</v>
      </c>
      <c r="J51" s="212">
        <v>97363920241.324585</v>
      </c>
      <c r="K51" s="212">
        <v>1242115506.3151183</v>
      </c>
      <c r="L51" s="212">
        <v>16086950.380354445</v>
      </c>
      <c r="M51" s="212">
        <v>4842562.5243818769</v>
      </c>
      <c r="N51" s="212">
        <v>37350306.24698329</v>
      </c>
      <c r="O51" s="212">
        <v>2918235.1121449135</v>
      </c>
      <c r="P51" s="212">
        <v>5610005.1445871182</v>
      </c>
      <c r="Q51" s="212">
        <v>16640670.603177756</v>
      </c>
      <c r="R51" s="212">
        <v>157189940.30567029</v>
      </c>
      <c r="S51" s="212">
        <v>0</v>
      </c>
      <c r="T51" s="212">
        <v>0</v>
      </c>
      <c r="U51" s="212">
        <v>0</v>
      </c>
      <c r="V51" s="212">
        <v>323913118195.59039</v>
      </c>
    </row>
    <row r="52" spans="1:24" s="212" customFormat="1" ht="12.75" x14ac:dyDescent="0.2">
      <c r="A52" s="212" t="s">
        <v>274</v>
      </c>
      <c r="B52" s="212">
        <v>133045328.2</v>
      </c>
      <c r="C52" s="212">
        <v>134555524293.35716</v>
      </c>
      <c r="D52" s="212">
        <v>65224922271.491852</v>
      </c>
      <c r="E52" s="212">
        <v>24962022043.57143</v>
      </c>
      <c r="F52" s="212">
        <v>149664640.85999998</v>
      </c>
      <c r="G52" s="212">
        <v>5201217.7232908104</v>
      </c>
      <c r="H52" s="212">
        <v>28800952.341313832</v>
      </c>
      <c r="I52" s="212">
        <v>20164090.925391093</v>
      </c>
      <c r="J52" s="212">
        <v>97363920241.324585</v>
      </c>
      <c r="K52" s="212">
        <v>1229214445.4780183</v>
      </c>
      <c r="L52" s="212">
        <v>16086950.380354445</v>
      </c>
      <c r="M52" s="212">
        <v>4842562.5243818769</v>
      </c>
      <c r="N52" s="212">
        <v>37350306.24698329</v>
      </c>
      <c r="O52" s="212">
        <v>2918235.1121449135</v>
      </c>
      <c r="P52" s="212">
        <v>5610005.1445871182</v>
      </c>
      <c r="Q52" s="212">
        <v>16640670.603177756</v>
      </c>
      <c r="R52" s="212">
        <v>157189940.30567029</v>
      </c>
      <c r="S52" s="212">
        <v>0</v>
      </c>
      <c r="T52" s="212">
        <v>0</v>
      </c>
      <c r="U52" s="212">
        <v>0</v>
      </c>
      <c r="V52" s="212">
        <v>323913118195.59039</v>
      </c>
    </row>
    <row r="53" spans="1:24" s="212" customFormat="1" ht="12.75" x14ac:dyDescent="0.2"/>
    <row r="54" spans="1:24" s="212" customFormat="1" ht="12.75" x14ac:dyDescent="0.2"/>
    <row r="55" spans="1:24" s="212" customFormat="1" ht="12.75" x14ac:dyDescent="0.2"/>
    <row r="56" spans="1:24" s="212" customFormat="1" ht="12.75" x14ac:dyDescent="0.2"/>
    <row r="57" spans="1:24" s="212" customFormat="1" ht="12.75" x14ac:dyDescent="0.2"/>
    <row r="58" spans="1:24" s="212" customFormat="1" ht="12.75" x14ac:dyDescent="0.2"/>
    <row r="59" spans="1:24" s="212" customFormat="1" x14ac:dyDescent="0.25">
      <c r="A59" s="9">
        <v>2016</v>
      </c>
    </row>
    <row r="60" spans="1:24" ht="60" x14ac:dyDescent="0.25">
      <c r="A60" s="2" t="s">
        <v>1</v>
      </c>
      <c r="B60" s="4" t="s">
        <v>5</v>
      </c>
      <c r="C60" s="4" t="s">
        <v>238</v>
      </c>
      <c r="D60" s="4" t="s">
        <v>74</v>
      </c>
      <c r="E60" s="4" t="s">
        <v>239</v>
      </c>
      <c r="F60" s="4" t="s">
        <v>240</v>
      </c>
      <c r="G60" s="4" t="s">
        <v>78</v>
      </c>
      <c r="H60" s="4" t="s">
        <v>6</v>
      </c>
      <c r="I60" s="4" t="s">
        <v>7</v>
      </c>
      <c r="J60" s="4" t="s">
        <v>8</v>
      </c>
      <c r="K60" s="4" t="s">
        <v>36</v>
      </c>
      <c r="L60" s="4" t="s">
        <v>9</v>
      </c>
      <c r="M60" s="4" t="s">
        <v>10</v>
      </c>
      <c r="N60" s="4" t="s">
        <v>79</v>
      </c>
      <c r="O60" s="4" t="s">
        <v>81</v>
      </c>
      <c r="P60" s="4" t="s">
        <v>80</v>
      </c>
      <c r="Q60" s="4" t="s">
        <v>0</v>
      </c>
      <c r="R60" s="4" t="s">
        <v>2</v>
      </c>
      <c r="S60" s="4" t="s">
        <v>35</v>
      </c>
      <c r="T60" s="4" t="s">
        <v>3</v>
      </c>
      <c r="U60" s="4" t="s">
        <v>220</v>
      </c>
      <c r="V60" s="116" t="s">
        <v>221</v>
      </c>
      <c r="X60" s="207"/>
    </row>
    <row r="61" spans="1:24" x14ac:dyDescent="0.25">
      <c r="A61" t="s">
        <v>241</v>
      </c>
      <c r="B61" s="67">
        <v>190531507.03999999</v>
      </c>
      <c r="C61" s="67">
        <v>120147377699.57143</v>
      </c>
      <c r="D61" s="67">
        <v>58277479787.473015</v>
      </c>
      <c r="E61" s="67">
        <v>22289467555.714283</v>
      </c>
      <c r="F61" s="67">
        <v>146500377.72499999</v>
      </c>
      <c r="G61" s="67">
        <v>4119185.6330542318</v>
      </c>
      <c r="H61" s="67">
        <v>19794383.351121858</v>
      </c>
      <c r="I61" s="67">
        <v>15476606.978824433</v>
      </c>
      <c r="J61" s="67">
        <v>87453416858.494965</v>
      </c>
      <c r="K61" s="67">
        <v>1097893990.1179597</v>
      </c>
      <c r="L61" s="67">
        <v>15481141.032027137</v>
      </c>
      <c r="M61" s="67">
        <v>2815815.8682997609</v>
      </c>
      <c r="N61" s="67">
        <v>21022298.892873958</v>
      </c>
      <c r="O61" s="67">
        <v>1740159.3932508202</v>
      </c>
      <c r="P61" s="67">
        <v>3106781.860164633</v>
      </c>
      <c r="Q61" s="67">
        <v>10444060.041675361</v>
      </c>
      <c r="R61" s="67">
        <v>89500693.721538812</v>
      </c>
      <c r="S61" s="67">
        <v>0</v>
      </c>
      <c r="T61" s="67">
        <v>0</v>
      </c>
      <c r="U61" s="67">
        <v>0</v>
      </c>
      <c r="V61" s="67">
        <v>289774345993.06091</v>
      </c>
    </row>
    <row r="62" spans="1:24" x14ac:dyDescent="0.25">
      <c r="A62" t="s">
        <v>52</v>
      </c>
      <c r="B62" s="67">
        <v>95265753.519999996</v>
      </c>
      <c r="C62" s="67">
        <v>108132639929.61427</v>
      </c>
      <c r="D62" s="67">
        <v>46592288291.31427</v>
      </c>
      <c r="E62" s="67">
        <v>17828919452.571426</v>
      </c>
      <c r="F62" s="67">
        <v>146500377.72499999</v>
      </c>
      <c r="G62" s="67">
        <v>2881059.0586196212</v>
      </c>
      <c r="H62" s="67">
        <v>9326513.3573400434</v>
      </c>
      <c r="I62" s="67">
        <v>8940065.8906393722</v>
      </c>
      <c r="J62" s="67">
        <v>87365942663.773178</v>
      </c>
      <c r="K62" s="67">
        <v>1078667499.6183071</v>
      </c>
      <c r="L62" s="67">
        <v>3061397.1005638102</v>
      </c>
      <c r="M62" s="67">
        <v>511222.39938576531</v>
      </c>
      <c r="N62" s="67">
        <v>3785713.5527437823</v>
      </c>
      <c r="O62" s="67">
        <v>318162.05574040639</v>
      </c>
      <c r="P62" s="67">
        <v>562254.7407396615</v>
      </c>
      <c r="Q62" s="67">
        <v>1922870.6614048944</v>
      </c>
      <c r="R62" s="67">
        <v>33287436.347129531</v>
      </c>
      <c r="S62" s="67">
        <v>0</v>
      </c>
      <c r="T62" s="67">
        <v>0</v>
      </c>
      <c r="U62" s="67">
        <v>0</v>
      </c>
      <c r="V62" s="67">
        <v>261316643573.14938</v>
      </c>
    </row>
    <row r="63" spans="1:24" x14ac:dyDescent="0.25">
      <c r="A63" t="s">
        <v>242</v>
      </c>
      <c r="B63" s="67">
        <v>190531507.03999999</v>
      </c>
      <c r="C63" s="67">
        <v>120147377699.57143</v>
      </c>
      <c r="D63" s="67">
        <v>58277479787.473015</v>
      </c>
      <c r="E63" s="67">
        <v>22289467555.714283</v>
      </c>
      <c r="F63" s="67">
        <v>146500377.72499999</v>
      </c>
      <c r="G63" s="67">
        <v>4119185.6330542318</v>
      </c>
      <c r="H63" s="67">
        <v>19794383.351121858</v>
      </c>
      <c r="I63" s="67">
        <v>15476606.978824433</v>
      </c>
      <c r="J63" s="67">
        <v>87453416858.494965</v>
      </c>
      <c r="K63" s="67">
        <v>1097893990.1179597</v>
      </c>
      <c r="L63" s="67">
        <v>15481141.032027137</v>
      </c>
      <c r="M63" s="67">
        <v>2815815.8682997609</v>
      </c>
      <c r="N63" s="67">
        <v>21022298.892873958</v>
      </c>
      <c r="O63" s="67">
        <v>1740159.3932508205</v>
      </c>
      <c r="P63" s="67">
        <v>3106781.8601646335</v>
      </c>
      <c r="Q63" s="67">
        <v>10444060.041675361</v>
      </c>
      <c r="R63" s="67">
        <v>89500693.721538812</v>
      </c>
      <c r="S63" s="67">
        <v>0</v>
      </c>
      <c r="T63" s="67">
        <v>0</v>
      </c>
      <c r="U63" s="67">
        <v>0</v>
      </c>
      <c r="V63" s="67">
        <v>289786168902.90948</v>
      </c>
      <c r="W63" s="67"/>
    </row>
    <row r="64" spans="1:24" x14ac:dyDescent="0.25">
      <c r="A64" t="s">
        <v>243</v>
      </c>
      <c r="B64" s="67">
        <v>95265753.519999996</v>
      </c>
      <c r="C64" s="67">
        <v>12014737769.957153</v>
      </c>
      <c r="D64" s="67">
        <v>11685191496.158745</v>
      </c>
      <c r="E64" s="67">
        <v>4460548103.1428566</v>
      </c>
      <c r="F64" s="67">
        <v>0</v>
      </c>
      <c r="G64" s="67">
        <v>1238126.5744346105</v>
      </c>
      <c r="H64" s="67">
        <v>10467869.993781814</v>
      </c>
      <c r="I64" s="67">
        <v>6536541.0881850608</v>
      </c>
      <c r="J64" s="67">
        <v>87474194.721786499</v>
      </c>
      <c r="K64" s="153">
        <v>19226490.499652624</v>
      </c>
      <c r="L64" s="67">
        <v>12419743.931463327</v>
      </c>
      <c r="M64" s="67">
        <v>2304593.4689139957</v>
      </c>
      <c r="N64" s="67">
        <v>17236585.340130176</v>
      </c>
      <c r="O64" s="67">
        <v>1421997.337510414</v>
      </c>
      <c r="P64" s="67">
        <v>2544527.1194249718</v>
      </c>
      <c r="Q64" s="67">
        <v>8521189.3802704662</v>
      </c>
      <c r="R64" s="67">
        <v>56213257.374409281</v>
      </c>
      <c r="S64" s="67">
        <v>0</v>
      </c>
      <c r="T64" s="67">
        <v>0</v>
      </c>
      <c r="U64" s="67">
        <v>0</v>
      </c>
      <c r="V64" s="67">
        <v>28469525329.760101</v>
      </c>
      <c r="W64" s="98"/>
      <c r="X64" s="67"/>
    </row>
    <row r="65" spans="1:24" x14ac:dyDescent="0.25">
      <c r="A65" t="s">
        <v>278</v>
      </c>
      <c r="B65" s="67">
        <v>0</v>
      </c>
      <c r="C65" s="67">
        <v>4.57763671875E-5</v>
      </c>
      <c r="D65" s="67">
        <v>-4.38690185546875E-5</v>
      </c>
      <c r="E65" s="67">
        <v>0</v>
      </c>
      <c r="F65" s="67">
        <v>0</v>
      </c>
      <c r="G65" s="67">
        <v>0</v>
      </c>
      <c r="H65" s="67">
        <v>-3599.2172475140542</v>
      </c>
      <c r="I65" s="67">
        <v>-1520.4740349203348</v>
      </c>
      <c r="J65" s="67">
        <v>-12.032348603010178</v>
      </c>
      <c r="K65" s="67">
        <v>2494931.1057346165</v>
      </c>
      <c r="L65" s="67">
        <v>-818.79488902725279</v>
      </c>
      <c r="M65" s="67">
        <v>-1221.0017305258662</v>
      </c>
      <c r="N65" s="67">
        <v>0</v>
      </c>
      <c r="O65" s="67">
        <v>-702.16715043387376</v>
      </c>
      <c r="P65" s="67">
        <v>-1389.3361255018972</v>
      </c>
      <c r="Q65" s="67">
        <v>-3900.8789260163903</v>
      </c>
      <c r="R65" s="67">
        <v>0</v>
      </c>
      <c r="S65" s="67">
        <v>0</v>
      </c>
      <c r="T65" s="67">
        <v>0</v>
      </c>
    </row>
    <row r="66" spans="1:24" x14ac:dyDescent="0.25">
      <c r="B66" s="67"/>
      <c r="C66" s="67"/>
      <c r="D66" s="67"/>
      <c r="E66" s="67"/>
      <c r="F66" s="67"/>
      <c r="G66" s="67"/>
      <c r="H66" s="67"/>
      <c r="I66" s="67"/>
      <c r="J66" s="67"/>
      <c r="K66" s="67"/>
      <c r="L66" s="67"/>
      <c r="M66" s="67"/>
      <c r="N66" s="67"/>
      <c r="O66" s="67"/>
      <c r="P66" s="67"/>
      <c r="Q66" s="67"/>
      <c r="R66" s="67"/>
      <c r="S66" s="67"/>
      <c r="T66" s="67"/>
      <c r="U66" s="67"/>
      <c r="V66" s="67"/>
    </row>
    <row r="67" spans="1:24" x14ac:dyDescent="0.25">
      <c r="A67" t="s">
        <v>273</v>
      </c>
      <c r="B67" s="67">
        <v>190531507.03999999</v>
      </c>
      <c r="C67" s="67">
        <v>120147377699.57143</v>
      </c>
      <c r="D67" s="67">
        <v>58277479787.473015</v>
      </c>
      <c r="E67" s="67">
        <v>22289467555.714283</v>
      </c>
      <c r="F67" s="67">
        <v>146500377.72499999</v>
      </c>
      <c r="G67" s="67">
        <v>4119185.6330542318</v>
      </c>
      <c r="H67" s="67">
        <v>19794383.351121858</v>
      </c>
      <c r="I67" s="67">
        <v>15476606.978824433</v>
      </c>
      <c r="J67" s="67">
        <v>87453416858.494965</v>
      </c>
      <c r="K67" s="67">
        <v>1109716899.9665596</v>
      </c>
      <c r="L67" s="67">
        <v>15481141.032027137</v>
      </c>
      <c r="M67" s="67">
        <v>2815815.8682997609</v>
      </c>
      <c r="N67" s="67">
        <v>21022298.892873958</v>
      </c>
      <c r="O67" s="67">
        <v>1740159.3932508202</v>
      </c>
      <c r="P67" s="67">
        <v>3106781.860164633</v>
      </c>
      <c r="Q67" s="67">
        <v>10444060.041675361</v>
      </c>
      <c r="R67" s="67">
        <v>89500693.721538812</v>
      </c>
      <c r="S67" s="67">
        <v>0</v>
      </c>
      <c r="T67" s="67">
        <v>0</v>
      </c>
      <c r="U67" s="67">
        <v>0</v>
      </c>
      <c r="V67" s="67">
        <v>289786168902.90948</v>
      </c>
    </row>
    <row r="68" spans="1:24" x14ac:dyDescent="0.25">
      <c r="A68" t="s">
        <v>274</v>
      </c>
      <c r="B68" s="67">
        <v>190531507.03999999</v>
      </c>
      <c r="C68" s="67">
        <v>120147377699.57143</v>
      </c>
      <c r="D68" s="67">
        <v>58277479787.473015</v>
      </c>
      <c r="E68" s="67">
        <v>22289467555.714283</v>
      </c>
      <c r="F68" s="67">
        <v>146500377.72499999</v>
      </c>
      <c r="G68" s="67">
        <v>4119185.6330542318</v>
      </c>
      <c r="H68" s="67">
        <v>19794383.351121858</v>
      </c>
      <c r="I68" s="67">
        <v>15476606.978824433</v>
      </c>
      <c r="J68" s="67">
        <v>87453416858.494965</v>
      </c>
      <c r="K68" s="67">
        <v>1097893990.1179597</v>
      </c>
      <c r="L68" s="67">
        <v>15481141.032027137</v>
      </c>
      <c r="M68" s="67">
        <v>2815815.8682997609</v>
      </c>
      <c r="N68" s="67">
        <v>21022298.892873958</v>
      </c>
      <c r="O68" s="67">
        <v>1740159.3932508202</v>
      </c>
      <c r="P68" s="67">
        <v>3106781.860164633</v>
      </c>
      <c r="Q68" s="67">
        <v>10444060.041675361</v>
      </c>
      <c r="R68" s="67">
        <v>89500693.721538812</v>
      </c>
      <c r="S68" s="67">
        <v>0</v>
      </c>
      <c r="T68" s="67">
        <v>0</v>
      </c>
      <c r="U68" s="67">
        <v>0</v>
      </c>
      <c r="V68" s="67">
        <v>289786168902.90948</v>
      </c>
    </row>
    <row r="69" spans="1:24" s="212" customFormat="1" ht="12.75" x14ac:dyDescent="0.2"/>
    <row r="70" spans="1:24" s="212" customFormat="1" ht="12.75" x14ac:dyDescent="0.2"/>
    <row r="71" spans="1:24" s="212" customFormat="1" ht="12.75" x14ac:dyDescent="0.2"/>
    <row r="72" spans="1:24" s="212" customFormat="1" x14ac:dyDescent="0.25">
      <c r="A72" s="9">
        <v>2015</v>
      </c>
    </row>
    <row r="73" spans="1:24" ht="60" x14ac:dyDescent="0.25">
      <c r="A73" s="2" t="s">
        <v>1</v>
      </c>
      <c r="B73" s="4" t="s">
        <v>5</v>
      </c>
      <c r="C73" s="4" t="s">
        <v>238</v>
      </c>
      <c r="D73" s="4" t="s">
        <v>74</v>
      </c>
      <c r="E73" s="4" t="s">
        <v>239</v>
      </c>
      <c r="F73" s="4" t="s">
        <v>240</v>
      </c>
      <c r="G73" s="4" t="s">
        <v>78</v>
      </c>
      <c r="H73" s="4" t="s">
        <v>6</v>
      </c>
      <c r="I73" s="4" t="s">
        <v>7</v>
      </c>
      <c r="J73" s="4" t="s">
        <v>8</v>
      </c>
      <c r="K73" s="4" t="s">
        <v>36</v>
      </c>
      <c r="L73" s="4" t="s">
        <v>9</v>
      </c>
      <c r="M73" s="4" t="s">
        <v>10</v>
      </c>
      <c r="N73" s="4" t="s">
        <v>79</v>
      </c>
      <c r="O73" s="4" t="s">
        <v>81</v>
      </c>
      <c r="P73" s="4" t="s">
        <v>80</v>
      </c>
      <c r="Q73" s="4" t="s">
        <v>0</v>
      </c>
      <c r="R73" s="4" t="s">
        <v>2</v>
      </c>
      <c r="S73" s="4" t="s">
        <v>35</v>
      </c>
      <c r="T73" s="4" t="s">
        <v>3</v>
      </c>
      <c r="U73" s="4" t="s">
        <v>220</v>
      </c>
      <c r="V73" s="116" t="s">
        <v>221</v>
      </c>
      <c r="X73" s="207"/>
    </row>
    <row r="74" spans="1:24" x14ac:dyDescent="0.25">
      <c r="A74" t="s">
        <v>241</v>
      </c>
      <c r="B74" s="66">
        <v>74362048.600000009</v>
      </c>
      <c r="C74" s="66">
        <v>141076765936.55716</v>
      </c>
      <c r="D74" s="66">
        <v>68408768246.954903</v>
      </c>
      <c r="E74" s="66">
        <v>26168343669.57143</v>
      </c>
      <c r="F74" s="66">
        <v>37354000</v>
      </c>
      <c r="G74" s="66">
        <v>131084671.45557314</v>
      </c>
      <c r="H74" s="66">
        <v>184161231.4735769</v>
      </c>
      <c r="I74" s="66">
        <v>10833373.729740381</v>
      </c>
      <c r="J74" s="66">
        <v>51920825644.024055</v>
      </c>
      <c r="K74" s="66">
        <v>1285079714.0334275</v>
      </c>
      <c r="L74" s="66">
        <v>42106971.337795794</v>
      </c>
      <c r="M74" s="66">
        <v>3373628.6569563649</v>
      </c>
      <c r="N74" s="66">
        <v>17920303.03425958</v>
      </c>
      <c r="O74" s="66">
        <v>2352550.5931418887</v>
      </c>
      <c r="P74" s="66">
        <v>3349134.6403724626</v>
      </c>
      <c r="Q74" s="66">
        <v>14773279.608141769</v>
      </c>
      <c r="R74" s="66">
        <v>278412284.31037706</v>
      </c>
      <c r="S74" s="66">
        <v>0</v>
      </c>
      <c r="T74" s="66">
        <v>0</v>
      </c>
      <c r="U74" s="66">
        <v>0</v>
      </c>
      <c r="V74" s="66">
        <v>289649942162.74634</v>
      </c>
    </row>
    <row r="75" spans="1:24" x14ac:dyDescent="0.25">
      <c r="A75" t="s">
        <v>52</v>
      </c>
      <c r="B75" s="66">
        <v>37181024.300000004</v>
      </c>
      <c r="C75" s="66">
        <v>126969089342.90146</v>
      </c>
      <c r="D75" s="66">
        <v>54708554406.891434</v>
      </c>
      <c r="E75" s="66">
        <v>20934674935.657143</v>
      </c>
      <c r="F75" s="66">
        <v>37354000</v>
      </c>
      <c r="G75" s="66">
        <v>95654109.926758602</v>
      </c>
      <c r="H75" s="66">
        <v>91601570.24080345</v>
      </c>
      <c r="I75" s="66">
        <v>6209666.2274011848</v>
      </c>
      <c r="J75" s="66">
        <v>51868887376.782013</v>
      </c>
      <c r="K75" s="66">
        <v>1035807537.9330509</v>
      </c>
      <c r="L75" s="66">
        <v>13956212.942858396</v>
      </c>
      <c r="M75" s="66">
        <v>631124.99665231653</v>
      </c>
      <c r="N75" s="66">
        <v>3232551.7321667247</v>
      </c>
      <c r="O75" s="66">
        <v>445436.44108724064</v>
      </c>
      <c r="P75" s="66">
        <v>620215.14263875049</v>
      </c>
      <c r="Q75" s="66">
        <v>5040982.2918461617</v>
      </c>
      <c r="R75" s="66">
        <v>109255555.10210356</v>
      </c>
      <c r="S75" s="66">
        <v>0</v>
      </c>
      <c r="T75" s="66">
        <v>0</v>
      </c>
      <c r="U75" s="66">
        <v>0</v>
      </c>
      <c r="V75" s="66">
        <v>255928120575.34396</v>
      </c>
    </row>
    <row r="76" spans="1:24" x14ac:dyDescent="0.25">
      <c r="A76" t="s">
        <v>242</v>
      </c>
      <c r="B76" s="66">
        <v>74362048.600000009</v>
      </c>
      <c r="C76" s="66">
        <v>141076765936.55716</v>
      </c>
      <c r="D76" s="66">
        <v>68408768246.954903</v>
      </c>
      <c r="E76" s="66">
        <v>26168343669.57143</v>
      </c>
      <c r="F76" s="66">
        <v>37354000</v>
      </c>
      <c r="G76" s="66">
        <v>131084671.45557314</v>
      </c>
      <c r="H76" s="66">
        <v>184161231.4735769</v>
      </c>
      <c r="I76" s="66">
        <v>10833373.729740381</v>
      </c>
      <c r="J76" s="66">
        <v>51920825644.024055</v>
      </c>
      <c r="K76" s="66">
        <v>1285079714.0334275</v>
      </c>
      <c r="L76" s="66">
        <v>42106971.337795794</v>
      </c>
      <c r="M76" s="66">
        <v>3373628.6569563649</v>
      </c>
      <c r="N76" s="66">
        <v>17920303.03425958</v>
      </c>
      <c r="O76" s="66">
        <v>2352550.5931418887</v>
      </c>
      <c r="P76" s="66">
        <v>3349134.6403724626</v>
      </c>
      <c r="Q76" s="66">
        <v>14773279.608141769</v>
      </c>
      <c r="R76" s="66">
        <v>278412284.31037706</v>
      </c>
      <c r="S76" s="66">
        <v>0</v>
      </c>
      <c r="T76" s="66">
        <v>0</v>
      </c>
      <c r="U76" s="66">
        <v>0</v>
      </c>
      <c r="V76" s="66">
        <v>289659866688.58087</v>
      </c>
      <c r="W76" s="67"/>
    </row>
    <row r="77" spans="1:24" x14ac:dyDescent="0.25">
      <c r="A77" t="s">
        <v>243</v>
      </c>
      <c r="B77" s="66">
        <v>37181024.300000004</v>
      </c>
      <c r="C77" s="66">
        <v>14107676593.65572</v>
      </c>
      <c r="D77" s="66">
        <v>13700213840.063467</v>
      </c>
      <c r="E77" s="66">
        <v>5233668733.9142857</v>
      </c>
      <c r="F77" s="66">
        <v>0</v>
      </c>
      <c r="G77" s="66">
        <v>35430561.528814547</v>
      </c>
      <c r="H77" s="66">
        <v>92559661.232773468</v>
      </c>
      <c r="I77" s="66">
        <v>4623707.5023391955</v>
      </c>
      <c r="J77" s="66">
        <v>51938267.24204421</v>
      </c>
      <c r="K77" s="66">
        <v>249272176.10037652</v>
      </c>
      <c r="L77" s="66">
        <v>28150758.394937404</v>
      </c>
      <c r="M77" s="66">
        <v>2742503.6603040486</v>
      </c>
      <c r="N77" s="66">
        <v>14687751.302092856</v>
      </c>
      <c r="O77" s="66">
        <v>1907114.1520546481</v>
      </c>
      <c r="P77" s="66">
        <v>2728919.4977337122</v>
      </c>
      <c r="Q77" s="66">
        <v>9732297.316295607</v>
      </c>
      <c r="R77" s="66">
        <v>169156729.20827353</v>
      </c>
      <c r="S77" s="66">
        <v>0</v>
      </c>
      <c r="T77" s="66">
        <v>0</v>
      </c>
      <c r="U77" s="66">
        <v>0</v>
      </c>
      <c r="V77" s="66">
        <v>33731746113.236904</v>
      </c>
      <c r="W77" s="98">
        <v>13.180164038795592</v>
      </c>
      <c r="X77" s="67">
        <v>7.3054526204340924</v>
      </c>
    </row>
    <row r="78" spans="1:24" x14ac:dyDescent="0.25">
      <c r="A78" t="s">
        <v>278</v>
      </c>
      <c r="B78" s="66">
        <v>0</v>
      </c>
      <c r="C78" s="66">
        <v>0</v>
      </c>
      <c r="D78" s="66">
        <v>0</v>
      </c>
      <c r="E78" s="66">
        <v>0</v>
      </c>
      <c r="F78" s="66">
        <v>0</v>
      </c>
      <c r="G78" s="66">
        <v>0</v>
      </c>
      <c r="H78" s="66">
        <v>0</v>
      </c>
      <c r="I78" s="66">
        <v>0</v>
      </c>
      <c r="J78" s="66">
        <v>0</v>
      </c>
      <c r="K78" s="66">
        <v>5758861.5393962776</v>
      </c>
      <c r="L78" s="66">
        <v>0</v>
      </c>
      <c r="M78" s="66">
        <v>0</v>
      </c>
      <c r="N78" s="66">
        <v>0</v>
      </c>
      <c r="O78" s="66">
        <v>0</v>
      </c>
      <c r="P78" s="66">
        <v>0</v>
      </c>
      <c r="Q78" s="66">
        <v>0</v>
      </c>
      <c r="R78" s="66">
        <v>0</v>
      </c>
      <c r="S78" s="66">
        <v>0</v>
      </c>
      <c r="T78" s="66">
        <v>0</v>
      </c>
      <c r="U78" s="66">
        <v>0</v>
      </c>
      <c r="V78" s="66">
        <v>0</v>
      </c>
    </row>
    <row r="79" spans="1:24" x14ac:dyDescent="0.25">
      <c r="B79" s="66">
        <v>0</v>
      </c>
      <c r="C79" s="66">
        <v>0</v>
      </c>
      <c r="D79" s="66">
        <v>0</v>
      </c>
      <c r="E79" s="66">
        <v>0</v>
      </c>
      <c r="F79" s="66">
        <v>0</v>
      </c>
      <c r="G79" s="66">
        <v>0</v>
      </c>
      <c r="H79" s="66">
        <v>0</v>
      </c>
      <c r="I79" s="66">
        <v>0</v>
      </c>
      <c r="J79" s="66">
        <v>0</v>
      </c>
      <c r="K79" s="66">
        <v>0</v>
      </c>
      <c r="L79" s="66">
        <v>0</v>
      </c>
      <c r="M79" s="66">
        <v>0</v>
      </c>
      <c r="N79" s="66">
        <v>0</v>
      </c>
      <c r="O79" s="66">
        <v>0</v>
      </c>
      <c r="P79" s="66">
        <v>0</v>
      </c>
      <c r="Q79" s="66">
        <v>0</v>
      </c>
      <c r="R79" s="66">
        <v>0</v>
      </c>
      <c r="S79" s="66">
        <v>0</v>
      </c>
      <c r="T79" s="66">
        <v>0</v>
      </c>
      <c r="U79" s="66">
        <v>0</v>
      </c>
      <c r="V79" s="66">
        <v>0</v>
      </c>
    </row>
    <row r="80" spans="1:24" x14ac:dyDescent="0.25">
      <c r="A80" t="s">
        <v>273</v>
      </c>
      <c r="B80" s="66">
        <v>74362048.600000009</v>
      </c>
      <c r="C80" s="66">
        <v>141076765936.55716</v>
      </c>
      <c r="D80" s="66">
        <v>68408768246.954903</v>
      </c>
      <c r="E80" s="66">
        <v>26168343669.57143</v>
      </c>
      <c r="F80" s="66">
        <v>37354000</v>
      </c>
      <c r="G80" s="66">
        <v>131084671.45557314</v>
      </c>
      <c r="H80" s="66">
        <v>184161231.4735769</v>
      </c>
      <c r="I80" s="66">
        <v>10833373.729740381</v>
      </c>
      <c r="J80" s="66">
        <v>51920825644.024055</v>
      </c>
      <c r="K80" s="66">
        <v>1295004239.867991</v>
      </c>
      <c r="L80" s="66">
        <v>42106971.337795794</v>
      </c>
      <c r="M80" s="66">
        <v>3373628.6569563649</v>
      </c>
      <c r="N80" s="66">
        <v>17920303.03425958</v>
      </c>
      <c r="O80" s="66">
        <v>2352550.5931418887</v>
      </c>
      <c r="P80" s="66">
        <v>3349134.6403724626</v>
      </c>
      <c r="Q80" s="66">
        <v>14773279.608141769</v>
      </c>
      <c r="R80" s="66">
        <v>278412284.31037706</v>
      </c>
      <c r="S80" s="66">
        <v>0</v>
      </c>
      <c r="T80" s="66">
        <v>0</v>
      </c>
      <c r="U80" s="66">
        <v>0</v>
      </c>
      <c r="V80" s="66">
        <v>289659866688.58087</v>
      </c>
    </row>
    <row r="81" spans="1:24" x14ac:dyDescent="0.25">
      <c r="A81" t="s">
        <v>274</v>
      </c>
      <c r="B81" s="66">
        <v>74362048.600000009</v>
      </c>
      <c r="C81" s="66">
        <v>141076765936.55716</v>
      </c>
      <c r="D81" s="66">
        <v>68408768246.954903</v>
      </c>
      <c r="E81" s="66">
        <v>26168343669.57143</v>
      </c>
      <c r="F81" s="66">
        <v>37354000</v>
      </c>
      <c r="G81" s="66">
        <v>131084671.45557314</v>
      </c>
      <c r="H81" s="66">
        <v>184161231.4735769</v>
      </c>
      <c r="I81" s="66">
        <v>10833373.729740381</v>
      </c>
      <c r="J81" s="66">
        <v>51920825644.024055</v>
      </c>
      <c r="K81" s="66">
        <v>1285079714.0334275</v>
      </c>
      <c r="L81" s="66">
        <v>42106971.337795794</v>
      </c>
      <c r="M81" s="66">
        <v>3373628.6569563649</v>
      </c>
      <c r="N81" s="66">
        <v>17920303.03425958</v>
      </c>
      <c r="O81" s="66">
        <v>2352550.5931418887</v>
      </c>
      <c r="P81" s="66">
        <v>3349134.6403724626</v>
      </c>
      <c r="Q81" s="66">
        <v>14773279.608141769</v>
      </c>
      <c r="R81" s="66">
        <v>278412284.31037706</v>
      </c>
      <c r="S81" s="66">
        <v>0</v>
      </c>
      <c r="T81" s="66">
        <v>0</v>
      </c>
      <c r="U81" s="66">
        <v>0</v>
      </c>
      <c r="V81" s="66">
        <v>289659866688.58087</v>
      </c>
    </row>
    <row r="82" spans="1:24" s="212" customFormat="1" x14ac:dyDescent="0.25">
      <c r="B82" s="66">
        <v>0</v>
      </c>
      <c r="C82" s="66">
        <v>0</v>
      </c>
      <c r="D82" s="66">
        <v>0</v>
      </c>
      <c r="E82" s="66">
        <v>0</v>
      </c>
      <c r="F82" s="66">
        <v>0</v>
      </c>
      <c r="G82" s="66">
        <v>0</v>
      </c>
      <c r="H82" s="66">
        <v>0</v>
      </c>
      <c r="I82" s="66">
        <v>0</v>
      </c>
      <c r="J82" s="66">
        <v>0</v>
      </c>
      <c r="K82" s="66">
        <v>0</v>
      </c>
      <c r="L82" s="66">
        <v>0</v>
      </c>
      <c r="M82" s="66">
        <v>0</v>
      </c>
      <c r="N82" s="66">
        <v>0</v>
      </c>
      <c r="O82" s="66">
        <v>0</v>
      </c>
      <c r="P82" s="66">
        <v>0</v>
      </c>
      <c r="Q82" s="66">
        <v>0</v>
      </c>
      <c r="R82" s="66">
        <v>0</v>
      </c>
      <c r="S82" s="66">
        <v>0</v>
      </c>
      <c r="T82" s="66">
        <v>0</v>
      </c>
      <c r="U82" s="66">
        <v>0</v>
      </c>
      <c r="V82" s="66">
        <v>0</v>
      </c>
    </row>
    <row r="83" spans="1:24" s="212" customFormat="1" ht="12.75" x14ac:dyDescent="0.2"/>
    <row r="85" spans="1:24" x14ac:dyDescent="0.25">
      <c r="A85" s="9" t="s">
        <v>318</v>
      </c>
    </row>
    <row r="86" spans="1:24" ht="60" x14ac:dyDescent="0.25">
      <c r="A86" s="2" t="s">
        <v>1</v>
      </c>
      <c r="B86" s="4" t="s">
        <v>5</v>
      </c>
      <c r="C86" s="4" t="s">
        <v>238</v>
      </c>
      <c r="D86" s="4" t="s">
        <v>74</v>
      </c>
      <c r="E86" s="4" t="s">
        <v>239</v>
      </c>
      <c r="F86" s="4" t="s">
        <v>240</v>
      </c>
      <c r="G86" s="4" t="s">
        <v>78</v>
      </c>
      <c r="H86" s="4" t="s">
        <v>6</v>
      </c>
      <c r="I86" s="4" t="s">
        <v>7</v>
      </c>
      <c r="J86" s="4" t="s">
        <v>8</v>
      </c>
      <c r="K86" s="4" t="s">
        <v>36</v>
      </c>
      <c r="L86" s="4" t="s">
        <v>9</v>
      </c>
      <c r="M86" s="4" t="s">
        <v>10</v>
      </c>
      <c r="N86" s="4" t="s">
        <v>79</v>
      </c>
      <c r="O86" s="4" t="s">
        <v>81</v>
      </c>
      <c r="P86" s="4" t="s">
        <v>80</v>
      </c>
      <c r="Q86" s="4" t="s">
        <v>0</v>
      </c>
      <c r="R86" s="4" t="s">
        <v>2</v>
      </c>
      <c r="S86" s="4" t="s">
        <v>35</v>
      </c>
      <c r="T86" s="4" t="s">
        <v>3</v>
      </c>
      <c r="U86" s="4" t="s">
        <v>220</v>
      </c>
      <c r="V86" s="116" t="s">
        <v>221</v>
      </c>
      <c r="X86" s="207"/>
    </row>
    <row r="87" spans="1:24" x14ac:dyDescent="0.25">
      <c r="A87" s="212" t="s">
        <v>241</v>
      </c>
      <c r="B87" s="210">
        <f>B34/B45-1</f>
        <v>0.16718370273447913</v>
      </c>
      <c r="C87" s="210">
        <f t="shared" ref="C87:V87" si="2">C34/C45-1</f>
        <v>0</v>
      </c>
      <c r="D87" s="210">
        <f t="shared" si="2"/>
        <v>1.1733359073229366E-6</v>
      </c>
      <c r="E87" s="210">
        <f t="shared" si="2"/>
        <v>2.5638948586426125E-7</v>
      </c>
      <c r="F87" s="210">
        <f t="shared" si="2"/>
        <v>-0.1060548512246634</v>
      </c>
      <c r="G87" s="210">
        <f t="shared" si="2"/>
        <v>2.194263754791387</v>
      </c>
      <c r="H87" s="210">
        <f t="shared" si="2"/>
        <v>4.7383943801667039</v>
      </c>
      <c r="I87" s="210">
        <f t="shared" si="2"/>
        <v>1.9427970737699862E-2</v>
      </c>
      <c r="J87" s="210">
        <f t="shared" si="2"/>
        <v>3.1001347299128623E-2</v>
      </c>
      <c r="K87" s="210">
        <f t="shared" si="2"/>
        <v>-9.138712715995867E-4</v>
      </c>
      <c r="L87" s="210">
        <f t="shared" si="2"/>
        <v>8.2499692671682556</v>
      </c>
      <c r="M87" s="210">
        <f t="shared" si="2"/>
        <v>-3.6446366535050956E-2</v>
      </c>
      <c r="N87" s="210">
        <f t="shared" si="2"/>
        <v>-3.5825987037326645E-2</v>
      </c>
      <c r="O87" s="210">
        <f t="shared" si="2"/>
        <v>-2.6617552058236016E-2</v>
      </c>
      <c r="P87" s="210">
        <f t="shared" si="2"/>
        <v>0.11200631466250699</v>
      </c>
      <c r="Q87" s="210">
        <f t="shared" si="2"/>
        <v>-9.5455193885690681E-3</v>
      </c>
      <c r="R87" s="210">
        <f t="shared" si="2"/>
        <v>-4.5222894108952527E-2</v>
      </c>
      <c r="S87" s="210"/>
      <c r="T87" s="210"/>
      <c r="U87" s="210"/>
      <c r="V87" s="210">
        <f t="shared" si="2"/>
        <v>1.018099453411514E-2</v>
      </c>
    </row>
    <row r="88" spans="1:24" x14ac:dyDescent="0.25">
      <c r="A88" s="212" t="s">
        <v>52</v>
      </c>
      <c r="B88" s="210">
        <f>B35/B46-1</f>
        <v>0.16718370273447913</v>
      </c>
      <c r="C88" s="210">
        <f t="shared" ref="C88:V94" si="3">C35/C46-1</f>
        <v>0</v>
      </c>
      <c r="D88" s="210">
        <f t="shared" si="3"/>
        <v>0</v>
      </c>
      <c r="E88" s="210">
        <f t="shared" si="3"/>
        <v>0</v>
      </c>
      <c r="F88" s="210">
        <f t="shared" si="3"/>
        <v>-0.1060548512246634</v>
      </c>
      <c r="G88" s="210">
        <f t="shared" si="3"/>
        <v>2.6178328123752284</v>
      </c>
      <c r="H88" s="210">
        <f t="shared" si="3"/>
        <v>4.9564932209023027</v>
      </c>
      <c r="I88" s="210">
        <f t="shared" si="3"/>
        <v>2.2857550792353187E-2</v>
      </c>
      <c r="J88" s="210">
        <f t="shared" si="3"/>
        <v>3.1001374822194672E-2</v>
      </c>
      <c r="K88" s="210">
        <f t="shared" si="3"/>
        <v>-1.1907336046503847E-2</v>
      </c>
      <c r="L88" s="210">
        <f t="shared" si="3"/>
        <v>8.3496330916828256</v>
      </c>
      <c r="M88" s="210">
        <f t="shared" si="3"/>
        <v>-3.3299497814912149E-2</v>
      </c>
      <c r="N88" s="210">
        <f t="shared" si="3"/>
        <v>-3.248699748713435E-2</v>
      </c>
      <c r="O88" s="210">
        <f t="shared" si="3"/>
        <v>-2.3041688716500919E-2</v>
      </c>
      <c r="P88" s="210">
        <f t="shared" si="3"/>
        <v>0.12414701895109248</v>
      </c>
      <c r="Q88" s="210">
        <f t="shared" si="3"/>
        <v>-5.0847427954052726E-3</v>
      </c>
      <c r="R88" s="210">
        <f t="shared" si="3"/>
        <v>-4.331457737825084E-2</v>
      </c>
      <c r="S88" s="210"/>
      <c r="T88" s="210"/>
      <c r="U88" s="210"/>
      <c r="V88" s="210">
        <f t="shared" si="3"/>
        <v>1.0621915540365512E-2</v>
      </c>
    </row>
    <row r="89" spans="1:24" x14ac:dyDescent="0.25">
      <c r="A89" s="212" t="s">
        <v>242</v>
      </c>
      <c r="B89" s="210">
        <f>B36/B47-1</f>
        <v>0.16718370273447913</v>
      </c>
      <c r="C89" s="210">
        <f t="shared" ref="C89:Q89" si="4">C36/C47-1</f>
        <v>0</v>
      </c>
      <c r="D89" s="210">
        <f t="shared" si="4"/>
        <v>1.1733359073229366E-6</v>
      </c>
      <c r="E89" s="210">
        <f t="shared" si="4"/>
        <v>2.5638948586426125E-7</v>
      </c>
      <c r="F89" s="210">
        <f t="shared" si="4"/>
        <v>-0.10605485122466363</v>
      </c>
      <c r="G89" s="210">
        <f t="shared" si="4"/>
        <v>2.194263754791387</v>
      </c>
      <c r="H89" s="210">
        <f t="shared" si="4"/>
        <v>4.7383943801667039</v>
      </c>
      <c r="I89" s="210">
        <f t="shared" si="4"/>
        <v>1.9427970737699862E-2</v>
      </c>
      <c r="J89" s="210">
        <f t="shared" si="4"/>
        <v>3.1001347299128623E-2</v>
      </c>
      <c r="K89" s="210">
        <f t="shared" si="4"/>
        <v>-9.138712715995867E-4</v>
      </c>
      <c r="L89" s="210">
        <f t="shared" si="4"/>
        <v>8.2499692671682556</v>
      </c>
      <c r="M89" s="210">
        <f t="shared" si="4"/>
        <v>-3.6446366535050956E-2</v>
      </c>
      <c r="N89" s="210">
        <f t="shared" si="4"/>
        <v>-3.5825987037326645E-2</v>
      </c>
      <c r="O89" s="210">
        <f t="shared" si="4"/>
        <v>-2.6617552058235794E-2</v>
      </c>
      <c r="P89" s="210">
        <f t="shared" si="4"/>
        <v>0.11200631466250721</v>
      </c>
      <c r="Q89" s="210">
        <f t="shared" si="4"/>
        <v>-9.5455193885690681E-3</v>
      </c>
      <c r="R89" s="210">
        <f t="shared" si="3"/>
        <v>-4.5222894108952527E-2</v>
      </c>
      <c r="S89" s="210"/>
      <c r="T89" s="210"/>
      <c r="U89" s="210"/>
      <c r="V89" s="210">
        <f t="shared" si="3"/>
        <v>1.0177120997269196E-2</v>
      </c>
    </row>
    <row r="90" spans="1:24" x14ac:dyDescent="0.25">
      <c r="A90" s="212" t="s">
        <v>243</v>
      </c>
      <c r="B90" s="210">
        <f>B37/B48-1</f>
        <v>0.16718370273447913</v>
      </c>
      <c r="C90" s="210">
        <f t="shared" si="3"/>
        <v>0</v>
      </c>
      <c r="D90" s="210">
        <f t="shared" si="3"/>
        <v>5.8665563218429639E-6</v>
      </c>
      <c r="E90" s="210">
        <f t="shared" si="3"/>
        <v>1.2812690384222947E-6</v>
      </c>
      <c r="F90" s="210" t="e">
        <f t="shared" si="3"/>
        <v>#DIV/0!</v>
      </c>
      <c r="G90" s="210">
        <f t="shared" si="3"/>
        <v>1.5977611030116163</v>
      </c>
      <c r="H90" s="210">
        <f t="shared" si="3"/>
        <v>4.5383761648518144</v>
      </c>
      <c r="I90" s="210">
        <f t="shared" si="3"/>
        <v>1.4666892550260435E-2</v>
      </c>
      <c r="J90" s="210">
        <f t="shared" si="3"/>
        <v>3.0973858163908741E-2</v>
      </c>
      <c r="K90" s="210">
        <f t="shared" si="3"/>
        <v>3.0285748848754235E-2</v>
      </c>
      <c r="L90" s="210">
        <f t="shared" si="3"/>
        <v>8.2254201466245309</v>
      </c>
      <c r="M90" s="210">
        <f t="shared" si="3"/>
        <v>-3.7176365157024716E-2</v>
      </c>
      <c r="N90" s="210">
        <f t="shared" si="3"/>
        <v>-3.6597870447849123E-2</v>
      </c>
      <c r="O90" s="210">
        <f t="shared" si="3"/>
        <v>-2.7449972860875027E-2</v>
      </c>
      <c r="P90" s="210">
        <f t="shared" si="3"/>
        <v>0.10918612197655397</v>
      </c>
      <c r="Q90" s="210">
        <f t="shared" si="3"/>
        <v>-1.0585888320909564E-2</v>
      </c>
      <c r="R90" s="210">
        <f t="shared" si="3"/>
        <v>-4.640525008720453E-2</v>
      </c>
      <c r="S90" s="210"/>
      <c r="T90" s="210"/>
      <c r="U90" s="210"/>
      <c r="V90" s="210">
        <f t="shared" si="3"/>
        <v>6.1416174366084597E-3</v>
      </c>
    </row>
    <row r="91" spans="1:24" x14ac:dyDescent="0.25">
      <c r="A91" s="212" t="s">
        <v>278</v>
      </c>
      <c r="B91" s="210">
        <f>B38/B49-1</f>
        <v>0.16718370273447913</v>
      </c>
      <c r="C91" s="210">
        <f t="shared" si="3"/>
        <v>0</v>
      </c>
      <c r="D91" s="210">
        <f t="shared" si="3"/>
        <v>5.8665563218429639E-6</v>
      </c>
      <c r="E91" s="210">
        <f t="shared" si="3"/>
        <v>1.2812690384222947E-6</v>
      </c>
      <c r="F91" s="210" t="e">
        <f t="shared" si="3"/>
        <v>#DIV/0!</v>
      </c>
      <c r="G91" s="210">
        <f t="shared" si="3"/>
        <v>1.5977611030116163</v>
      </c>
      <c r="H91" s="210">
        <f t="shared" si="3"/>
        <v>4.5383761648518144</v>
      </c>
      <c r="I91" s="210">
        <f t="shared" si="3"/>
        <v>1.4666892550260435E-2</v>
      </c>
      <c r="J91" s="210">
        <f t="shared" si="3"/>
        <v>3.0973858163908741E-2</v>
      </c>
      <c r="K91" s="210">
        <f t="shared" si="3"/>
        <v>3.2775176787795512E-2</v>
      </c>
      <c r="L91" s="210">
        <f t="shared" si="3"/>
        <v>8.2254201466245309</v>
      </c>
      <c r="M91" s="210">
        <f t="shared" si="3"/>
        <v>-3.7176365157024716E-2</v>
      </c>
      <c r="N91" s="210">
        <f t="shared" si="3"/>
        <v>-3.6597870447849123E-2</v>
      </c>
      <c r="O91" s="210">
        <f t="shared" si="3"/>
        <v>-2.7449972860875027E-2</v>
      </c>
      <c r="P91" s="210">
        <f t="shared" si="3"/>
        <v>0.10918612197655397</v>
      </c>
      <c r="Q91" s="210">
        <f t="shared" si="3"/>
        <v>-1.0585888320909564E-2</v>
      </c>
      <c r="R91" s="210">
        <f t="shared" si="3"/>
        <v>-4.640525008720453E-2</v>
      </c>
      <c r="S91" s="210"/>
      <c r="T91" s="210"/>
      <c r="U91" s="210"/>
      <c r="V91" s="210" t="e">
        <f t="shared" si="3"/>
        <v>#DIV/0!</v>
      </c>
    </row>
    <row r="92" spans="1:24" x14ac:dyDescent="0.25">
      <c r="A92" s="212"/>
      <c r="B92" s="210"/>
      <c r="C92" s="210"/>
      <c r="D92" s="210"/>
      <c r="E92" s="210"/>
      <c r="F92" s="210"/>
      <c r="G92" s="210"/>
      <c r="H92" s="210"/>
      <c r="I92" s="210"/>
      <c r="J92" s="210"/>
      <c r="K92" s="210"/>
      <c r="L92" s="210"/>
      <c r="M92" s="210"/>
      <c r="N92" s="210"/>
      <c r="O92" s="210"/>
      <c r="P92" s="210"/>
      <c r="Q92" s="210"/>
      <c r="R92" s="210"/>
      <c r="S92" s="210"/>
      <c r="T92" s="210"/>
      <c r="U92" s="210"/>
      <c r="V92" s="210"/>
    </row>
    <row r="93" spans="1:24" x14ac:dyDescent="0.25">
      <c r="A93" s="212" t="s">
        <v>273</v>
      </c>
      <c r="B93" s="210">
        <f>B40/B51-1</f>
        <v>0.16718370273447913</v>
      </c>
      <c r="C93" s="210">
        <f t="shared" si="3"/>
        <v>0</v>
      </c>
      <c r="D93" s="210">
        <f t="shared" si="3"/>
        <v>1.1733359073229366E-6</v>
      </c>
      <c r="E93" s="210">
        <f t="shared" si="3"/>
        <v>2.5638948586426125E-7</v>
      </c>
      <c r="F93" s="210">
        <f t="shared" si="3"/>
        <v>-0.1060548512246634</v>
      </c>
      <c r="G93" s="210">
        <f t="shared" si="3"/>
        <v>2.194263754791387</v>
      </c>
      <c r="H93" s="210">
        <f t="shared" si="3"/>
        <v>4.7383943801667039</v>
      </c>
      <c r="I93" s="210">
        <f t="shared" si="3"/>
        <v>1.9427970737699862E-2</v>
      </c>
      <c r="J93" s="210">
        <f t="shared" si="3"/>
        <v>3.1001347299128623E-2</v>
      </c>
      <c r="K93" s="210">
        <f t="shared" si="3"/>
        <v>-1.8087589481755595E-3</v>
      </c>
      <c r="L93" s="210">
        <f t="shared" si="3"/>
        <v>8.2499692671682556</v>
      </c>
      <c r="M93" s="210">
        <f t="shared" si="3"/>
        <v>-3.6446366535050956E-2</v>
      </c>
      <c r="N93" s="210">
        <f t="shared" si="3"/>
        <v>-3.5825987037326645E-2</v>
      </c>
      <c r="O93" s="210">
        <f t="shared" si="3"/>
        <v>-2.6617552058236016E-2</v>
      </c>
      <c r="P93" s="210">
        <f t="shared" si="3"/>
        <v>0.11200631466250699</v>
      </c>
      <c r="Q93" s="210">
        <f t="shared" si="3"/>
        <v>-9.5455193885690681E-3</v>
      </c>
      <c r="R93" s="210">
        <f t="shared" si="3"/>
        <v>-4.5222894108952527E-2</v>
      </c>
      <c r="S93" s="210"/>
      <c r="T93" s="210"/>
      <c r="U93" s="210"/>
      <c r="V93" s="210">
        <f t="shared" si="3"/>
        <v>1.0177120997269196E-2</v>
      </c>
    </row>
    <row r="94" spans="1:24" x14ac:dyDescent="0.25">
      <c r="A94" s="212" t="s">
        <v>274</v>
      </c>
      <c r="B94" s="210">
        <f>B41/B52-1</f>
        <v>0.16718370273447913</v>
      </c>
      <c r="C94" s="210">
        <f t="shared" si="3"/>
        <v>0</v>
      </c>
      <c r="D94" s="210">
        <f t="shared" si="3"/>
        <v>1.1733359073229366E-6</v>
      </c>
      <c r="E94" s="210">
        <f t="shared" si="3"/>
        <v>2.5638948586426125E-7</v>
      </c>
      <c r="F94" s="210">
        <f t="shared" si="3"/>
        <v>-0.1060548512246634</v>
      </c>
      <c r="G94" s="210">
        <f t="shared" si="3"/>
        <v>2.194263754791387</v>
      </c>
      <c r="H94" s="210">
        <f t="shared" si="3"/>
        <v>4.7383943801667039</v>
      </c>
      <c r="I94" s="210">
        <f t="shared" si="3"/>
        <v>1.9427970737699862E-2</v>
      </c>
      <c r="J94" s="210">
        <f t="shared" si="3"/>
        <v>3.1001347299128623E-2</v>
      </c>
      <c r="K94" s="210">
        <f t="shared" si="3"/>
        <v>-9.138712715995867E-4</v>
      </c>
      <c r="L94" s="210">
        <f t="shared" si="3"/>
        <v>8.2499692671682556</v>
      </c>
      <c r="M94" s="210">
        <f t="shared" si="3"/>
        <v>-3.6446366535050956E-2</v>
      </c>
      <c r="N94" s="210">
        <f t="shared" si="3"/>
        <v>-3.5825987037326645E-2</v>
      </c>
      <c r="O94" s="210">
        <f t="shared" si="3"/>
        <v>-2.6617552058236016E-2</v>
      </c>
      <c r="P94" s="210">
        <f t="shared" si="3"/>
        <v>0.11200631466250699</v>
      </c>
      <c r="Q94" s="210">
        <f t="shared" si="3"/>
        <v>-9.5455193885690681E-3</v>
      </c>
      <c r="R94" s="210">
        <f t="shared" si="3"/>
        <v>-4.5222894108952527E-2</v>
      </c>
      <c r="S94" s="210"/>
      <c r="T94" s="210"/>
      <c r="U94" s="210"/>
      <c r="V94" s="210">
        <f t="shared" si="3"/>
        <v>1.0177120997269196E-2</v>
      </c>
    </row>
    <row r="99" spans="1:24" x14ac:dyDescent="0.25">
      <c r="A99" s="9" t="s">
        <v>319</v>
      </c>
    </row>
    <row r="100" spans="1:24" ht="60" x14ac:dyDescent="0.25">
      <c r="A100" s="2" t="s">
        <v>1</v>
      </c>
      <c r="B100" s="4" t="s">
        <v>5</v>
      </c>
      <c r="C100" s="4" t="s">
        <v>238</v>
      </c>
      <c r="D100" s="4" t="s">
        <v>74</v>
      </c>
      <c r="E100" s="4" t="s">
        <v>239</v>
      </c>
      <c r="F100" s="4" t="s">
        <v>240</v>
      </c>
      <c r="G100" s="4" t="s">
        <v>78</v>
      </c>
      <c r="H100" s="4" t="s">
        <v>6</v>
      </c>
      <c r="I100" s="4" t="s">
        <v>7</v>
      </c>
      <c r="J100" s="4" t="s">
        <v>8</v>
      </c>
      <c r="K100" s="4" t="s">
        <v>36</v>
      </c>
      <c r="L100" s="4" t="s">
        <v>9</v>
      </c>
      <c r="M100" s="4" t="s">
        <v>10</v>
      </c>
      <c r="N100" s="4" t="s">
        <v>79</v>
      </c>
      <c r="O100" s="4" t="s">
        <v>81</v>
      </c>
      <c r="P100" s="4" t="s">
        <v>80</v>
      </c>
      <c r="Q100" s="4" t="s">
        <v>0</v>
      </c>
      <c r="R100" s="4" t="s">
        <v>2</v>
      </c>
      <c r="S100" s="4" t="s">
        <v>35</v>
      </c>
      <c r="T100" s="4" t="s">
        <v>3</v>
      </c>
      <c r="U100" s="4" t="s">
        <v>220</v>
      </c>
      <c r="V100" s="116" t="s">
        <v>221</v>
      </c>
      <c r="X100" s="207"/>
    </row>
    <row r="101" spans="1:24" x14ac:dyDescent="0.25">
      <c r="A101" s="212" t="s">
        <v>241</v>
      </c>
      <c r="B101" s="210">
        <f>B45/B61-1</f>
        <v>-0.30171481731854144</v>
      </c>
      <c r="C101" s="210">
        <f t="shared" ref="C101:V104" si="5">C45/C61-1</f>
        <v>0.1199206080869557</v>
      </c>
      <c r="D101" s="210">
        <f t="shared" si="5"/>
        <v>0.11921315934310894</v>
      </c>
      <c r="E101" s="210">
        <f t="shared" si="5"/>
        <v>0.11990212333142947</v>
      </c>
      <c r="F101" s="210">
        <f t="shared" si="5"/>
        <v>2.1599010078593217E-2</v>
      </c>
      <c r="G101" s="210">
        <f t="shared" si="5"/>
        <v>0.26268107014985143</v>
      </c>
      <c r="H101" s="210">
        <f t="shared" si="5"/>
        <v>0.45500629296853146</v>
      </c>
      <c r="I101" s="210">
        <f t="shared" si="5"/>
        <v>0.30287542695761527</v>
      </c>
      <c r="J101" s="210">
        <f t="shared" si="5"/>
        <v>0.11332322668267403</v>
      </c>
      <c r="K101" s="210">
        <f t="shared" si="5"/>
        <v>0.11961123436512233</v>
      </c>
      <c r="L101" s="210">
        <f t="shared" si="5"/>
        <v>3.9132086392987375E-2</v>
      </c>
      <c r="M101" s="210">
        <f t="shared" si="5"/>
        <v>0.71977243927739543</v>
      </c>
      <c r="N101" s="210">
        <f t="shared" si="5"/>
        <v>0.77669941985479651</v>
      </c>
      <c r="O101" s="210">
        <f t="shared" si="5"/>
        <v>0.67699299470108354</v>
      </c>
      <c r="P101" s="210">
        <f t="shared" si="5"/>
        <v>0.80572869196868413</v>
      </c>
      <c r="Q101" s="210">
        <f t="shared" si="5"/>
        <v>0.59331433721903215</v>
      </c>
      <c r="R101" s="210">
        <f t="shared" si="5"/>
        <v>0.75629856897792624</v>
      </c>
      <c r="S101" s="210" t="e">
        <f t="shared" si="5"/>
        <v>#DIV/0!</v>
      </c>
      <c r="T101" s="210" t="e">
        <f t="shared" si="5"/>
        <v>#DIV/0!</v>
      </c>
      <c r="U101" s="210" t="e">
        <f t="shared" si="5"/>
        <v>#DIV/0!</v>
      </c>
      <c r="V101" s="210">
        <f t="shared" si="5"/>
        <v>0.11776705430821544</v>
      </c>
    </row>
    <row r="102" spans="1:24" x14ac:dyDescent="0.25">
      <c r="A102" s="212" t="s">
        <v>52</v>
      </c>
      <c r="B102" s="210">
        <f>B46/B62-1</f>
        <v>-0.30171481731854144</v>
      </c>
      <c r="C102" s="210">
        <f t="shared" ref="C102:Q102" si="6">C46/C62-1</f>
        <v>0.1199206080869557</v>
      </c>
      <c r="D102" s="210">
        <f t="shared" si="6"/>
        <v>0.11992060808695593</v>
      </c>
      <c r="E102" s="210">
        <f t="shared" si="6"/>
        <v>0.1199206080869557</v>
      </c>
      <c r="F102" s="210">
        <f t="shared" si="6"/>
        <v>2.1599010078593217E-2</v>
      </c>
      <c r="G102" s="210">
        <f t="shared" si="6"/>
        <v>5.5685480491471706E-2</v>
      </c>
      <c r="H102" s="210">
        <f t="shared" si="6"/>
        <v>0.47726767882971433</v>
      </c>
      <c r="I102" s="210">
        <f t="shared" si="6"/>
        <v>0.31106564043850526</v>
      </c>
      <c r="J102" s="210">
        <f t="shared" si="6"/>
        <v>0.11332323194612437</v>
      </c>
      <c r="K102" s="210">
        <f t="shared" si="6"/>
        <v>-0.15734832480555283</v>
      </c>
      <c r="L102" s="210">
        <f t="shared" si="6"/>
        <v>3.8539777363015171E-2</v>
      </c>
      <c r="M102" s="210">
        <f t="shared" si="6"/>
        <v>0.78363695591703819</v>
      </c>
      <c r="N102" s="210">
        <f t="shared" si="6"/>
        <v>0.8525249612383039</v>
      </c>
      <c r="O102" s="210">
        <f t="shared" si="6"/>
        <v>0.73198943840968655</v>
      </c>
      <c r="P102" s="210">
        <f t="shared" si="6"/>
        <v>0.88083753513574381</v>
      </c>
      <c r="Q102" s="210">
        <f t="shared" si="6"/>
        <v>0.63664689830048515</v>
      </c>
      <c r="R102" s="210">
        <f t="shared" si="5"/>
        <v>0.80650694013593949</v>
      </c>
      <c r="S102" s="210" t="e">
        <f t="shared" si="5"/>
        <v>#DIV/0!</v>
      </c>
      <c r="T102" s="210" t="e">
        <f t="shared" si="5"/>
        <v>#DIV/0!</v>
      </c>
      <c r="U102" s="210" t="e">
        <f t="shared" si="5"/>
        <v>#DIV/0!</v>
      </c>
      <c r="V102" s="210">
        <f t="shared" si="5"/>
        <v>0.11648344794170473</v>
      </c>
    </row>
    <row r="103" spans="1:24" x14ac:dyDescent="0.25">
      <c r="A103" s="212" t="s">
        <v>242</v>
      </c>
      <c r="B103" s="210">
        <f>B47/B63-1</f>
        <v>-0.30171481731854144</v>
      </c>
      <c r="C103" s="210">
        <f t="shared" si="5"/>
        <v>0.1199206080869557</v>
      </c>
      <c r="D103" s="210">
        <f t="shared" si="5"/>
        <v>0.11921315934310894</v>
      </c>
      <c r="E103" s="210">
        <f t="shared" si="5"/>
        <v>0.11990212333142947</v>
      </c>
      <c r="F103" s="210">
        <f t="shared" si="5"/>
        <v>2.1599010078593439E-2</v>
      </c>
      <c r="G103" s="210">
        <f t="shared" si="5"/>
        <v>0.26268107014985143</v>
      </c>
      <c r="H103" s="210">
        <f t="shared" si="5"/>
        <v>0.45500629296853146</v>
      </c>
      <c r="I103" s="210">
        <f t="shared" si="5"/>
        <v>0.30287542695761527</v>
      </c>
      <c r="J103" s="210">
        <f t="shared" si="5"/>
        <v>0.11332322668267403</v>
      </c>
      <c r="K103" s="210">
        <f t="shared" si="5"/>
        <v>0.11961123436512233</v>
      </c>
      <c r="L103" s="210">
        <f t="shared" si="5"/>
        <v>3.9132086392987597E-2</v>
      </c>
      <c r="M103" s="210">
        <f t="shared" si="5"/>
        <v>0.71977243927739543</v>
      </c>
      <c r="N103" s="210">
        <f t="shared" si="5"/>
        <v>0.77669941985479651</v>
      </c>
      <c r="O103" s="210">
        <f t="shared" si="5"/>
        <v>0.67699299470108332</v>
      </c>
      <c r="P103" s="210">
        <f t="shared" si="5"/>
        <v>0.80572869196868369</v>
      </c>
      <c r="Q103" s="210">
        <f t="shared" si="5"/>
        <v>0.59331433721903215</v>
      </c>
      <c r="R103" s="210">
        <f t="shared" si="5"/>
        <v>0.75629856897792624</v>
      </c>
      <c r="S103" s="210" t="e">
        <f t="shared" si="5"/>
        <v>#DIV/0!</v>
      </c>
      <c r="T103" s="210" t="e">
        <f t="shared" si="5"/>
        <v>#DIV/0!</v>
      </c>
      <c r="U103" s="210" t="e">
        <f t="shared" si="5"/>
        <v>#DIV/0!</v>
      </c>
      <c r="V103" s="210">
        <f t="shared" si="5"/>
        <v>0.11776597006641421</v>
      </c>
    </row>
    <row r="104" spans="1:24" x14ac:dyDescent="0.25">
      <c r="A104" s="212" t="s">
        <v>243</v>
      </c>
      <c r="B104" s="210">
        <f>B48/B64-1</f>
        <v>-0.30171481731854144</v>
      </c>
      <c r="C104" s="210">
        <f t="shared" si="5"/>
        <v>0.11992060808695393</v>
      </c>
      <c r="D104" s="210">
        <f t="shared" si="5"/>
        <v>0.11639235355353561</v>
      </c>
      <c r="E104" s="210">
        <f t="shared" si="5"/>
        <v>0.1198282393131973</v>
      </c>
      <c r="F104" s="210" t="e">
        <f t="shared" si="5"/>
        <v>#DIV/0!</v>
      </c>
      <c r="G104" s="210">
        <f t="shared" si="5"/>
        <v>0.74434952876597871</v>
      </c>
      <c r="H104" s="210">
        <f t="shared" si="5"/>
        <v>0.43517216121961244</v>
      </c>
      <c r="I104" s="210">
        <f t="shared" si="5"/>
        <v>0.29167362355888704</v>
      </c>
      <c r="J104" s="210">
        <f t="shared" si="5"/>
        <v>0.11331796974608732</v>
      </c>
      <c r="K104" s="210">
        <f t="shared" si="5"/>
        <v>15.65792672628594</v>
      </c>
      <c r="L104" s="210">
        <f t="shared" si="5"/>
        <v>3.9278087241072734E-2</v>
      </c>
      <c r="M104" s="210">
        <f t="shared" si="5"/>
        <v>0.70560552790125763</v>
      </c>
      <c r="N104" s="210">
        <f t="shared" si="5"/>
        <v>0.76004567005486567</v>
      </c>
      <c r="O104" s="210">
        <f t="shared" si="5"/>
        <v>0.66468792131791155</v>
      </c>
      <c r="P104" s="210">
        <f t="shared" si="5"/>
        <v>0.78913216885845094</v>
      </c>
      <c r="Q104" s="210">
        <f t="shared" si="5"/>
        <v>0.58353601794121146</v>
      </c>
      <c r="R104" s="210">
        <f t="shared" si="5"/>
        <v>0.72656700676149688</v>
      </c>
      <c r="S104" s="210" t="e">
        <f t="shared" si="5"/>
        <v>#DIV/0!</v>
      </c>
      <c r="T104" s="210" t="e">
        <f t="shared" si="5"/>
        <v>#DIV/0!</v>
      </c>
      <c r="U104" s="210" t="e">
        <f t="shared" si="5"/>
        <v>#DIV/0!</v>
      </c>
      <c r="V104" s="210">
        <f t="shared" si="5"/>
        <v>0.12953800957376327</v>
      </c>
    </row>
    <row r="105" spans="1:24" x14ac:dyDescent="0.25">
      <c r="A105" s="212" t="s">
        <v>278</v>
      </c>
      <c r="B105" s="210"/>
      <c r="C105" s="210"/>
      <c r="D105" s="210"/>
      <c r="E105" s="210"/>
      <c r="F105" s="210"/>
      <c r="G105" s="210"/>
      <c r="H105" s="210"/>
      <c r="I105" s="210"/>
      <c r="J105" s="210"/>
      <c r="K105" s="210"/>
      <c r="L105" s="210"/>
      <c r="M105" s="210"/>
      <c r="N105" s="210"/>
      <c r="O105" s="210"/>
      <c r="P105" s="210"/>
      <c r="Q105" s="210"/>
      <c r="R105" s="210"/>
      <c r="S105" s="210"/>
      <c r="T105" s="210"/>
      <c r="U105" s="210"/>
      <c r="V105" s="210"/>
    </row>
    <row r="106" spans="1:24" x14ac:dyDescent="0.25">
      <c r="A106" s="212"/>
      <c r="B106" s="210"/>
      <c r="C106" s="210"/>
      <c r="D106" s="210"/>
      <c r="E106" s="210"/>
      <c r="F106" s="210"/>
      <c r="G106" s="210"/>
      <c r="H106" s="210"/>
      <c r="I106" s="210"/>
      <c r="J106" s="210"/>
      <c r="K106" s="210"/>
      <c r="L106" s="210"/>
      <c r="M106" s="210"/>
      <c r="N106" s="210"/>
      <c r="O106" s="210"/>
      <c r="P106" s="210"/>
      <c r="Q106" s="210"/>
      <c r="R106" s="210"/>
      <c r="S106" s="210"/>
      <c r="T106" s="210"/>
      <c r="U106" s="210"/>
      <c r="V106" s="210"/>
    </row>
    <row r="107" spans="1:24" x14ac:dyDescent="0.25">
      <c r="A107" s="212" t="s">
        <v>273</v>
      </c>
      <c r="B107" s="210">
        <f t="shared" ref="B107:Q107" si="7">B51/B67-1</f>
        <v>-0.30171481731854144</v>
      </c>
      <c r="C107" s="210">
        <f t="shared" si="7"/>
        <v>0.1199206080869557</v>
      </c>
      <c r="D107" s="210">
        <f t="shared" si="7"/>
        <v>0.11921315934310894</v>
      </c>
      <c r="E107" s="210">
        <f t="shared" si="7"/>
        <v>0.11990212333142947</v>
      </c>
      <c r="F107" s="210">
        <f t="shared" si="7"/>
        <v>2.1599010078593217E-2</v>
      </c>
      <c r="G107" s="210">
        <f t="shared" si="7"/>
        <v>0.26268107014985143</v>
      </c>
      <c r="H107" s="210">
        <f t="shared" si="7"/>
        <v>0.45500629296853146</v>
      </c>
      <c r="I107" s="210">
        <f t="shared" si="7"/>
        <v>0.30287542695761527</v>
      </c>
      <c r="J107" s="210">
        <f t="shared" si="7"/>
        <v>0.11332322668267403</v>
      </c>
      <c r="K107" s="210">
        <f t="shared" si="7"/>
        <v>0.11930845277074575</v>
      </c>
      <c r="L107" s="210">
        <f t="shared" si="7"/>
        <v>3.9132086392987375E-2</v>
      </c>
      <c r="M107" s="210">
        <f t="shared" si="7"/>
        <v>0.71977243927739543</v>
      </c>
      <c r="N107" s="210">
        <f t="shared" si="7"/>
        <v>0.77669941985479651</v>
      </c>
      <c r="O107" s="210">
        <f t="shared" si="7"/>
        <v>0.67699299470108354</v>
      </c>
      <c r="P107" s="210">
        <f t="shared" si="7"/>
        <v>0.80572869196868413</v>
      </c>
      <c r="Q107" s="210">
        <f t="shared" si="7"/>
        <v>0.59331433721903215</v>
      </c>
      <c r="R107" s="210">
        <f>R51/R67-1</f>
        <v>0.75629856897792624</v>
      </c>
      <c r="S107" s="210" t="e">
        <f>S51/S67-1</f>
        <v>#DIV/0!</v>
      </c>
      <c r="T107" s="210" t="e">
        <f>T51/T67-1</f>
        <v>#DIV/0!</v>
      </c>
      <c r="U107" s="210" t="e">
        <f>U51/U67-1</f>
        <v>#DIV/0!</v>
      </c>
      <c r="V107" s="210">
        <f>V51/V67-1</f>
        <v>0.11776597006641421</v>
      </c>
    </row>
    <row r="108" spans="1:24" x14ac:dyDescent="0.25">
      <c r="A108" s="212" t="s">
        <v>274</v>
      </c>
      <c r="B108" s="210">
        <f>B52/B68-1</f>
        <v>-0.30171481731854144</v>
      </c>
      <c r="C108" s="210">
        <f t="shared" ref="C108:V108" si="8">C52/C68-1</f>
        <v>0.1199206080869557</v>
      </c>
      <c r="D108" s="210">
        <f t="shared" si="8"/>
        <v>0.11921315934310894</v>
      </c>
      <c r="E108" s="210">
        <f t="shared" si="8"/>
        <v>0.11990212333142947</v>
      </c>
      <c r="F108" s="210">
        <f t="shared" si="8"/>
        <v>2.1599010078593217E-2</v>
      </c>
      <c r="G108" s="210">
        <f t="shared" si="8"/>
        <v>0.26268107014985143</v>
      </c>
      <c r="H108" s="210">
        <f t="shared" si="8"/>
        <v>0.45500629296853146</v>
      </c>
      <c r="I108" s="210">
        <f t="shared" si="8"/>
        <v>0.30287542695761527</v>
      </c>
      <c r="J108" s="210">
        <f t="shared" si="8"/>
        <v>0.11332322668267403</v>
      </c>
      <c r="K108" s="210">
        <f t="shared" si="8"/>
        <v>0.11961123436512233</v>
      </c>
      <c r="L108" s="210">
        <f t="shared" si="8"/>
        <v>3.9132086392987375E-2</v>
      </c>
      <c r="M108" s="210">
        <f t="shared" si="8"/>
        <v>0.71977243927739543</v>
      </c>
      <c r="N108" s="210">
        <f t="shared" si="8"/>
        <v>0.77669941985479651</v>
      </c>
      <c r="O108" s="210">
        <f t="shared" si="8"/>
        <v>0.67699299470108354</v>
      </c>
      <c r="P108" s="210">
        <f t="shared" si="8"/>
        <v>0.80572869196868413</v>
      </c>
      <c r="Q108" s="210">
        <f t="shared" si="8"/>
        <v>0.59331433721903215</v>
      </c>
      <c r="R108" s="210">
        <f t="shared" si="8"/>
        <v>0.75629856897792624</v>
      </c>
      <c r="S108" s="210" t="e">
        <f t="shared" si="8"/>
        <v>#DIV/0!</v>
      </c>
      <c r="T108" s="210" t="e">
        <f t="shared" si="8"/>
        <v>#DIV/0!</v>
      </c>
      <c r="U108" s="210" t="e">
        <f t="shared" si="8"/>
        <v>#DIV/0!</v>
      </c>
      <c r="V108" s="210">
        <f t="shared" si="8"/>
        <v>0.11776597006641421</v>
      </c>
    </row>
    <row r="112" spans="1:24" x14ac:dyDescent="0.25">
      <c r="A112" s="9" t="s">
        <v>319</v>
      </c>
    </row>
    <row r="113" spans="1:24" ht="60" x14ac:dyDescent="0.25">
      <c r="A113" s="2" t="s">
        <v>1</v>
      </c>
      <c r="B113" s="4" t="s">
        <v>5</v>
      </c>
      <c r="C113" s="4" t="s">
        <v>238</v>
      </c>
      <c r="D113" s="4" t="s">
        <v>74</v>
      </c>
      <c r="E113" s="4" t="s">
        <v>239</v>
      </c>
      <c r="F113" s="4" t="s">
        <v>240</v>
      </c>
      <c r="G113" s="4" t="s">
        <v>78</v>
      </c>
      <c r="H113" s="4" t="s">
        <v>6</v>
      </c>
      <c r="I113" s="4" t="s">
        <v>7</v>
      </c>
      <c r="J113" s="4" t="s">
        <v>8</v>
      </c>
      <c r="K113" s="4" t="s">
        <v>36</v>
      </c>
      <c r="L113" s="4" t="s">
        <v>9</v>
      </c>
      <c r="M113" s="4" t="s">
        <v>10</v>
      </c>
      <c r="N113" s="4" t="s">
        <v>79</v>
      </c>
      <c r="O113" s="4" t="s">
        <v>81</v>
      </c>
      <c r="P113" s="4" t="s">
        <v>80</v>
      </c>
      <c r="Q113" s="4" t="s">
        <v>0</v>
      </c>
      <c r="R113" s="4" t="s">
        <v>2</v>
      </c>
      <c r="S113" s="4" t="s">
        <v>35</v>
      </c>
      <c r="T113" s="4" t="s">
        <v>3</v>
      </c>
      <c r="U113" s="4" t="s">
        <v>220</v>
      </c>
      <c r="V113" s="116" t="s">
        <v>221</v>
      </c>
      <c r="X113" s="207"/>
    </row>
    <row r="114" spans="1:24" x14ac:dyDescent="0.25">
      <c r="A114" s="212" t="s">
        <v>241</v>
      </c>
      <c r="B114" s="210">
        <f>B61/B74-1</f>
        <v>1.5622143368438612</v>
      </c>
      <c r="C114" s="210">
        <f t="shared" ref="C114:V121" si="9">C61/C74-1</f>
        <v>-0.14835460749360929</v>
      </c>
      <c r="D114" s="210">
        <f t="shared" si="9"/>
        <v>-0.14809926737619439</v>
      </c>
      <c r="E114" s="210">
        <f t="shared" si="9"/>
        <v>-0.14822780390061552</v>
      </c>
      <c r="F114" s="210">
        <f t="shared" si="9"/>
        <v>2.9219461831396902</v>
      </c>
      <c r="G114" s="210">
        <f t="shared" si="9"/>
        <v>-0.96857614557587468</v>
      </c>
      <c r="H114" s="210">
        <f t="shared" si="9"/>
        <v>-0.89251601331759167</v>
      </c>
      <c r="I114" s="210">
        <f t="shared" si="9"/>
        <v>0.42860454784617907</v>
      </c>
      <c r="J114" s="210">
        <f t="shared" si="9"/>
        <v>0.68436105885694087</v>
      </c>
      <c r="K114" s="210">
        <f t="shared" si="9"/>
        <v>-0.14566078809847172</v>
      </c>
      <c r="L114" s="210">
        <f t="shared" si="9"/>
        <v>-0.63233781627673014</v>
      </c>
      <c r="M114" s="210">
        <f t="shared" si="9"/>
        <v>-0.16534504694415719</v>
      </c>
      <c r="N114" s="210">
        <f t="shared" si="9"/>
        <v>0.17309952028623954</v>
      </c>
      <c r="O114" s="210">
        <f t="shared" si="9"/>
        <v>-0.26030947078303002</v>
      </c>
      <c r="P114" s="210">
        <f t="shared" si="9"/>
        <v>-7.2362805987661649E-2</v>
      </c>
      <c r="Q114" s="210">
        <f t="shared" si="9"/>
        <v>-0.29304390638355693</v>
      </c>
      <c r="R114" s="210">
        <f t="shared" si="9"/>
        <v>-0.67853180780714961</v>
      </c>
      <c r="S114" s="210" t="e">
        <f t="shared" si="9"/>
        <v>#DIV/0!</v>
      </c>
      <c r="T114" s="210" t="e">
        <f t="shared" si="9"/>
        <v>#DIV/0!</v>
      </c>
      <c r="U114" s="210" t="e">
        <f t="shared" si="9"/>
        <v>#DIV/0!</v>
      </c>
      <c r="V114" s="210">
        <f t="shared" si="9"/>
        <v>4.2949716953399886E-4</v>
      </c>
    </row>
    <row r="115" spans="1:24" x14ac:dyDescent="0.25">
      <c r="A115" s="212" t="s">
        <v>52</v>
      </c>
      <c r="B115" s="210">
        <f>B62/B75-1</f>
        <v>1.5622143368438612</v>
      </c>
      <c r="C115" s="210">
        <f t="shared" ref="C115:Q115" si="10">C62/C75-1</f>
        <v>-0.14835460749360951</v>
      </c>
      <c r="D115" s="210">
        <f t="shared" si="10"/>
        <v>-0.14835460749360962</v>
      </c>
      <c r="E115" s="210">
        <f t="shared" si="10"/>
        <v>-0.14835460749360929</v>
      </c>
      <c r="F115" s="210">
        <f t="shared" si="10"/>
        <v>2.9219461831396902</v>
      </c>
      <c r="G115" s="210">
        <f t="shared" si="10"/>
        <v>-0.96988044673850793</v>
      </c>
      <c r="H115" s="210">
        <f t="shared" si="10"/>
        <v>-0.89818391395668895</v>
      </c>
      <c r="I115" s="210">
        <f t="shared" si="10"/>
        <v>0.43970151748089847</v>
      </c>
      <c r="J115" s="210">
        <f t="shared" si="10"/>
        <v>0.68436122466125338</v>
      </c>
      <c r="K115" s="210">
        <f t="shared" si="10"/>
        <v>4.1378306408913712E-2</v>
      </c>
      <c r="L115" s="210">
        <f t="shared" si="10"/>
        <v>-0.78064270636323496</v>
      </c>
      <c r="M115" s="210">
        <f t="shared" si="10"/>
        <v>-0.1899823298119262</v>
      </c>
      <c r="N115" s="210">
        <f t="shared" si="10"/>
        <v>0.17112234123668069</v>
      </c>
      <c r="O115" s="210">
        <f t="shared" si="10"/>
        <v>-0.28572962067534802</v>
      </c>
      <c r="P115" s="210">
        <f t="shared" si="10"/>
        <v>-9.3452090918793473E-2</v>
      </c>
      <c r="Q115" s="210">
        <f t="shared" si="10"/>
        <v>-0.61855238719740069</v>
      </c>
      <c r="R115" s="210">
        <f t="shared" si="9"/>
        <v>-0.6953249991177004</v>
      </c>
      <c r="S115" s="210" t="e">
        <f t="shared" si="9"/>
        <v>#DIV/0!</v>
      </c>
      <c r="T115" s="210" t="e">
        <f t="shared" si="9"/>
        <v>#DIV/0!</v>
      </c>
      <c r="U115" s="210" t="e">
        <f t="shared" si="9"/>
        <v>#DIV/0!</v>
      </c>
      <c r="V115" s="210">
        <f t="shared" si="9"/>
        <v>2.1054829714263645E-2</v>
      </c>
    </row>
    <row r="116" spans="1:24" x14ac:dyDescent="0.25">
      <c r="A116" s="212" t="s">
        <v>242</v>
      </c>
      <c r="B116" s="210">
        <f>B63/B76-1</f>
        <v>1.5622143368438612</v>
      </c>
      <c r="C116" s="210">
        <f t="shared" si="9"/>
        <v>-0.14835460749360929</v>
      </c>
      <c r="D116" s="210">
        <f t="shared" si="9"/>
        <v>-0.14809926737619439</v>
      </c>
      <c r="E116" s="210">
        <f t="shared" si="9"/>
        <v>-0.14822780390061552</v>
      </c>
      <c r="F116" s="210">
        <f t="shared" si="9"/>
        <v>2.9219461831396902</v>
      </c>
      <c r="G116" s="210">
        <f t="shared" si="9"/>
        <v>-0.96857614557587468</v>
      </c>
      <c r="H116" s="210">
        <f t="shared" si="9"/>
        <v>-0.89251601331759167</v>
      </c>
      <c r="I116" s="210">
        <f t="shared" si="9"/>
        <v>0.42860454784617907</v>
      </c>
      <c r="J116" s="210">
        <f t="shared" si="9"/>
        <v>0.68436105885694087</v>
      </c>
      <c r="K116" s="210">
        <f t="shared" si="9"/>
        <v>-0.14566078809847172</v>
      </c>
      <c r="L116" s="210">
        <f t="shared" si="9"/>
        <v>-0.63233781627673014</v>
      </c>
      <c r="M116" s="210">
        <f t="shared" si="9"/>
        <v>-0.16534504694415719</v>
      </c>
      <c r="N116" s="210">
        <f t="shared" si="9"/>
        <v>0.17309952028623954</v>
      </c>
      <c r="O116" s="210">
        <f t="shared" si="9"/>
        <v>-0.26030947078302991</v>
      </c>
      <c r="P116" s="210">
        <f t="shared" si="9"/>
        <v>-7.2362805987661538E-2</v>
      </c>
      <c r="Q116" s="210">
        <f t="shared" si="9"/>
        <v>-0.29304390638355693</v>
      </c>
      <c r="R116" s="210">
        <f t="shared" si="9"/>
        <v>-0.67853180780714961</v>
      </c>
      <c r="S116" s="210" t="e">
        <f t="shared" si="9"/>
        <v>#DIV/0!</v>
      </c>
      <c r="T116" s="210" t="e">
        <f t="shared" si="9"/>
        <v>#DIV/0!</v>
      </c>
      <c r="U116" s="210" t="e">
        <f t="shared" si="9"/>
        <v>#DIV/0!</v>
      </c>
      <c r="V116" s="210">
        <f t="shared" si="9"/>
        <v>4.3603629240229758E-4</v>
      </c>
    </row>
    <row r="117" spans="1:24" x14ac:dyDescent="0.25">
      <c r="A117" s="212" t="s">
        <v>243</v>
      </c>
      <c r="B117" s="210">
        <f>B64/B77-1</f>
        <v>1.5622143368438612</v>
      </c>
      <c r="C117" s="210">
        <f t="shared" si="9"/>
        <v>-0.14835460749360885</v>
      </c>
      <c r="D117" s="210">
        <f t="shared" si="9"/>
        <v>-0.14707962718159939</v>
      </c>
      <c r="E117" s="210">
        <f t="shared" si="9"/>
        <v>-0.14772058952863998</v>
      </c>
      <c r="F117" s="210" t="e">
        <f t="shared" si="9"/>
        <v>#DIV/0!</v>
      </c>
      <c r="G117" s="210">
        <f t="shared" si="9"/>
        <v>-0.96505484189327106</v>
      </c>
      <c r="H117" s="210">
        <f t="shared" si="9"/>
        <v>-0.88690678148165736</v>
      </c>
      <c r="I117" s="210">
        <f t="shared" si="9"/>
        <v>0.41370125270210911</v>
      </c>
      <c r="J117" s="210">
        <f t="shared" si="9"/>
        <v>0.68419547602804576</v>
      </c>
      <c r="K117" s="210">
        <f t="shared" si="9"/>
        <v>-0.92286948828211568</v>
      </c>
      <c r="L117" s="210">
        <f t="shared" si="9"/>
        <v>-0.55881316740308928</v>
      </c>
      <c r="M117" s="210">
        <f t="shared" si="9"/>
        <v>-0.1596753352524255</v>
      </c>
      <c r="N117" s="210">
        <f t="shared" si="9"/>
        <v>0.1735346674663627</v>
      </c>
      <c r="O117" s="210">
        <f t="shared" si="9"/>
        <v>-0.254372195823511</v>
      </c>
      <c r="P117" s="210">
        <f t="shared" si="9"/>
        <v>-6.7569739034761933E-2</v>
      </c>
      <c r="Q117" s="210">
        <f t="shared" si="9"/>
        <v>-0.12444214317181623</v>
      </c>
      <c r="R117" s="210">
        <f t="shared" si="9"/>
        <v>-0.66768536115878119</v>
      </c>
      <c r="S117" s="210" t="e">
        <f t="shared" si="9"/>
        <v>#DIV/0!</v>
      </c>
      <c r="T117" s="210" t="e">
        <f t="shared" si="9"/>
        <v>#DIV/0!</v>
      </c>
      <c r="U117" s="210" t="e">
        <f t="shared" si="9"/>
        <v>#DIV/0!</v>
      </c>
      <c r="V117" s="210">
        <f t="shared" si="9"/>
        <v>-0.15600202746135983</v>
      </c>
    </row>
    <row r="118" spans="1:24" x14ac:dyDescent="0.25">
      <c r="A118" s="212" t="s">
        <v>278</v>
      </c>
      <c r="B118" s="210"/>
      <c r="C118" s="210"/>
      <c r="D118" s="210"/>
      <c r="E118" s="210"/>
      <c r="F118" s="210"/>
      <c r="G118" s="210"/>
      <c r="H118" s="210"/>
      <c r="I118" s="210"/>
      <c r="J118" s="210"/>
      <c r="K118" s="210"/>
      <c r="L118" s="210"/>
      <c r="M118" s="210"/>
      <c r="N118" s="210"/>
      <c r="O118" s="210"/>
      <c r="P118" s="210"/>
      <c r="Q118" s="210"/>
      <c r="R118" s="210"/>
      <c r="S118" s="210"/>
      <c r="T118" s="210"/>
      <c r="U118" s="210"/>
      <c r="V118" s="210"/>
    </row>
    <row r="119" spans="1:24" x14ac:dyDescent="0.25">
      <c r="A119" s="212"/>
      <c r="B119" s="210"/>
      <c r="C119" s="210"/>
      <c r="D119" s="210"/>
      <c r="E119" s="210"/>
      <c r="F119" s="210"/>
      <c r="G119" s="210"/>
      <c r="H119" s="210"/>
      <c r="I119" s="210"/>
      <c r="J119" s="210"/>
      <c r="K119" s="210"/>
      <c r="L119" s="210"/>
      <c r="M119" s="210"/>
      <c r="N119" s="210"/>
      <c r="O119" s="210"/>
      <c r="P119" s="210"/>
      <c r="Q119" s="210"/>
      <c r="R119" s="210"/>
      <c r="S119" s="210"/>
      <c r="T119" s="210"/>
      <c r="U119" s="210"/>
      <c r="V119" s="210"/>
    </row>
    <row r="120" spans="1:24" x14ac:dyDescent="0.25">
      <c r="A120" s="212" t="s">
        <v>273</v>
      </c>
      <c r="B120" s="210">
        <f>B67/B80-1</f>
        <v>1.5622143368438612</v>
      </c>
      <c r="C120" s="210">
        <f t="shared" si="9"/>
        <v>-0.14835460749360929</v>
      </c>
      <c r="D120" s="210">
        <f t="shared" si="9"/>
        <v>-0.14809926737619439</v>
      </c>
      <c r="E120" s="210">
        <f t="shared" si="9"/>
        <v>-0.14822780390061552</v>
      </c>
      <c r="F120" s="210">
        <f t="shared" si="9"/>
        <v>2.9219461831396902</v>
      </c>
      <c r="G120" s="210">
        <f t="shared" si="9"/>
        <v>-0.96857614557587468</v>
      </c>
      <c r="H120" s="210">
        <f t="shared" si="9"/>
        <v>-0.89251601331759167</v>
      </c>
      <c r="I120" s="210">
        <f t="shared" si="9"/>
        <v>0.42860454784617907</v>
      </c>
      <c r="J120" s="210">
        <f t="shared" si="9"/>
        <v>0.68436105885694087</v>
      </c>
      <c r="K120" s="210">
        <f t="shared" si="9"/>
        <v>-0.14307855850751416</v>
      </c>
      <c r="L120" s="210">
        <f t="shared" si="9"/>
        <v>-0.63233781627673014</v>
      </c>
      <c r="M120" s="210">
        <f t="shared" si="9"/>
        <v>-0.16534504694415719</v>
      </c>
      <c r="N120" s="210">
        <f t="shared" si="9"/>
        <v>0.17309952028623954</v>
      </c>
      <c r="O120" s="210">
        <f t="shared" si="9"/>
        <v>-0.26030947078303002</v>
      </c>
      <c r="P120" s="210">
        <f t="shared" si="9"/>
        <v>-7.2362805987661649E-2</v>
      </c>
      <c r="Q120" s="210">
        <f t="shared" si="9"/>
        <v>-0.29304390638355693</v>
      </c>
      <c r="R120" s="210">
        <f t="shared" si="9"/>
        <v>-0.67853180780714961</v>
      </c>
      <c r="S120" s="210" t="e">
        <f t="shared" si="9"/>
        <v>#DIV/0!</v>
      </c>
      <c r="T120" s="210" t="e">
        <f t="shared" si="9"/>
        <v>#DIV/0!</v>
      </c>
      <c r="U120" s="210" t="e">
        <f t="shared" si="9"/>
        <v>#DIV/0!</v>
      </c>
      <c r="V120" s="210">
        <f t="shared" si="9"/>
        <v>4.3603629240229758E-4</v>
      </c>
    </row>
    <row r="121" spans="1:24" x14ac:dyDescent="0.25">
      <c r="A121" s="212" t="s">
        <v>274</v>
      </c>
      <c r="B121" s="210">
        <f>B68/B81-1</f>
        <v>1.5622143368438612</v>
      </c>
      <c r="C121" s="210">
        <f t="shared" si="9"/>
        <v>-0.14835460749360929</v>
      </c>
      <c r="D121" s="210">
        <f t="shared" si="9"/>
        <v>-0.14809926737619439</v>
      </c>
      <c r="E121" s="210">
        <f t="shared" si="9"/>
        <v>-0.14822780390061552</v>
      </c>
      <c r="F121" s="210">
        <f t="shared" si="9"/>
        <v>2.9219461831396902</v>
      </c>
      <c r="G121" s="210">
        <f t="shared" si="9"/>
        <v>-0.96857614557587468</v>
      </c>
      <c r="H121" s="210">
        <f t="shared" si="9"/>
        <v>-0.89251601331759167</v>
      </c>
      <c r="I121" s="210">
        <f t="shared" si="9"/>
        <v>0.42860454784617907</v>
      </c>
      <c r="J121" s="210">
        <f t="shared" si="9"/>
        <v>0.68436105885694087</v>
      </c>
      <c r="K121" s="210">
        <f t="shared" si="9"/>
        <v>-0.14566078809847172</v>
      </c>
      <c r="L121" s="210">
        <f t="shared" si="9"/>
        <v>-0.63233781627673014</v>
      </c>
      <c r="M121" s="210">
        <f t="shared" si="9"/>
        <v>-0.16534504694415719</v>
      </c>
      <c r="N121" s="210">
        <f t="shared" si="9"/>
        <v>0.17309952028623954</v>
      </c>
      <c r="O121" s="210">
        <f t="shared" si="9"/>
        <v>-0.26030947078303002</v>
      </c>
      <c r="P121" s="210">
        <f t="shared" si="9"/>
        <v>-7.2362805987661649E-2</v>
      </c>
      <c r="Q121" s="210">
        <f t="shared" si="9"/>
        <v>-0.29304390638355693</v>
      </c>
      <c r="R121" s="210">
        <f t="shared" si="9"/>
        <v>-0.67853180780714961</v>
      </c>
      <c r="S121" s="210" t="e">
        <f t="shared" si="9"/>
        <v>#DIV/0!</v>
      </c>
      <c r="T121" s="210" t="e">
        <f t="shared" si="9"/>
        <v>#DIV/0!</v>
      </c>
      <c r="U121" s="210" t="e">
        <f t="shared" si="9"/>
        <v>#DIV/0!</v>
      </c>
      <c r="V121" s="210">
        <f t="shared" si="9"/>
        <v>4.3603629240229758E-4</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Meta data</vt:lpstr>
      <vt:lpstr>Table 2 Ph IO Table</vt:lpstr>
      <vt:lpstr>Table 3 Mon IO Table</vt:lpstr>
      <vt:lpstr>Table 1  Water Input table</vt:lpstr>
      <vt:lpstr>Table 4 Water Prices</vt:lpstr>
      <vt:lpstr>Aggregates</vt:lpstr>
      <vt:lpstr>Table 5&amp; 6 PSUT </vt:lpstr>
      <vt:lpstr>Graphs</vt:lpstr>
      <vt:lpstr>PSUT-Calc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margaret.nakirya@ubos.org</dc:creator>
  <cp:lastModifiedBy>Christopher Tumuhirwe</cp:lastModifiedBy>
  <dcterms:created xsi:type="dcterms:W3CDTF">2017-09-19T10:10:22Z</dcterms:created>
  <dcterms:modified xsi:type="dcterms:W3CDTF">2021-05-20T08:16:31Z</dcterms:modified>
</cp:coreProperties>
</file>