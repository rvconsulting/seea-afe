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5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yariasgranada_worldbank_org1/Documents/Documents/NCA Data AFE/Uganda/Forest Accounts Tables/"/>
    </mc:Choice>
  </mc:AlternateContent>
  <xr:revisionPtr revIDLastSave="21" documentId="11_B07C8EA7ADE9BF3D2F69F1CFD01F637DB26808A9" xr6:coauthVersionLast="47" xr6:coauthVersionMax="47" xr10:uidLastSave="{F57C2083-70F4-4C81-8B61-0F622F75B1B2}"/>
  <bookViews>
    <workbookView xWindow="28680" yWindow="-120" windowWidth="29040" windowHeight="15720" firstSheet="14" activeTab="1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PSUT 1990" sheetId="9" r:id="rId5"/>
    <sheet name="PSUT 2000" sheetId="7" r:id="rId6"/>
    <sheet name="PSUT 2005" sheetId="11" r:id="rId7"/>
    <sheet name="PSUT 2010" sheetId="5" r:id="rId8"/>
    <sheet name="PSUT 2015" sheetId="13" r:id="rId9"/>
    <sheet name="MSUT 1990" sheetId="10" r:id="rId10"/>
    <sheet name="MSUT 2000" sheetId="8" r:id="rId11"/>
    <sheet name="MSUT 2005" sheetId="12" r:id="rId12"/>
    <sheet name="MSUT2010" sheetId="6" r:id="rId13"/>
    <sheet name="MSUT 2015" sheetId="14" r:id="rId14"/>
    <sheet name="Physical wood supply" sheetId="20" r:id="rId15"/>
    <sheet name="Monetary wood supply" sheetId="21" r:id="rId16"/>
    <sheet name="Sheet6" sheetId="19" r:id="rId17"/>
    <sheet name="Wood products tons" sheetId="16" r:id="rId18"/>
    <sheet name="Wood products US$" sheetId="17" r:id="rId19"/>
    <sheet name="Product value" sheetId="18" r:id="rId20"/>
    <sheet name="Sheet5" sheetId="15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5" l="1"/>
  <c r="E10" i="15"/>
  <c r="F10" i="15"/>
  <c r="G10" i="15"/>
  <c r="C10" i="15"/>
  <c r="P18" i="15" l="1"/>
  <c r="C23" i="8"/>
  <c r="I72" i="13"/>
  <c r="I68" i="5"/>
  <c r="I71" i="11"/>
  <c r="C27" i="13"/>
  <c r="C27" i="5"/>
  <c r="C26" i="11"/>
  <c r="C26" i="7"/>
  <c r="C27" i="9"/>
  <c r="P9" i="19" l="1"/>
  <c r="AC9" i="19" s="1"/>
  <c r="O5" i="19"/>
  <c r="AB5" i="19" s="1"/>
  <c r="O6" i="19"/>
  <c r="AB6" i="19" s="1"/>
  <c r="O7" i="19"/>
  <c r="AB7" i="19" s="1"/>
  <c r="O8" i="19"/>
  <c r="AB8" i="19" s="1"/>
  <c r="O9" i="19"/>
  <c r="AB9" i="19" s="1"/>
  <c r="N5" i="19"/>
  <c r="AA5" i="19" s="1"/>
  <c r="N6" i="19"/>
  <c r="AA6" i="19" s="1"/>
  <c r="N7" i="19"/>
  <c r="AA7" i="19" s="1"/>
  <c r="N8" i="19"/>
  <c r="AA8" i="19" s="1"/>
  <c r="N9" i="19"/>
  <c r="AA9" i="19" s="1"/>
  <c r="M5" i="19"/>
  <c r="Z5" i="19" s="1"/>
  <c r="M6" i="19"/>
  <c r="Z6" i="19" s="1"/>
  <c r="M7" i="19"/>
  <c r="Z7" i="19" s="1"/>
  <c r="M8" i="19"/>
  <c r="Z8" i="19" s="1"/>
  <c r="M9" i="19"/>
  <c r="Z9" i="19" s="1"/>
  <c r="L5" i="19"/>
  <c r="Y5" i="19" s="1"/>
  <c r="L6" i="19"/>
  <c r="Y6" i="19" s="1"/>
  <c r="L7" i="19"/>
  <c r="Y7" i="19" s="1"/>
  <c r="L8" i="19"/>
  <c r="Y8" i="19" s="1"/>
  <c r="L9" i="19"/>
  <c r="Y9" i="19" s="1"/>
  <c r="K5" i="19"/>
  <c r="K6" i="19"/>
  <c r="K7" i="19"/>
  <c r="K8" i="19"/>
  <c r="K10" i="19"/>
  <c r="H5" i="19"/>
  <c r="H6" i="19"/>
  <c r="H7" i="19"/>
  <c r="H8" i="19"/>
  <c r="H9" i="19"/>
  <c r="G5" i="19"/>
  <c r="G6" i="19"/>
  <c r="G7" i="19"/>
  <c r="G8" i="19"/>
  <c r="G9" i="19"/>
  <c r="F5" i="19"/>
  <c r="F6" i="19"/>
  <c r="F7" i="19"/>
  <c r="F8" i="19"/>
  <c r="F9" i="19"/>
  <c r="E5" i="19"/>
  <c r="E6" i="19"/>
  <c r="E7" i="19"/>
  <c r="E8" i="19"/>
  <c r="E9" i="19"/>
  <c r="D5" i="19"/>
  <c r="D6" i="19"/>
  <c r="D7" i="19"/>
  <c r="D8" i="19"/>
  <c r="D9" i="19"/>
  <c r="P4" i="19"/>
  <c r="AC4" i="19" s="1"/>
  <c r="O4" i="19"/>
  <c r="AB4" i="19" s="1"/>
  <c r="N4" i="19"/>
  <c r="AA4" i="19" s="1"/>
  <c r="M4" i="19"/>
  <c r="Z4" i="19" s="1"/>
  <c r="L4" i="19"/>
  <c r="Y4" i="19" s="1"/>
  <c r="K4" i="19"/>
  <c r="H4" i="19"/>
  <c r="G4" i="19"/>
  <c r="F4" i="19"/>
  <c r="E4" i="19"/>
  <c r="C5" i="19"/>
  <c r="C6" i="19"/>
  <c r="C7" i="19"/>
  <c r="C8" i="19"/>
  <c r="C4" i="19"/>
  <c r="C14" i="19" s="1"/>
  <c r="D4" i="19"/>
  <c r="B37" i="6" l="1"/>
  <c r="B36" i="14"/>
  <c r="Q22" i="15"/>
  <c r="P21" i="15"/>
  <c r="P20" i="15"/>
  <c r="K6" i="15"/>
  <c r="L6" i="15"/>
  <c r="M6" i="15"/>
  <c r="N6" i="15"/>
  <c r="K5" i="15"/>
  <c r="L5" i="15"/>
  <c r="M5" i="15"/>
  <c r="N5" i="15"/>
  <c r="K4" i="15"/>
  <c r="L4" i="15"/>
  <c r="M4" i="15"/>
  <c r="N4" i="15"/>
  <c r="J6" i="15"/>
  <c r="J5" i="15"/>
  <c r="J4" i="15"/>
  <c r="W14" i="15"/>
  <c r="AA16" i="15"/>
  <c r="W18" i="15"/>
  <c r="AA13" i="15"/>
  <c r="W13" i="15"/>
  <c r="P14" i="15"/>
  <c r="Q14" i="15"/>
  <c r="X14" i="15" s="1"/>
  <c r="R14" i="15"/>
  <c r="Y14" i="15" s="1"/>
  <c r="S14" i="15"/>
  <c r="Z14" i="15" s="1"/>
  <c r="T14" i="15"/>
  <c r="AA14" i="15" s="1"/>
  <c r="P15" i="15"/>
  <c r="P22" i="15" s="1"/>
  <c r="Q15" i="15"/>
  <c r="X15" i="15" s="1"/>
  <c r="R15" i="15"/>
  <c r="Y15" i="15" s="1"/>
  <c r="S15" i="15"/>
  <c r="Z15" i="15" s="1"/>
  <c r="T15" i="15"/>
  <c r="AA15" i="15" s="1"/>
  <c r="P16" i="15"/>
  <c r="W16" i="15" s="1"/>
  <c r="Q16" i="15"/>
  <c r="X16" i="15" s="1"/>
  <c r="R16" i="15"/>
  <c r="Y16" i="15" s="1"/>
  <c r="S16" i="15"/>
  <c r="Z16" i="15" s="1"/>
  <c r="T16" i="15"/>
  <c r="P17" i="15"/>
  <c r="W17" i="15" s="1"/>
  <c r="Q17" i="15"/>
  <c r="X17" i="15" s="1"/>
  <c r="R17" i="15"/>
  <c r="Y17" i="15" s="1"/>
  <c r="S17" i="15"/>
  <c r="Z17" i="15" s="1"/>
  <c r="T17" i="15"/>
  <c r="AA17" i="15" s="1"/>
  <c r="Q18" i="15"/>
  <c r="Q21" i="15" s="1"/>
  <c r="R18" i="15"/>
  <c r="R22" i="15" s="1"/>
  <c r="S18" i="15"/>
  <c r="S22" i="15" s="1"/>
  <c r="T18" i="15"/>
  <c r="T22" i="15" s="1"/>
  <c r="T13" i="15"/>
  <c r="T19" i="15" s="1"/>
  <c r="S13" i="15"/>
  <c r="R13" i="15"/>
  <c r="R19" i="15" s="1"/>
  <c r="Q13" i="15"/>
  <c r="Q19" i="15" s="1"/>
  <c r="P13" i="15"/>
  <c r="S19" i="15" l="1"/>
  <c r="AA18" i="15"/>
  <c r="AA20" i="15" s="1"/>
  <c r="R20" i="15"/>
  <c r="Z18" i="15"/>
  <c r="Z20" i="15" s="1"/>
  <c r="Y18" i="15"/>
  <c r="Y20" i="15" s="1"/>
  <c r="T21" i="15"/>
  <c r="Z13" i="15"/>
  <c r="W20" i="15"/>
  <c r="S21" i="15"/>
  <c r="W15" i="15"/>
  <c r="Y13" i="15"/>
  <c r="T20" i="15"/>
  <c r="X13" i="15"/>
  <c r="S20" i="15"/>
  <c r="R21" i="15"/>
  <c r="P19" i="15"/>
  <c r="X18" i="15"/>
  <c r="X20" i="15" s="1"/>
  <c r="Q20" i="15"/>
  <c r="C10" i="5"/>
  <c r="C11" i="5"/>
  <c r="C7" i="5"/>
  <c r="C8" i="5"/>
  <c r="C11" i="13" l="1"/>
  <c r="C10" i="13"/>
  <c r="C9" i="13"/>
  <c r="C8" i="13"/>
  <c r="C7" i="13"/>
  <c r="C9" i="5"/>
  <c r="C12" i="5" s="1"/>
  <c r="C11" i="11"/>
  <c r="C10" i="11"/>
  <c r="C9" i="11"/>
  <c r="C8" i="11"/>
  <c r="C7" i="11"/>
  <c r="C13" i="13"/>
  <c r="C13" i="9"/>
  <c r="C11" i="7"/>
  <c r="C10" i="7"/>
  <c r="C9" i="7"/>
  <c r="C8" i="7"/>
  <c r="C7" i="7"/>
  <c r="C8" i="9"/>
  <c r="C7" i="9"/>
  <c r="C11" i="9"/>
  <c r="C10" i="9"/>
  <c r="C9" i="9"/>
  <c r="O69" i="14"/>
  <c r="O73" i="14"/>
  <c r="O68" i="14"/>
  <c r="S23" i="13"/>
  <c r="S24" i="13"/>
  <c r="S25" i="13"/>
  <c r="S26" i="13"/>
  <c r="S27" i="13"/>
  <c r="S22" i="13"/>
  <c r="O65" i="6"/>
  <c r="O70" i="6"/>
  <c r="O63" i="6"/>
  <c r="T23" i="5"/>
  <c r="T24" i="5"/>
  <c r="T25" i="5"/>
  <c r="T26" i="5"/>
  <c r="T22" i="5"/>
  <c r="O79" i="12"/>
  <c r="O71" i="12"/>
  <c r="O72" i="12"/>
  <c r="O75" i="12"/>
  <c r="O70" i="12"/>
  <c r="P84" i="12"/>
  <c r="P85" i="12"/>
  <c r="P86" i="12"/>
  <c r="P87" i="12"/>
  <c r="P89" i="12"/>
  <c r="O22" i="12"/>
  <c r="O23" i="12"/>
  <c r="O24" i="12"/>
  <c r="O25" i="12"/>
  <c r="O26" i="12"/>
  <c r="O27" i="12"/>
  <c r="O29" i="12"/>
  <c r="O21" i="12"/>
  <c r="O76" i="8"/>
  <c r="O74" i="8"/>
  <c r="N77" i="8"/>
  <c r="O77" i="8" s="1"/>
  <c r="N75" i="8"/>
  <c r="O75" i="8" s="1"/>
  <c r="N73" i="8"/>
  <c r="O73" i="8" s="1"/>
  <c r="O78" i="8" l="1"/>
  <c r="C12" i="11"/>
  <c r="C12" i="13"/>
  <c r="C14" i="13" s="1"/>
  <c r="C13" i="5"/>
  <c r="C14" i="5" s="1"/>
  <c r="C13" i="11"/>
  <c r="C14" i="11" l="1"/>
  <c r="C13" i="7"/>
  <c r="C27" i="10" l="1"/>
  <c r="L10" i="19" s="1"/>
  <c r="Y10" i="19" s="1"/>
  <c r="D13" i="10"/>
  <c r="E13" i="10"/>
  <c r="F13" i="10"/>
  <c r="G13" i="10"/>
  <c r="H13" i="10"/>
  <c r="I13" i="10"/>
  <c r="J13" i="10"/>
  <c r="K13" i="10"/>
  <c r="L13" i="10"/>
  <c r="M13" i="10"/>
  <c r="N13" i="10"/>
  <c r="O13" i="10"/>
  <c r="B13" i="10"/>
  <c r="N68" i="13"/>
  <c r="N72" i="13"/>
  <c r="N67" i="13"/>
  <c r="Q29" i="13"/>
  <c r="M79" i="13"/>
  <c r="M78" i="13"/>
  <c r="N78" i="13" s="1"/>
  <c r="M77" i="13"/>
  <c r="M76" i="13"/>
  <c r="N76" i="13" s="1"/>
  <c r="M75" i="13"/>
  <c r="N75" i="13" s="1"/>
  <c r="C80" i="13"/>
  <c r="D80" i="13"/>
  <c r="E80" i="13"/>
  <c r="F80" i="13"/>
  <c r="G80" i="13"/>
  <c r="H80" i="13"/>
  <c r="I80" i="13"/>
  <c r="J80" i="13"/>
  <c r="K80" i="13"/>
  <c r="L80" i="13"/>
  <c r="B80" i="13"/>
  <c r="M34" i="13"/>
  <c r="M33" i="13"/>
  <c r="M32" i="13"/>
  <c r="M30" i="13"/>
  <c r="C35" i="13"/>
  <c r="D35" i="13"/>
  <c r="E35" i="13"/>
  <c r="F35" i="13"/>
  <c r="G35" i="13"/>
  <c r="H35" i="13"/>
  <c r="I35" i="13"/>
  <c r="J35" i="13"/>
  <c r="K35" i="13"/>
  <c r="L35" i="13"/>
  <c r="B35" i="13"/>
  <c r="C28" i="13"/>
  <c r="H10" i="19" s="1"/>
  <c r="D28" i="13"/>
  <c r="E28" i="13"/>
  <c r="F28" i="13"/>
  <c r="G28" i="13"/>
  <c r="H28" i="13"/>
  <c r="I28" i="13"/>
  <c r="J28" i="13"/>
  <c r="K28" i="13"/>
  <c r="L28" i="13"/>
  <c r="M28" i="13"/>
  <c r="B28" i="13"/>
  <c r="O61" i="5"/>
  <c r="O63" i="5"/>
  <c r="O64" i="5"/>
  <c r="O19" i="5"/>
  <c r="O17" i="5"/>
  <c r="N74" i="5"/>
  <c r="N73" i="5"/>
  <c r="N72" i="5"/>
  <c r="O72" i="5" s="1"/>
  <c r="N71" i="5"/>
  <c r="O71" i="5" s="1"/>
  <c r="O74" i="5"/>
  <c r="N70" i="5"/>
  <c r="O70" i="5" s="1"/>
  <c r="N34" i="5"/>
  <c r="N33" i="5"/>
  <c r="N32" i="5"/>
  <c r="N31" i="5"/>
  <c r="N30" i="5"/>
  <c r="D12" i="5"/>
  <c r="E12" i="5"/>
  <c r="F12" i="5"/>
  <c r="G12" i="5"/>
  <c r="H12" i="5"/>
  <c r="I12" i="5"/>
  <c r="J12" i="5"/>
  <c r="K12" i="5"/>
  <c r="L12" i="5"/>
  <c r="M12" i="5"/>
  <c r="N12" i="5"/>
  <c r="O12" i="5"/>
  <c r="D28" i="5"/>
  <c r="E28" i="5"/>
  <c r="F28" i="5"/>
  <c r="G28" i="5"/>
  <c r="H28" i="5"/>
  <c r="I28" i="5"/>
  <c r="J28" i="5"/>
  <c r="K28" i="5"/>
  <c r="L28" i="5"/>
  <c r="M28" i="5"/>
  <c r="N28" i="5"/>
  <c r="B28" i="5"/>
  <c r="B29" i="5" s="1"/>
  <c r="O29" i="5" s="1"/>
  <c r="N75" i="11"/>
  <c r="M78" i="11"/>
  <c r="N78" i="11" s="1"/>
  <c r="M77" i="11"/>
  <c r="N77" i="11" s="1"/>
  <c r="M76" i="11"/>
  <c r="N76" i="11" s="1"/>
  <c r="M74" i="11"/>
  <c r="N74" i="11" s="1"/>
  <c r="M29" i="11"/>
  <c r="N29" i="11" s="1"/>
  <c r="M30" i="11"/>
  <c r="N30" i="11" s="1"/>
  <c r="M31" i="11"/>
  <c r="N31" i="11" s="1"/>
  <c r="M32" i="11"/>
  <c r="N32" i="11" s="1"/>
  <c r="M33" i="11"/>
  <c r="N33" i="11" s="1"/>
  <c r="N28" i="11"/>
  <c r="N35" i="11"/>
  <c r="N36" i="11"/>
  <c r="N37" i="11"/>
  <c r="C27" i="11"/>
  <c r="Q23" i="11" s="1"/>
  <c r="D12" i="11"/>
  <c r="E12" i="11"/>
  <c r="F12" i="11"/>
  <c r="G12" i="11"/>
  <c r="H12" i="11"/>
  <c r="I12" i="11"/>
  <c r="J12" i="11"/>
  <c r="K12" i="11"/>
  <c r="L12" i="11"/>
  <c r="M12" i="11"/>
  <c r="N12" i="11"/>
  <c r="I71" i="7"/>
  <c r="M78" i="7"/>
  <c r="N78" i="7" s="1"/>
  <c r="M76" i="7"/>
  <c r="N76" i="7" s="1"/>
  <c r="D40" i="7"/>
  <c r="E40" i="7"/>
  <c r="F40" i="7"/>
  <c r="G40" i="7"/>
  <c r="H40" i="7"/>
  <c r="I40" i="7"/>
  <c r="J40" i="7"/>
  <c r="K40" i="7"/>
  <c r="L40" i="7"/>
  <c r="M40" i="7"/>
  <c r="C79" i="7"/>
  <c r="D79" i="7"/>
  <c r="E79" i="7"/>
  <c r="F79" i="7"/>
  <c r="G79" i="7"/>
  <c r="H79" i="7"/>
  <c r="I79" i="7"/>
  <c r="J79" i="7"/>
  <c r="K79" i="7"/>
  <c r="B79" i="7"/>
  <c r="N75" i="7"/>
  <c r="N77" i="7"/>
  <c r="C34" i="7"/>
  <c r="D34" i="7"/>
  <c r="E34" i="7"/>
  <c r="F34" i="7"/>
  <c r="G34" i="7"/>
  <c r="H34" i="7"/>
  <c r="I34" i="7"/>
  <c r="J34" i="7"/>
  <c r="K34" i="7"/>
  <c r="B34" i="7"/>
  <c r="M33" i="7"/>
  <c r="M32" i="7"/>
  <c r="Q32" i="7" s="1"/>
  <c r="M31" i="7"/>
  <c r="M30" i="7"/>
  <c r="Q30" i="7" s="1"/>
  <c r="M29" i="7"/>
  <c r="C27" i="7"/>
  <c r="D27" i="7"/>
  <c r="E27" i="7"/>
  <c r="F27" i="7"/>
  <c r="G27" i="7"/>
  <c r="H27" i="7"/>
  <c r="I27" i="7"/>
  <c r="J27" i="7"/>
  <c r="K27" i="7"/>
  <c r="L27" i="7"/>
  <c r="M27" i="7"/>
  <c r="B27" i="7"/>
  <c r="I72" i="9"/>
  <c r="Q28" i="13" l="1"/>
  <c r="Q25" i="13"/>
  <c r="Q24" i="13"/>
  <c r="Q27" i="13"/>
  <c r="Q23" i="13"/>
  <c r="Q26" i="13"/>
  <c r="Q24" i="11"/>
  <c r="Q21" i="11"/>
  <c r="Q27" i="11"/>
  <c r="N27" i="11"/>
  <c r="O27" i="11" s="1"/>
  <c r="C15" i="11" s="1"/>
  <c r="F10" i="19"/>
  <c r="Q26" i="11"/>
  <c r="Q22" i="11"/>
  <c r="Q25" i="11"/>
  <c r="Q25" i="7"/>
  <c r="E10" i="19"/>
  <c r="Q78" i="11"/>
  <c r="Q79" i="13"/>
  <c r="Q77" i="13"/>
  <c r="Q75" i="13"/>
  <c r="N79" i="13"/>
  <c r="R73" i="5"/>
  <c r="R71" i="5"/>
  <c r="R72" i="5"/>
  <c r="O73" i="5"/>
  <c r="O75" i="5" s="1"/>
  <c r="N35" i="5"/>
  <c r="N75" i="5"/>
  <c r="R70" i="5"/>
  <c r="R74" i="5"/>
  <c r="Q75" i="11"/>
  <c r="N79" i="11"/>
  <c r="M34" i="7"/>
  <c r="Q78" i="13"/>
  <c r="Q74" i="11"/>
  <c r="M80" i="13"/>
  <c r="N77" i="13"/>
  <c r="N80" i="13" s="1"/>
  <c r="M79" i="11"/>
  <c r="Q77" i="11"/>
  <c r="Q31" i="7"/>
  <c r="Q76" i="11"/>
  <c r="P29" i="5"/>
  <c r="M34" i="11"/>
  <c r="N34" i="11" s="1"/>
  <c r="Q24" i="7"/>
  <c r="Q27" i="7"/>
  <c r="Q23" i="7"/>
  <c r="Q26" i="7"/>
  <c r="Q22" i="7"/>
  <c r="Q21" i="7"/>
  <c r="O23" i="9"/>
  <c r="O24" i="9"/>
  <c r="O25" i="9"/>
  <c r="O26" i="9"/>
  <c r="O27" i="9"/>
  <c r="C28" i="9"/>
  <c r="D10" i="19" s="1"/>
  <c r="E28" i="9"/>
  <c r="F28" i="9"/>
  <c r="G28" i="9"/>
  <c r="H28" i="9"/>
  <c r="I28" i="9"/>
  <c r="J28" i="9"/>
  <c r="K28" i="9"/>
  <c r="L28" i="9"/>
  <c r="N28" i="9"/>
  <c r="B28" i="9"/>
  <c r="R23" i="9" l="1"/>
  <c r="R27" i="9"/>
  <c r="R24" i="9"/>
  <c r="S24" i="9" s="1"/>
  <c r="R22" i="9"/>
  <c r="R25" i="9"/>
  <c r="R28" i="9"/>
  <c r="R26" i="9"/>
  <c r="C40" i="9"/>
  <c r="C41" i="9" s="1"/>
  <c r="L87" i="14"/>
  <c r="L81" i="14"/>
  <c r="L74" i="14"/>
  <c r="L39" i="14"/>
  <c r="L34" i="14"/>
  <c r="L27" i="14"/>
  <c r="Q78" i="14"/>
  <c r="D27" i="14"/>
  <c r="E27" i="14"/>
  <c r="F27" i="14"/>
  <c r="G27" i="14"/>
  <c r="H27" i="14"/>
  <c r="I27" i="14"/>
  <c r="J27" i="14"/>
  <c r="K27" i="14"/>
  <c r="M27" i="14"/>
  <c r="N27" i="14"/>
  <c r="B27" i="14"/>
  <c r="C34" i="14"/>
  <c r="D34" i="14"/>
  <c r="E34" i="14"/>
  <c r="F34" i="14"/>
  <c r="G34" i="14"/>
  <c r="H34" i="14"/>
  <c r="I34" i="14"/>
  <c r="J34" i="14"/>
  <c r="K34" i="14"/>
  <c r="B34" i="14"/>
  <c r="C39" i="14"/>
  <c r="D39" i="14"/>
  <c r="E39" i="14"/>
  <c r="F39" i="14"/>
  <c r="H39" i="14"/>
  <c r="I39" i="14"/>
  <c r="J39" i="14"/>
  <c r="K39" i="14"/>
  <c r="M39" i="14"/>
  <c r="N39" i="14"/>
  <c r="O26" i="14"/>
  <c r="P26" i="14" s="1"/>
  <c r="O28" i="14"/>
  <c r="P28" i="14" s="1"/>
  <c r="O35" i="14"/>
  <c r="P35" i="14" s="1"/>
  <c r="O21" i="14"/>
  <c r="P21" i="14" s="1"/>
  <c r="C87" i="14"/>
  <c r="D87" i="14"/>
  <c r="E87" i="14"/>
  <c r="H87" i="14"/>
  <c r="I87" i="14"/>
  <c r="J87" i="14"/>
  <c r="K87" i="14"/>
  <c r="M87" i="14"/>
  <c r="O87" i="14"/>
  <c r="B87" i="14"/>
  <c r="C81" i="14"/>
  <c r="D81" i="14"/>
  <c r="E81" i="14"/>
  <c r="F81" i="14"/>
  <c r="G81" i="14"/>
  <c r="H81" i="14"/>
  <c r="I81" i="14"/>
  <c r="J81" i="14"/>
  <c r="K81" i="14"/>
  <c r="B81" i="14"/>
  <c r="C74" i="14"/>
  <c r="D74" i="14"/>
  <c r="E74" i="14"/>
  <c r="H74" i="14"/>
  <c r="I74" i="14"/>
  <c r="J74" i="14"/>
  <c r="M74" i="14"/>
  <c r="N74" i="14"/>
  <c r="B74" i="14"/>
  <c r="P62" i="14"/>
  <c r="P63" i="14"/>
  <c r="P64" i="14"/>
  <c r="P65" i="14"/>
  <c r="P66" i="14"/>
  <c r="P67" i="14"/>
  <c r="P68" i="14"/>
  <c r="P69" i="14"/>
  <c r="P73" i="14"/>
  <c r="P75" i="14"/>
  <c r="P82" i="14"/>
  <c r="P84" i="14"/>
  <c r="P85" i="14"/>
  <c r="P86" i="14"/>
  <c r="P88" i="14"/>
  <c r="P15" i="14"/>
  <c r="P16" i="14"/>
  <c r="P17" i="14"/>
  <c r="P18" i="14"/>
  <c r="P19" i="14"/>
  <c r="P20" i="14"/>
  <c r="P40" i="14"/>
  <c r="P41" i="14"/>
  <c r="R41" i="8"/>
  <c r="R34" i="8"/>
  <c r="R28" i="8"/>
  <c r="M71" i="8" s="1"/>
  <c r="C78" i="8"/>
  <c r="D78" i="8"/>
  <c r="E78" i="8"/>
  <c r="F78" i="8"/>
  <c r="G78" i="8"/>
  <c r="H78" i="8"/>
  <c r="I78" i="8"/>
  <c r="J78" i="8"/>
  <c r="L78" i="8"/>
  <c r="K78" i="8"/>
  <c r="B78" i="8"/>
  <c r="C83" i="8"/>
  <c r="D83" i="8"/>
  <c r="D85" i="8" s="1"/>
  <c r="E83" i="8"/>
  <c r="E85" i="8" s="1"/>
  <c r="F83" i="8"/>
  <c r="G83" i="8"/>
  <c r="H83" i="8"/>
  <c r="I83" i="8"/>
  <c r="J83" i="8"/>
  <c r="L83" i="8"/>
  <c r="K83" i="8"/>
  <c r="M83" i="8"/>
  <c r="N83" i="8"/>
  <c r="O83" i="8"/>
  <c r="B83" i="8"/>
  <c r="C24" i="8"/>
  <c r="M10" i="19" s="1"/>
  <c r="Z10" i="19" s="1"/>
  <c r="D24" i="8"/>
  <c r="E24" i="8"/>
  <c r="F24" i="8"/>
  <c r="H24" i="8"/>
  <c r="I24" i="8"/>
  <c r="J24" i="8"/>
  <c r="L24" i="8"/>
  <c r="K24" i="8"/>
  <c r="M24" i="8"/>
  <c r="N24" i="8"/>
  <c r="B24" i="8"/>
  <c r="C36" i="8"/>
  <c r="D36" i="8"/>
  <c r="E36" i="8"/>
  <c r="F36" i="8"/>
  <c r="G36" i="8"/>
  <c r="H36" i="8"/>
  <c r="I36" i="8"/>
  <c r="J36" i="8"/>
  <c r="L36" i="8"/>
  <c r="K36" i="8"/>
  <c r="M36" i="8"/>
  <c r="N36" i="8"/>
  <c r="B36" i="8"/>
  <c r="C31" i="8"/>
  <c r="D31" i="8"/>
  <c r="E31" i="8"/>
  <c r="F31" i="8"/>
  <c r="G31" i="8"/>
  <c r="H31" i="8"/>
  <c r="I31" i="8"/>
  <c r="J31" i="8"/>
  <c r="L31" i="8"/>
  <c r="K31" i="8"/>
  <c r="B31" i="8"/>
  <c r="C71" i="8"/>
  <c r="D71" i="8"/>
  <c r="E71" i="8"/>
  <c r="H71" i="8"/>
  <c r="I71" i="8"/>
  <c r="J71" i="8"/>
  <c r="L71" i="8"/>
  <c r="N71" i="8"/>
  <c r="O71" i="8"/>
  <c r="B71" i="8"/>
  <c r="C83" i="12"/>
  <c r="D83" i="12"/>
  <c r="E83" i="12"/>
  <c r="F83" i="12"/>
  <c r="G83" i="12"/>
  <c r="H83" i="12"/>
  <c r="I83" i="12"/>
  <c r="J83" i="12"/>
  <c r="L83" i="12"/>
  <c r="K83" i="12"/>
  <c r="C88" i="12"/>
  <c r="D88" i="12"/>
  <c r="E88" i="12"/>
  <c r="F88" i="12"/>
  <c r="G88" i="12"/>
  <c r="H88" i="12"/>
  <c r="I88" i="12"/>
  <c r="J88" i="12"/>
  <c r="L88" i="12"/>
  <c r="K88" i="12"/>
  <c r="M88" i="12"/>
  <c r="N88" i="12"/>
  <c r="O88" i="12"/>
  <c r="B83" i="12"/>
  <c r="B88" i="12"/>
  <c r="C28" i="12"/>
  <c r="N10" i="19" s="1"/>
  <c r="AA10" i="19" s="1"/>
  <c r="D28" i="12"/>
  <c r="E28" i="12"/>
  <c r="F28" i="12"/>
  <c r="G28" i="12"/>
  <c r="H28" i="12"/>
  <c r="I28" i="12"/>
  <c r="J28" i="12"/>
  <c r="L28" i="12"/>
  <c r="K28" i="12"/>
  <c r="M28" i="12"/>
  <c r="N28" i="12"/>
  <c r="B28" i="12"/>
  <c r="C40" i="12"/>
  <c r="D40" i="12"/>
  <c r="E40" i="12"/>
  <c r="F40" i="12"/>
  <c r="G40" i="12"/>
  <c r="H40" i="12"/>
  <c r="I40" i="12"/>
  <c r="J40" i="12"/>
  <c r="L40" i="12"/>
  <c r="K40" i="12"/>
  <c r="M40" i="12"/>
  <c r="N40" i="12"/>
  <c r="O40" i="12"/>
  <c r="C35" i="12"/>
  <c r="D35" i="12"/>
  <c r="E35" i="12"/>
  <c r="F35" i="12"/>
  <c r="G35" i="12"/>
  <c r="H35" i="12"/>
  <c r="I35" i="12"/>
  <c r="J35" i="12"/>
  <c r="L35" i="12"/>
  <c r="K35" i="12"/>
  <c r="M35" i="12"/>
  <c r="B40" i="12"/>
  <c r="B35" i="12"/>
  <c r="R77" i="6"/>
  <c r="D19" i="6"/>
  <c r="E19" i="6"/>
  <c r="F19" i="6"/>
  <c r="G19" i="6"/>
  <c r="H19" i="6"/>
  <c r="I19" i="6"/>
  <c r="J19" i="6"/>
  <c r="L19" i="6"/>
  <c r="K19" i="6"/>
  <c r="M19" i="6"/>
  <c r="N19" i="6"/>
  <c r="O19" i="6"/>
  <c r="B19" i="6"/>
  <c r="C39" i="6"/>
  <c r="D39" i="6"/>
  <c r="E39" i="6"/>
  <c r="F39" i="6"/>
  <c r="G39" i="6"/>
  <c r="H39" i="6"/>
  <c r="I39" i="6"/>
  <c r="J39" i="6"/>
  <c r="L39" i="6"/>
  <c r="K39" i="6"/>
  <c r="M39" i="6"/>
  <c r="N39" i="6"/>
  <c r="C34" i="6"/>
  <c r="D34" i="6"/>
  <c r="E34" i="6"/>
  <c r="F34" i="6"/>
  <c r="G34" i="6"/>
  <c r="H34" i="6"/>
  <c r="I34" i="6"/>
  <c r="J34" i="6"/>
  <c r="L34" i="6"/>
  <c r="K34" i="6"/>
  <c r="M34" i="6"/>
  <c r="B34" i="6"/>
  <c r="C83" i="6"/>
  <c r="D83" i="6"/>
  <c r="E83" i="6"/>
  <c r="H83" i="6"/>
  <c r="I83" i="6"/>
  <c r="J83" i="6"/>
  <c r="L83" i="6"/>
  <c r="K83" i="6"/>
  <c r="M83" i="6"/>
  <c r="B83" i="6"/>
  <c r="C78" i="6"/>
  <c r="D78" i="6"/>
  <c r="E78" i="6"/>
  <c r="F78" i="6"/>
  <c r="G78" i="6"/>
  <c r="H78" i="6"/>
  <c r="I78" i="6"/>
  <c r="I85" i="6" s="1"/>
  <c r="I87" i="6" s="1"/>
  <c r="J78" i="6"/>
  <c r="J85" i="6" s="1"/>
  <c r="J87" i="6" s="1"/>
  <c r="L78" i="6"/>
  <c r="K78" i="6"/>
  <c r="B78" i="6"/>
  <c r="C27" i="6"/>
  <c r="O10" i="19" s="1"/>
  <c r="AB10" i="19" s="1"/>
  <c r="D27" i="6"/>
  <c r="E27" i="6"/>
  <c r="F27" i="6"/>
  <c r="G27" i="6"/>
  <c r="H27" i="6"/>
  <c r="I27" i="6"/>
  <c r="J27" i="6"/>
  <c r="L27" i="6"/>
  <c r="K27" i="6"/>
  <c r="M27" i="6"/>
  <c r="N27" i="6"/>
  <c r="B27" i="6"/>
  <c r="D71" i="6"/>
  <c r="E71" i="6"/>
  <c r="H71" i="6"/>
  <c r="I71" i="6"/>
  <c r="J71" i="6"/>
  <c r="L71" i="6"/>
  <c r="N71" i="6"/>
  <c r="E85" i="6" l="1"/>
  <c r="E87" i="6" s="1"/>
  <c r="D85" i="6"/>
  <c r="D87" i="6" s="1"/>
  <c r="J85" i="8"/>
  <c r="I42" i="12"/>
  <c r="I43" i="12" s="1"/>
  <c r="I85" i="8"/>
  <c r="M42" i="12"/>
  <c r="M43" i="12" s="1"/>
  <c r="H85" i="6"/>
  <c r="H87" i="6" s="1"/>
  <c r="L85" i="8"/>
  <c r="H85" i="8"/>
  <c r="E42" i="12"/>
  <c r="E43" i="12" s="1"/>
  <c r="L42" i="12"/>
  <c r="L43" i="12" s="1"/>
  <c r="G42" i="12"/>
  <c r="G43" i="12" s="1"/>
  <c r="C42" i="12"/>
  <c r="C43" i="12" s="1"/>
  <c r="P88" i="12"/>
  <c r="C85" i="8"/>
  <c r="B85" i="8"/>
  <c r="L85" i="6"/>
  <c r="L87" i="6" s="1"/>
  <c r="O85" i="8"/>
  <c r="M85" i="8"/>
  <c r="I89" i="14"/>
  <c r="D89" i="14"/>
  <c r="M89" i="14"/>
  <c r="H89" i="14"/>
  <c r="C89" i="14"/>
  <c r="B89" i="14"/>
  <c r="J89" i="14"/>
  <c r="E89" i="14"/>
  <c r="L89" i="14"/>
  <c r="L90" i="14" s="1"/>
  <c r="J42" i="12"/>
  <c r="J43" i="12" s="1"/>
  <c r="F42" i="12"/>
  <c r="F43" i="12" s="1"/>
  <c r="O28" i="12"/>
  <c r="B42" i="12"/>
  <c r="K42" i="12"/>
  <c r="K43" i="12" s="1"/>
  <c r="H42" i="12"/>
  <c r="H43" i="12" s="1"/>
  <c r="D42" i="12"/>
  <c r="D43" i="12" s="1"/>
  <c r="N78" i="8"/>
  <c r="L42" i="14"/>
  <c r="N85" i="8" l="1"/>
  <c r="P78" i="8"/>
  <c r="C64" i="6"/>
  <c r="C71" i="6" s="1"/>
  <c r="C85" i="6" s="1"/>
  <c r="C87" i="6" s="1"/>
  <c r="B64" i="6"/>
  <c r="C43" i="6"/>
  <c r="D43" i="6"/>
  <c r="E43" i="6"/>
  <c r="F43" i="6"/>
  <c r="G43" i="6"/>
  <c r="H43" i="6"/>
  <c r="I43" i="6"/>
  <c r="J43" i="6"/>
  <c r="L43" i="6"/>
  <c r="K43" i="6"/>
  <c r="N77" i="6"/>
  <c r="O77" i="6" s="1"/>
  <c r="N76" i="6"/>
  <c r="O76" i="6" s="1"/>
  <c r="N75" i="6"/>
  <c r="O75" i="6" s="1"/>
  <c r="N74" i="6"/>
  <c r="O74" i="6" s="1"/>
  <c r="N73" i="6"/>
  <c r="N33" i="6"/>
  <c r="N32" i="6"/>
  <c r="O32" i="6" s="1"/>
  <c r="N31" i="6"/>
  <c r="O31" i="6" s="1"/>
  <c r="N29" i="6"/>
  <c r="N34" i="6" s="1"/>
  <c r="N30" i="6"/>
  <c r="O21" i="6"/>
  <c r="O22" i="6"/>
  <c r="O23" i="6"/>
  <c r="O24" i="6"/>
  <c r="O25" i="6"/>
  <c r="O26" i="6"/>
  <c r="O28" i="6"/>
  <c r="O30" i="6"/>
  <c r="O33" i="6"/>
  <c r="O35" i="6"/>
  <c r="O38" i="6"/>
  <c r="O40" i="6"/>
  <c r="O41" i="6"/>
  <c r="B43" i="12"/>
  <c r="C76" i="12"/>
  <c r="C90" i="12" s="1"/>
  <c r="C92" i="12" s="1"/>
  <c r="D76" i="12"/>
  <c r="E76" i="12"/>
  <c r="E90" i="12" s="1"/>
  <c r="E92" i="12" s="1"/>
  <c r="F76" i="12"/>
  <c r="F90" i="12" s="1"/>
  <c r="F92" i="12" s="1"/>
  <c r="H76" i="12"/>
  <c r="H90" i="12" s="1"/>
  <c r="H92" i="12" s="1"/>
  <c r="I76" i="12"/>
  <c r="I90" i="12" s="1"/>
  <c r="I92" i="12" s="1"/>
  <c r="J76" i="12"/>
  <c r="J90" i="12" s="1"/>
  <c r="J92" i="12" s="1"/>
  <c r="L76" i="12"/>
  <c r="L90" i="12" s="1"/>
  <c r="L92" i="12" s="1"/>
  <c r="N76" i="12"/>
  <c r="B76" i="12"/>
  <c r="B90" i="12" s="1"/>
  <c r="B92" i="12" s="1"/>
  <c r="D90" i="12"/>
  <c r="D92" i="12" s="1"/>
  <c r="P13" i="8"/>
  <c r="C87" i="8"/>
  <c r="D87" i="8"/>
  <c r="E87" i="8"/>
  <c r="H87" i="8"/>
  <c r="I87" i="8"/>
  <c r="J87" i="8"/>
  <c r="L87" i="8"/>
  <c r="N87" i="8"/>
  <c r="O87" i="8"/>
  <c r="C40" i="8"/>
  <c r="D40" i="8"/>
  <c r="E40" i="8"/>
  <c r="F40" i="8"/>
  <c r="G40" i="8"/>
  <c r="H40" i="8"/>
  <c r="I40" i="8"/>
  <c r="J40" i="8"/>
  <c r="L40" i="8"/>
  <c r="K40" i="8"/>
  <c r="B40" i="8"/>
  <c r="O18" i="8"/>
  <c r="O19" i="8"/>
  <c r="O20" i="8"/>
  <c r="O21" i="8"/>
  <c r="O22" i="8"/>
  <c r="O23" i="8"/>
  <c r="O25" i="8"/>
  <c r="O32" i="8"/>
  <c r="O33" i="8"/>
  <c r="O34" i="8"/>
  <c r="O35" i="8"/>
  <c r="D41" i="10"/>
  <c r="E41" i="10"/>
  <c r="F41" i="10"/>
  <c r="G41" i="10"/>
  <c r="H41" i="10"/>
  <c r="I41" i="10"/>
  <c r="J41" i="10"/>
  <c r="L41" i="10"/>
  <c r="K41" i="10"/>
  <c r="N41" i="10"/>
  <c r="C41" i="10"/>
  <c r="C73" i="10"/>
  <c r="C87" i="10" s="1"/>
  <c r="C89" i="10" s="1"/>
  <c r="D73" i="10"/>
  <c r="D87" i="10" s="1"/>
  <c r="D89" i="10" s="1"/>
  <c r="E73" i="10"/>
  <c r="E87" i="10" s="1"/>
  <c r="E89" i="10" s="1"/>
  <c r="I73" i="10"/>
  <c r="I87" i="10" s="1"/>
  <c r="I89" i="10" s="1"/>
  <c r="J73" i="10"/>
  <c r="J87" i="10" s="1"/>
  <c r="J89" i="10" s="1"/>
  <c r="L73" i="10"/>
  <c r="L87" i="10" s="1"/>
  <c r="L89" i="10" s="1"/>
  <c r="N73" i="10"/>
  <c r="N87" i="10" s="1"/>
  <c r="N89" i="10" s="1"/>
  <c r="O73" i="10"/>
  <c r="O87" i="10" s="1"/>
  <c r="O89" i="10" s="1"/>
  <c r="B73" i="10"/>
  <c r="B87" i="10" s="1"/>
  <c r="P15" i="10"/>
  <c r="O21" i="10"/>
  <c r="O22" i="10"/>
  <c r="O23" i="10"/>
  <c r="O24" i="10"/>
  <c r="O25" i="10"/>
  <c r="O26" i="10"/>
  <c r="N22" i="7"/>
  <c r="N23" i="7"/>
  <c r="N24" i="7"/>
  <c r="N25" i="7"/>
  <c r="N28" i="7"/>
  <c r="N35" i="7"/>
  <c r="N36" i="7"/>
  <c r="N37" i="7"/>
  <c r="N38" i="7"/>
  <c r="N21" i="7"/>
  <c r="O74" i="13"/>
  <c r="O81" i="13"/>
  <c r="O82" i="13"/>
  <c r="O83" i="13"/>
  <c r="O84" i="13"/>
  <c r="O85" i="13"/>
  <c r="N29" i="13"/>
  <c r="N36" i="13"/>
  <c r="N37" i="13"/>
  <c r="N38" i="13"/>
  <c r="N39" i="13"/>
  <c r="N40" i="13"/>
  <c r="C73" i="13"/>
  <c r="C86" i="13" s="1"/>
  <c r="D73" i="13"/>
  <c r="D86" i="13" s="1"/>
  <c r="E73" i="13"/>
  <c r="E86" i="13" s="1"/>
  <c r="H73" i="13"/>
  <c r="H86" i="13" s="1"/>
  <c r="I73" i="13"/>
  <c r="I86" i="13" s="1"/>
  <c r="J73" i="13"/>
  <c r="J86" i="13" s="1"/>
  <c r="K73" i="13"/>
  <c r="K86" i="13" s="1"/>
  <c r="M73" i="13"/>
  <c r="B73" i="13"/>
  <c r="B86" i="13" s="1"/>
  <c r="N23" i="13"/>
  <c r="N24" i="13"/>
  <c r="N25" i="13"/>
  <c r="N26" i="13"/>
  <c r="N27" i="13"/>
  <c r="N22" i="13"/>
  <c r="C21" i="13"/>
  <c r="N34" i="13"/>
  <c r="N33" i="13"/>
  <c r="N32" i="13"/>
  <c r="M31" i="13"/>
  <c r="O79" i="13"/>
  <c r="O78" i="13"/>
  <c r="O77" i="13"/>
  <c r="O76" i="13"/>
  <c r="O23" i="5"/>
  <c r="O24" i="5"/>
  <c r="O25" i="5"/>
  <c r="O26" i="5"/>
  <c r="O31" i="5"/>
  <c r="O36" i="5"/>
  <c r="O39" i="5"/>
  <c r="O40" i="5"/>
  <c r="O22" i="5"/>
  <c r="C69" i="5"/>
  <c r="C80" i="5" s="1"/>
  <c r="D69" i="5"/>
  <c r="D80" i="5" s="1"/>
  <c r="E69" i="5"/>
  <c r="E80" i="5" s="1"/>
  <c r="G69" i="5"/>
  <c r="H69" i="5"/>
  <c r="J69" i="5"/>
  <c r="L69" i="5"/>
  <c r="N69" i="5"/>
  <c r="B69" i="5"/>
  <c r="O68" i="5"/>
  <c r="F37" i="5"/>
  <c r="O37" i="5" s="1"/>
  <c r="O34" i="5"/>
  <c r="O33" i="5"/>
  <c r="O32" i="5"/>
  <c r="O30" i="5"/>
  <c r="P10" i="5"/>
  <c r="P9" i="5"/>
  <c r="O27" i="10" l="1"/>
  <c r="N78" i="6"/>
  <c r="N85" i="6" s="1"/>
  <c r="O73" i="6"/>
  <c r="O78" i="6" s="1"/>
  <c r="O29" i="6"/>
  <c r="B71" i="6"/>
  <c r="B85" i="6" s="1"/>
  <c r="B87" i="6" s="1"/>
  <c r="O64" i="6"/>
  <c r="N31" i="13"/>
  <c r="Q76" i="13"/>
  <c r="M35" i="13"/>
  <c r="H80" i="5"/>
  <c r="L80" i="5"/>
  <c r="G80" i="5"/>
  <c r="C28" i="5"/>
  <c r="G10" i="19" s="1"/>
  <c r="T27" i="5"/>
  <c r="J80" i="5"/>
  <c r="B80" i="5"/>
  <c r="I69" i="5"/>
  <c r="N28" i="13"/>
  <c r="O35" i="5"/>
  <c r="O27" i="5"/>
  <c r="O28" i="5" s="1"/>
  <c r="C21" i="5"/>
  <c r="O27" i="6"/>
  <c r="N43" i="6"/>
  <c r="P18" i="8"/>
  <c r="O24" i="8"/>
  <c r="O41" i="10"/>
  <c r="B89" i="10"/>
  <c r="B87" i="8"/>
  <c r="O36" i="8"/>
  <c r="O34" i="6"/>
  <c r="I72" i="11"/>
  <c r="C72" i="11"/>
  <c r="C84" i="11" s="1"/>
  <c r="D72" i="11"/>
  <c r="D84" i="11" s="1"/>
  <c r="E72" i="11"/>
  <c r="E84" i="11" s="1"/>
  <c r="H72" i="11"/>
  <c r="H84" i="11" s="1"/>
  <c r="J72" i="11"/>
  <c r="J84" i="11" s="1"/>
  <c r="K72" i="11"/>
  <c r="K84" i="11" s="1"/>
  <c r="M72" i="11"/>
  <c r="M84" i="11" s="1"/>
  <c r="N72" i="11"/>
  <c r="N84" i="11" s="1"/>
  <c r="B72" i="11"/>
  <c r="B84" i="11" s="1"/>
  <c r="N21" i="11"/>
  <c r="N22" i="11"/>
  <c r="N23" i="11"/>
  <c r="N24" i="11"/>
  <c r="N25" i="11"/>
  <c r="N26" i="11"/>
  <c r="N30" i="13"/>
  <c r="N33" i="7"/>
  <c r="N32" i="7"/>
  <c r="N31" i="7"/>
  <c r="N30" i="7"/>
  <c r="N29" i="7"/>
  <c r="M74" i="7"/>
  <c r="C72" i="7"/>
  <c r="C84" i="7" s="1"/>
  <c r="D72" i="7"/>
  <c r="D84" i="7" s="1"/>
  <c r="E72" i="7"/>
  <c r="E84" i="7" s="1"/>
  <c r="F72" i="7"/>
  <c r="F84" i="7" s="1"/>
  <c r="H72" i="7"/>
  <c r="H84" i="7" s="1"/>
  <c r="J72" i="7"/>
  <c r="J84" i="7" s="1"/>
  <c r="K72" i="7"/>
  <c r="K84" i="7" s="1"/>
  <c r="M72" i="7"/>
  <c r="M84" i="7" s="1"/>
  <c r="N72" i="7"/>
  <c r="N84" i="7" s="1"/>
  <c r="B72" i="7"/>
  <c r="B84" i="7" s="1"/>
  <c r="I72" i="7"/>
  <c r="C40" i="7"/>
  <c r="N26" i="7"/>
  <c r="N27" i="7" s="1"/>
  <c r="O22" i="9"/>
  <c r="O28" i="9" s="1"/>
  <c r="O41" i="9" s="1"/>
  <c r="O68" i="9"/>
  <c r="O72" i="9"/>
  <c r="O67" i="9"/>
  <c r="C73" i="9"/>
  <c r="C84" i="9" s="1"/>
  <c r="D73" i="9"/>
  <c r="D84" i="9" s="1"/>
  <c r="E73" i="9"/>
  <c r="E84" i="9" s="1"/>
  <c r="H73" i="9"/>
  <c r="H84" i="9" s="1"/>
  <c r="I73" i="9"/>
  <c r="I84" i="9" s="1"/>
  <c r="J73" i="9"/>
  <c r="J84" i="9" s="1"/>
  <c r="K73" i="9"/>
  <c r="K84" i="9" s="1"/>
  <c r="N73" i="9"/>
  <c r="N84" i="9" s="1"/>
  <c r="B73" i="9"/>
  <c r="B84" i="9" s="1"/>
  <c r="C21" i="9"/>
  <c r="O21" i="9" s="1"/>
  <c r="M78" i="6" l="1"/>
  <c r="I84" i="11"/>
  <c r="I80" i="5"/>
  <c r="T28" i="5"/>
  <c r="R28" i="5"/>
  <c r="R23" i="5"/>
  <c r="R24" i="5"/>
  <c r="R25" i="5"/>
  <c r="R22" i="5"/>
  <c r="R26" i="5"/>
  <c r="O41" i="5"/>
  <c r="R27" i="5"/>
  <c r="Q29" i="7"/>
  <c r="N74" i="7"/>
  <c r="N79" i="7" s="1"/>
  <c r="M79" i="7"/>
  <c r="Q33" i="7" s="1"/>
  <c r="N35" i="13"/>
  <c r="N41" i="13" s="1"/>
  <c r="C14" i="12"/>
  <c r="I84" i="7"/>
  <c r="N34" i="7"/>
  <c r="N40" i="7" s="1"/>
  <c r="O75" i="13"/>
  <c r="O80" i="13" s="1"/>
  <c r="M86" i="13"/>
  <c r="C20" i="11"/>
  <c r="C6" i="7"/>
  <c r="C12" i="7" s="1"/>
  <c r="C14" i="7" s="1"/>
  <c r="C12" i="9"/>
  <c r="C14" i="9" s="1"/>
  <c r="P78" i="6" l="1"/>
  <c r="M41" i="9"/>
  <c r="P28" i="9" l="1"/>
  <c r="O72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" i="13"/>
  <c r="O5" i="13"/>
  <c r="O6" i="13"/>
  <c r="O16" i="13"/>
  <c r="O17" i="13"/>
  <c r="O18" i="13"/>
  <c r="O19" i="13"/>
  <c r="O20" i="13"/>
  <c r="O22" i="13"/>
  <c r="O23" i="13"/>
  <c r="O24" i="13"/>
  <c r="O25" i="13"/>
  <c r="O26" i="13"/>
  <c r="O27" i="13"/>
  <c r="O29" i="13"/>
  <c r="O36" i="13"/>
  <c r="O37" i="13"/>
  <c r="O38" i="13"/>
  <c r="O39" i="13"/>
  <c r="O40" i="13"/>
  <c r="O41" i="13"/>
  <c r="O3" i="13"/>
  <c r="O86" i="11"/>
  <c r="O85" i="11"/>
  <c r="O83" i="11"/>
  <c r="O82" i="11"/>
  <c r="O81" i="11"/>
  <c r="O80" i="11"/>
  <c r="O75" i="11"/>
  <c r="O73" i="11"/>
  <c r="O71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" i="11"/>
  <c r="O6" i="11"/>
  <c r="O16" i="11"/>
  <c r="O17" i="11"/>
  <c r="O18" i="11"/>
  <c r="O19" i="11"/>
  <c r="O21" i="11"/>
  <c r="O22" i="11"/>
  <c r="O23" i="11"/>
  <c r="O24" i="11"/>
  <c r="O25" i="11"/>
  <c r="O26" i="11"/>
  <c r="O28" i="11"/>
  <c r="O35" i="11"/>
  <c r="O36" i="11"/>
  <c r="O37" i="11"/>
  <c r="O38" i="11"/>
  <c r="O39" i="11"/>
  <c r="O4" i="11"/>
  <c r="O89" i="7"/>
  <c r="O87" i="7"/>
  <c r="O86" i="7"/>
  <c r="O85" i="7"/>
  <c r="O83" i="7"/>
  <c r="O82" i="7"/>
  <c r="O81" i="7"/>
  <c r="O80" i="7"/>
  <c r="O77" i="7"/>
  <c r="O75" i="7"/>
  <c r="O73" i="7"/>
  <c r="O71" i="7"/>
  <c r="O68" i="7"/>
  <c r="O67" i="7"/>
  <c r="O66" i="7"/>
  <c r="O65" i="7"/>
  <c r="O64" i="7"/>
  <c r="O63" i="7"/>
  <c r="O62" i="7"/>
  <c r="O61" i="7"/>
  <c r="O60" i="7"/>
  <c r="O59" i="7"/>
  <c r="O58" i="7"/>
  <c r="O57" i="7"/>
  <c r="O4" i="7"/>
  <c r="O5" i="7"/>
  <c r="O16" i="7"/>
  <c r="O17" i="7"/>
  <c r="O18" i="7"/>
  <c r="O19" i="7"/>
  <c r="O21" i="7"/>
  <c r="O22" i="7"/>
  <c r="O23" i="7"/>
  <c r="O24" i="7"/>
  <c r="O25" i="7"/>
  <c r="O26" i="7"/>
  <c r="O28" i="7"/>
  <c r="O35" i="7"/>
  <c r="O36" i="7"/>
  <c r="O37" i="7"/>
  <c r="O38" i="7"/>
  <c r="O39" i="7"/>
  <c r="O40" i="7"/>
  <c r="O3" i="7"/>
  <c r="P77" i="9"/>
  <c r="P78" i="9"/>
  <c r="P79" i="9"/>
  <c r="P80" i="9"/>
  <c r="P81" i="9"/>
  <c r="P82" i="9"/>
  <c r="P83" i="9"/>
  <c r="P76" i="9"/>
  <c r="P75" i="9"/>
  <c r="P74" i="9"/>
  <c r="P72" i="9"/>
  <c r="P68" i="9"/>
  <c r="P67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" i="9"/>
  <c r="P5" i="9"/>
  <c r="P6" i="9"/>
  <c r="P16" i="9"/>
  <c r="P17" i="9"/>
  <c r="P18" i="9"/>
  <c r="P19" i="9"/>
  <c r="P20" i="9"/>
  <c r="P21" i="9"/>
  <c r="C15" i="9" s="1"/>
  <c r="P22" i="9"/>
  <c r="P23" i="9"/>
  <c r="P24" i="9"/>
  <c r="P25" i="9"/>
  <c r="P26" i="9"/>
  <c r="P27" i="9"/>
  <c r="P29" i="9"/>
  <c r="P30" i="9"/>
  <c r="P31" i="9"/>
  <c r="P32" i="9"/>
  <c r="P33" i="9"/>
  <c r="P34" i="9"/>
  <c r="P35" i="9"/>
  <c r="P36" i="9"/>
  <c r="P37" i="9"/>
  <c r="P38" i="9"/>
  <c r="P39" i="9"/>
  <c r="P3" i="9"/>
  <c r="P11" i="9"/>
  <c r="P10" i="9"/>
  <c r="P9" i="9"/>
  <c r="O11" i="7"/>
  <c r="O10" i="7"/>
  <c r="O9" i="7"/>
  <c r="O11" i="11"/>
  <c r="O10" i="11"/>
  <c r="O9" i="11"/>
  <c r="O11" i="13"/>
  <c r="O10" i="13"/>
  <c r="O9" i="13"/>
  <c r="C10" i="8"/>
  <c r="P10" i="8" s="1"/>
  <c r="O8" i="7"/>
  <c r="O8" i="11"/>
  <c r="O7" i="13"/>
  <c r="O8" i="13"/>
  <c r="P8" i="9"/>
  <c r="P7" i="9"/>
  <c r="O28" i="13" l="1"/>
  <c r="C15" i="13" s="1"/>
  <c r="O27" i="7"/>
  <c r="C15" i="7" s="1"/>
  <c r="O21" i="13"/>
  <c r="C40" i="11"/>
  <c r="P40" i="9"/>
  <c r="P41" i="9" s="1"/>
  <c r="O7" i="7"/>
  <c r="C12" i="10"/>
  <c r="P12" i="10" s="1"/>
  <c r="O7" i="11"/>
  <c r="O12" i="11" s="1"/>
  <c r="P12" i="11" s="1"/>
  <c r="C11" i="14"/>
  <c r="P11" i="14" s="1"/>
  <c r="C11" i="6"/>
  <c r="C12" i="12"/>
  <c r="C12" i="8"/>
  <c r="P12" i="8" s="1"/>
  <c r="C10" i="14"/>
  <c r="P10" i="14" s="1"/>
  <c r="C10" i="6"/>
  <c r="C11" i="12"/>
  <c r="C11" i="8"/>
  <c r="P11" i="8" s="1"/>
  <c r="C11" i="10"/>
  <c r="P11" i="10" s="1"/>
  <c r="C9" i="14"/>
  <c r="P9" i="14" s="1"/>
  <c r="C9" i="6"/>
  <c r="P9" i="6" s="1"/>
  <c r="C10" i="12"/>
  <c r="P10" i="12" s="1"/>
  <c r="C8" i="14"/>
  <c r="P8" i="14" s="1"/>
  <c r="C8" i="6"/>
  <c r="P8" i="6" s="1"/>
  <c r="C9" i="12"/>
  <c r="P9" i="12" s="1"/>
  <c r="C9" i="8"/>
  <c r="P9" i="8" s="1"/>
  <c r="C7" i="14"/>
  <c r="C7" i="6"/>
  <c r="C8" i="12"/>
  <c r="C8" i="8"/>
  <c r="P8" i="8" s="1"/>
  <c r="P6" i="14"/>
  <c r="P61" i="14"/>
  <c r="P6" i="6"/>
  <c r="P54" i="6"/>
  <c r="P53" i="6"/>
  <c r="P52" i="6"/>
  <c r="P51" i="6"/>
  <c r="P7" i="12"/>
  <c r="P66" i="12"/>
  <c r="P65" i="12"/>
  <c r="P64" i="12"/>
  <c r="P63" i="12"/>
  <c r="P60" i="8"/>
  <c r="P59" i="8"/>
  <c r="P58" i="8"/>
  <c r="P57" i="8"/>
  <c r="P7" i="8"/>
  <c r="P63" i="10"/>
  <c r="P62" i="10"/>
  <c r="P61" i="10"/>
  <c r="P60" i="10"/>
  <c r="P6" i="13" l="1"/>
  <c r="C12" i="6"/>
  <c r="P15" i="13"/>
  <c r="C13" i="14"/>
  <c r="P7" i="14"/>
  <c r="C12" i="14"/>
  <c r="P14" i="14" s="1"/>
  <c r="P8" i="12"/>
  <c r="C13" i="12"/>
  <c r="C15" i="12" s="1"/>
  <c r="P15" i="12" s="1"/>
  <c r="O40" i="11"/>
  <c r="P7" i="6"/>
  <c r="C9" i="10"/>
  <c r="P9" i="10" s="1"/>
  <c r="C10" i="10"/>
  <c r="P10" i="10" s="1"/>
  <c r="C8" i="10"/>
  <c r="P81" i="8"/>
  <c r="P80" i="8"/>
  <c r="P79" i="8"/>
  <c r="P76" i="8"/>
  <c r="P74" i="8"/>
  <c r="P72" i="8"/>
  <c r="P70" i="8"/>
  <c r="P66" i="8"/>
  <c r="P65" i="8"/>
  <c r="P64" i="8"/>
  <c r="P63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N30" i="8"/>
  <c r="N29" i="8"/>
  <c r="N28" i="8"/>
  <c r="N27" i="8"/>
  <c r="N26" i="8"/>
  <c r="P4" i="8"/>
  <c r="P5" i="8"/>
  <c r="P6" i="8"/>
  <c r="P14" i="8"/>
  <c r="P15" i="8"/>
  <c r="P16" i="8"/>
  <c r="P19" i="8"/>
  <c r="P20" i="8"/>
  <c r="P21" i="8"/>
  <c r="P22" i="8"/>
  <c r="P23" i="8"/>
  <c r="P25" i="8"/>
  <c r="P32" i="8"/>
  <c r="P33" i="8"/>
  <c r="P34" i="8"/>
  <c r="P35" i="8"/>
  <c r="P37" i="8"/>
  <c r="P38" i="8"/>
  <c r="P39" i="8"/>
  <c r="P3" i="8"/>
  <c r="P88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2" i="10"/>
  <c r="P67" i="10"/>
  <c r="P66" i="10"/>
  <c r="P59" i="10"/>
  <c r="P58" i="10"/>
  <c r="P57" i="10"/>
  <c r="P4" i="10"/>
  <c r="P5" i="10"/>
  <c r="P6" i="10"/>
  <c r="P7" i="10"/>
  <c r="P16" i="10"/>
  <c r="P17" i="10"/>
  <c r="P18" i="10"/>
  <c r="P19" i="10"/>
  <c r="P21" i="10"/>
  <c r="P22" i="10"/>
  <c r="P23" i="10"/>
  <c r="P24" i="10"/>
  <c r="P25" i="10"/>
  <c r="P26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3" i="10"/>
  <c r="B41" i="10"/>
  <c r="P79" i="12"/>
  <c r="P77" i="12"/>
  <c r="P75" i="12"/>
  <c r="P72" i="12"/>
  <c r="P71" i="12"/>
  <c r="P70" i="12"/>
  <c r="P69" i="12"/>
  <c r="P62" i="12"/>
  <c r="P61" i="12"/>
  <c r="P60" i="12"/>
  <c r="P59" i="12"/>
  <c r="P58" i="12"/>
  <c r="P57" i="12"/>
  <c r="P56" i="12"/>
  <c r="P55" i="12"/>
  <c r="P54" i="12"/>
  <c r="P53" i="12"/>
  <c r="P52" i="12"/>
  <c r="P51" i="12"/>
  <c r="P50" i="12"/>
  <c r="P49" i="12"/>
  <c r="P48" i="12"/>
  <c r="P47" i="12"/>
  <c r="P46" i="12"/>
  <c r="P4" i="12"/>
  <c r="P5" i="12"/>
  <c r="P6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9" i="12"/>
  <c r="P36" i="12"/>
  <c r="P37" i="12"/>
  <c r="P38" i="12"/>
  <c r="P39" i="12"/>
  <c r="P41" i="12"/>
  <c r="P3" i="12"/>
  <c r="N82" i="12"/>
  <c r="N81" i="12"/>
  <c r="N80" i="12"/>
  <c r="N78" i="12"/>
  <c r="O78" i="12" s="1"/>
  <c r="N34" i="12"/>
  <c r="N33" i="12"/>
  <c r="N32" i="12"/>
  <c r="N31" i="12"/>
  <c r="N30" i="12"/>
  <c r="O30" i="12" s="1"/>
  <c r="N33" i="14"/>
  <c r="N32" i="14"/>
  <c r="N31" i="14"/>
  <c r="N30" i="14"/>
  <c r="N29" i="14"/>
  <c r="K42" i="14"/>
  <c r="J42" i="14"/>
  <c r="I42" i="14"/>
  <c r="H42" i="14"/>
  <c r="F42" i="14"/>
  <c r="E42" i="14"/>
  <c r="D42" i="14"/>
  <c r="B37" i="14"/>
  <c r="O37" i="14" s="1"/>
  <c r="P37" i="14" s="1"/>
  <c r="N80" i="14"/>
  <c r="N79" i="14"/>
  <c r="N78" i="14"/>
  <c r="N77" i="14"/>
  <c r="N76" i="14"/>
  <c r="O76" i="14" s="1"/>
  <c r="J90" i="14"/>
  <c r="I90" i="14"/>
  <c r="H90" i="14"/>
  <c r="E90" i="14"/>
  <c r="D90" i="14"/>
  <c r="C90" i="14"/>
  <c r="B90" i="14"/>
  <c r="N87" i="14"/>
  <c r="G38" i="14" s="1"/>
  <c r="P27" i="10" l="1"/>
  <c r="O81" i="12"/>
  <c r="P81" i="12" s="1"/>
  <c r="O80" i="12"/>
  <c r="O82" i="12"/>
  <c r="P82" i="12" s="1"/>
  <c r="O79" i="14"/>
  <c r="P79" i="14" s="1"/>
  <c r="O80" i="14"/>
  <c r="P80" i="14" s="1"/>
  <c r="O77" i="14"/>
  <c r="P77" i="14" s="1"/>
  <c r="O78" i="14"/>
  <c r="P78" i="14" s="1"/>
  <c r="O33" i="12"/>
  <c r="P33" i="12" s="1"/>
  <c r="O34" i="12"/>
  <c r="P34" i="12" s="1"/>
  <c r="O32" i="12"/>
  <c r="P32" i="12" s="1"/>
  <c r="O31" i="12"/>
  <c r="P8" i="10"/>
  <c r="P13" i="10" s="1"/>
  <c r="C13" i="10"/>
  <c r="N83" i="12"/>
  <c r="N90" i="12" s="1"/>
  <c r="N92" i="12" s="1"/>
  <c r="B39" i="14"/>
  <c r="B42" i="14" s="1"/>
  <c r="O36" i="14"/>
  <c r="P36" i="14" s="1"/>
  <c r="G39" i="14"/>
  <c r="G42" i="14" s="1"/>
  <c r="O38" i="14"/>
  <c r="P38" i="14" s="1"/>
  <c r="O29" i="14"/>
  <c r="N34" i="14"/>
  <c r="O33" i="14"/>
  <c r="P33" i="14" s="1"/>
  <c r="O31" i="14"/>
  <c r="P31" i="14" s="1"/>
  <c r="O30" i="14"/>
  <c r="P30" i="14" s="1"/>
  <c r="P76" i="14"/>
  <c r="N81" i="14"/>
  <c r="O32" i="14"/>
  <c r="P32" i="14" s="1"/>
  <c r="P40" i="12"/>
  <c r="P28" i="12"/>
  <c r="N35" i="12"/>
  <c r="N42" i="12" s="1"/>
  <c r="N31" i="8"/>
  <c r="P83" i="8"/>
  <c r="P24" i="8"/>
  <c r="P41" i="10"/>
  <c r="P36" i="8"/>
  <c r="O26" i="8"/>
  <c r="O27" i="8"/>
  <c r="P27" i="8" s="1"/>
  <c r="O28" i="8"/>
  <c r="P28" i="8" s="1"/>
  <c r="O30" i="8"/>
  <c r="P30" i="8" s="1"/>
  <c r="O29" i="8"/>
  <c r="P29" i="8" s="1"/>
  <c r="P78" i="12"/>
  <c r="P30" i="12"/>
  <c r="O34" i="13"/>
  <c r="O33" i="13"/>
  <c r="O32" i="13"/>
  <c r="O31" i="13"/>
  <c r="O30" i="13"/>
  <c r="O78" i="11"/>
  <c r="O77" i="11"/>
  <c r="O76" i="11"/>
  <c r="O74" i="11"/>
  <c r="O33" i="11"/>
  <c r="O32" i="11"/>
  <c r="O31" i="11"/>
  <c r="O30" i="11"/>
  <c r="O29" i="11"/>
  <c r="P77" i="8"/>
  <c r="P75" i="8"/>
  <c r="O78" i="7"/>
  <c r="O76" i="7"/>
  <c r="O74" i="7"/>
  <c r="O33" i="7"/>
  <c r="O32" i="7"/>
  <c r="O31" i="7"/>
  <c r="O30" i="7"/>
  <c r="O29" i="7"/>
  <c r="P49" i="6"/>
  <c r="P50" i="6"/>
  <c r="P48" i="6"/>
  <c r="O35" i="12" l="1"/>
  <c r="O42" i="12" s="1"/>
  <c r="O43" i="12" s="1"/>
  <c r="P31" i="12"/>
  <c r="P35" i="12" s="1"/>
  <c r="O83" i="12"/>
  <c r="P80" i="12"/>
  <c r="N42" i="14"/>
  <c r="O81" i="14"/>
  <c r="P81" i="14" s="1"/>
  <c r="N43" i="12"/>
  <c r="P42" i="12"/>
  <c r="M83" i="12"/>
  <c r="M90" i="12" s="1"/>
  <c r="O79" i="11"/>
  <c r="O35" i="13"/>
  <c r="O34" i="11"/>
  <c r="O79" i="7"/>
  <c r="O34" i="7"/>
  <c r="N90" i="14"/>
  <c r="O39" i="14"/>
  <c r="P39" i="14" s="1"/>
  <c r="O34" i="14"/>
  <c r="P34" i="14" s="1"/>
  <c r="P29" i="14"/>
  <c r="O31" i="8"/>
  <c r="P31" i="8" s="1"/>
  <c r="P26" i="8"/>
  <c r="P73" i="8"/>
  <c r="P6" i="5"/>
  <c r="P7" i="5"/>
  <c r="P8" i="5"/>
  <c r="P11" i="5"/>
  <c r="P16" i="5"/>
  <c r="P17" i="5"/>
  <c r="P19" i="5"/>
  <c r="P20" i="5"/>
  <c r="P22" i="5"/>
  <c r="P23" i="5"/>
  <c r="P24" i="5"/>
  <c r="P25" i="5"/>
  <c r="P26" i="5"/>
  <c r="P27" i="5"/>
  <c r="P30" i="5"/>
  <c r="P31" i="5"/>
  <c r="P32" i="5"/>
  <c r="P33" i="5"/>
  <c r="P34" i="5"/>
  <c r="P36" i="5"/>
  <c r="P39" i="5"/>
  <c r="P40" i="5"/>
  <c r="P41" i="5"/>
  <c r="P43" i="5"/>
  <c r="P44" i="5"/>
  <c r="P45" i="5"/>
  <c r="P47" i="5"/>
  <c r="P48" i="5"/>
  <c r="P49" i="5"/>
  <c r="P50" i="5"/>
  <c r="P51" i="5"/>
  <c r="P52" i="5"/>
  <c r="P56" i="5"/>
  <c r="P57" i="5"/>
  <c r="P58" i="5"/>
  <c r="P59" i="5"/>
  <c r="P60" i="5"/>
  <c r="P64" i="5"/>
  <c r="P68" i="5"/>
  <c r="P70" i="5"/>
  <c r="P71" i="5"/>
  <c r="P72" i="5"/>
  <c r="P73" i="5"/>
  <c r="P74" i="5"/>
  <c r="P75" i="5"/>
  <c r="P76" i="5"/>
  <c r="P79" i="5"/>
  <c r="P81" i="5"/>
  <c r="P40" i="8" l="1"/>
  <c r="R78" i="8"/>
  <c r="P83" i="12"/>
  <c r="M92" i="12"/>
  <c r="P43" i="12"/>
  <c r="P35" i="5"/>
  <c r="P12" i="5"/>
  <c r="P28" i="5"/>
  <c r="C15" i="5" s="1"/>
  <c r="O40" i="8"/>
  <c r="C22" i="14"/>
  <c r="P5" i="19" s="1"/>
  <c r="AC5" i="19" s="1"/>
  <c r="G72" i="14"/>
  <c r="O72" i="14" s="1"/>
  <c r="K71" i="14"/>
  <c r="O71" i="14" s="1"/>
  <c r="F70" i="14"/>
  <c r="O70" i="14" s="1"/>
  <c r="G71" i="13"/>
  <c r="L70" i="13"/>
  <c r="F69" i="13"/>
  <c r="G74" i="12"/>
  <c r="O74" i="12" s="1"/>
  <c r="K73" i="12"/>
  <c r="O73" i="12" s="1"/>
  <c r="O76" i="12" s="1"/>
  <c r="O90" i="12" s="1"/>
  <c r="O92" i="12" s="1"/>
  <c r="G70" i="11"/>
  <c r="L69" i="11"/>
  <c r="F68" i="11"/>
  <c r="G69" i="8"/>
  <c r="K68" i="8"/>
  <c r="F67" i="8"/>
  <c r="G70" i="7"/>
  <c r="L69" i="7"/>
  <c r="G71" i="10"/>
  <c r="G73" i="10" s="1"/>
  <c r="G87" i="10" s="1"/>
  <c r="G89" i="10" s="1"/>
  <c r="K70" i="10"/>
  <c r="K73" i="10" s="1"/>
  <c r="K87" i="10" s="1"/>
  <c r="K89" i="10" s="1"/>
  <c r="F69" i="10"/>
  <c r="F73" i="10" s="1"/>
  <c r="F87" i="10" s="1"/>
  <c r="H68" i="10"/>
  <c r="H73" i="10" s="1"/>
  <c r="H87" i="10" s="1"/>
  <c r="H89" i="10" s="1"/>
  <c r="G71" i="9"/>
  <c r="L70" i="9"/>
  <c r="F69" i="9"/>
  <c r="P15" i="6"/>
  <c r="P16" i="6"/>
  <c r="P17" i="6"/>
  <c r="P18" i="6"/>
  <c r="P21" i="6"/>
  <c r="P22" i="6"/>
  <c r="P23" i="6"/>
  <c r="P24" i="6"/>
  <c r="P25" i="6"/>
  <c r="P26" i="6"/>
  <c r="P28" i="6"/>
  <c r="P29" i="6"/>
  <c r="P30" i="6"/>
  <c r="P31" i="6"/>
  <c r="P32" i="6"/>
  <c r="P33" i="6"/>
  <c r="P35" i="6"/>
  <c r="P38" i="6"/>
  <c r="P40" i="6"/>
  <c r="P41" i="6"/>
  <c r="P42" i="6"/>
  <c r="P44" i="6"/>
  <c r="P45" i="6"/>
  <c r="P46" i="6"/>
  <c r="P47" i="6"/>
  <c r="P58" i="6"/>
  <c r="P59" i="6"/>
  <c r="P60" i="6"/>
  <c r="P61" i="6"/>
  <c r="P62" i="6"/>
  <c r="P63" i="6"/>
  <c r="P64" i="6"/>
  <c r="P65" i="6"/>
  <c r="P70" i="6"/>
  <c r="P72" i="6"/>
  <c r="P73" i="6"/>
  <c r="P74" i="6"/>
  <c r="P75" i="6"/>
  <c r="P76" i="6"/>
  <c r="P77" i="6"/>
  <c r="P79" i="6"/>
  <c r="P82" i="6"/>
  <c r="P84" i="6"/>
  <c r="P86" i="6"/>
  <c r="P3" i="6"/>
  <c r="B62" i="5"/>
  <c r="P61" i="5"/>
  <c r="C18" i="5"/>
  <c r="O18" i="5" s="1"/>
  <c r="B36" i="6"/>
  <c r="P37" i="5"/>
  <c r="N69" i="13" l="1"/>
  <c r="F73" i="13"/>
  <c r="O69" i="13"/>
  <c r="N70" i="13"/>
  <c r="L73" i="13"/>
  <c r="O70" i="13"/>
  <c r="N71" i="13"/>
  <c r="G73" i="13"/>
  <c r="O71" i="13"/>
  <c r="R12" i="5"/>
  <c r="O74" i="14"/>
  <c r="O90" i="14" s="1"/>
  <c r="P72" i="14"/>
  <c r="G74" i="14"/>
  <c r="F74" i="14"/>
  <c r="P70" i="14"/>
  <c r="P71" i="14"/>
  <c r="K74" i="14"/>
  <c r="O22" i="14"/>
  <c r="B39" i="6"/>
  <c r="B43" i="6" s="1"/>
  <c r="K76" i="12"/>
  <c r="K90" i="12" s="1"/>
  <c r="K92" i="12" s="1"/>
  <c r="P73" i="12"/>
  <c r="G76" i="12"/>
  <c r="G90" i="12" s="1"/>
  <c r="P74" i="12"/>
  <c r="F71" i="8"/>
  <c r="F85" i="8" s="1"/>
  <c r="G71" i="8"/>
  <c r="K71" i="8"/>
  <c r="K85" i="8" s="1"/>
  <c r="K87" i="8"/>
  <c r="F89" i="10"/>
  <c r="P87" i="10"/>
  <c r="P34" i="6"/>
  <c r="P27" i="6"/>
  <c r="O37" i="6"/>
  <c r="P37" i="6" s="1"/>
  <c r="N81" i="6"/>
  <c r="O36" i="6"/>
  <c r="G72" i="11"/>
  <c r="G84" i="11" s="1"/>
  <c r="O70" i="11"/>
  <c r="F72" i="11"/>
  <c r="F84" i="11" s="1"/>
  <c r="O84" i="11" s="1"/>
  <c r="O68" i="11"/>
  <c r="L72" i="11"/>
  <c r="L84" i="11" s="1"/>
  <c r="O69" i="11"/>
  <c r="G72" i="7"/>
  <c r="G84" i="7" s="1"/>
  <c r="O70" i="7"/>
  <c r="L72" i="7"/>
  <c r="L84" i="7" s="1"/>
  <c r="O69" i="7"/>
  <c r="O69" i="9"/>
  <c r="F73" i="9"/>
  <c r="O70" i="9"/>
  <c r="P70" i="9" s="1"/>
  <c r="L73" i="9"/>
  <c r="L84" i="9" s="1"/>
  <c r="P71" i="9"/>
  <c r="G73" i="9"/>
  <c r="G84" i="9" s="1"/>
  <c r="O71" i="9"/>
  <c r="C25" i="14"/>
  <c r="P8" i="19" s="1"/>
  <c r="AC8" i="19" s="1"/>
  <c r="C23" i="14"/>
  <c r="C24" i="14"/>
  <c r="P7" i="19" s="1"/>
  <c r="AC7" i="19" s="1"/>
  <c r="P69" i="8"/>
  <c r="P67" i="8"/>
  <c r="P68" i="8"/>
  <c r="P71" i="10"/>
  <c r="P68" i="10"/>
  <c r="P69" i="10"/>
  <c r="P70" i="10"/>
  <c r="G80" i="6"/>
  <c r="F80" i="6"/>
  <c r="P38" i="5"/>
  <c r="P18" i="5"/>
  <c r="C62" i="5"/>
  <c r="F77" i="5"/>
  <c r="M77" i="5"/>
  <c r="C5" i="5"/>
  <c r="C4" i="5"/>
  <c r="P4" i="5" s="1"/>
  <c r="G69" i="6"/>
  <c r="O69" i="6" s="1"/>
  <c r="K68" i="6"/>
  <c r="O68" i="6" s="1"/>
  <c r="F67" i="6"/>
  <c r="F66" i="6"/>
  <c r="O66" i="6" s="1"/>
  <c r="F67" i="5"/>
  <c r="O67" i="5" s="1"/>
  <c r="K66" i="5"/>
  <c r="O66" i="5" s="1"/>
  <c r="M65" i="5"/>
  <c r="O65" i="5" s="1"/>
  <c r="O23" i="14" l="1"/>
  <c r="P23" i="14" s="1"/>
  <c r="P6" i="19"/>
  <c r="AC6" i="19" s="1"/>
  <c r="G87" i="8"/>
  <c r="G85" i="8"/>
  <c r="G92" i="12"/>
  <c r="P90" i="12"/>
  <c r="G86" i="13"/>
  <c r="F83" i="6"/>
  <c r="F83" i="14"/>
  <c r="G83" i="6"/>
  <c r="G83" i="14"/>
  <c r="G87" i="14" s="1"/>
  <c r="O71" i="6"/>
  <c r="L86" i="13"/>
  <c r="P67" i="6"/>
  <c r="O67" i="6"/>
  <c r="O73" i="9"/>
  <c r="O72" i="7"/>
  <c r="I88" i="7" s="1"/>
  <c r="F86" i="13"/>
  <c r="N73" i="13"/>
  <c r="N83" i="6"/>
  <c r="N87" i="6" s="1"/>
  <c r="O81" i="6"/>
  <c r="O83" i="6" s="1"/>
  <c r="R15" i="5"/>
  <c r="C13" i="6"/>
  <c r="C14" i="6" s="1"/>
  <c r="P14" i="6" s="1"/>
  <c r="K89" i="14"/>
  <c r="K90" i="14" s="1"/>
  <c r="G89" i="14"/>
  <c r="O62" i="5"/>
  <c r="P62" i="5" s="1"/>
  <c r="P67" i="5"/>
  <c r="F69" i="5"/>
  <c r="P65" i="5"/>
  <c r="M69" i="5"/>
  <c r="P66" i="5"/>
  <c r="K69" i="5"/>
  <c r="O72" i="11"/>
  <c r="H88" i="7"/>
  <c r="L88" i="7"/>
  <c r="F88" i="7"/>
  <c r="O25" i="14"/>
  <c r="P25" i="14" s="1"/>
  <c r="O24" i="14"/>
  <c r="O27" i="14" s="1"/>
  <c r="O42" i="14" s="1"/>
  <c r="P22" i="14"/>
  <c r="C27" i="14"/>
  <c r="P74" i="14"/>
  <c r="P68" i="6"/>
  <c r="K71" i="6"/>
  <c r="K85" i="6" s="1"/>
  <c r="K87" i="6" s="1"/>
  <c r="P69" i="6"/>
  <c r="G71" i="6"/>
  <c r="P66" i="6"/>
  <c r="F71" i="6"/>
  <c r="O39" i="6"/>
  <c r="O43" i="6" s="1"/>
  <c r="P76" i="12"/>
  <c r="F87" i="8"/>
  <c r="P85" i="8"/>
  <c r="P73" i="10"/>
  <c r="P89" i="10" s="1"/>
  <c r="P71" i="8"/>
  <c r="P36" i="6"/>
  <c r="P39" i="6" s="1"/>
  <c r="P43" i="6" s="1"/>
  <c r="P81" i="6"/>
  <c r="O84" i="7"/>
  <c r="F84" i="9"/>
  <c r="P84" i="9" s="1"/>
  <c r="P73" i="9"/>
  <c r="P85" i="9" s="1"/>
  <c r="P69" i="9"/>
  <c r="P80" i="6"/>
  <c r="P77" i="5"/>
  <c r="P5" i="5"/>
  <c r="C42" i="14" l="1"/>
  <c r="P10" i="19"/>
  <c r="AC10" i="19" s="1"/>
  <c r="G88" i="7"/>
  <c r="O88" i="7" s="1"/>
  <c r="K88" i="7"/>
  <c r="J88" i="7"/>
  <c r="O85" i="6"/>
  <c r="O87" i="6" s="1"/>
  <c r="G85" i="6"/>
  <c r="G87" i="6" s="1"/>
  <c r="F87" i="14"/>
  <c r="P83" i="14"/>
  <c r="P87" i="14" s="1"/>
  <c r="N86" i="13"/>
  <c r="F85" i="6"/>
  <c r="F87" i="6" s="1"/>
  <c r="O73" i="13"/>
  <c r="O86" i="13"/>
  <c r="H87" i="11"/>
  <c r="L87" i="11"/>
  <c r="J87" i="11"/>
  <c r="G87" i="11"/>
  <c r="F87" i="11"/>
  <c r="K87" i="11"/>
  <c r="I87" i="11"/>
  <c r="K80" i="5"/>
  <c r="F80" i="5"/>
  <c r="O69" i="5"/>
  <c r="M80" i="5"/>
  <c r="G90" i="14"/>
  <c r="P24" i="14"/>
  <c r="P27" i="14" s="1"/>
  <c r="P42" i="14" s="1"/>
  <c r="P92" i="12"/>
  <c r="R92" i="12" s="1"/>
  <c r="P69" i="5"/>
  <c r="P71" i="6"/>
  <c r="M71" i="6" s="1"/>
  <c r="P87" i="8"/>
  <c r="R84" i="8" s="1"/>
  <c r="P83" i="6"/>
  <c r="N71" i="3"/>
  <c r="N80" i="4"/>
  <c r="O61" i="4"/>
  <c r="B32" i="4"/>
  <c r="J87" i="13" l="1"/>
  <c r="M87" i="13"/>
  <c r="K87" i="13"/>
  <c r="O87" i="13"/>
  <c r="H87" i="13"/>
  <c r="I87" i="13"/>
  <c r="L87" i="13"/>
  <c r="G87" i="13"/>
  <c r="F87" i="13"/>
  <c r="N87" i="13"/>
  <c r="F90" i="14"/>
  <c r="F89" i="14"/>
  <c r="P89" i="14" s="1"/>
  <c r="P90" i="14" s="1"/>
  <c r="M85" i="6"/>
  <c r="M87" i="6" s="1"/>
  <c r="P87" i="6" s="1"/>
  <c r="O87" i="11"/>
  <c r="Q90" i="14"/>
  <c r="H82" i="5"/>
  <c r="G82" i="5"/>
  <c r="L82" i="5"/>
  <c r="N82" i="5"/>
  <c r="J82" i="5"/>
  <c r="I82" i="5"/>
  <c r="M82" i="5"/>
  <c r="K82" i="5"/>
  <c r="F82" i="5"/>
  <c r="O82" i="5"/>
  <c r="O80" i="5"/>
  <c r="R37" i="4"/>
  <c r="M74" i="4"/>
  <c r="F74" i="4"/>
  <c r="B31" i="4" s="1"/>
  <c r="P85" i="6" l="1"/>
  <c r="P82" i="5"/>
  <c r="O23" i="2"/>
  <c r="O24" i="2"/>
  <c r="O25" i="2"/>
  <c r="O26" i="2"/>
  <c r="O22" i="2"/>
  <c r="P62" i="2"/>
  <c r="P64" i="2"/>
  <c r="O62" i="2"/>
  <c r="O63" i="2"/>
  <c r="P63" i="2" s="1"/>
  <c r="O64" i="2"/>
  <c r="O65" i="2"/>
  <c r="O61" i="2"/>
  <c r="O18" i="2"/>
  <c r="O59" i="2"/>
  <c r="F59" i="2"/>
  <c r="B18" i="2"/>
  <c r="O16" i="2"/>
  <c r="F57" i="2" s="1"/>
  <c r="P61" i="2" l="1"/>
  <c r="P65" i="2"/>
  <c r="P23" i="1"/>
  <c r="P24" i="1"/>
  <c r="P25" i="1"/>
  <c r="P26" i="1"/>
  <c r="P22" i="1"/>
  <c r="R54" i="1"/>
  <c r="Q53" i="1"/>
  <c r="O55" i="1"/>
  <c r="O54" i="1"/>
  <c r="O53" i="1"/>
  <c r="R53" i="1" s="1"/>
  <c r="F55" i="1"/>
  <c r="Q55" i="1" s="1"/>
  <c r="F54" i="1"/>
  <c r="F53" i="1"/>
  <c r="C6" i="2"/>
  <c r="C5" i="2"/>
  <c r="C4" i="2"/>
  <c r="Q54" i="1" l="1"/>
  <c r="B54" i="2"/>
  <c r="C4" i="6"/>
  <c r="C55" i="2"/>
  <c r="C5" i="6"/>
  <c r="P5" i="6" s="1"/>
  <c r="H53" i="2"/>
  <c r="B55" i="2"/>
  <c r="P4" i="6" l="1"/>
  <c r="P19" i="6" s="1"/>
  <c r="C19" i="6"/>
  <c r="C6" i="1"/>
  <c r="B51" i="1" s="1"/>
  <c r="C5" i="1"/>
  <c r="B50" i="1" s="1"/>
  <c r="C4" i="1"/>
  <c r="H49" i="1" s="1"/>
  <c r="B53" i="3"/>
  <c r="C53" i="3" s="1"/>
  <c r="B52" i="3"/>
  <c r="O52" i="3" s="1"/>
  <c r="H51" i="3"/>
  <c r="O51" i="3" s="1"/>
  <c r="B60" i="4"/>
  <c r="C60" i="4" s="1"/>
  <c r="B59" i="4"/>
  <c r="O59" i="4" s="1"/>
  <c r="H58" i="4"/>
  <c r="O58" i="4" s="1"/>
  <c r="O60" i="4" l="1"/>
  <c r="P60" i="4" s="1"/>
  <c r="O53" i="3"/>
  <c r="P53" i="3" s="1"/>
  <c r="C51" i="1"/>
  <c r="M67" i="3"/>
  <c r="B29" i="3" s="1"/>
  <c r="O29" i="1"/>
  <c r="O71" i="3"/>
  <c r="C19" i="3"/>
  <c r="O19" i="3" s="1"/>
  <c r="O56" i="3"/>
  <c r="O57" i="3"/>
  <c r="O58" i="3"/>
  <c r="O64" i="3"/>
  <c r="O65" i="3"/>
  <c r="O66" i="3"/>
  <c r="O69" i="3"/>
  <c r="O70" i="3"/>
  <c r="O72" i="3"/>
  <c r="O18" i="3"/>
  <c r="O20" i="3"/>
  <c r="O21" i="3"/>
  <c r="O24" i="3"/>
  <c r="O27" i="3"/>
  <c r="O30" i="3"/>
  <c r="O31" i="3"/>
  <c r="O32" i="3"/>
  <c r="O33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5" i="3"/>
  <c r="O17" i="3"/>
  <c r="M26" i="3"/>
  <c r="O26" i="3" s="1"/>
  <c r="M25" i="3"/>
  <c r="O25" i="3" s="1"/>
  <c r="M24" i="3"/>
  <c r="M23" i="3"/>
  <c r="O23" i="3" s="1"/>
  <c r="M22" i="3"/>
  <c r="O22" i="3" s="1"/>
  <c r="M63" i="3"/>
  <c r="O63" i="3" s="1"/>
  <c r="M62" i="3"/>
  <c r="O62" i="3" s="1"/>
  <c r="M61" i="3"/>
  <c r="O61" i="3" s="1"/>
  <c r="M60" i="3"/>
  <c r="M59" i="3"/>
  <c r="O59" i="3" s="1"/>
  <c r="C34" i="3"/>
  <c r="D34" i="3"/>
  <c r="E34" i="3"/>
  <c r="G34" i="3"/>
  <c r="H34" i="3"/>
  <c r="I34" i="3"/>
  <c r="J34" i="3"/>
  <c r="K34" i="3"/>
  <c r="L34" i="3"/>
  <c r="N34" i="3"/>
  <c r="B73" i="3"/>
  <c r="C73" i="3"/>
  <c r="D73" i="3"/>
  <c r="E73" i="3"/>
  <c r="G73" i="3"/>
  <c r="H73" i="3"/>
  <c r="I73" i="3"/>
  <c r="J73" i="3"/>
  <c r="K73" i="3"/>
  <c r="L73" i="3"/>
  <c r="O62" i="4"/>
  <c r="O63" i="4"/>
  <c r="O64" i="4"/>
  <c r="O65" i="4"/>
  <c r="O66" i="4"/>
  <c r="O72" i="4"/>
  <c r="O73" i="4"/>
  <c r="O74" i="4"/>
  <c r="O75" i="4"/>
  <c r="Q75" i="4" s="1"/>
  <c r="O76" i="4"/>
  <c r="O77" i="4"/>
  <c r="O78" i="4"/>
  <c r="O79" i="4"/>
  <c r="O81" i="4"/>
  <c r="O57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8" i="4"/>
  <c r="O29" i="4"/>
  <c r="O30" i="4"/>
  <c r="O31" i="4"/>
  <c r="O32" i="4"/>
  <c r="O34" i="4"/>
  <c r="O36" i="4"/>
  <c r="O4" i="4"/>
  <c r="G33" i="4"/>
  <c r="O33" i="4" s="1"/>
  <c r="M71" i="4"/>
  <c r="O71" i="4" s="1"/>
  <c r="M70" i="4"/>
  <c r="O70" i="4" s="1"/>
  <c r="M69" i="4"/>
  <c r="O69" i="4" s="1"/>
  <c r="M68" i="4"/>
  <c r="O68" i="4" s="1"/>
  <c r="M67" i="4"/>
  <c r="O67" i="4" s="1"/>
  <c r="M27" i="4"/>
  <c r="O27" i="4" s="1"/>
  <c r="M26" i="4"/>
  <c r="O26" i="4" s="1"/>
  <c r="M25" i="4"/>
  <c r="O25" i="4" s="1"/>
  <c r="M24" i="4"/>
  <c r="O24" i="4" s="1"/>
  <c r="M23" i="4"/>
  <c r="C82" i="4"/>
  <c r="D82" i="4"/>
  <c r="E82" i="4"/>
  <c r="F82" i="4"/>
  <c r="G82" i="4"/>
  <c r="H82" i="4"/>
  <c r="I82" i="4"/>
  <c r="J82" i="4"/>
  <c r="K82" i="4"/>
  <c r="L82" i="4"/>
  <c r="B82" i="4"/>
  <c r="C37" i="4"/>
  <c r="D37" i="4"/>
  <c r="E37" i="4"/>
  <c r="F37" i="4"/>
  <c r="H37" i="4"/>
  <c r="I37" i="4"/>
  <c r="J37" i="4"/>
  <c r="K37" i="4"/>
  <c r="L37" i="4"/>
  <c r="B37" i="4"/>
  <c r="P77" i="4" l="1"/>
  <c r="P6" i="4"/>
  <c r="P20" i="4"/>
  <c r="P57" i="3"/>
  <c r="P26" i="3"/>
  <c r="Q22" i="3"/>
  <c r="M37" i="4"/>
  <c r="P20" i="3"/>
  <c r="G37" i="4"/>
  <c r="P71" i="4"/>
  <c r="M82" i="4"/>
  <c r="P64" i="4"/>
  <c r="O23" i="4"/>
  <c r="P27" i="4" s="1"/>
  <c r="O67" i="3"/>
  <c r="O29" i="3"/>
  <c r="B34" i="3"/>
  <c r="M34" i="3"/>
  <c r="N73" i="3"/>
  <c r="O60" i="3"/>
  <c r="P63" i="3" s="1"/>
  <c r="B12" i="1"/>
  <c r="F28" i="1" s="1"/>
  <c r="M65" i="1"/>
  <c r="N78" i="5" s="1"/>
  <c r="C31" i="2"/>
  <c r="N37" i="4"/>
  <c r="O35" i="4"/>
  <c r="P35" i="4" s="1"/>
  <c r="P78" i="5" l="1"/>
  <c r="N80" i="5"/>
  <c r="P80" i="5" s="1"/>
  <c r="Q27" i="4"/>
  <c r="Q26" i="3"/>
  <c r="O37" i="4"/>
  <c r="G64" i="1"/>
  <c r="M64" i="1" s="1"/>
  <c r="O28" i="1"/>
  <c r="F28" i="3"/>
  <c r="F34" i="3" l="1"/>
  <c r="O34" i="3" s="1"/>
  <c r="F68" i="3"/>
  <c r="O28" i="3"/>
  <c r="P30" i="3" s="1"/>
  <c r="M68" i="3"/>
  <c r="M73" i="3" s="1"/>
  <c r="O68" i="3" l="1"/>
  <c r="F73" i="3"/>
  <c r="N82" i="4"/>
  <c r="O80" i="4"/>
  <c r="O82" i="4" s="1"/>
  <c r="R35" i="3" s="1"/>
  <c r="O73" i="3" l="1"/>
  <c r="P69" i="3"/>
  <c r="O6" i="7"/>
</calcChain>
</file>

<file path=xl/sharedStrings.xml><?xml version="1.0" encoding="utf-8"?>
<sst xmlns="http://schemas.openxmlformats.org/spreadsheetml/2006/main" count="1763" uniqueCount="277">
  <si>
    <t>Supply Table 2009/10, Uganda</t>
  </si>
  <si>
    <t>Flows to the Environment</t>
  </si>
  <si>
    <t>Overall total</t>
  </si>
  <si>
    <t>Description</t>
  </si>
  <si>
    <t>Agric. Production</t>
  </si>
  <si>
    <t>Forestry</t>
  </si>
  <si>
    <t>Fishings</t>
  </si>
  <si>
    <t>Mining &amp; Quarrying</t>
  </si>
  <si>
    <t>H/hold</t>
  </si>
  <si>
    <t>Manufacturing</t>
  </si>
  <si>
    <t>Construction &amp; Housing</t>
  </si>
  <si>
    <t>Wholesale &amp; Retail trade</t>
  </si>
  <si>
    <t>Transport</t>
  </si>
  <si>
    <t>other services</t>
  </si>
  <si>
    <t>Education, health &amp; social work</t>
  </si>
  <si>
    <t>Importations</t>
  </si>
  <si>
    <t>Natural inputs</t>
  </si>
  <si>
    <t>Forest soils/sand (ha)</t>
  </si>
  <si>
    <t>-</t>
  </si>
  <si>
    <t xml:space="preserve">Seed </t>
  </si>
  <si>
    <t>Seedlings</t>
  </si>
  <si>
    <t>Wood biomass available for supply</t>
  </si>
  <si>
    <r>
      <t>Hard wood plantation (m</t>
    </r>
    <r>
      <rPr>
        <vertAlign val="superscript"/>
        <sz val="8"/>
        <color theme="1"/>
        <rFont val="Gill Sans MT"/>
        <family val="2"/>
      </rPr>
      <t>3</t>
    </r>
    <r>
      <rPr>
        <sz val="8"/>
        <color theme="1"/>
        <rFont val="Gill Sans MT"/>
        <family val="2"/>
      </rPr>
      <t>)</t>
    </r>
  </si>
  <si>
    <r>
      <t>Soft wood plantation (m</t>
    </r>
    <r>
      <rPr>
        <vertAlign val="superscript"/>
        <sz val="8"/>
        <color theme="1"/>
        <rFont val="Gill Sans MT"/>
        <family val="2"/>
      </rPr>
      <t>3</t>
    </r>
    <r>
      <rPr>
        <sz val="8"/>
        <color theme="1"/>
        <rFont val="Gill Sans MT"/>
        <family val="2"/>
      </rPr>
      <t>)</t>
    </r>
  </si>
  <si>
    <r>
      <t>Natural forest wood (m</t>
    </r>
    <r>
      <rPr>
        <vertAlign val="superscript"/>
        <sz val="8"/>
        <color theme="1"/>
        <rFont val="Gill Sans MT"/>
        <family val="2"/>
      </rPr>
      <t>3</t>
    </r>
    <r>
      <rPr>
        <sz val="8"/>
        <color theme="1"/>
        <rFont val="Gill Sans MT"/>
        <family val="2"/>
      </rPr>
      <t>)</t>
    </r>
  </si>
  <si>
    <t>Prunus Africana (trees&gt;30 DBH)</t>
  </si>
  <si>
    <t>Sandal wood</t>
  </si>
  <si>
    <t>Bamboo</t>
  </si>
  <si>
    <t>Products</t>
  </si>
  <si>
    <t>Sawn wood ('000 tons)</t>
  </si>
  <si>
    <t>Poles ('000 tons)</t>
  </si>
  <si>
    <t>Firewood ('000 tons)</t>
  </si>
  <si>
    <t>Charcoal ('000 tons)</t>
  </si>
  <si>
    <t>Finished products</t>
  </si>
  <si>
    <t>Wood &amp; articles of wood; wood charcoal (m3)</t>
  </si>
  <si>
    <t>Cork &amp; cork articles (kg)</t>
  </si>
  <si>
    <t>Manufacture of straw, esparata or other plaiting materials, basket ware or wicker work (kg)</t>
  </si>
  <si>
    <t>Pulp of wood or other fibrous cellulosic material, recovered (waste &amp; scrap) paper or paperboard (kg)</t>
  </si>
  <si>
    <t>Paper &amp; paper board, article of paper or paper board (kg)</t>
  </si>
  <si>
    <t>Non-wood forest products</t>
  </si>
  <si>
    <t>Shea butter oil (litres)</t>
  </si>
  <si>
    <t>Sandalwood</t>
  </si>
  <si>
    <t xml:space="preserve">Wood residues </t>
  </si>
  <si>
    <t>Use Table 2009/10, Uganda</t>
  </si>
  <si>
    <t>Forests</t>
  </si>
  <si>
    <t>Fisheries</t>
  </si>
  <si>
    <t>household</t>
  </si>
  <si>
    <t>manufacturing</t>
  </si>
  <si>
    <t>construction &amp; Housing</t>
  </si>
  <si>
    <t>Exportations</t>
  </si>
  <si>
    <t>Forest Products</t>
  </si>
  <si>
    <t>Timber and Poles</t>
  </si>
  <si>
    <t>Firewood</t>
  </si>
  <si>
    <t>Charcoal</t>
  </si>
  <si>
    <t xml:space="preserve">Finished products </t>
  </si>
  <si>
    <r>
      <t>Wood &amp; articles of wood; wood charcoal (m</t>
    </r>
    <r>
      <rPr>
        <vertAlign val="superscript"/>
        <sz val="8"/>
        <color theme="1"/>
        <rFont val="Gill Sans MT"/>
        <family val="2"/>
      </rPr>
      <t>3</t>
    </r>
    <r>
      <rPr>
        <sz val="8"/>
        <color theme="1"/>
        <rFont val="Gill Sans MT"/>
        <family val="2"/>
      </rPr>
      <t>)</t>
    </r>
  </si>
  <si>
    <t>Non-Wood Forest Products</t>
  </si>
  <si>
    <t>Prunus Africana (kg)</t>
  </si>
  <si>
    <t>Bamboo (shoots and others)</t>
  </si>
  <si>
    <t>Residues</t>
  </si>
  <si>
    <t>Supply Table 2016/17, Uganda</t>
  </si>
  <si>
    <t>Agric prod.n</t>
  </si>
  <si>
    <t>Fishing</t>
  </si>
  <si>
    <t>Mining &amp; Oil&amp;gas</t>
  </si>
  <si>
    <t>Households</t>
  </si>
  <si>
    <t>Manuf-acturing</t>
  </si>
  <si>
    <t>Education, health, others</t>
  </si>
  <si>
    <t>Import-ations</t>
  </si>
  <si>
    <t>Flows to environ-ment</t>
  </si>
  <si>
    <t>Forest sand (ha)</t>
  </si>
  <si>
    <t>Wood biomass supply</t>
  </si>
  <si>
    <r>
      <t>Hard wood plantation (m</t>
    </r>
    <r>
      <rPr>
        <vertAlign val="superscript"/>
        <sz val="8"/>
        <color rgb="FF000000"/>
        <rFont val="Gill Sans MT"/>
        <family val="2"/>
      </rPr>
      <t>3</t>
    </r>
    <r>
      <rPr>
        <sz val="8"/>
        <color rgb="FF000000"/>
        <rFont val="Gill Sans MT"/>
        <family val="2"/>
      </rPr>
      <t>)</t>
    </r>
  </si>
  <si>
    <r>
      <t>Soft wood plantation (m</t>
    </r>
    <r>
      <rPr>
        <vertAlign val="superscript"/>
        <sz val="8"/>
        <color rgb="FF000000"/>
        <rFont val="Gill Sans MT"/>
        <family val="2"/>
      </rPr>
      <t>3</t>
    </r>
    <r>
      <rPr>
        <sz val="8"/>
        <color rgb="FF000000"/>
        <rFont val="Gill Sans MT"/>
        <family val="2"/>
      </rPr>
      <t>)</t>
    </r>
  </si>
  <si>
    <r>
      <t>Natural forest wood (m</t>
    </r>
    <r>
      <rPr>
        <vertAlign val="superscript"/>
        <sz val="8"/>
        <color rgb="FF000000"/>
        <rFont val="Gill Sans MT"/>
        <family val="2"/>
      </rPr>
      <t>3</t>
    </r>
    <r>
      <rPr>
        <sz val="8"/>
        <color rgb="FF000000"/>
        <rFont val="Gill Sans MT"/>
        <family val="2"/>
      </rPr>
      <t>)</t>
    </r>
  </si>
  <si>
    <t>Sandalwood (tons)</t>
  </si>
  <si>
    <t>Wood products</t>
  </si>
  <si>
    <t>Poles ('000tons)</t>
  </si>
  <si>
    <t>Firewood ('000tons)</t>
  </si>
  <si>
    <t>Charcoal ('000tons)</t>
  </si>
  <si>
    <t>Residuals</t>
  </si>
  <si>
    <t>Wood residues</t>
  </si>
  <si>
    <t>Use Table 2016/17, Uganda</t>
  </si>
  <si>
    <t>Agric prod.</t>
  </si>
  <si>
    <t>Mining &amp; Oil &amp; gas</t>
  </si>
  <si>
    <t>House-holds</t>
  </si>
  <si>
    <t>Export-ations</t>
  </si>
  <si>
    <t>Prunus Africana  (kg)</t>
  </si>
  <si>
    <t>Wood residues (tons)</t>
  </si>
  <si>
    <t>House-hold</t>
  </si>
  <si>
    <t>Other services</t>
  </si>
  <si>
    <t>Forest sand (UGX mill)</t>
  </si>
  <si>
    <t>Seed (UGX mill)</t>
  </si>
  <si>
    <t>Seedlings (UGX mill)</t>
  </si>
  <si>
    <t>Hard wood plantation (UGX mill)</t>
  </si>
  <si>
    <t>Soft wood plantation (UGX mill)</t>
  </si>
  <si>
    <t>Natural forest wood (UGX mill)</t>
  </si>
  <si>
    <t>NWFPs</t>
  </si>
  <si>
    <t>Shea Pods (number)</t>
  </si>
  <si>
    <t>Poles</t>
  </si>
  <si>
    <t>Prunus Africana</t>
  </si>
  <si>
    <t>Manufa-cturing</t>
  </si>
  <si>
    <t>Natural Inputs</t>
  </si>
  <si>
    <t>Forest soils/sand (UGX)</t>
  </si>
  <si>
    <t>Seed (UGX)</t>
  </si>
  <si>
    <t>Seedlings (UGX)</t>
  </si>
  <si>
    <t>Hard wood plantation (mill UGX)</t>
  </si>
  <si>
    <t>Soft wood plantation (mill UGX)</t>
  </si>
  <si>
    <t>Natural forest wood (million UGX)</t>
  </si>
  <si>
    <t>Flows to environment</t>
  </si>
  <si>
    <t>Agric production</t>
  </si>
  <si>
    <t>Sand (UGX mill)</t>
  </si>
  <si>
    <t>Prunus Africana (UGX mill)</t>
  </si>
  <si>
    <t>Sandal wood (UGX mill)</t>
  </si>
  <si>
    <t>Shea nuts (UGX mill)</t>
  </si>
  <si>
    <t>Poles (UGX million)</t>
  </si>
  <si>
    <t>Firewood (UGX million)</t>
  </si>
  <si>
    <t>Charcoal (UGX million)</t>
  </si>
  <si>
    <t>Wood residues (UGX mill)</t>
  </si>
  <si>
    <t>Use Table 2016/17, Uganda Description</t>
  </si>
  <si>
    <t xml:space="preserve">Natural inputs </t>
  </si>
  <si>
    <t>Shea butter oil (UGX mill)</t>
  </si>
  <si>
    <t>Prunus Africana  (UGX mill)</t>
  </si>
  <si>
    <t>Shea butter oil (kg)</t>
  </si>
  <si>
    <t>Shea butter oil (tons)</t>
  </si>
  <si>
    <t>Shea oil (tons)</t>
  </si>
  <si>
    <t>Shea nut (tons)</t>
  </si>
  <si>
    <t>Total (mill UGX)</t>
  </si>
  <si>
    <t>Total UGX (Mill)</t>
  </si>
  <si>
    <t>Total (UGX Mill)</t>
  </si>
  <si>
    <t>Wood residuals</t>
  </si>
  <si>
    <t>Sandalwood (UGX/million)</t>
  </si>
  <si>
    <t>Timber (UGX million)</t>
  </si>
  <si>
    <t>Timber</t>
  </si>
  <si>
    <t>Prunus Africana (Kg)</t>
  </si>
  <si>
    <t>Sandalwood oil (tons)</t>
  </si>
  <si>
    <t>Inputs</t>
  </si>
  <si>
    <t>Seed</t>
  </si>
  <si>
    <t>Sand</t>
  </si>
  <si>
    <t>Sand (ha)</t>
  </si>
  <si>
    <t>Seed (kg)</t>
  </si>
  <si>
    <t>Seedlings (No.)</t>
  </si>
  <si>
    <t>Seeds (kg)</t>
  </si>
  <si>
    <t>Seedlings (No)</t>
  </si>
  <si>
    <t>Seed (Kg)</t>
  </si>
  <si>
    <t>Timber and Poles ('000tons)</t>
  </si>
  <si>
    <t>Timber ('000tons)</t>
  </si>
  <si>
    <t xml:space="preserve">wood use residues </t>
  </si>
  <si>
    <t>Supply Table 2010, Uganda</t>
  </si>
  <si>
    <t>Firewood Household ('000 tons)</t>
  </si>
  <si>
    <t>Firewood Commecial ('000 tons)</t>
  </si>
  <si>
    <t>Firewood Industrial ('000 tons)</t>
  </si>
  <si>
    <t>Firewood Household (UGX mill)</t>
  </si>
  <si>
    <t>Firewood Commecial (UGX mill)</t>
  </si>
  <si>
    <t>Firewood Industrial (UGX mill)</t>
  </si>
  <si>
    <t>Charcoal (UGX mill)</t>
  </si>
  <si>
    <t>Sawn wood (Timber) (UGX mill)</t>
  </si>
  <si>
    <t>Poles (UGX mill)</t>
  </si>
  <si>
    <t>Wood products(UGX Mill)</t>
  </si>
  <si>
    <t>Wood Products ('000 tons)</t>
  </si>
  <si>
    <r>
      <t>Wood &amp; articles of wood; wood charcoal (UGX '000</t>
    </r>
    <r>
      <rPr>
        <sz val="8"/>
        <color theme="1"/>
        <rFont val="Gill Sans MT"/>
        <family val="2"/>
      </rPr>
      <t>)</t>
    </r>
  </si>
  <si>
    <t>Cork &amp; cork articles (UGX '000)</t>
  </si>
  <si>
    <t>Manufacture of straw, esparata or other plaiting materials, basket ware or wicker work (UGX '000)</t>
  </si>
  <si>
    <t>Pulp of wood or other fibrous cellulosic material, recovered (waste &amp; scrap) paper or paperboard (UGX '000)</t>
  </si>
  <si>
    <t>Paper &amp; paper board, article of paper or paper board (UGX '000)</t>
  </si>
  <si>
    <t>Wood poductssProducts</t>
  </si>
  <si>
    <t>Utilities (electricity)</t>
  </si>
  <si>
    <t>Household</t>
  </si>
  <si>
    <t>Total</t>
  </si>
  <si>
    <t>Shea nut (pods)</t>
  </si>
  <si>
    <t>Use Table 2015, Uganda</t>
  </si>
  <si>
    <t>Supply Table 2015, Uganda</t>
  </si>
  <si>
    <t>Supply Table 2015 Uganda</t>
  </si>
  <si>
    <t>Use Table 2005 Uganda</t>
  </si>
  <si>
    <t>Use Table 2005, Uganda</t>
  </si>
  <si>
    <t>Supply Table 2005, Uganda</t>
  </si>
  <si>
    <t>Supply Table 1990, Uganda</t>
  </si>
  <si>
    <t>Use Table 1990, Uganda</t>
  </si>
  <si>
    <t>Supply Table 2000, Uganda</t>
  </si>
  <si>
    <t>Use Table 2000, Uganda</t>
  </si>
  <si>
    <t>Use Table 2010, Uganda</t>
  </si>
  <si>
    <t>Crop Growing</t>
  </si>
  <si>
    <t>Other Services</t>
  </si>
  <si>
    <t>Forest products</t>
  </si>
  <si>
    <t>Wood &amp; articles of wood; wood charcoal (UGX mill)</t>
  </si>
  <si>
    <t>Cork &amp; cork articles (UGX mill)</t>
  </si>
  <si>
    <t>Manufacture of straw, esparata or other plaiting materials, basket ware or wicker work (UGX mill)</t>
  </si>
  <si>
    <t>Pulp of wood or other fibrous cellulosic material, recovered (waste &amp; scrap) paper or paperboard (UGX mill)</t>
  </si>
  <si>
    <t>Paper &amp; paper board, article of paper or paper board (UGX mill)</t>
  </si>
  <si>
    <t>Broad leaved plantations wood (tons)</t>
  </si>
  <si>
    <t>Coniferous plantations wood (tons</t>
  </si>
  <si>
    <t>THF Well stocked wood (tons)</t>
  </si>
  <si>
    <t>THF Low stocked wood (tons)</t>
  </si>
  <si>
    <t>Woodlands wood (tons)</t>
  </si>
  <si>
    <t>Broad leaved plantations wood (UGX mill)</t>
  </si>
  <si>
    <t>Coniferous plantations wood (UGX mill)</t>
  </si>
  <si>
    <t>THF Well stocked wood (UGX mill)</t>
  </si>
  <si>
    <t>THF Low stocked wood (UGX mill)</t>
  </si>
  <si>
    <t>Woodlands wood (UGX mill)</t>
  </si>
  <si>
    <t>Sub-total</t>
  </si>
  <si>
    <t>Broad leaved plantations wood ('000tons)</t>
  </si>
  <si>
    <t>Coniferous plantations wood ('000tons)</t>
  </si>
  <si>
    <t>THF Well stocked wood ('000tons)</t>
  </si>
  <si>
    <t>THF Low stocked wood ('000tons)</t>
  </si>
  <si>
    <t>Woodlands wood ('000tons)</t>
  </si>
  <si>
    <t>Wood &amp; articles of wood; wood charcoal ('000tons)</t>
  </si>
  <si>
    <t>Cork &amp; cork articles('000tons)</t>
  </si>
  <si>
    <t>Manufacture of straw, esparata or other plaiting materials, basket ware or wicker work ('000tons)</t>
  </si>
  <si>
    <t>Pulp of wood or other fibrous cellulosic material, recovered (waste &amp; scrap) paper or paperboard ('000tons)</t>
  </si>
  <si>
    <t>Paper &amp; paper board, article of paper or paper board ('000tons)</t>
  </si>
  <si>
    <t>Wood &amp; articles of wood; wood charcoal ('000 tons)</t>
  </si>
  <si>
    <t>Broad leaved plantations wood ('000 tons)</t>
  </si>
  <si>
    <t>Coniferous plantations wood ('000 tons)</t>
  </si>
  <si>
    <t>THF Well stocked wood (('000 tons)tons)</t>
  </si>
  <si>
    <t>THF Low stocked wood ('000 tons)</t>
  </si>
  <si>
    <t>Woodlands wood ('000 tons)</t>
  </si>
  <si>
    <t>Wood &amp; articles of wood; wood charcoal (tons)</t>
  </si>
  <si>
    <t>Cork &amp; cork articles (tons)</t>
  </si>
  <si>
    <t>Manufacture of straw, esparata or other plaiting materials, basket ware or wicker work (tons)</t>
  </si>
  <si>
    <t>Pulp of wood or other fibrous cellulosic material, recovered (waste &amp; scrap) paper or paperboard (tons)</t>
  </si>
  <si>
    <t>Paper &amp; paper board, article of paper or paper board (tons)</t>
  </si>
  <si>
    <t>THF Well stocked wood ('000 tons)</t>
  </si>
  <si>
    <t>Accumulation</t>
  </si>
  <si>
    <t>Accumulations</t>
  </si>
  <si>
    <t xml:space="preserve">Sub-total </t>
  </si>
  <si>
    <t>Sub-total (UGX milliona)</t>
  </si>
  <si>
    <t>Sub-total (UGX mill)</t>
  </si>
  <si>
    <t xml:space="preserve">           </t>
  </si>
  <si>
    <t>other sevices</t>
  </si>
  <si>
    <t xml:space="preserve">total </t>
  </si>
  <si>
    <t>Sub-total ('000 tons)</t>
  </si>
  <si>
    <t>Cork &amp; cork articles ('000tons)</t>
  </si>
  <si>
    <t>Cork &amp; cork articles ('000 tons)</t>
  </si>
  <si>
    <t>Manufacture of straw, esparata or other plaiting materials, basket ware or wicker work ('000 tons)</t>
  </si>
  <si>
    <t>Pulp of wood or other fibrous cellulosic material, recovered (waste &amp; scrap) paper or paperboard ('000 tons)</t>
  </si>
  <si>
    <t>Paper &amp; paper board, article of paper or paper board ('000 tons)</t>
  </si>
  <si>
    <t>other Services</t>
  </si>
  <si>
    <t>Wood not available for supply &amp; other (UGX mill)</t>
  </si>
  <si>
    <t>Wood from other land covers ('000 tons)</t>
  </si>
  <si>
    <t>Wood not available for supply</t>
  </si>
  <si>
    <t>Available wood inputs</t>
  </si>
  <si>
    <t>Forest wood available for supply</t>
  </si>
  <si>
    <t>Wood from other land covers</t>
  </si>
  <si>
    <t>Wood available as natural inputs</t>
  </si>
  <si>
    <t>Wood not available for supply sources</t>
  </si>
  <si>
    <t>Sawn wood (UGX mill)</t>
  </si>
  <si>
    <t>Household firewood (UGX mill)</t>
  </si>
  <si>
    <t>Commercial firewood (UGX mill)</t>
  </si>
  <si>
    <t>Industrial firewood (UGX mill)</t>
  </si>
  <si>
    <t>Sawn wood ($ mill)</t>
  </si>
  <si>
    <t>Poles ($ mill)</t>
  </si>
  <si>
    <t>Household firewood ($ mill)</t>
  </si>
  <si>
    <t>Commercial firewood ($ mill)</t>
  </si>
  <si>
    <t>Industrial firewood ($ mill)</t>
  </si>
  <si>
    <t>Charcoal ($ mill)</t>
  </si>
  <si>
    <t>Sawn wood ($/ton)</t>
  </si>
  <si>
    <t>Poles ($/ton)</t>
  </si>
  <si>
    <t>Household firewood ($/ton)</t>
  </si>
  <si>
    <t>Commercial firewood ($/ton)</t>
  </si>
  <si>
    <t>Industrial firewood ($/ton)</t>
  </si>
  <si>
    <t>Charcoal ($/ton)</t>
  </si>
  <si>
    <t>Wood supply</t>
  </si>
  <si>
    <t>Use</t>
  </si>
  <si>
    <t>Wood in charcoal (UGX mill)</t>
  </si>
  <si>
    <t>Sawn wood (Timber) ($ mill)</t>
  </si>
  <si>
    <t>Wood in charcoal ($ mill)</t>
  </si>
  <si>
    <t>Total ($ mill)</t>
  </si>
  <si>
    <t>Poles ('000 t)</t>
  </si>
  <si>
    <t>Firewood Household ('000 t)</t>
  </si>
  <si>
    <t>Firewood Commecial ('000 t)</t>
  </si>
  <si>
    <t>Firewood Industrial ('000 t)</t>
  </si>
  <si>
    <t>Sawn wood ('000 t)</t>
  </si>
  <si>
    <t>Firewood Household ('000 ts)</t>
  </si>
  <si>
    <t>Charcoal ('000 t)</t>
  </si>
  <si>
    <t>Total ('000 t)</t>
  </si>
  <si>
    <t>Household firewood ('000 t)</t>
  </si>
  <si>
    <t>Commercial firewood ('000 t)</t>
  </si>
  <si>
    <t>Industrial firewood ('000 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</si>
</sst>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#,##0.0"/>
    <numFmt numFmtId="167" formatCode="_(* #,##0_);_(* \(#,##0\);_(* &quot;-&quot;?_);_(@_)"/>
    <numFmt numFmtId="168" formatCode="_(* #,##0.0_);_(* \(#,##0.0\);_(* &quot;-&quot;??_);_(@_)"/>
    <numFmt numFmtId="169" formatCode="#,##0.000"/>
    <numFmt numFmtId="170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Gill Sans MT"/>
      <family val="2"/>
    </font>
    <font>
      <i/>
      <sz val="8"/>
      <color theme="1"/>
      <name val="Gill Sans MT"/>
      <family val="2"/>
    </font>
    <font>
      <vertAlign val="superscript"/>
      <sz val="8"/>
      <color theme="1"/>
      <name val="Gill Sans MT"/>
      <family val="2"/>
    </font>
    <font>
      <b/>
      <sz val="8"/>
      <color theme="1"/>
      <name val="Gill Sans MT"/>
      <family val="2"/>
    </font>
    <font>
      <sz val="8"/>
      <color rgb="FF000000"/>
      <name val="Gill Sans MT"/>
      <family val="2"/>
    </font>
    <font>
      <b/>
      <sz val="8"/>
      <color rgb="FF000000"/>
      <name val="Gill Sans MT"/>
      <family val="2"/>
    </font>
    <font>
      <vertAlign val="superscript"/>
      <sz val="8"/>
      <color rgb="FF000000"/>
      <name val="Gill Sans MT"/>
      <family val="2"/>
    </font>
    <font>
      <i/>
      <sz val="8"/>
      <color rgb="FF000000"/>
      <name val="Gill Sans MT"/>
      <family val="2"/>
    </font>
    <font>
      <b/>
      <i/>
      <sz val="8"/>
      <color rgb="FF000000"/>
      <name val="Gill Sans MT"/>
      <family val="2"/>
    </font>
    <font>
      <b/>
      <i/>
      <sz val="8"/>
      <color theme="1"/>
      <name val="Gill Sans MT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B9BD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2" fillId="0" borderId="2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0" xfId="0" applyFont="1"/>
    <xf numFmtId="3" fontId="2" fillId="0" borderId="4" xfId="0" applyNumberFormat="1" applyFont="1" applyBorder="1" applyAlignment="1">
      <alignment horizontal="right" vertical="center"/>
    </xf>
    <xf numFmtId="3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/>
    </xf>
    <xf numFmtId="3" fontId="2" fillId="3" borderId="4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 wrapText="1"/>
    </xf>
    <xf numFmtId="0" fontId="7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3" fontId="6" fillId="0" borderId="4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horizontal="right" vertical="center" wrapText="1"/>
    </xf>
    <xf numFmtId="0" fontId="6" fillId="3" borderId="4" xfId="0" applyFont="1" applyFill="1" applyBorder="1" applyAlignment="1">
      <alignment horizontal="right" vertical="center" wrapText="1"/>
    </xf>
    <xf numFmtId="3" fontId="6" fillId="3" borderId="4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right" vertical="center" wrapText="1"/>
    </xf>
    <xf numFmtId="0" fontId="6" fillId="2" borderId="4" xfId="0" applyFont="1" applyFill="1" applyBorder="1" applyAlignment="1">
      <alignment horizontal="right" vertical="center" wrapText="1"/>
    </xf>
    <xf numFmtId="3" fontId="6" fillId="3" borderId="4" xfId="0" applyNumberFormat="1" applyFont="1" applyFill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3" fontId="2" fillId="3" borderId="4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2" borderId="4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vertical="top" wrapText="1"/>
    </xf>
    <xf numFmtId="164" fontId="2" fillId="0" borderId="4" xfId="1" applyNumberFormat="1" applyFont="1" applyBorder="1" applyAlignment="1">
      <alignment vertical="top"/>
    </xf>
    <xf numFmtId="164" fontId="2" fillId="0" borderId="4" xfId="0" applyNumberFormat="1" applyFont="1" applyBorder="1" applyAlignment="1">
      <alignment vertical="top"/>
    </xf>
    <xf numFmtId="3" fontId="2" fillId="0" borderId="0" xfId="0" applyNumberFormat="1" applyFont="1"/>
    <xf numFmtId="3" fontId="2" fillId="0" borderId="4" xfId="0" applyNumberFormat="1" applyFont="1" applyBorder="1" applyAlignment="1">
      <alignment vertical="top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top"/>
    </xf>
    <xf numFmtId="164" fontId="2" fillId="0" borderId="5" xfId="1" applyNumberFormat="1" applyFont="1" applyBorder="1"/>
    <xf numFmtId="43" fontId="2" fillId="0" borderId="4" xfId="1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5" xfId="0" applyFont="1" applyBorder="1" applyAlignment="1">
      <alignment wrapText="1"/>
    </xf>
    <xf numFmtId="0" fontId="2" fillId="4" borderId="4" xfId="0" applyFont="1" applyFill="1" applyBorder="1" applyAlignment="1">
      <alignment vertical="top"/>
    </xf>
    <xf numFmtId="0" fontId="2" fillId="4" borderId="4" xfId="0" applyFont="1" applyFill="1" applyBorder="1" applyAlignment="1">
      <alignment vertical="top" wrapText="1"/>
    </xf>
    <xf numFmtId="0" fontId="2" fillId="4" borderId="4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vertical="top"/>
    </xf>
    <xf numFmtId="3" fontId="3" fillId="0" borderId="4" xfId="0" applyNumberFormat="1" applyFont="1" applyBorder="1" applyAlignment="1">
      <alignment horizontal="right" vertical="center"/>
    </xf>
    <xf numFmtId="0" fontId="3" fillId="4" borderId="4" xfId="0" applyFont="1" applyFill="1" applyBorder="1" applyAlignment="1">
      <alignment vertical="top" wrapText="1"/>
    </xf>
    <xf numFmtId="0" fontId="3" fillId="0" borderId="0" xfId="0" applyFont="1"/>
    <xf numFmtId="0" fontId="6" fillId="4" borderId="4" xfId="0" applyFont="1" applyFill="1" applyBorder="1" applyAlignment="1">
      <alignment horizontal="right" vertical="center" wrapText="1"/>
    </xf>
    <xf numFmtId="164" fontId="2" fillId="0" borderId="4" xfId="1" applyNumberFormat="1" applyFont="1" applyBorder="1" applyAlignment="1">
      <alignment horizontal="right" vertical="center" wrapText="1"/>
    </xf>
    <xf numFmtId="164" fontId="2" fillId="0" borderId="4" xfId="0" applyNumberFormat="1" applyFont="1" applyBorder="1" applyAlignment="1">
      <alignment vertical="top" wrapText="1"/>
    </xf>
    <xf numFmtId="164" fontId="2" fillId="0" borderId="4" xfId="1" applyNumberFormat="1" applyFont="1" applyBorder="1" applyAlignment="1">
      <alignment vertical="top" wrapText="1"/>
    </xf>
    <xf numFmtId="164" fontId="6" fillId="0" borderId="4" xfId="1" applyNumberFormat="1" applyFont="1" applyBorder="1" applyAlignment="1">
      <alignment horizontal="righ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43" fontId="2" fillId="0" borderId="4" xfId="0" applyNumberFormat="1" applyFont="1" applyBorder="1" applyAlignment="1">
      <alignment vertical="top"/>
    </xf>
    <xf numFmtId="164" fontId="2" fillId="0" borderId="0" xfId="0" applyNumberFormat="1" applyFont="1"/>
    <xf numFmtId="43" fontId="2" fillId="0" borderId="0" xfId="0" applyNumberFormat="1" applyFont="1"/>
    <xf numFmtId="1" fontId="2" fillId="0" borderId="4" xfId="0" applyNumberFormat="1" applyFont="1" applyBorder="1" applyAlignment="1">
      <alignment vertical="top"/>
    </xf>
    <xf numFmtId="9" fontId="2" fillId="0" borderId="0" xfId="2" applyFont="1"/>
    <xf numFmtId="10" fontId="2" fillId="0" borderId="0" xfId="2" applyNumberFormat="1" applyFont="1"/>
    <xf numFmtId="164" fontId="2" fillId="0" borderId="4" xfId="1" applyNumberFormat="1" applyFont="1" applyBorder="1" applyAlignment="1">
      <alignment horizontal="right" vertical="center"/>
    </xf>
    <xf numFmtId="0" fontId="10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vertical="top" wrapText="1"/>
    </xf>
    <xf numFmtId="0" fontId="5" fillId="0" borderId="0" xfId="0" applyFont="1"/>
    <xf numFmtId="0" fontId="11" fillId="0" borderId="3" xfId="0" applyFont="1" applyBorder="1" applyAlignment="1">
      <alignment vertical="center" wrapText="1"/>
    </xf>
    <xf numFmtId="3" fontId="5" fillId="5" borderId="4" xfId="0" applyNumberFormat="1" applyFont="1" applyFill="1" applyBorder="1" applyAlignment="1">
      <alignment vertical="top"/>
    </xf>
    <xf numFmtId="3" fontId="2" fillId="5" borderId="4" xfId="0" applyNumberFormat="1" applyFont="1" applyFill="1" applyBorder="1" applyAlignment="1">
      <alignment horizontal="right" vertical="center"/>
    </xf>
    <xf numFmtId="3" fontId="2" fillId="5" borderId="4" xfId="0" applyNumberFormat="1" applyFont="1" applyFill="1" applyBorder="1" applyAlignment="1">
      <alignment vertical="top"/>
    </xf>
    <xf numFmtId="0" fontId="2" fillId="6" borderId="4" xfId="0" applyFont="1" applyFill="1" applyBorder="1" applyAlignment="1">
      <alignment vertical="top"/>
    </xf>
    <xf numFmtId="3" fontId="2" fillId="6" borderId="4" xfId="0" applyNumberFormat="1" applyFont="1" applyFill="1" applyBorder="1" applyAlignment="1">
      <alignment vertical="top"/>
    </xf>
    <xf numFmtId="0" fontId="2" fillId="6" borderId="4" xfId="0" applyFont="1" applyFill="1" applyBorder="1" applyAlignment="1">
      <alignment vertical="top" wrapText="1"/>
    </xf>
    <xf numFmtId="164" fontId="2" fillId="6" borderId="4" xfId="1" applyNumberFormat="1" applyFont="1" applyFill="1" applyBorder="1" applyAlignment="1">
      <alignment vertical="top"/>
    </xf>
    <xf numFmtId="164" fontId="2" fillId="6" borderId="4" xfId="1" applyNumberFormat="1" applyFont="1" applyFill="1" applyBorder="1" applyAlignment="1">
      <alignment vertical="top" wrapText="1"/>
    </xf>
    <xf numFmtId="0" fontId="6" fillId="6" borderId="4" xfId="0" applyFont="1" applyFill="1" applyBorder="1" applyAlignment="1">
      <alignment horizontal="right" vertical="center"/>
    </xf>
    <xf numFmtId="3" fontId="6" fillId="6" borderId="4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164" fontId="12" fillId="0" borderId="5" xfId="1" applyNumberFormat="1" applyFont="1" applyBorder="1"/>
    <xf numFmtId="0" fontId="2" fillId="7" borderId="4" xfId="0" applyFont="1" applyFill="1" applyBorder="1" applyAlignment="1">
      <alignment horizontal="right" vertical="center"/>
    </xf>
    <xf numFmtId="0" fontId="2" fillId="7" borderId="4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7" borderId="3" xfId="0" applyFont="1" applyFill="1" applyBorder="1" applyAlignment="1">
      <alignment vertical="center" wrapText="1"/>
    </xf>
    <xf numFmtId="0" fontId="2" fillId="7" borderId="0" xfId="0" applyFont="1" applyFill="1"/>
    <xf numFmtId="164" fontId="2" fillId="0" borderId="7" xfId="1" applyNumberFormat="1" applyFont="1" applyBorder="1" applyAlignment="1">
      <alignment vertical="top" wrapText="1"/>
    </xf>
    <xf numFmtId="164" fontId="2" fillId="0" borderId="0" xfId="1" applyNumberFormat="1" applyFont="1" applyBorder="1" applyAlignment="1">
      <alignment vertical="top" wrapText="1"/>
    </xf>
    <xf numFmtId="164" fontId="2" fillId="8" borderId="4" xfId="1" applyNumberFormat="1" applyFont="1" applyFill="1" applyBorder="1" applyAlignment="1">
      <alignment horizontal="right" vertical="center" wrapText="1"/>
    </xf>
    <xf numFmtId="164" fontId="2" fillId="8" borderId="4" xfId="1" applyNumberFormat="1" applyFont="1" applyFill="1" applyBorder="1" applyAlignment="1">
      <alignment vertical="top" wrapText="1"/>
    </xf>
    <xf numFmtId="164" fontId="2" fillId="2" borderId="4" xfId="1" applyNumberFormat="1" applyFont="1" applyFill="1" applyBorder="1" applyAlignment="1">
      <alignment vertical="top"/>
    </xf>
    <xf numFmtId="164" fontId="2" fillId="2" borderId="4" xfId="1" applyNumberFormat="1" applyFont="1" applyFill="1" applyBorder="1" applyAlignment="1">
      <alignment vertical="top" wrapText="1"/>
    </xf>
    <xf numFmtId="164" fontId="2" fillId="4" borderId="4" xfId="1" applyNumberFormat="1" applyFont="1" applyFill="1" applyBorder="1" applyAlignment="1">
      <alignment vertical="top"/>
    </xf>
    <xf numFmtId="164" fontId="2" fillId="4" borderId="4" xfId="1" applyNumberFormat="1" applyFont="1" applyFill="1" applyBorder="1" applyAlignment="1">
      <alignment vertical="top" wrapText="1"/>
    </xf>
    <xf numFmtId="164" fontId="5" fillId="0" borderId="4" xfId="1" applyNumberFormat="1" applyFont="1" applyBorder="1" applyAlignment="1">
      <alignment vertical="top"/>
    </xf>
    <xf numFmtId="164" fontId="5" fillId="5" borderId="4" xfId="1" applyNumberFormat="1" applyFont="1" applyFill="1" applyBorder="1" applyAlignment="1">
      <alignment vertical="top"/>
    </xf>
    <xf numFmtId="164" fontId="5" fillId="0" borderId="4" xfId="1" applyNumberFormat="1" applyFont="1" applyBorder="1" applyAlignment="1">
      <alignment vertical="top" wrapText="1"/>
    </xf>
    <xf numFmtId="164" fontId="2" fillId="5" borderId="4" xfId="1" applyNumberFormat="1" applyFont="1" applyFill="1" applyBorder="1" applyAlignment="1">
      <alignment horizontal="right" vertical="center"/>
    </xf>
    <xf numFmtId="164" fontId="3" fillId="0" borderId="4" xfId="1" applyNumberFormat="1" applyFont="1" applyBorder="1" applyAlignment="1">
      <alignment horizontal="right" vertical="center"/>
    </xf>
    <xf numFmtId="164" fontId="3" fillId="0" borderId="4" xfId="1" applyNumberFormat="1" applyFont="1" applyBorder="1" applyAlignment="1">
      <alignment horizontal="right" vertical="center" wrapText="1"/>
    </xf>
    <xf numFmtId="164" fontId="6" fillId="3" borderId="4" xfId="1" applyNumberFormat="1" applyFont="1" applyFill="1" applyBorder="1" applyAlignment="1">
      <alignment horizontal="right" vertical="center"/>
    </xf>
    <xf numFmtId="164" fontId="2" fillId="0" borderId="7" xfId="1" applyNumberFormat="1" applyFont="1" applyBorder="1" applyAlignment="1">
      <alignment horizontal="right" vertical="center"/>
    </xf>
    <xf numFmtId="164" fontId="2" fillId="0" borderId="0" xfId="1" applyNumberFormat="1" applyFont="1"/>
    <xf numFmtId="164" fontId="2" fillId="0" borderId="2" xfId="1" applyNumberFormat="1" applyFont="1" applyBorder="1" applyAlignment="1">
      <alignment horizontal="right" vertical="center" wrapText="1"/>
    </xf>
    <xf numFmtId="164" fontId="2" fillId="8" borderId="4" xfId="1" applyNumberFormat="1" applyFont="1" applyFill="1" applyBorder="1" applyAlignment="1">
      <alignment vertical="top"/>
    </xf>
    <xf numFmtId="165" fontId="2" fillId="0" borderId="4" xfId="0" applyNumberFormat="1" applyFont="1" applyBorder="1" applyAlignment="1">
      <alignment vertical="top"/>
    </xf>
    <xf numFmtId="164" fontId="3" fillId="6" borderId="4" xfId="1" applyNumberFormat="1" applyFont="1" applyFill="1" applyBorder="1" applyAlignment="1">
      <alignment vertical="top"/>
    </xf>
    <xf numFmtId="1" fontId="2" fillId="0" borderId="4" xfId="0" applyNumberFormat="1" applyFont="1" applyBorder="1" applyAlignment="1">
      <alignment vertical="top" wrapText="1"/>
    </xf>
    <xf numFmtId="166" fontId="2" fillId="3" borderId="4" xfId="0" applyNumberFormat="1" applyFont="1" applyFill="1" applyBorder="1" applyAlignment="1">
      <alignment horizontal="right" vertical="center"/>
    </xf>
    <xf numFmtId="164" fontId="3" fillId="0" borderId="0" xfId="0" applyNumberFormat="1" applyFont="1"/>
    <xf numFmtId="164" fontId="3" fillId="0" borderId="4" xfId="1" applyNumberFormat="1" applyFont="1" applyFill="1" applyBorder="1" applyAlignment="1">
      <alignment vertical="top"/>
    </xf>
    <xf numFmtId="0" fontId="3" fillId="0" borderId="3" xfId="0" applyFont="1" applyBorder="1" applyAlignment="1">
      <alignment vertical="top" wrapText="1"/>
    </xf>
    <xf numFmtId="164" fontId="9" fillId="0" borderId="4" xfId="1" applyNumberFormat="1" applyFont="1" applyBorder="1" applyAlignment="1">
      <alignment horizontal="right" vertical="center"/>
    </xf>
    <xf numFmtId="164" fontId="3" fillId="0" borderId="4" xfId="0" applyNumberFormat="1" applyFont="1" applyBorder="1" applyAlignment="1">
      <alignment vertical="top"/>
    </xf>
    <xf numFmtId="164" fontId="6" fillId="0" borderId="4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right" vertical="center" wrapText="1"/>
    </xf>
    <xf numFmtId="164" fontId="6" fillId="3" borderId="4" xfId="0" applyNumberFormat="1" applyFont="1" applyFill="1" applyBorder="1" applyAlignment="1">
      <alignment horizontal="right" vertical="center"/>
    </xf>
    <xf numFmtId="164" fontId="3" fillId="0" borderId="4" xfId="1" applyNumberFormat="1" applyFont="1" applyBorder="1" applyAlignment="1">
      <alignment vertical="top"/>
    </xf>
    <xf numFmtId="43" fontId="2" fillId="0" borderId="0" xfId="1" applyFont="1"/>
    <xf numFmtId="164" fontId="6" fillId="0" borderId="4" xfId="1" applyNumberFormat="1" applyFont="1" applyBorder="1" applyAlignment="1">
      <alignment horizontal="right" vertical="center"/>
    </xf>
    <xf numFmtId="167" fontId="2" fillId="0" borderId="0" xfId="0" applyNumberFormat="1" applyFont="1"/>
    <xf numFmtId="9" fontId="2" fillId="0" borderId="0" xfId="0" applyNumberFormat="1" applyFont="1"/>
    <xf numFmtId="164" fontId="3" fillId="0" borderId="7" xfId="1" applyNumberFormat="1" applyFont="1" applyBorder="1" applyAlignment="1">
      <alignment horizontal="right" vertical="center"/>
    </xf>
    <xf numFmtId="164" fontId="3" fillId="0" borderId="4" xfId="1" applyNumberFormat="1" applyFont="1" applyBorder="1" applyAlignment="1">
      <alignment vertical="top" wrapText="1"/>
    </xf>
    <xf numFmtId="0" fontId="3" fillId="0" borderId="4" xfId="0" applyFont="1" applyBorder="1" applyAlignment="1">
      <alignment vertical="top"/>
    </xf>
    <xf numFmtId="3" fontId="3" fillId="5" borderId="4" xfId="0" applyNumberFormat="1" applyFont="1" applyFill="1" applyBorder="1" applyAlignment="1">
      <alignment horizontal="right" vertical="center"/>
    </xf>
    <xf numFmtId="4" fontId="2" fillId="3" borderId="4" xfId="0" applyNumberFormat="1" applyFont="1" applyFill="1" applyBorder="1" applyAlignment="1">
      <alignment horizontal="right" vertical="center"/>
    </xf>
    <xf numFmtId="168" fontId="2" fillId="3" borderId="4" xfId="1" applyNumberFormat="1" applyFont="1" applyFill="1" applyBorder="1" applyAlignment="1">
      <alignment horizontal="right" vertical="center"/>
    </xf>
    <xf numFmtId="9" fontId="3" fillId="0" borderId="0" xfId="2" applyFont="1"/>
    <xf numFmtId="169" fontId="2" fillId="3" borderId="4" xfId="0" applyNumberFormat="1" applyFont="1" applyFill="1" applyBorder="1" applyAlignment="1">
      <alignment horizontal="right" vertical="center"/>
    </xf>
    <xf numFmtId="43" fontId="2" fillId="3" borderId="4" xfId="1" applyFont="1" applyFill="1" applyBorder="1" applyAlignment="1">
      <alignment horizontal="right" vertical="center"/>
    </xf>
    <xf numFmtId="2" fontId="2" fillId="0" borderId="4" xfId="0" applyNumberFormat="1" applyFont="1" applyBorder="1" applyAlignment="1">
      <alignment horizontal="right" vertical="center" wrapText="1"/>
    </xf>
    <xf numFmtId="2" fontId="2" fillId="0" borderId="4" xfId="1" applyNumberFormat="1" applyFont="1" applyBorder="1" applyAlignment="1">
      <alignment vertical="top"/>
    </xf>
    <xf numFmtId="3" fontId="6" fillId="0" borderId="0" xfId="0" applyNumberFormat="1" applyFont="1"/>
    <xf numFmtId="170" fontId="2" fillId="0" borderId="0" xfId="2" applyNumberFormat="1" applyFont="1"/>
    <xf numFmtId="9" fontId="2" fillId="0" borderId="4" xfId="2" applyFont="1" applyBorder="1" applyAlignment="1">
      <alignment horizontal="right" vertical="center"/>
    </xf>
    <xf numFmtId="164" fontId="2" fillId="0" borderId="5" xfId="1" applyNumberFormat="1" applyFont="1" applyBorder="1" applyAlignment="1">
      <alignment horizontal="right" vertical="center"/>
    </xf>
    <xf numFmtId="166" fontId="2" fillId="3" borderId="7" xfId="0" applyNumberFormat="1" applyFont="1" applyFill="1" applyBorder="1" applyAlignment="1">
      <alignment horizontal="right" vertical="center"/>
    </xf>
    <xf numFmtId="2" fontId="2" fillId="0" borderId="4" xfId="0" applyNumberFormat="1" applyFont="1" applyBorder="1" applyAlignment="1">
      <alignment vertical="top" wrapText="1"/>
    </xf>
    <xf numFmtId="2" fontId="2" fillId="0" borderId="7" xfId="0" applyNumberFormat="1" applyFont="1" applyBorder="1" applyAlignment="1">
      <alignment vertical="top" wrapText="1"/>
    </xf>
    <xf numFmtId="2" fontId="2" fillId="0" borderId="5" xfId="1" applyNumberFormat="1" applyFont="1" applyBorder="1" applyAlignment="1">
      <alignment horizontal="right" vertical="center"/>
    </xf>
    <xf numFmtId="170" fontId="2" fillId="0" borderId="4" xfId="2" applyNumberFormat="1" applyFont="1" applyBorder="1" applyAlignment="1">
      <alignment horizontal="right" vertical="center"/>
    </xf>
    <xf numFmtId="4" fontId="2" fillId="0" borderId="0" xfId="0" applyNumberFormat="1" applyFont="1"/>
    <xf numFmtId="1" fontId="6" fillId="0" borderId="4" xfId="0" applyNumberFormat="1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9" fillId="0" borderId="3" xfId="0" applyNumberFormat="1" applyFont="1" applyBorder="1" applyAlignment="1">
      <alignment horizontal="right" vertical="center"/>
    </xf>
    <xf numFmtId="3" fontId="2" fillId="6" borderId="4" xfId="1" applyNumberFormat="1" applyFont="1" applyFill="1" applyBorder="1" applyAlignment="1">
      <alignment vertical="top"/>
    </xf>
    <xf numFmtId="3" fontId="2" fillId="3" borderId="4" xfId="1" applyNumberFormat="1" applyFont="1" applyFill="1" applyBorder="1" applyAlignment="1">
      <alignment horizontal="right" vertical="center"/>
    </xf>
    <xf numFmtId="3" fontId="2" fillId="0" borderId="4" xfId="0" applyNumberFormat="1" applyFont="1" applyBorder="1" applyAlignment="1">
      <alignment vertical="top" wrapText="1"/>
    </xf>
    <xf numFmtId="0" fontId="13" fillId="0" borderId="0" xfId="0" applyFont="1"/>
    <xf numFmtId="0" fontId="13" fillId="0" borderId="5" xfId="0" applyFont="1" applyBorder="1" applyAlignment="1">
      <alignment wrapText="1"/>
    </xf>
    <xf numFmtId="0" fontId="13" fillId="0" borderId="5" xfId="0" applyFont="1" applyBorder="1"/>
    <xf numFmtId="3" fontId="13" fillId="0" borderId="5" xfId="0" applyNumberFormat="1" applyFont="1" applyBorder="1"/>
    <xf numFmtId="0" fontId="7" fillId="9" borderId="0" xfId="0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right" vertical="center" wrapText="1"/>
    </xf>
    <xf numFmtId="2" fontId="13" fillId="0" borderId="0" xfId="0" applyNumberFormat="1" applyFont="1"/>
    <xf numFmtId="2" fontId="13" fillId="0" borderId="5" xfId="0" applyNumberFormat="1" applyFont="1" applyBorder="1"/>
    <xf numFmtId="168" fontId="2" fillId="0" borderId="4" xfId="1" applyNumberFormat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5" xfId="0" applyFont="1" applyBorder="1"/>
    <xf numFmtId="0" fontId="2" fillId="0" borderId="5" xfId="0" applyFont="1" applyBorder="1" applyAlignment="1">
      <alignment vertical="top"/>
    </xf>
    <xf numFmtId="0" fontId="12" fillId="0" borderId="0" xfId="0" applyFont="1"/>
    <xf numFmtId="0" fontId="12" fillId="0" borderId="5" xfId="0" applyFont="1" applyBorder="1" applyAlignment="1">
      <alignment wrapText="1"/>
    </xf>
    <xf numFmtId="0" fontId="12" fillId="0" borderId="5" xfId="0" applyFont="1" applyBorder="1"/>
    <xf numFmtId="3" fontId="12" fillId="0" borderId="5" xfId="0" applyNumberFormat="1" applyFont="1" applyBorder="1"/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hartsheet" Target="chartsheets/sheet3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2.xml"/><Relationship Id="rId20" Type="http://schemas.openxmlformats.org/officeDocument/2006/relationships/chartsheet" Target="chartsheets/sheet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1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hartsheet" Target="chartsheets/sheet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Sheet6!$C$4</c:f>
              <c:strCache>
                <c:ptCount val="1"/>
                <c:pt idx="0">
                  <c:v>Sawn wood ('000 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Sheet6!$D$3:$H$3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Sheet6!$D$4:$H$4</c:f>
              <c:numCache>
                <c:formatCode>_(* #,##0_);_(* \(#,##0\);_(* "-"??_);_(@_)</c:formatCode>
                <c:ptCount val="5"/>
                <c:pt idx="0">
                  <c:v>324</c:v>
                </c:pt>
                <c:pt idx="1">
                  <c:v>652</c:v>
                </c:pt>
                <c:pt idx="2">
                  <c:v>902</c:v>
                </c:pt>
                <c:pt idx="3">
                  <c:v>1847</c:v>
                </c:pt>
                <c:pt idx="4">
                  <c:v>2453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0-4529-9C62-C83A9F12802F}"/>
            </c:ext>
          </c:extLst>
        </c:ser>
        <c:ser>
          <c:idx val="1"/>
          <c:order val="1"/>
          <c:tx>
            <c:strRef>
              <c:f>Sheet6!$C$5</c:f>
              <c:strCache>
                <c:ptCount val="1"/>
                <c:pt idx="0">
                  <c:v>Poles ('000 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Sheet6!$D$3:$H$3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Sheet6!$D$5:$H$5</c:f>
              <c:numCache>
                <c:formatCode>_(* #,##0_);_(* \(#,##0\);_(* "-"??_);_(@_)</c:formatCode>
                <c:ptCount val="5"/>
                <c:pt idx="0">
                  <c:v>431</c:v>
                </c:pt>
                <c:pt idx="1">
                  <c:v>659</c:v>
                </c:pt>
                <c:pt idx="2">
                  <c:v>808</c:v>
                </c:pt>
                <c:pt idx="3">
                  <c:v>1013</c:v>
                </c:pt>
                <c:pt idx="4">
                  <c:v>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0-4529-9C62-C83A9F12802F}"/>
            </c:ext>
          </c:extLst>
        </c:ser>
        <c:ser>
          <c:idx val="2"/>
          <c:order val="2"/>
          <c:tx>
            <c:strRef>
              <c:f>Sheet6!$C$6</c:f>
              <c:strCache>
                <c:ptCount val="1"/>
                <c:pt idx="0">
                  <c:v>Firewood Household ('000 ts)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Sheet6!$D$3:$H$3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Sheet6!$D$6:$H$6</c:f>
              <c:numCache>
                <c:formatCode>_(* #,##0_);_(* \(#,##0\);_(* "-"??_);_(@_)</c:formatCode>
                <c:ptCount val="5"/>
                <c:pt idx="0">
                  <c:v>11654</c:v>
                </c:pt>
                <c:pt idx="1">
                  <c:v>16100</c:v>
                </c:pt>
                <c:pt idx="2">
                  <c:v>19021</c:v>
                </c:pt>
                <c:pt idx="3">
                  <c:v>22692</c:v>
                </c:pt>
                <c:pt idx="4">
                  <c:v>27024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E0-4529-9C62-C83A9F12802F}"/>
            </c:ext>
          </c:extLst>
        </c:ser>
        <c:ser>
          <c:idx val="3"/>
          <c:order val="3"/>
          <c:tx>
            <c:strRef>
              <c:f>Sheet6!$C$7</c:f>
              <c:strCache>
                <c:ptCount val="1"/>
                <c:pt idx="0">
                  <c:v>Firewood Commecial ('000 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Sheet6!$D$3:$H$3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Sheet6!$D$7:$H$7</c:f>
              <c:numCache>
                <c:formatCode>_(* #,##0_);_(* \(#,##0\);_(* "-"??_);_(@_)</c:formatCode>
                <c:ptCount val="5"/>
                <c:pt idx="0">
                  <c:v>1534</c:v>
                </c:pt>
                <c:pt idx="1">
                  <c:v>2550</c:v>
                </c:pt>
                <c:pt idx="2">
                  <c:v>2993</c:v>
                </c:pt>
                <c:pt idx="3">
                  <c:v>3256</c:v>
                </c:pt>
                <c:pt idx="4">
                  <c:v>3656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E0-4529-9C62-C83A9F12802F}"/>
            </c:ext>
          </c:extLst>
        </c:ser>
        <c:ser>
          <c:idx val="4"/>
          <c:order val="4"/>
          <c:tx>
            <c:strRef>
              <c:f>Sheet6!$C$8</c:f>
              <c:strCache>
                <c:ptCount val="1"/>
                <c:pt idx="0">
                  <c:v>Firewood Industrial ('000 t)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Sheet6!$D$3:$H$3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Sheet6!$D$8:$H$8</c:f>
              <c:numCache>
                <c:formatCode>_(* #,##0_);_(* \(#,##0\);_(* "-"??_);_(@_)</c:formatCode>
                <c:ptCount val="5"/>
                <c:pt idx="0">
                  <c:v>253</c:v>
                </c:pt>
                <c:pt idx="1">
                  <c:v>1569</c:v>
                </c:pt>
                <c:pt idx="2">
                  <c:v>1949</c:v>
                </c:pt>
                <c:pt idx="3">
                  <c:v>2126</c:v>
                </c:pt>
                <c:pt idx="4">
                  <c:v>2364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E0-4529-9C62-C83A9F12802F}"/>
            </c:ext>
          </c:extLst>
        </c:ser>
        <c:ser>
          <c:idx val="5"/>
          <c:order val="5"/>
          <c:tx>
            <c:strRef>
              <c:f>Sheet6!$C$9</c:f>
              <c:strCache>
                <c:ptCount val="1"/>
                <c:pt idx="0">
                  <c:v>Charcoal ('000 tons)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Sheet6!$D$3:$H$3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Sheet6!$D$9:$H$9</c:f>
              <c:numCache>
                <c:formatCode>_(* #,##0_);_(* \(#,##0\);_(* "-"??_);_(@_)</c:formatCode>
                <c:ptCount val="5"/>
                <c:pt idx="0">
                  <c:v>2396</c:v>
                </c:pt>
                <c:pt idx="1">
                  <c:v>4880</c:v>
                </c:pt>
                <c:pt idx="2">
                  <c:v>6506</c:v>
                </c:pt>
                <c:pt idx="3">
                  <c:v>8535</c:v>
                </c:pt>
                <c:pt idx="4">
                  <c:v>11962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5-44B5-8A53-E5674261E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5792448"/>
        <c:axId val="645795360"/>
      </c:barChart>
      <c:lineChart>
        <c:grouping val="standard"/>
        <c:varyColors val="0"/>
        <c:ser>
          <c:idx val="6"/>
          <c:order val="6"/>
          <c:tx>
            <c:strRef>
              <c:f>Sheet6!$C$10</c:f>
              <c:strCache>
                <c:ptCount val="1"/>
                <c:pt idx="0">
                  <c:v>Total ('000 t)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Sheet6!$D$3:$H$3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Sheet6!$D$10:$H$10</c:f>
              <c:numCache>
                <c:formatCode>_(* #,##0_);_(* \(#,##0\);_(* "-"??_);_(@_)</c:formatCode>
                <c:ptCount val="5"/>
                <c:pt idx="0">
                  <c:v>16592</c:v>
                </c:pt>
                <c:pt idx="1">
                  <c:v>26410</c:v>
                </c:pt>
                <c:pt idx="2">
                  <c:v>32179</c:v>
                </c:pt>
                <c:pt idx="3">
                  <c:v>39469</c:v>
                </c:pt>
                <c:pt idx="4">
                  <c:v>48706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45-44B5-8A53-E5674261E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792448"/>
        <c:axId val="645795360"/>
      </c:lineChart>
      <c:catAx>
        <c:axId val="645792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/>
                  <a:t>Years in series and wood products supplied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645795360"/>
        <c:crosses val="autoZero"/>
        <c:auto val="1"/>
        <c:lblAlgn val="ctr"/>
        <c:lblOffset val="100"/>
        <c:noMultiLvlLbl val="0"/>
      </c:catAx>
      <c:valAx>
        <c:axId val="64579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/>
                  <a:t>Wood supply ('000 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645792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Gill Sans MT" panose="020B0502020104020203" pitchFamily="34" charset="0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Sheet6!$X$4</c:f>
              <c:strCache>
                <c:ptCount val="1"/>
                <c:pt idx="0">
                  <c:v>Sawn wood (Timber) ($ mill)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Sheet6!$Y$3:$AC$3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Sheet6!$Y$4:$AC$4</c:f>
              <c:numCache>
                <c:formatCode>#,##0</c:formatCode>
                <c:ptCount val="5"/>
                <c:pt idx="0">
                  <c:v>12.894801273157594</c:v>
                </c:pt>
                <c:pt idx="1">
                  <c:v>14.095684032898038</c:v>
                </c:pt>
                <c:pt idx="2">
                  <c:v>21.144147281161896</c:v>
                </c:pt>
                <c:pt idx="3">
                  <c:v>60.929261126454499</c:v>
                </c:pt>
                <c:pt idx="4">
                  <c:v>111.69875132882497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1-47BD-9EEE-E701A80773A4}"/>
            </c:ext>
          </c:extLst>
        </c:ser>
        <c:ser>
          <c:idx val="1"/>
          <c:order val="1"/>
          <c:tx>
            <c:strRef>
              <c:f>Sheet6!$X$5</c:f>
              <c:strCache>
                <c:ptCount val="1"/>
                <c:pt idx="0">
                  <c:v>Poles ($ mill)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Sheet6!$Y$3:$AC$3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Sheet6!$Y$5:$AC$5</c:f>
              <c:numCache>
                <c:formatCode>#,##0</c:formatCode>
                <c:ptCount val="5"/>
                <c:pt idx="0">
                  <c:v>7.3124948992083567</c:v>
                </c:pt>
                <c:pt idx="1">
                  <c:v>7.0320314994147068</c:v>
                </c:pt>
                <c:pt idx="2">
                  <c:v>8.5238186168241104</c:v>
                </c:pt>
                <c:pt idx="3">
                  <c:v>19.029573494712885</c:v>
                </c:pt>
                <c:pt idx="4">
                  <c:v>77.698421147641909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C1-47BD-9EEE-E701A80773A4}"/>
            </c:ext>
          </c:extLst>
        </c:ser>
        <c:ser>
          <c:idx val="2"/>
          <c:order val="2"/>
          <c:tx>
            <c:strRef>
              <c:f>Sheet6!$X$6</c:f>
              <c:strCache>
                <c:ptCount val="1"/>
                <c:pt idx="0">
                  <c:v>Household firewood ($ mill)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Sheet6!$Y$3:$AC$3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Sheet6!$Y$6:$AC$6</c:f>
              <c:numCache>
                <c:formatCode>#,##0</c:formatCode>
                <c:ptCount val="5"/>
                <c:pt idx="0">
                  <c:v>37.600121253104192</c:v>
                </c:pt>
                <c:pt idx="1">
                  <c:v>33.678225573511305</c:v>
                </c:pt>
                <c:pt idx="2">
                  <c:v>62.406348635807113</c:v>
                </c:pt>
                <c:pt idx="3">
                  <c:v>59.202097027955169</c:v>
                </c:pt>
                <c:pt idx="4">
                  <c:v>45.284812128449737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C1-47BD-9EEE-E701A80773A4}"/>
            </c:ext>
          </c:extLst>
        </c:ser>
        <c:ser>
          <c:idx val="3"/>
          <c:order val="3"/>
          <c:tx>
            <c:strRef>
              <c:f>Sheet6!$X$7</c:f>
              <c:strCache>
                <c:ptCount val="1"/>
                <c:pt idx="0">
                  <c:v>Commercial firewood ($ mill)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Sheet6!$Y$3:$AC$3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Sheet6!$Y$7:$AC$7</c:f>
              <c:numCache>
                <c:formatCode>#,##0</c:formatCode>
                <c:ptCount val="5"/>
                <c:pt idx="0">
                  <c:v>10.213242238052489</c:v>
                </c:pt>
                <c:pt idx="1">
                  <c:v>9.6213077121877806</c:v>
                </c:pt>
                <c:pt idx="2">
                  <c:v>11.752614375414201</c:v>
                </c:pt>
                <c:pt idx="3">
                  <c:v>11.585454899479142</c:v>
                </c:pt>
                <c:pt idx="4">
                  <c:v>8.4930623378987828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C1-47BD-9EEE-E701A80773A4}"/>
            </c:ext>
          </c:extLst>
        </c:ser>
        <c:ser>
          <c:idx val="4"/>
          <c:order val="4"/>
          <c:tx>
            <c:strRef>
              <c:f>Sheet6!$X$8</c:f>
              <c:strCache>
                <c:ptCount val="1"/>
                <c:pt idx="0">
                  <c:v>Industrial firewood ($ mill)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Sheet6!$Y$3:$AC$3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Sheet6!$Y$8:$AC$8</c:f>
              <c:numCache>
                <c:formatCode>#,##0</c:formatCode>
                <c:ptCount val="5"/>
                <c:pt idx="0">
                  <c:v>4.7825022443483229</c:v>
                </c:pt>
                <c:pt idx="1">
                  <c:v>6.6294714118487663</c:v>
                </c:pt>
                <c:pt idx="2">
                  <c:v>7.7442798252215619</c:v>
                </c:pt>
                <c:pt idx="3">
                  <c:v>9.2443002666289491</c:v>
                </c:pt>
                <c:pt idx="4">
                  <c:v>6.7477307758177769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C1-47BD-9EEE-E701A80773A4}"/>
            </c:ext>
          </c:extLst>
        </c:ser>
        <c:ser>
          <c:idx val="5"/>
          <c:order val="5"/>
          <c:tx>
            <c:strRef>
              <c:f>Sheet6!$X$9</c:f>
              <c:strCache>
                <c:ptCount val="1"/>
                <c:pt idx="0">
                  <c:v>Wood in charcoal ($ mill)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Sheet6!$Y$3:$AC$3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Sheet6!$Y$9:$AC$9</c:f>
              <c:numCache>
                <c:formatCode>#,##0</c:formatCode>
                <c:ptCount val="5"/>
                <c:pt idx="0">
                  <c:v>19.88084550722272</c:v>
                </c:pt>
                <c:pt idx="1">
                  <c:v>20.717858283038662</c:v>
                </c:pt>
                <c:pt idx="2">
                  <c:v>20.524672290428747</c:v>
                </c:pt>
                <c:pt idx="3">
                  <c:v>23.517169232690932</c:v>
                </c:pt>
                <c:pt idx="4">
                  <c:v>20.642186972037972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529-AD0E-AEEB7BED2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2337200"/>
        <c:axId val="652341360"/>
      </c:barChart>
      <c:lineChart>
        <c:grouping val="standard"/>
        <c:varyColors val="0"/>
        <c:ser>
          <c:idx val="6"/>
          <c:order val="6"/>
          <c:tx>
            <c:strRef>
              <c:f>Sheet6!$X$10</c:f>
              <c:strCache>
                <c:ptCount val="1"/>
                <c:pt idx="0">
                  <c:v>Total ($ mill)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Sheet6!$Y$3:$AC$3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Sheet6!$Y$10:$AC$10</c:f>
              <c:numCache>
                <c:formatCode>#,##0</c:formatCode>
                <c:ptCount val="5"/>
                <c:pt idx="0">
                  <c:v>92.684007415093674</c:v>
                </c:pt>
                <c:pt idx="1">
                  <c:v>91.774578512899254</c:v>
                </c:pt>
                <c:pt idx="2">
                  <c:v>132.09588102485762</c:v>
                </c:pt>
                <c:pt idx="3">
                  <c:v>183.50785604792156</c:v>
                </c:pt>
                <c:pt idx="4">
                  <c:v>270.56496469067116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68-4529-AD0E-AEEB7BED2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337200"/>
        <c:axId val="652341360"/>
      </c:lineChart>
      <c:catAx>
        <c:axId val="652337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/>
                  <a:t>Years in series and wood products supplied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652341360"/>
        <c:crosses val="autoZero"/>
        <c:auto val="1"/>
        <c:lblAlgn val="ctr"/>
        <c:lblOffset val="100"/>
        <c:noMultiLvlLbl val="0"/>
      </c:catAx>
      <c:valAx>
        <c:axId val="65234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/>
                  <a:t>Monetary value of wood supply ($ million)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652337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ill Sans MT" panose="020B0502020104020203" pitchFamily="34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Sheet5!$B$4</c:f>
              <c:strCache>
                <c:ptCount val="1"/>
                <c:pt idx="0">
                  <c:v>Sawn wood ('000 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Sheet5!$C$3:$G$3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Sheet5!$C$4:$G$4</c:f>
              <c:numCache>
                <c:formatCode>General</c:formatCode>
                <c:ptCount val="5"/>
                <c:pt idx="0">
                  <c:v>324</c:v>
                </c:pt>
                <c:pt idx="1">
                  <c:v>652</c:v>
                </c:pt>
                <c:pt idx="2">
                  <c:v>902</c:v>
                </c:pt>
                <c:pt idx="3" formatCode="#,##0">
                  <c:v>1847</c:v>
                </c:pt>
                <c:pt idx="4" formatCode="#,##0">
                  <c:v>2453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6-47CC-9147-1C8B64548E51}"/>
            </c:ext>
          </c:extLst>
        </c:ser>
        <c:ser>
          <c:idx val="1"/>
          <c:order val="1"/>
          <c:tx>
            <c:strRef>
              <c:f>Sheet5!$B$5</c:f>
              <c:strCache>
                <c:ptCount val="1"/>
                <c:pt idx="0">
                  <c:v>Poles ('000 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Sheet5!$C$3:$G$3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Sheet5!$C$5:$G$5</c:f>
              <c:numCache>
                <c:formatCode>General</c:formatCode>
                <c:ptCount val="5"/>
                <c:pt idx="0">
                  <c:v>431</c:v>
                </c:pt>
                <c:pt idx="1">
                  <c:v>659</c:v>
                </c:pt>
                <c:pt idx="2">
                  <c:v>808</c:v>
                </c:pt>
                <c:pt idx="3" formatCode="#,##0">
                  <c:v>1013</c:v>
                </c:pt>
                <c:pt idx="4" formatCode="#,##0">
                  <c:v>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6-47CC-9147-1C8B64548E51}"/>
            </c:ext>
          </c:extLst>
        </c:ser>
        <c:ser>
          <c:idx val="2"/>
          <c:order val="2"/>
          <c:tx>
            <c:strRef>
              <c:f>Sheet5!$B$6</c:f>
              <c:strCache>
                <c:ptCount val="1"/>
                <c:pt idx="0">
                  <c:v>Household firewood ('000 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Sheet5!$C$3:$G$3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Sheet5!$C$6:$G$6</c:f>
              <c:numCache>
                <c:formatCode>#,##0</c:formatCode>
                <c:ptCount val="5"/>
                <c:pt idx="0">
                  <c:v>11654</c:v>
                </c:pt>
                <c:pt idx="1">
                  <c:v>16100</c:v>
                </c:pt>
                <c:pt idx="2">
                  <c:v>19021</c:v>
                </c:pt>
                <c:pt idx="3">
                  <c:v>22092</c:v>
                </c:pt>
                <c:pt idx="4">
                  <c:v>27024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56-47CC-9147-1C8B64548E51}"/>
            </c:ext>
          </c:extLst>
        </c:ser>
        <c:ser>
          <c:idx val="3"/>
          <c:order val="3"/>
          <c:tx>
            <c:strRef>
              <c:f>Sheet5!$B$7</c:f>
              <c:strCache>
                <c:ptCount val="1"/>
                <c:pt idx="0">
                  <c:v>Commercial firewood ('000 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Sheet5!$C$3:$G$3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Sheet5!$C$7:$G$7</c:f>
              <c:numCache>
                <c:formatCode>#,##0</c:formatCode>
                <c:ptCount val="5"/>
                <c:pt idx="0">
                  <c:v>1534</c:v>
                </c:pt>
                <c:pt idx="1">
                  <c:v>2550</c:v>
                </c:pt>
                <c:pt idx="2">
                  <c:v>2993</c:v>
                </c:pt>
                <c:pt idx="3">
                  <c:v>3256</c:v>
                </c:pt>
                <c:pt idx="4">
                  <c:v>3656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56-47CC-9147-1C8B64548E51}"/>
            </c:ext>
          </c:extLst>
        </c:ser>
        <c:ser>
          <c:idx val="4"/>
          <c:order val="4"/>
          <c:tx>
            <c:strRef>
              <c:f>Sheet5!$B$8</c:f>
              <c:strCache>
                <c:ptCount val="1"/>
                <c:pt idx="0">
                  <c:v>Industrial firewood ('000 t)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Sheet5!$C$3:$G$3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Sheet5!$C$8:$G$8</c:f>
              <c:numCache>
                <c:formatCode>#,##0</c:formatCode>
                <c:ptCount val="5"/>
                <c:pt idx="0" formatCode="General">
                  <c:v>253</c:v>
                </c:pt>
                <c:pt idx="1">
                  <c:v>1569</c:v>
                </c:pt>
                <c:pt idx="2">
                  <c:v>1949</c:v>
                </c:pt>
                <c:pt idx="3">
                  <c:v>2126</c:v>
                </c:pt>
                <c:pt idx="4">
                  <c:v>2364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56-47CC-9147-1C8B64548E51}"/>
            </c:ext>
          </c:extLst>
        </c:ser>
        <c:ser>
          <c:idx val="5"/>
          <c:order val="5"/>
          <c:tx>
            <c:strRef>
              <c:f>Sheet5!$B$9</c:f>
              <c:strCache>
                <c:ptCount val="1"/>
                <c:pt idx="0">
                  <c:v>Charcoal ('000 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Sheet5!$C$3:$G$3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Sheet5!$C$9:$G$9</c:f>
              <c:numCache>
                <c:formatCode>#,##0</c:formatCode>
                <c:ptCount val="5"/>
                <c:pt idx="0">
                  <c:v>2396</c:v>
                </c:pt>
                <c:pt idx="1">
                  <c:v>4880</c:v>
                </c:pt>
                <c:pt idx="2">
                  <c:v>6506</c:v>
                </c:pt>
                <c:pt idx="3">
                  <c:v>8535</c:v>
                </c:pt>
                <c:pt idx="4">
                  <c:v>11962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C-40C4-992B-B4A3C76EE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345952"/>
        <c:axId val="184338464"/>
      </c:barChart>
      <c:lineChart>
        <c:grouping val="standard"/>
        <c:varyColors val="0"/>
        <c:ser>
          <c:idx val="6"/>
          <c:order val="6"/>
          <c:tx>
            <c:strRef>
              <c:f>Sheet5!$B$10</c:f>
              <c:strCache>
                <c:ptCount val="1"/>
                <c:pt idx="0">
                  <c:v>Total ('000 t)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Sheet5!$C$3:$G$3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Sheet5!$C$10:$G$10</c:f>
              <c:numCache>
                <c:formatCode>General</c:formatCode>
                <c:ptCount val="5"/>
                <c:pt idx="0">
                  <c:v>16592</c:v>
                </c:pt>
                <c:pt idx="1">
                  <c:v>26410</c:v>
                </c:pt>
                <c:pt idx="2">
                  <c:v>32179</c:v>
                </c:pt>
                <c:pt idx="3">
                  <c:v>38869</c:v>
                </c:pt>
                <c:pt idx="4">
                  <c:v>48706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8C-40C4-992B-B4A3C76EE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45952"/>
        <c:axId val="184338464"/>
      </c:lineChart>
      <c:catAx>
        <c:axId val="184345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/>
                  <a:t>Years in series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84338464"/>
        <c:crosses val="autoZero"/>
        <c:auto val="1"/>
        <c:lblAlgn val="ctr"/>
        <c:lblOffset val="100"/>
        <c:noMultiLvlLbl val="0"/>
      </c:catAx>
      <c:valAx>
        <c:axId val="1843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/>
                  <a:t>Wood products ('000 tons)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184345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Gill Sans MT" panose="020B0502020104020203" pitchFamily="34" charset="0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Sheet5!$O$13</c:f>
              <c:strCache>
                <c:ptCount val="1"/>
                <c:pt idx="0">
                  <c:v>Sawn wood ($ mill)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Sheet5!$P$12:$T$12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Sheet5!$P$13:$T$13</c:f>
              <c:numCache>
                <c:formatCode>0.00</c:formatCode>
                <c:ptCount val="5"/>
                <c:pt idx="0">
                  <c:v>12.894801273157594</c:v>
                </c:pt>
                <c:pt idx="1">
                  <c:v>14.095684032898038</c:v>
                </c:pt>
                <c:pt idx="2">
                  <c:v>21.144147281161896</c:v>
                </c:pt>
                <c:pt idx="3">
                  <c:v>60.929261126454499</c:v>
                </c:pt>
                <c:pt idx="4">
                  <c:v>111.69875132882497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54A-8EA0-05743C8A25B6}"/>
            </c:ext>
          </c:extLst>
        </c:ser>
        <c:ser>
          <c:idx val="1"/>
          <c:order val="1"/>
          <c:tx>
            <c:strRef>
              <c:f>Sheet5!$O$14</c:f>
              <c:strCache>
                <c:ptCount val="1"/>
                <c:pt idx="0">
                  <c:v>Poles ($ mill)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Sheet5!$P$12:$T$12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Sheet5!$P$14:$T$14</c:f>
              <c:numCache>
                <c:formatCode>0.00</c:formatCode>
                <c:ptCount val="5"/>
                <c:pt idx="0">
                  <c:v>7.3124948992083567</c:v>
                </c:pt>
                <c:pt idx="1">
                  <c:v>7.0320314994147068</c:v>
                </c:pt>
                <c:pt idx="2">
                  <c:v>8.5238186168241104</c:v>
                </c:pt>
                <c:pt idx="3">
                  <c:v>19.029573494712885</c:v>
                </c:pt>
                <c:pt idx="4">
                  <c:v>77.698421147641909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4-454A-8EA0-05743C8A25B6}"/>
            </c:ext>
          </c:extLst>
        </c:ser>
        <c:ser>
          <c:idx val="2"/>
          <c:order val="2"/>
          <c:tx>
            <c:strRef>
              <c:f>Sheet5!$O$15</c:f>
              <c:strCache>
                <c:ptCount val="1"/>
                <c:pt idx="0">
                  <c:v>Household firewood ($ mill)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Sheet5!$P$12:$T$12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Sheet5!$P$15:$T$15</c:f>
              <c:numCache>
                <c:formatCode>0.00</c:formatCode>
                <c:ptCount val="5"/>
                <c:pt idx="0">
                  <c:v>37.600121253104192</c:v>
                </c:pt>
                <c:pt idx="1">
                  <c:v>33.678225573511305</c:v>
                </c:pt>
                <c:pt idx="2">
                  <c:v>62.406348635807113</c:v>
                </c:pt>
                <c:pt idx="3">
                  <c:v>59.202097027955169</c:v>
                </c:pt>
                <c:pt idx="4">
                  <c:v>45.284812128449737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4-454A-8EA0-05743C8A25B6}"/>
            </c:ext>
          </c:extLst>
        </c:ser>
        <c:ser>
          <c:idx val="3"/>
          <c:order val="3"/>
          <c:tx>
            <c:strRef>
              <c:f>Sheet5!$O$16</c:f>
              <c:strCache>
                <c:ptCount val="1"/>
                <c:pt idx="0">
                  <c:v>Commercial firewood ($ mill)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Sheet5!$P$12:$T$12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Sheet5!$P$16:$T$16</c:f>
              <c:numCache>
                <c:formatCode>0.00</c:formatCode>
                <c:ptCount val="5"/>
                <c:pt idx="0">
                  <c:v>10.213242238052489</c:v>
                </c:pt>
                <c:pt idx="1">
                  <c:v>9.6213077121877806</c:v>
                </c:pt>
                <c:pt idx="2">
                  <c:v>11.752614375414201</c:v>
                </c:pt>
                <c:pt idx="3">
                  <c:v>11.585454899479142</c:v>
                </c:pt>
                <c:pt idx="4">
                  <c:v>8.4930623378987828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4-454A-8EA0-05743C8A25B6}"/>
            </c:ext>
          </c:extLst>
        </c:ser>
        <c:ser>
          <c:idx val="4"/>
          <c:order val="4"/>
          <c:tx>
            <c:strRef>
              <c:f>Sheet5!$O$17</c:f>
              <c:strCache>
                <c:ptCount val="1"/>
                <c:pt idx="0">
                  <c:v>Industrial firewood ($ mill)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Sheet5!$P$12:$T$12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Sheet5!$P$17:$T$17</c:f>
              <c:numCache>
                <c:formatCode>0.00</c:formatCode>
                <c:ptCount val="5"/>
                <c:pt idx="0">
                  <c:v>4.7825022443483229</c:v>
                </c:pt>
                <c:pt idx="1">
                  <c:v>6.6294714118487663</c:v>
                </c:pt>
                <c:pt idx="2">
                  <c:v>7.7425949431071475</c:v>
                </c:pt>
                <c:pt idx="3">
                  <c:v>9.2443002666289491</c:v>
                </c:pt>
                <c:pt idx="4">
                  <c:v>6.7477307758177769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4-454A-8EA0-05743C8A25B6}"/>
            </c:ext>
          </c:extLst>
        </c:ser>
        <c:ser>
          <c:idx val="5"/>
          <c:order val="5"/>
          <c:tx>
            <c:strRef>
              <c:f>Sheet5!$O$18</c:f>
              <c:strCache>
                <c:ptCount val="1"/>
                <c:pt idx="0">
                  <c:v>Charcoal ($ mill)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Sheet5!$P$12:$T$12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Sheet5!$P$18:$T$18</c:f>
              <c:numCache>
                <c:formatCode>0.00</c:formatCode>
                <c:ptCount val="5"/>
                <c:pt idx="0">
                  <c:v>19.88084550722272</c:v>
                </c:pt>
                <c:pt idx="1">
                  <c:v>20.717858283038662</c:v>
                </c:pt>
                <c:pt idx="2">
                  <c:v>20.524672290428747</c:v>
                </c:pt>
                <c:pt idx="3">
                  <c:v>23.517169232690932</c:v>
                </c:pt>
                <c:pt idx="4">
                  <c:v>20.642186972037972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9-4B34-B74F-25771B11C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1754512"/>
        <c:axId val="381742032"/>
      </c:barChart>
      <c:lineChart>
        <c:grouping val="standard"/>
        <c:varyColors val="0"/>
        <c:ser>
          <c:idx val="6"/>
          <c:order val="6"/>
          <c:tx>
            <c:strRef>
              <c:f>Sheet5!$O$19</c:f>
              <c:strCache>
                <c:ptCount val="1"/>
                <c:pt idx="0">
                  <c:v>Total ($ mill)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Sheet5!$P$12:$T$12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Sheet5!$P$19:$T$19</c:f>
              <c:numCache>
                <c:formatCode>0.00</c:formatCode>
                <c:ptCount val="5"/>
                <c:pt idx="0">
                  <c:v>92.684007415093674</c:v>
                </c:pt>
                <c:pt idx="1">
                  <c:v>91.774578512899268</c:v>
                </c:pt>
                <c:pt idx="2">
                  <c:v>132.09419614274321</c:v>
                </c:pt>
                <c:pt idx="3">
                  <c:v>183.50785604792156</c:v>
                </c:pt>
                <c:pt idx="4">
                  <c:v>270.56496469067116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9-4B34-B74F-25771B11C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754512"/>
        <c:axId val="381742032"/>
      </c:lineChart>
      <c:catAx>
        <c:axId val="381754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/>
                  <a:t>Years in series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381742032"/>
        <c:crosses val="autoZero"/>
        <c:auto val="1"/>
        <c:lblAlgn val="ctr"/>
        <c:lblOffset val="100"/>
        <c:noMultiLvlLbl val="0"/>
      </c:catAx>
      <c:valAx>
        <c:axId val="38174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/>
                  <a:t>Wood products value (US$)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381754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Gill Sans MT" panose="020B0502020104020203" pitchFamily="34" charset="0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Sheet5!$V$13</c:f>
              <c:strCache>
                <c:ptCount val="1"/>
                <c:pt idx="0">
                  <c:v>Sawn wood ($/ton)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Sheet5!$W$12:$AA$12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Sheet5!$W$13:$AA$13</c:f>
              <c:numCache>
                <c:formatCode>0.00</c:formatCode>
                <c:ptCount val="5"/>
                <c:pt idx="0">
                  <c:v>39.798769361597508</c:v>
                </c:pt>
                <c:pt idx="1">
                  <c:v>21.619147289720917</c:v>
                </c:pt>
                <c:pt idx="2">
                  <c:v>23.44140496802871</c:v>
                </c:pt>
                <c:pt idx="3">
                  <c:v>32.98823017133433</c:v>
                </c:pt>
                <c:pt idx="4">
                  <c:v>45.535569233112504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5-4244-B7CC-4A55742409C0}"/>
            </c:ext>
          </c:extLst>
        </c:ser>
        <c:ser>
          <c:idx val="1"/>
          <c:order val="1"/>
          <c:tx>
            <c:strRef>
              <c:f>Sheet5!$V$14</c:f>
              <c:strCache>
                <c:ptCount val="1"/>
                <c:pt idx="0">
                  <c:v>Poles ($/ton)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Sheet5!$W$12:$AA$12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Sheet5!$W$14:$AA$14</c:f>
              <c:numCache>
                <c:formatCode>0.00</c:formatCode>
                <c:ptCount val="5"/>
                <c:pt idx="0">
                  <c:v>16.96634547380129</c:v>
                </c:pt>
                <c:pt idx="1">
                  <c:v>10.670761000629296</c:v>
                </c:pt>
                <c:pt idx="2">
                  <c:v>10.549280466366474</c:v>
                </c:pt>
                <c:pt idx="3">
                  <c:v>18.785363765758031</c:v>
                </c:pt>
                <c:pt idx="4">
                  <c:v>62.308276782391268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5-4244-B7CC-4A55742409C0}"/>
            </c:ext>
          </c:extLst>
        </c:ser>
        <c:ser>
          <c:idx val="2"/>
          <c:order val="2"/>
          <c:tx>
            <c:strRef>
              <c:f>Sheet5!$V$15</c:f>
              <c:strCache>
                <c:ptCount val="1"/>
                <c:pt idx="0">
                  <c:v>Household firewood ($/ton)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Sheet5!$W$12:$AA$12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Sheet5!$W$15:$AA$15</c:f>
              <c:numCache>
                <c:formatCode>0.00</c:formatCode>
                <c:ptCount val="5"/>
                <c:pt idx="0">
                  <c:v>3.2263704524716146</c:v>
                </c:pt>
                <c:pt idx="1">
                  <c:v>2.0918152530131242</c:v>
                </c:pt>
                <c:pt idx="2">
                  <c:v>3.2809183868254621</c:v>
                </c:pt>
                <c:pt idx="3">
                  <c:v>2.6797979824350517</c:v>
                </c:pt>
                <c:pt idx="4">
                  <c:v>1.6757257300344042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D5-4244-B7CC-4A55742409C0}"/>
            </c:ext>
          </c:extLst>
        </c:ser>
        <c:ser>
          <c:idx val="3"/>
          <c:order val="3"/>
          <c:tx>
            <c:strRef>
              <c:f>Sheet5!$V$16</c:f>
              <c:strCache>
                <c:ptCount val="1"/>
                <c:pt idx="0">
                  <c:v>Commercial firewood ($/ton)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Sheet5!$W$12:$AA$12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Sheet5!$W$16:$AA$16</c:f>
              <c:numCache>
                <c:formatCode>0.00</c:formatCode>
                <c:ptCount val="5"/>
                <c:pt idx="0">
                  <c:v>6.6579154094214399</c:v>
                </c:pt>
                <c:pt idx="1">
                  <c:v>3.7730618479167766</c:v>
                </c:pt>
                <c:pt idx="2">
                  <c:v>3.9267004261323755</c:v>
                </c:pt>
                <c:pt idx="3">
                  <c:v>3.5581863941889256</c:v>
                </c:pt>
                <c:pt idx="4">
                  <c:v>2.3230476854208928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D5-4244-B7CC-4A55742409C0}"/>
            </c:ext>
          </c:extLst>
        </c:ser>
        <c:ser>
          <c:idx val="4"/>
          <c:order val="4"/>
          <c:tx>
            <c:strRef>
              <c:f>Sheet5!$V$17</c:f>
              <c:strCache>
                <c:ptCount val="1"/>
                <c:pt idx="0">
                  <c:v>Industrial firewood ($/ton)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Sheet5!$W$12:$AA$12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Sheet5!$W$17:$AA$17</c:f>
              <c:numCache>
                <c:formatCode>0.00</c:formatCode>
                <c:ptCount val="5"/>
                <c:pt idx="0">
                  <c:v>18.903170926277955</c:v>
                </c:pt>
                <c:pt idx="1">
                  <c:v>4.2252845199800939</c:v>
                </c:pt>
                <c:pt idx="2">
                  <c:v>3.9725987394084905</c:v>
                </c:pt>
                <c:pt idx="3">
                  <c:v>4.3482127312459777</c:v>
                </c:pt>
                <c:pt idx="4">
                  <c:v>2.8543700405320545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D5-4244-B7CC-4A55742409C0}"/>
            </c:ext>
          </c:extLst>
        </c:ser>
        <c:ser>
          <c:idx val="5"/>
          <c:order val="5"/>
          <c:tx>
            <c:strRef>
              <c:f>Sheet5!$V$18</c:f>
              <c:strCache>
                <c:ptCount val="1"/>
                <c:pt idx="0">
                  <c:v>Charcoal ($/ton)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Sheet5!$W$12:$AA$12</c:f>
              <c:numCache>
                <c:formatCode>General</c:formatCode>
                <c:ptCount val="5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</c:numCache>
            </c:numRef>
          </c:cat>
          <c:val>
            <c:numRef>
              <c:f>Sheet5!$W$18:$AA$18</c:f>
              <c:numCache>
                <c:formatCode>0.00</c:formatCode>
                <c:ptCount val="5"/>
                <c:pt idx="0">
                  <c:v>8.2975148193750918</c:v>
                </c:pt>
                <c:pt idx="1">
                  <c:v>4.2454627629177581</c:v>
                </c:pt>
                <c:pt idx="2">
                  <c:v>3.1547298325282425</c:v>
                </c:pt>
                <c:pt idx="3">
                  <c:v>2.7553801092783754</c:v>
                </c:pt>
                <c:pt idx="4">
                  <c:v>1.7256467958567105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9-457A-8511-AD4A5F633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760336"/>
        <c:axId val="381743696"/>
      </c:barChart>
      <c:catAx>
        <c:axId val="38176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/>
                  <a:t>Products and years in series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381743696"/>
        <c:crosses val="autoZero"/>
        <c:auto val="1"/>
        <c:lblAlgn val="ctr"/>
        <c:lblOffset val="100"/>
        <c:noMultiLvlLbl val="0"/>
      </c:catAx>
      <c:valAx>
        <c:axId val="3817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n-US"/>
                  <a:t>Product unit value ($/ton)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381760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Gill Sans MT" panose="020B0502020104020203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zoomScale="101" workbookViewId="0" zoomToFit="1"/>
  </sheetViews>
  <pageMargins left="0.7" right="0.7" top="0.75" bottom="0.75" header="0.3" footer="0.3"/>
  <headerFooter>
    <oddFooter>&amp;R_x000D_&amp;1#&amp;"Aptos"&amp;10&amp;K000000 Official Use Only</oddFooter>
  </headerFooter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zoomScale="101" workbookViewId="0" zoomToFit="1"/>
  </sheetViews>
  <pageMargins left="0.7" right="0.7" top="0.75" bottom="0.75" header="0.3" footer="0.3"/>
  <headerFooter>
    <oddFooter>&amp;R_x000D_&amp;1#&amp;"Aptos"&amp;10&amp;K000000 Official Use Only</oddFooter>
  </headerFooter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zoomScale="101" workbookViewId="0" zoomToFit="1"/>
  </sheetViews>
  <pageMargins left="0.7" right="0.7" top="0.75" bottom="0.75" header="0.3" footer="0.3"/>
  <headerFooter>
    <oddFooter>&amp;R_x000D_&amp;1#&amp;"Aptos"&amp;10&amp;K000000 Official Use Only</oddFooter>
  </headerFooter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zoomScale="101" workbookViewId="0" zoomToFit="1"/>
  </sheetViews>
  <pageMargins left="0.7" right="0.7" top="0.75" bottom="0.75" header="0.3" footer="0.3"/>
  <headerFooter>
    <oddFooter>&amp;R_x000D_&amp;1#&amp;"Aptos"&amp;10&amp;K000000 Official Use Only</oddFooter>
  </headerFooter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zoomScale="101" workbookViewId="0" zoomToFit="1"/>
  </sheetViews>
  <pageMargins left="0.7" right="0.7" top="0.75" bottom="0.75" header="0.3" footer="0.3"/>
  <headerFooter>
    <oddFooter>&amp;R_x000D_&amp;1#&amp;"Aptos"&amp;10&amp;K000000 Official Use Only</oddFoot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344" cy="62990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6807" cy="629027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6807" cy="629027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ld%20Bank%20WAVES\Forest%20Accounts%20Files\Graphs%20for%20results%20forest%20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ld%20Bank%20WAVES\Forest%20Accounts%20Files\Monetary%20Value%20of%20Wood%20Biomas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ld%20Bank%20WAVES\Forest%20Accounts%20Files\Graph%20for%20P-MSU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ld%20Bank%20WAVES\Forest%20Accounts%20Files\External%20Trade%20Importation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ld%20Bank%20WAVES\Forest%20Accounts%20Files\WOOD%20AND%20WOOD%20ARTICLES%201996_2018B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ld%20Bank%20WAVES\Forest%20Accounts%20Files\Shea%20Estim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sted land"/>
      <sheetName val="Sheet1"/>
      <sheetName val="Forest Land Value"/>
      <sheetName val="Sheet2"/>
      <sheetName val="agg wood physical"/>
      <sheetName val="Gap of wood project available"/>
      <sheetName val="Sheet3"/>
      <sheetName val="Monetary wood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F5">
            <v>345316</v>
          </cell>
        </row>
        <row r="17">
          <cell r="F17">
            <v>364388</v>
          </cell>
          <cell r="G17">
            <v>493602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4"/>
      <sheetName val="Sheet5"/>
      <sheetName val="Sheet3"/>
    </sheetNames>
    <sheetDataSet>
      <sheetData sheetId="0"/>
      <sheetData sheetId="1">
        <row r="5">
          <cell r="F5">
            <v>345316</v>
          </cell>
          <cell r="G5">
            <v>630416</v>
          </cell>
          <cell r="I5">
            <v>24155042</v>
          </cell>
          <cell r="J5">
            <v>3688822</v>
          </cell>
          <cell r="K5">
            <v>15038207</v>
          </cell>
          <cell r="U5">
            <v>7063.0582111966114</v>
          </cell>
          <cell r="V5">
            <v>13539.187731044056</v>
          </cell>
          <cell r="X5">
            <v>295944.79310602322</v>
          </cell>
          <cell r="Y5">
            <v>45195.022372345557</v>
          </cell>
          <cell r="Z5">
            <v>563406.75426090136</v>
          </cell>
        </row>
        <row r="11">
          <cell r="U11">
            <v>22754.99897747242</v>
          </cell>
          <cell r="V11">
            <v>40821.626467667804</v>
          </cell>
          <cell r="X11">
            <v>1204008.0087277084</v>
          </cell>
          <cell r="Y11">
            <v>158011.16374880451</v>
          </cell>
          <cell r="Z11">
            <v>404908.37791623664</v>
          </cell>
        </row>
        <row r="17">
          <cell r="I17">
            <v>17413687</v>
          </cell>
          <cell r="J17">
            <v>2061414</v>
          </cell>
          <cell r="K17">
            <v>4868687</v>
          </cell>
          <cell r="U17">
            <v>42463.87747017842</v>
          </cell>
          <cell r="V17">
            <v>60397.893425103888</v>
          </cell>
          <cell r="X17">
            <v>1215550.8687776523</v>
          </cell>
          <cell r="Y17">
            <v>143895.63672589359</v>
          </cell>
          <cell r="Z17">
            <v>229785.41533887907</v>
          </cell>
        </row>
        <row r="23">
          <cell r="F23">
            <v>1130863</v>
          </cell>
          <cell r="G23">
            <v>2614515</v>
          </cell>
          <cell r="I23">
            <v>17367085</v>
          </cell>
          <cell r="J23">
            <v>1117354</v>
          </cell>
          <cell r="K23">
            <v>4229769</v>
          </cell>
          <cell r="U23">
            <v>168002.984274605</v>
          </cell>
          <cell r="V23">
            <v>407837.7650982081</v>
          </cell>
          <cell r="X23">
            <v>1545470.6209171987</v>
          </cell>
          <cell r="Y23">
            <v>99431.642107142092</v>
          </cell>
          <cell r="Z23">
            <v>254494.66026463482</v>
          </cell>
        </row>
        <row r="28">
          <cell r="F28">
            <v>1465196</v>
          </cell>
          <cell r="G28">
            <v>1491361</v>
          </cell>
          <cell r="I28">
            <v>15756857</v>
          </cell>
          <cell r="J28">
            <v>2137266</v>
          </cell>
          <cell r="K28">
            <v>4633280</v>
          </cell>
          <cell r="U28">
            <v>219779.4</v>
          </cell>
          <cell r="V28">
            <v>223704.15</v>
          </cell>
          <cell r="X28">
            <v>1348336.7632857142</v>
          </cell>
          <cell r="Y28">
            <v>182888.90485714286</v>
          </cell>
          <cell r="Z28">
            <v>268068.34285714285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wood supply"/>
      <sheetName val="Sheet1"/>
      <sheetName val="Mone wood other land covers"/>
      <sheetName val="Sheet2"/>
      <sheetName val="Sheet5"/>
      <sheetName val="Sheet6"/>
      <sheetName val="Physical wood other land cover"/>
      <sheetName val="Sheet3"/>
      <sheetName val="Sheet4"/>
    </sheetNames>
    <sheetDataSet>
      <sheetData sheetId="0" refreshError="1"/>
      <sheetData sheetId="1" refreshError="1"/>
      <sheetData sheetId="2" refreshError="1"/>
      <sheetData sheetId="3">
        <row r="7">
          <cell r="P7">
            <v>57468892.099999994</v>
          </cell>
        </row>
        <row r="15">
          <cell r="P15">
            <v>41813499.359999999</v>
          </cell>
        </row>
        <row r="24">
          <cell r="P24">
            <v>38895619.480000012</v>
          </cell>
        </row>
        <row r="35">
          <cell r="P35">
            <v>45539639.160000004</v>
          </cell>
        </row>
        <row r="42">
          <cell r="P42">
            <v>45805061.140000015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</sheetNames>
    <sheetDataSet>
      <sheetData sheetId="0">
        <row r="6">
          <cell r="G6">
            <v>1815283275</v>
          </cell>
          <cell r="I6">
            <v>195</v>
          </cell>
        </row>
        <row r="16">
          <cell r="G16">
            <v>1918649019</v>
          </cell>
          <cell r="I16">
            <v>1716.9506920309934</v>
          </cell>
        </row>
        <row r="21">
          <cell r="G21">
            <v>10594091622</v>
          </cell>
        </row>
      </sheetData>
      <sheetData sheetId="1">
        <row r="6">
          <cell r="G6">
            <v>55173963</v>
          </cell>
          <cell r="I6">
            <v>337</v>
          </cell>
        </row>
        <row r="16">
          <cell r="G16">
            <v>1872682881</v>
          </cell>
          <cell r="I16">
            <v>49.242251235212343</v>
          </cell>
        </row>
        <row r="21">
          <cell r="G21">
            <v>9976928349</v>
          </cell>
        </row>
      </sheetData>
      <sheetData sheetId="2">
        <row r="6">
          <cell r="G6">
            <v>140256017</v>
          </cell>
          <cell r="I6">
            <v>83032</v>
          </cell>
        </row>
        <row r="16">
          <cell r="G16">
            <v>1578914802</v>
          </cell>
          <cell r="I16">
            <v>252591.19999999998</v>
          </cell>
        </row>
        <row r="21">
          <cell r="G21">
            <v>6135852703</v>
          </cell>
        </row>
      </sheetData>
      <sheetData sheetId="3">
        <row r="6">
          <cell r="G6">
            <v>87817386356</v>
          </cell>
          <cell r="I6">
            <v>1266913</v>
          </cell>
        </row>
        <row r="16">
          <cell r="G16">
            <v>136983364</v>
          </cell>
          <cell r="I16">
            <v>339.81352135403864</v>
          </cell>
        </row>
        <row r="21">
          <cell r="G21">
            <v>191521922</v>
          </cell>
        </row>
      </sheetData>
      <sheetData sheetId="4">
        <row r="6">
          <cell r="G6">
            <v>57008649135</v>
          </cell>
          <cell r="I6">
            <v>34487876</v>
          </cell>
        </row>
        <row r="16">
          <cell r="G16">
            <v>296519326865</v>
          </cell>
          <cell r="I16">
            <v>18501792</v>
          </cell>
        </row>
        <row r="21">
          <cell r="G21">
            <v>34303549395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Sheet1"/>
      <sheetName val="Exports"/>
      <sheetName val="Imports"/>
      <sheetName val="Sheet2"/>
      <sheetName val="Sheet3"/>
      <sheetName val="Sheet4"/>
      <sheetName val="Sheet5"/>
      <sheetName val="Sheet6"/>
      <sheetName val="Sheet8"/>
      <sheetName val="Sheet9"/>
      <sheetName val="Sheet10"/>
      <sheetName val="Sheet11"/>
      <sheetName val="Sheet12"/>
    </sheetNames>
    <sheetDataSet>
      <sheetData sheetId="0"/>
      <sheetData sheetId="1"/>
      <sheetData sheetId="2"/>
      <sheetData sheetId="3"/>
      <sheetData sheetId="4">
        <row r="50">
          <cell r="G50">
            <v>47805348698</v>
          </cell>
          <cell r="H50">
            <v>21440438</v>
          </cell>
        </row>
        <row r="170">
          <cell r="G170">
            <v>3506375373</v>
          </cell>
          <cell r="H170">
            <v>660316</v>
          </cell>
        </row>
        <row r="222">
          <cell r="G222">
            <v>70173351</v>
          </cell>
        </row>
      </sheetData>
      <sheetData sheetId="5">
        <row r="14">
          <cell r="G14">
            <v>21326284</v>
          </cell>
          <cell r="H14">
            <v>8570</v>
          </cell>
        </row>
      </sheetData>
      <sheetData sheetId="6">
        <row r="44">
          <cell r="G44">
            <v>351217604</v>
          </cell>
          <cell r="H44">
            <v>247134</v>
          </cell>
        </row>
        <row r="119">
          <cell r="G119">
            <v>12000090</v>
          </cell>
          <cell r="H119">
            <v>7499</v>
          </cell>
        </row>
        <row r="149">
          <cell r="G149">
            <v>2000015</v>
          </cell>
        </row>
      </sheetData>
      <sheetData sheetId="7">
        <row r="31">
          <cell r="G31">
            <v>62216650</v>
          </cell>
          <cell r="H31">
            <v>41803</v>
          </cell>
        </row>
        <row r="118">
          <cell r="G118">
            <v>48881799</v>
          </cell>
          <cell r="H118">
            <v>41496</v>
          </cell>
        </row>
      </sheetData>
      <sheetData sheetId="8">
        <row r="28">
          <cell r="G28">
            <v>91743641446</v>
          </cell>
          <cell r="H28">
            <v>19774417.239999998</v>
          </cell>
        </row>
        <row r="148">
          <cell r="G148">
            <v>5304274424</v>
          </cell>
          <cell r="H148">
            <v>3524855</v>
          </cell>
        </row>
        <row r="208">
          <cell r="G208">
            <v>793963647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2">
          <cell r="Y12">
            <v>1507035</v>
          </cell>
        </row>
        <row r="14">
          <cell r="Y14">
            <v>3933361.3499999996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workbookViewId="0">
      <selection activeCell="A63" sqref="A63:O67"/>
    </sheetView>
  </sheetViews>
  <sheetFormatPr defaultColWidth="9.140625" defaultRowHeight="13.5" x14ac:dyDescent="0.3"/>
  <cols>
    <col min="1" max="1" width="39.5703125" style="42" customWidth="1"/>
    <col min="2" max="3" width="10.7109375" style="5" bestFit="1" customWidth="1"/>
    <col min="4" max="12" width="9.140625" style="5"/>
    <col min="13" max="13" width="11.5703125" style="5" bestFit="1" customWidth="1"/>
    <col min="14" max="16384" width="9.140625" style="5"/>
  </cols>
  <sheetData>
    <row r="1" spans="1:15" ht="41.25" thickBot="1" x14ac:dyDescent="0.35">
      <c r="A1" s="12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1" t="s">
        <v>1</v>
      </c>
      <c r="O1" s="1" t="s">
        <v>2</v>
      </c>
    </row>
    <row r="2" spans="1:15" ht="41.25" thickBot="1" x14ac:dyDescent="0.35">
      <c r="A2" s="13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3" t="s">
        <v>14</v>
      </c>
      <c r="M2" s="3" t="s">
        <v>15</v>
      </c>
      <c r="N2" s="38"/>
      <c r="O2" s="38"/>
    </row>
    <row r="3" spans="1:15" ht="14.25" thickBot="1" x14ac:dyDescent="0.35">
      <c r="A3" s="13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39"/>
      <c r="N3" s="41"/>
      <c r="O3" s="38"/>
    </row>
    <row r="4" spans="1:15" ht="14.25" thickBot="1" x14ac:dyDescent="0.35">
      <c r="A4" s="14" t="s">
        <v>138</v>
      </c>
      <c r="B4" s="39"/>
      <c r="C4" s="40">
        <f>Sheet3!C4/10</f>
        <v>3.3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41"/>
      <c r="O4" s="4" t="s">
        <v>18</v>
      </c>
    </row>
    <row r="5" spans="1:15" ht="14.25" thickBot="1" x14ac:dyDescent="0.35">
      <c r="A5" s="14" t="s">
        <v>139</v>
      </c>
      <c r="B5" s="39"/>
      <c r="C5" s="72">
        <f>Sheet3!C5/0.7</f>
        <v>792.85714285714289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41"/>
      <c r="O5" s="4" t="s">
        <v>18</v>
      </c>
    </row>
    <row r="6" spans="1:15" ht="14.25" thickBot="1" x14ac:dyDescent="0.35">
      <c r="A6" s="14" t="s">
        <v>140</v>
      </c>
      <c r="B6" s="39"/>
      <c r="C6" s="44">
        <f>Sheet3!C6*1000000/500</f>
        <v>2144000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41"/>
      <c r="O6" s="4" t="s">
        <v>18</v>
      </c>
    </row>
    <row r="7" spans="1:15" ht="14.25" thickBot="1" x14ac:dyDescent="0.35">
      <c r="A7" s="14" t="s">
        <v>21</v>
      </c>
      <c r="B7" s="39"/>
      <c r="C7" s="40"/>
      <c r="D7" s="39"/>
      <c r="E7" s="39"/>
      <c r="F7" s="39"/>
      <c r="G7" s="39"/>
      <c r="H7" s="39"/>
      <c r="I7" s="39"/>
      <c r="J7" s="39"/>
      <c r="K7" s="39"/>
      <c r="L7" s="39"/>
      <c r="M7" s="39"/>
      <c r="N7" s="41"/>
      <c r="O7" s="4" t="s">
        <v>18</v>
      </c>
    </row>
    <row r="8" spans="1:15" ht="14.25" thickBot="1" x14ac:dyDescent="0.35">
      <c r="A8" s="14" t="s">
        <v>22</v>
      </c>
      <c r="B8" s="39"/>
      <c r="C8" s="6">
        <v>362964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41"/>
      <c r="O8" s="7">
        <v>362964</v>
      </c>
    </row>
    <row r="9" spans="1:15" ht="14.25" thickBot="1" x14ac:dyDescent="0.35">
      <c r="A9" s="14" t="s">
        <v>23</v>
      </c>
      <c r="B9" s="39"/>
      <c r="C9" s="6">
        <v>744954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41"/>
      <c r="O9" s="7">
        <v>744954</v>
      </c>
    </row>
    <row r="10" spans="1:15" ht="14.25" thickBot="1" x14ac:dyDescent="0.35">
      <c r="A10" s="14" t="s">
        <v>24</v>
      </c>
      <c r="B10" s="39"/>
      <c r="C10" s="6">
        <v>27709169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1"/>
      <c r="O10" s="7">
        <v>27709169</v>
      </c>
    </row>
    <row r="11" spans="1:15" ht="14.25" thickBot="1" x14ac:dyDescent="0.35">
      <c r="A11" s="13" t="s">
        <v>96</v>
      </c>
      <c r="B11" s="39"/>
      <c r="C11" s="40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1"/>
      <c r="O11" s="4" t="s">
        <v>18</v>
      </c>
    </row>
    <row r="12" spans="1:15" ht="14.25" thickBot="1" x14ac:dyDescent="0.35">
      <c r="A12" s="14" t="s">
        <v>125</v>
      </c>
      <c r="B12" s="6">
        <f>1507035/1000</f>
        <v>1507.0350000000001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7"/>
      <c r="O12" s="7">
        <v>1752</v>
      </c>
    </row>
    <row r="13" spans="1:15" ht="14.25" thickBot="1" x14ac:dyDescent="0.35">
      <c r="A13" s="14" t="s">
        <v>25</v>
      </c>
      <c r="B13" s="6">
        <v>22768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7">
        <v>22768</v>
      </c>
    </row>
    <row r="14" spans="1:15" ht="14.25" thickBot="1" x14ac:dyDescent="0.35">
      <c r="A14" s="14" t="s">
        <v>26</v>
      </c>
      <c r="B14" s="40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7"/>
      <c r="O14" s="4" t="s">
        <v>18</v>
      </c>
    </row>
    <row r="15" spans="1:15" ht="14.25" thickBot="1" x14ac:dyDescent="0.35">
      <c r="A15" s="14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38"/>
      <c r="O15" s="4"/>
    </row>
    <row r="16" spans="1:15" ht="14.25" thickBot="1" x14ac:dyDescent="0.35">
      <c r="A16" s="13" t="s">
        <v>28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38"/>
      <c r="O16" s="4" t="s">
        <v>18</v>
      </c>
    </row>
    <row r="17" spans="1:16" ht="14.25" thickBot="1" x14ac:dyDescent="0.35">
      <c r="A17" s="14" t="s">
        <v>29</v>
      </c>
      <c r="B17" s="6">
        <v>5677</v>
      </c>
      <c r="C17" s="6">
        <v>1957</v>
      </c>
      <c r="D17" s="8" t="s">
        <v>18</v>
      </c>
      <c r="E17" s="8" t="s">
        <v>18</v>
      </c>
      <c r="F17" s="8" t="s">
        <v>18</v>
      </c>
      <c r="G17" s="8" t="s">
        <v>18</v>
      </c>
      <c r="H17" s="40"/>
      <c r="I17" s="40"/>
      <c r="J17" s="40"/>
      <c r="K17" s="8" t="s">
        <v>18</v>
      </c>
      <c r="L17" s="8" t="s">
        <v>18</v>
      </c>
      <c r="M17" s="40"/>
      <c r="N17" s="38"/>
      <c r="O17" s="7">
        <v>7634</v>
      </c>
    </row>
    <row r="18" spans="1:16" ht="14.25" thickBot="1" x14ac:dyDescent="0.35">
      <c r="A18" s="14" t="s">
        <v>30</v>
      </c>
      <c r="B18" s="40"/>
      <c r="C18" s="6">
        <v>1056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38"/>
      <c r="O18" s="7">
        <v>1056</v>
      </c>
    </row>
    <row r="19" spans="1:16" ht="14.25" thickBot="1" x14ac:dyDescent="0.35">
      <c r="A19" s="14" t="s">
        <v>31</v>
      </c>
      <c r="B19" s="40"/>
      <c r="C19" s="6">
        <v>29013</v>
      </c>
      <c r="D19" s="8" t="s">
        <v>18</v>
      </c>
      <c r="E19" s="8" t="s">
        <v>18</v>
      </c>
      <c r="F19" s="8" t="s">
        <v>18</v>
      </c>
      <c r="G19" s="8" t="s">
        <v>18</v>
      </c>
      <c r="H19" s="40"/>
      <c r="I19" s="40"/>
      <c r="J19" s="40"/>
      <c r="K19" s="8" t="s">
        <v>18</v>
      </c>
      <c r="L19" s="8" t="s">
        <v>18</v>
      </c>
      <c r="M19" s="8" t="s">
        <v>18</v>
      </c>
      <c r="N19" s="38"/>
      <c r="O19" s="7">
        <v>29013</v>
      </c>
    </row>
    <row r="20" spans="1:16" ht="14.25" thickBot="1" x14ac:dyDescent="0.35">
      <c r="A20" s="14" t="s">
        <v>32</v>
      </c>
      <c r="B20" s="40"/>
      <c r="C20" s="6">
        <v>9134</v>
      </c>
      <c r="D20" s="8" t="s">
        <v>18</v>
      </c>
      <c r="E20" s="8" t="s">
        <v>18</v>
      </c>
      <c r="F20" s="8" t="s">
        <v>18</v>
      </c>
      <c r="G20" s="8" t="s">
        <v>18</v>
      </c>
      <c r="H20" s="40"/>
      <c r="I20" s="40"/>
      <c r="J20" s="40"/>
      <c r="K20" s="8" t="s">
        <v>18</v>
      </c>
      <c r="L20" s="8" t="s">
        <v>18</v>
      </c>
      <c r="M20" s="8" t="s">
        <v>18</v>
      </c>
      <c r="N20" s="38"/>
      <c r="O20" s="7">
        <v>9134</v>
      </c>
    </row>
    <row r="21" spans="1:16" ht="14.25" thickBot="1" x14ac:dyDescent="0.35">
      <c r="A21" s="13" t="s">
        <v>33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</row>
    <row r="22" spans="1:16" ht="14.25" thickBot="1" x14ac:dyDescent="0.35">
      <c r="A22" s="14" t="s">
        <v>34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>
        <v>1937709</v>
      </c>
      <c r="N22" s="4"/>
      <c r="O22" s="7">
        <v>1937709</v>
      </c>
      <c r="P22" s="5">
        <f>O57/O22</f>
        <v>2.188508181569059</v>
      </c>
    </row>
    <row r="23" spans="1:16" ht="14.25" thickBot="1" x14ac:dyDescent="0.35">
      <c r="A23" s="14" t="s">
        <v>35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>
        <v>1966</v>
      </c>
      <c r="N23" s="4"/>
      <c r="O23" s="7">
        <v>1966</v>
      </c>
      <c r="P23" s="5">
        <f>O58/O23</f>
        <v>128.71973550356054</v>
      </c>
    </row>
    <row r="24" spans="1:16" ht="27.75" thickBot="1" x14ac:dyDescent="0.35">
      <c r="A24" s="14" t="s">
        <v>36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>
        <v>278037</v>
      </c>
      <c r="N24" s="4"/>
      <c r="O24" s="7">
        <v>278037</v>
      </c>
      <c r="P24" s="5">
        <f t="shared" ref="P24:P25" si="0">O59/O24</f>
        <v>2.528440459363322E-3</v>
      </c>
    </row>
    <row r="25" spans="1:16" ht="27.75" thickBot="1" x14ac:dyDescent="0.35">
      <c r="A25" s="14" t="s">
        <v>37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>
        <v>482157</v>
      </c>
      <c r="N25" s="4"/>
      <c r="O25" s="7">
        <v>482157</v>
      </c>
      <c r="P25" s="5">
        <f t="shared" si="0"/>
        <v>1.3676458083155487</v>
      </c>
    </row>
    <row r="26" spans="1:16" ht="14.25" thickBot="1" x14ac:dyDescent="0.35">
      <c r="A26" s="14" t="s">
        <v>38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9">
        <v>96989954</v>
      </c>
      <c r="N26" s="4"/>
      <c r="O26" s="7">
        <v>96989954</v>
      </c>
      <c r="P26" s="5">
        <f>O61/O26</f>
        <v>7.1226582909813527E-2</v>
      </c>
    </row>
    <row r="27" spans="1:16" ht="14.25" thickBot="1" x14ac:dyDescent="0.35">
      <c r="A27" s="13" t="s">
        <v>39</v>
      </c>
      <c r="B27" s="8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38"/>
      <c r="O27" s="4" t="s">
        <v>18</v>
      </c>
    </row>
    <row r="28" spans="1:16" ht="14.25" thickBot="1" x14ac:dyDescent="0.35">
      <c r="A28" s="48" t="s">
        <v>123</v>
      </c>
      <c r="B28" s="8"/>
      <c r="C28" s="40"/>
      <c r="D28" s="40"/>
      <c r="E28" s="40"/>
      <c r="F28" s="50">
        <f>B12*0.3</f>
        <v>452.1105</v>
      </c>
      <c r="G28" s="40"/>
      <c r="H28" s="40"/>
      <c r="I28" s="40"/>
      <c r="J28" s="40"/>
      <c r="K28" s="40"/>
      <c r="L28" s="40"/>
      <c r="M28" s="40"/>
      <c r="N28" s="38"/>
      <c r="O28" s="68">
        <f>F28</f>
        <v>452.1105</v>
      </c>
    </row>
    <row r="29" spans="1:16" ht="14.25" thickBot="1" x14ac:dyDescent="0.35">
      <c r="A29" s="14" t="s">
        <v>133</v>
      </c>
      <c r="B29" s="6">
        <v>22768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38"/>
      <c r="O29" s="7">
        <f>B29</f>
        <v>22768</v>
      </c>
    </row>
    <row r="30" spans="1:16" ht="14.25" thickBot="1" x14ac:dyDescent="0.35">
      <c r="A30" s="14" t="s">
        <v>41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38"/>
      <c r="O30" s="4" t="s">
        <v>18</v>
      </c>
    </row>
    <row r="31" spans="1:16" ht="14.25" thickBot="1" x14ac:dyDescent="0.35">
      <c r="A31" s="13" t="s">
        <v>59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38"/>
      <c r="O31" s="3" t="s">
        <v>18</v>
      </c>
    </row>
    <row r="32" spans="1:16" ht="14.25" thickBot="1" x14ac:dyDescent="0.35">
      <c r="A32" s="14" t="s">
        <v>42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38"/>
      <c r="O32" s="4" t="s">
        <v>18</v>
      </c>
    </row>
    <row r="34" spans="1:15" ht="14.25" thickBot="1" x14ac:dyDescent="0.35"/>
    <row r="35" spans="1:15" ht="14.25" thickBot="1" x14ac:dyDescent="0.35">
      <c r="A35" s="15" t="s">
        <v>43</v>
      </c>
      <c r="B35" s="37"/>
      <c r="C35" s="10" t="s">
        <v>18</v>
      </c>
      <c r="D35" s="10" t="s">
        <v>18</v>
      </c>
      <c r="E35" s="10" t="s">
        <v>18</v>
      </c>
      <c r="F35" s="37"/>
      <c r="G35" s="37"/>
      <c r="H35" s="37"/>
      <c r="I35" s="37"/>
      <c r="J35" s="37"/>
      <c r="K35" s="10" t="s">
        <v>18</v>
      </c>
      <c r="L35" s="10" t="s">
        <v>18</v>
      </c>
      <c r="M35" s="37"/>
      <c r="N35" s="43"/>
      <c r="O35" s="43"/>
    </row>
    <row r="36" spans="1:15" ht="41.25" thickBot="1" x14ac:dyDescent="0.35">
      <c r="A36" s="13" t="s">
        <v>3</v>
      </c>
      <c r="B36" s="2" t="s">
        <v>4</v>
      </c>
      <c r="C36" s="2" t="s">
        <v>44</v>
      </c>
      <c r="D36" s="2" t="s">
        <v>45</v>
      </c>
      <c r="E36" s="2" t="s">
        <v>7</v>
      </c>
      <c r="F36" s="2" t="s">
        <v>46</v>
      </c>
      <c r="G36" s="2" t="s">
        <v>47</v>
      </c>
      <c r="H36" s="2" t="s">
        <v>48</v>
      </c>
      <c r="I36" s="2" t="s">
        <v>11</v>
      </c>
      <c r="J36" s="2" t="s">
        <v>12</v>
      </c>
      <c r="K36" s="2" t="s">
        <v>13</v>
      </c>
      <c r="L36" s="3" t="s">
        <v>14</v>
      </c>
      <c r="M36" s="3" t="s">
        <v>49</v>
      </c>
      <c r="N36" s="38"/>
      <c r="O36" s="38"/>
    </row>
    <row r="37" spans="1:15" ht="14.25" thickBot="1" x14ac:dyDescent="0.35">
      <c r="A37" s="13" t="s">
        <v>16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41"/>
      <c r="O37" s="41"/>
    </row>
    <row r="38" spans="1:15" ht="14.25" thickBot="1" x14ac:dyDescent="0.35">
      <c r="A38" s="14" t="s">
        <v>17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41"/>
      <c r="O38" s="41"/>
    </row>
    <row r="39" spans="1:15" ht="14.25" thickBot="1" x14ac:dyDescent="0.35">
      <c r="A39" s="14" t="s">
        <v>19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41"/>
      <c r="O39" s="41"/>
    </row>
    <row r="40" spans="1:15" ht="14.25" thickBot="1" x14ac:dyDescent="0.35">
      <c r="A40" s="14" t="s">
        <v>20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41"/>
      <c r="O40" s="41"/>
    </row>
    <row r="41" spans="1:15" ht="14.25" thickBot="1" x14ac:dyDescent="0.35">
      <c r="A41" s="14" t="s">
        <v>21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41"/>
      <c r="O41" s="41"/>
    </row>
    <row r="42" spans="1:15" ht="14.25" thickBot="1" x14ac:dyDescent="0.35">
      <c r="A42" s="14" t="s">
        <v>22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41"/>
      <c r="O42" s="41"/>
    </row>
    <row r="43" spans="1:15" ht="14.25" thickBot="1" x14ac:dyDescent="0.35">
      <c r="A43" s="14" t="s">
        <v>23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41"/>
      <c r="O43" s="41"/>
    </row>
    <row r="44" spans="1:15" ht="14.25" thickBot="1" x14ac:dyDescent="0.35">
      <c r="A44" s="13" t="s">
        <v>96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41"/>
      <c r="O44" s="41"/>
    </row>
    <row r="45" spans="1:15" ht="14.25" thickBot="1" x14ac:dyDescent="0.35">
      <c r="A45" s="14" t="s">
        <v>125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1"/>
      <c r="O45" s="41"/>
    </row>
    <row r="46" spans="1:15" ht="14.25" thickBot="1" x14ac:dyDescent="0.35">
      <c r="A46" s="14" t="s">
        <v>25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41"/>
      <c r="O46" s="41"/>
    </row>
    <row r="47" spans="1:15" ht="14.25" thickBot="1" x14ac:dyDescent="0.35">
      <c r="A47" s="14" t="s">
        <v>26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41"/>
      <c r="O47" s="41"/>
    </row>
    <row r="48" spans="1:15" ht="14.25" thickBot="1" x14ac:dyDescent="0.35">
      <c r="A48" s="13" t="s">
        <v>135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38"/>
      <c r="O48" s="38"/>
    </row>
    <row r="49" spans="1:18" ht="14.25" thickBot="1" x14ac:dyDescent="0.35">
      <c r="A49" s="14" t="s">
        <v>138</v>
      </c>
      <c r="B49" s="40"/>
      <c r="C49" s="40"/>
      <c r="D49" s="40"/>
      <c r="E49" s="40"/>
      <c r="F49" s="40"/>
      <c r="G49" s="40"/>
      <c r="H49" s="40">
        <f>C4</f>
        <v>3.3</v>
      </c>
      <c r="I49" s="40"/>
      <c r="J49" s="40"/>
      <c r="K49" s="40"/>
      <c r="L49" s="40"/>
      <c r="M49" s="40"/>
      <c r="N49" s="38"/>
      <c r="O49" s="38"/>
    </row>
    <row r="50" spans="1:18" ht="14.25" thickBot="1" x14ac:dyDescent="0.35">
      <c r="A50" s="14" t="s">
        <v>141</v>
      </c>
      <c r="B50" s="72">
        <f>C5</f>
        <v>792.85714285714289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38"/>
      <c r="O50" s="38"/>
    </row>
    <row r="51" spans="1:18" ht="14.25" thickBot="1" x14ac:dyDescent="0.35">
      <c r="A51" s="14" t="s">
        <v>140</v>
      </c>
      <c r="B51" s="45">
        <f>C6*0.75</f>
        <v>1608000</v>
      </c>
      <c r="C51" s="45">
        <f>C6-B51</f>
        <v>536000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38"/>
      <c r="O51" s="38"/>
    </row>
    <row r="52" spans="1:18" ht="14.25" thickBot="1" x14ac:dyDescent="0.35">
      <c r="A52" s="13" t="s">
        <v>50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/>
      <c r="O52" s="38"/>
    </row>
    <row r="53" spans="1:18" ht="14.25" thickBot="1" x14ac:dyDescent="0.35">
      <c r="A53" s="14" t="s">
        <v>51</v>
      </c>
      <c r="B53" s="40"/>
      <c r="C53" s="8" t="s">
        <v>18</v>
      </c>
      <c r="D53" s="8" t="s">
        <v>18</v>
      </c>
      <c r="E53" s="8" t="s">
        <v>18</v>
      </c>
      <c r="F53" s="6">
        <f>(O17+O18)-P53</f>
        <v>6064.4089999999997</v>
      </c>
      <c r="G53" s="6">
        <v>208.977</v>
      </c>
      <c r="H53" s="6">
        <v>2390.36</v>
      </c>
      <c r="I53" s="8" t="s">
        <v>18</v>
      </c>
      <c r="J53" s="8" t="s">
        <v>18</v>
      </c>
      <c r="K53" s="6">
        <v>26.257000000000001</v>
      </c>
      <c r="L53" s="8" t="s">
        <v>18</v>
      </c>
      <c r="M53" s="6">
        <v>6.34</v>
      </c>
      <c r="N53" s="38"/>
      <c r="O53" s="46">
        <f>O17+O18</f>
        <v>8690</v>
      </c>
      <c r="P53" s="7">
        <v>2625.5909999999999</v>
      </c>
      <c r="Q53" s="73">
        <f>F53/O53</f>
        <v>0.69786064441887219</v>
      </c>
      <c r="R53" s="73">
        <f>H53/O53</f>
        <v>0.27507019562715768</v>
      </c>
    </row>
    <row r="54" spans="1:18" ht="14.25" thickBot="1" x14ac:dyDescent="0.35">
      <c r="A54" s="14" t="s">
        <v>52</v>
      </c>
      <c r="B54" s="40"/>
      <c r="C54" s="6">
        <v>5.5170000000000003</v>
      </c>
      <c r="D54" s="8" t="s">
        <v>18</v>
      </c>
      <c r="E54" s="6">
        <v>16.550999999999998</v>
      </c>
      <c r="F54" s="6">
        <f>O19-P54</f>
        <v>28724.491999999998</v>
      </c>
      <c r="G54" s="6">
        <v>64.400000000000006</v>
      </c>
      <c r="H54" s="6">
        <v>16.457999999999998</v>
      </c>
      <c r="I54" s="6">
        <v>62.655000000000001</v>
      </c>
      <c r="J54" s="8" t="s">
        <v>18</v>
      </c>
      <c r="K54" s="6">
        <v>73.881</v>
      </c>
      <c r="L54" s="6">
        <v>49.045999999999999</v>
      </c>
      <c r="M54" s="8" t="s">
        <v>18</v>
      </c>
      <c r="N54" s="38"/>
      <c r="O54" s="46">
        <f>O19</f>
        <v>29013</v>
      </c>
      <c r="P54" s="7">
        <v>288.50799999999998</v>
      </c>
      <c r="Q54" s="73">
        <f t="shared" ref="Q54:Q55" si="1">F54/O54</f>
        <v>0.99005590597318438</v>
      </c>
      <c r="R54" s="73">
        <f t="shared" ref="R54" si="2">H54/O54</f>
        <v>5.672629510908902E-4</v>
      </c>
    </row>
    <row r="55" spans="1:18" ht="14.25" thickBot="1" x14ac:dyDescent="0.35">
      <c r="A55" s="14" t="s">
        <v>53</v>
      </c>
      <c r="B55" s="40"/>
      <c r="C55" s="8" t="s">
        <v>18</v>
      </c>
      <c r="D55" s="8" t="s">
        <v>18</v>
      </c>
      <c r="E55" s="8" t="s">
        <v>18</v>
      </c>
      <c r="F55" s="6">
        <f>O20-P55</f>
        <v>8989.6679999999997</v>
      </c>
      <c r="G55" s="6">
        <v>47.616999999999997</v>
      </c>
      <c r="H55" s="8" t="s">
        <v>18</v>
      </c>
      <c r="I55" s="6">
        <v>26.553999999999998</v>
      </c>
      <c r="J55" s="8" t="s">
        <v>18</v>
      </c>
      <c r="K55" s="6">
        <v>44.182000000000002</v>
      </c>
      <c r="L55" s="6">
        <v>25.98</v>
      </c>
      <c r="M55" s="8" t="s">
        <v>18</v>
      </c>
      <c r="N55" s="38"/>
      <c r="O55" s="46">
        <f>O20</f>
        <v>9134</v>
      </c>
      <c r="P55" s="7">
        <v>144.33199999999999</v>
      </c>
      <c r="Q55" s="73">
        <f t="shared" si="1"/>
        <v>0.98419837968031532</v>
      </c>
      <c r="R55" s="73"/>
    </row>
    <row r="56" spans="1:18" ht="14.25" thickBot="1" x14ac:dyDescent="0.35">
      <c r="A56" s="13" t="s">
        <v>54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/>
      <c r="O56" s="3"/>
    </row>
    <row r="57" spans="1:18" ht="14.25" thickBot="1" x14ac:dyDescent="0.35">
      <c r="A57" s="14" t="s">
        <v>55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9">
        <v>4240692</v>
      </c>
      <c r="N57" s="4"/>
      <c r="O57" s="7">
        <v>4240692</v>
      </c>
    </row>
    <row r="58" spans="1:18" ht="14.25" thickBot="1" x14ac:dyDescent="0.35">
      <c r="A58" s="14" t="s">
        <v>35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9">
        <v>253063</v>
      </c>
      <c r="N58" s="4"/>
      <c r="O58" s="7">
        <v>253063</v>
      </c>
    </row>
    <row r="59" spans="1:18" ht="27.75" thickBot="1" x14ac:dyDescent="0.35">
      <c r="A59" s="14" t="s">
        <v>36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11">
        <v>703</v>
      </c>
      <c r="N59" s="4"/>
      <c r="O59" s="4">
        <v>703</v>
      </c>
    </row>
    <row r="60" spans="1:18" ht="27.75" thickBot="1" x14ac:dyDescent="0.35">
      <c r="A60" s="14" t="s">
        <v>37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9">
        <v>659420</v>
      </c>
      <c r="N60" s="4"/>
      <c r="O60" s="7">
        <v>659420</v>
      </c>
    </row>
    <row r="61" spans="1:18" ht="14.25" thickBot="1" x14ac:dyDescent="0.35">
      <c r="A61" s="14" t="s">
        <v>38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9">
        <v>6908263</v>
      </c>
      <c r="N61" s="4"/>
      <c r="O61" s="7">
        <v>6908263</v>
      </c>
    </row>
    <row r="62" spans="1:18" ht="14.25" thickBot="1" x14ac:dyDescent="0.35">
      <c r="A62" s="14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38"/>
      <c r="O62" s="38"/>
    </row>
    <row r="63" spans="1:18" ht="14.25" thickBot="1" x14ac:dyDescent="0.35">
      <c r="A63" s="13" t="s">
        <v>56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38"/>
      <c r="O63" s="38"/>
    </row>
    <row r="64" spans="1:18" ht="14.25" thickBot="1" x14ac:dyDescent="0.35">
      <c r="A64" s="14" t="s">
        <v>122</v>
      </c>
      <c r="B64" s="8"/>
      <c r="C64" s="40"/>
      <c r="D64" s="40"/>
      <c r="E64" s="40"/>
      <c r="F64" s="45"/>
      <c r="G64" s="44">
        <f>F28</f>
        <v>452.1105</v>
      </c>
      <c r="H64" s="40"/>
      <c r="I64" s="40"/>
      <c r="J64" s="40"/>
      <c r="K64" s="40"/>
      <c r="L64" s="40"/>
      <c r="M64" s="47">
        <f>0.2*G64</f>
        <v>90.4221</v>
      </c>
      <c r="N64" s="38"/>
      <c r="O64" s="38"/>
    </row>
    <row r="65" spans="1:15" ht="14.25" thickBot="1" x14ac:dyDescent="0.35">
      <c r="A65" s="14" t="s">
        <v>57</v>
      </c>
      <c r="B65" s="8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7">
        <f>B29</f>
        <v>22768</v>
      </c>
      <c r="N65" s="38"/>
      <c r="O65" s="38"/>
    </row>
    <row r="66" spans="1:15" ht="14.25" thickBot="1" x14ac:dyDescent="0.35">
      <c r="A66" s="14" t="s">
        <v>41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38"/>
      <c r="O66" s="38"/>
    </row>
    <row r="67" spans="1:15" ht="14.25" thickBot="1" x14ac:dyDescent="0.35">
      <c r="A67" s="13" t="s">
        <v>59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38"/>
      <c r="O67" s="38"/>
    </row>
    <row r="68" spans="1:15" ht="14.25" thickBot="1" x14ac:dyDescent="0.35">
      <c r="A68" s="14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38"/>
      <c r="O68" s="38"/>
    </row>
    <row r="69" spans="1:15" ht="14.25" thickBot="1" x14ac:dyDescent="0.35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4"/>
      <c r="O69" s="4"/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3"/>
  <sheetViews>
    <sheetView workbookViewId="0">
      <selection activeCell="A67" sqref="A67:O72"/>
    </sheetView>
  </sheetViews>
  <sheetFormatPr defaultColWidth="9.140625" defaultRowHeight="13.5" x14ac:dyDescent="0.3"/>
  <cols>
    <col min="1" max="1" width="49.5703125" style="42" customWidth="1"/>
    <col min="2" max="2" width="12.42578125" style="5" bestFit="1" customWidth="1"/>
    <col min="3" max="3" width="11.28515625" style="5" bestFit="1" customWidth="1"/>
    <col min="4" max="16384" width="9.140625" style="5"/>
  </cols>
  <sheetData>
    <row r="1" spans="1:15" ht="14.25" thickBot="1" x14ac:dyDescent="0.35">
      <c r="A1" s="16" t="s">
        <v>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41.25" thickBot="1" x14ac:dyDescent="0.35">
      <c r="A2" s="17" t="s">
        <v>3</v>
      </c>
      <c r="B2" s="18" t="s">
        <v>61</v>
      </c>
      <c r="C2" s="18" t="s">
        <v>5</v>
      </c>
      <c r="D2" s="18" t="s">
        <v>62</v>
      </c>
      <c r="E2" s="18" t="s">
        <v>63</v>
      </c>
      <c r="F2" s="18" t="s">
        <v>64</v>
      </c>
      <c r="G2" s="18" t="s">
        <v>65</v>
      </c>
      <c r="H2" s="18" t="s">
        <v>10</v>
      </c>
      <c r="I2" s="18" t="s">
        <v>11</v>
      </c>
      <c r="J2" s="18" t="s">
        <v>12</v>
      </c>
      <c r="K2" s="18" t="s">
        <v>13</v>
      </c>
      <c r="L2" s="18" t="s">
        <v>66</v>
      </c>
      <c r="M2" s="19" t="s">
        <v>67</v>
      </c>
      <c r="N2" s="19" t="s">
        <v>68</v>
      </c>
      <c r="O2" s="19" t="s">
        <v>2</v>
      </c>
    </row>
    <row r="3" spans="1:15" ht="14.25" thickBot="1" x14ac:dyDescent="0.35">
      <c r="A3" s="20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41"/>
      <c r="N3" s="41"/>
      <c r="O3" s="38"/>
    </row>
    <row r="4" spans="1:15" ht="14.25" thickBot="1" x14ac:dyDescent="0.35">
      <c r="A4" s="21" t="s">
        <v>69</v>
      </c>
      <c r="B4" s="39"/>
      <c r="C4" s="22">
        <f>Sheet4!C4/15</f>
        <v>15.866666666666667</v>
      </c>
      <c r="D4" s="39"/>
      <c r="E4" s="39"/>
      <c r="F4" s="39"/>
      <c r="G4" s="39"/>
      <c r="H4" s="39"/>
      <c r="I4" s="39"/>
      <c r="J4" s="39"/>
      <c r="K4" s="39"/>
      <c r="L4" s="39"/>
      <c r="M4" s="41"/>
      <c r="N4" s="41"/>
      <c r="O4" s="23">
        <v>4752</v>
      </c>
    </row>
    <row r="5" spans="1:15" ht="14.25" thickBot="1" x14ac:dyDescent="0.35">
      <c r="A5" s="21" t="s">
        <v>139</v>
      </c>
      <c r="B5" s="39"/>
      <c r="C5" s="72">
        <f>Sheet4!C5/0.7</f>
        <v>505.71428571428572</v>
      </c>
      <c r="D5" s="39"/>
      <c r="E5" s="39"/>
      <c r="F5" s="39"/>
      <c r="G5" s="39"/>
      <c r="H5" s="39"/>
      <c r="I5" s="39"/>
      <c r="J5" s="39"/>
      <c r="K5" s="39"/>
      <c r="L5" s="39"/>
      <c r="M5" s="41"/>
      <c r="N5" s="41"/>
      <c r="O5" s="19" t="s">
        <v>18</v>
      </c>
    </row>
    <row r="6" spans="1:15" ht="14.25" thickBot="1" x14ac:dyDescent="0.35">
      <c r="A6" s="21" t="s">
        <v>142</v>
      </c>
      <c r="B6" s="39"/>
      <c r="C6" s="44">
        <f>Sheet4!C6*1000000/500</f>
        <v>3640000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1"/>
      <c r="O6" s="19" t="s">
        <v>18</v>
      </c>
    </row>
    <row r="7" spans="1:15" ht="14.25" thickBot="1" x14ac:dyDescent="0.35">
      <c r="A7" s="21" t="s">
        <v>70</v>
      </c>
      <c r="B7" s="39"/>
      <c r="C7" s="40"/>
      <c r="D7" s="39"/>
      <c r="E7" s="39"/>
      <c r="F7" s="39"/>
      <c r="G7" s="39"/>
      <c r="H7" s="39"/>
      <c r="I7" s="39"/>
      <c r="J7" s="39"/>
      <c r="K7" s="39"/>
      <c r="L7" s="39"/>
      <c r="M7" s="41"/>
      <c r="N7" s="41"/>
      <c r="O7" s="19" t="s">
        <v>18</v>
      </c>
    </row>
    <row r="8" spans="1:15" ht="14.25" thickBot="1" x14ac:dyDescent="0.35">
      <c r="A8" s="21" t="s">
        <v>71</v>
      </c>
      <c r="B8" s="39"/>
      <c r="C8" s="22">
        <v>1465196</v>
      </c>
      <c r="D8" s="39"/>
      <c r="E8" s="39"/>
      <c r="F8" s="39"/>
      <c r="G8" s="39"/>
      <c r="H8" s="39"/>
      <c r="I8" s="39"/>
      <c r="J8" s="39"/>
      <c r="K8" s="39"/>
      <c r="L8" s="39"/>
      <c r="M8" s="41"/>
      <c r="N8" s="41"/>
      <c r="O8" s="23">
        <v>1465196</v>
      </c>
    </row>
    <row r="9" spans="1:15" ht="14.25" thickBot="1" x14ac:dyDescent="0.35">
      <c r="A9" s="21" t="s">
        <v>72</v>
      </c>
      <c r="B9" s="39"/>
      <c r="C9" s="22">
        <v>1491362</v>
      </c>
      <c r="D9" s="39"/>
      <c r="E9" s="39"/>
      <c r="F9" s="39"/>
      <c r="G9" s="39"/>
      <c r="H9" s="39"/>
      <c r="I9" s="39"/>
      <c r="J9" s="39"/>
      <c r="K9" s="39"/>
      <c r="L9" s="39"/>
      <c r="M9" s="41"/>
      <c r="N9" s="41"/>
      <c r="O9" s="23">
        <v>1491362</v>
      </c>
    </row>
    <row r="10" spans="1:15" ht="14.25" thickBot="1" x14ac:dyDescent="0.35">
      <c r="A10" s="21" t="s">
        <v>73</v>
      </c>
      <c r="B10" s="39"/>
      <c r="C10" s="22">
        <v>21426364</v>
      </c>
      <c r="D10" s="39"/>
      <c r="E10" s="39"/>
      <c r="F10" s="39"/>
      <c r="G10" s="39"/>
      <c r="H10" s="39"/>
      <c r="I10" s="39"/>
      <c r="J10" s="39"/>
      <c r="K10" s="39"/>
      <c r="L10" s="39"/>
      <c r="M10" s="41"/>
      <c r="N10" s="41"/>
      <c r="O10" s="23">
        <v>21426364</v>
      </c>
    </row>
    <row r="11" spans="1:15" ht="14.25" thickBot="1" x14ac:dyDescent="0.35">
      <c r="A11" s="24" t="s">
        <v>39</v>
      </c>
      <c r="B11" s="39"/>
      <c r="C11" s="40"/>
      <c r="D11" s="39"/>
      <c r="E11" s="39"/>
      <c r="F11" s="39"/>
      <c r="G11" s="39"/>
      <c r="H11" s="39"/>
      <c r="I11" s="39"/>
      <c r="J11" s="39"/>
      <c r="K11" s="39"/>
      <c r="L11" s="39"/>
      <c r="M11" s="41"/>
      <c r="N11" s="41"/>
      <c r="O11" s="19" t="s">
        <v>18</v>
      </c>
    </row>
    <row r="12" spans="1:15" ht="14.25" thickBot="1" x14ac:dyDescent="0.35">
      <c r="A12" s="21" t="s">
        <v>57</v>
      </c>
      <c r="B12" s="39"/>
      <c r="C12" s="22">
        <v>88090</v>
      </c>
      <c r="D12" s="39"/>
      <c r="E12" s="39"/>
      <c r="F12" s="39"/>
      <c r="G12" s="39"/>
      <c r="H12" s="39"/>
      <c r="I12" s="39"/>
      <c r="J12" s="39"/>
      <c r="K12" s="39"/>
      <c r="L12" s="39"/>
      <c r="M12" s="41"/>
      <c r="N12" s="41"/>
      <c r="O12" s="23">
        <v>88090</v>
      </c>
    </row>
    <row r="13" spans="1:15" ht="14.25" thickBot="1" x14ac:dyDescent="0.35">
      <c r="A13" s="21" t="s">
        <v>74</v>
      </c>
      <c r="B13" s="40"/>
      <c r="C13" s="18">
        <v>98</v>
      </c>
      <c r="D13" s="39"/>
      <c r="E13" s="39"/>
      <c r="F13" s="39"/>
      <c r="G13" s="39"/>
      <c r="H13" s="39"/>
      <c r="I13" s="39"/>
      <c r="J13" s="39"/>
      <c r="K13" s="39"/>
      <c r="L13" s="39"/>
      <c r="M13" s="41"/>
      <c r="N13" s="41"/>
      <c r="O13" s="19">
        <v>98</v>
      </c>
    </row>
    <row r="14" spans="1:15" ht="14.25" thickBot="1" x14ac:dyDescent="0.35">
      <c r="A14" s="21" t="s">
        <v>125</v>
      </c>
      <c r="B14" s="22">
        <v>1752</v>
      </c>
      <c r="C14" s="51">
        <v>0</v>
      </c>
      <c r="D14" s="39"/>
      <c r="E14" s="39"/>
      <c r="F14" s="39"/>
      <c r="G14" s="39"/>
      <c r="H14" s="39"/>
      <c r="I14" s="39"/>
      <c r="J14" s="39"/>
      <c r="K14" s="39"/>
      <c r="L14" s="39"/>
      <c r="M14" s="41"/>
      <c r="N14" s="41"/>
      <c r="O14" s="23">
        <v>1752</v>
      </c>
    </row>
    <row r="15" spans="1:15" ht="14.25" thickBot="1" x14ac:dyDescent="0.35">
      <c r="A15" s="24" t="s">
        <v>75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38"/>
      <c r="N15" s="38"/>
      <c r="O15" s="25" t="s">
        <v>18</v>
      </c>
    </row>
    <row r="16" spans="1:15" ht="14.25" thickBot="1" x14ac:dyDescent="0.35">
      <c r="A16" s="21" t="s">
        <v>145</v>
      </c>
      <c r="B16" s="47">
        <v>7818.5810000000001</v>
      </c>
      <c r="C16" s="22">
        <v>2453</v>
      </c>
      <c r="D16" s="40"/>
      <c r="E16" s="40"/>
      <c r="F16" s="40"/>
      <c r="G16" s="40"/>
      <c r="H16" s="40"/>
      <c r="I16" s="40"/>
      <c r="J16" s="40"/>
      <c r="K16" s="40"/>
      <c r="L16" s="40"/>
      <c r="M16" s="38"/>
      <c r="N16" s="38"/>
      <c r="O16" s="23">
        <f>SUM(B16:N16)</f>
        <v>10271.581</v>
      </c>
    </row>
    <row r="17" spans="1:16" ht="14.25" thickBot="1" x14ac:dyDescent="0.35">
      <c r="A17" s="21" t="s">
        <v>76</v>
      </c>
      <c r="B17" s="47"/>
      <c r="C17" s="22">
        <v>1247</v>
      </c>
      <c r="D17" s="40"/>
      <c r="E17" s="40"/>
      <c r="F17" s="40"/>
      <c r="G17" s="40"/>
      <c r="H17" s="40"/>
      <c r="I17" s="40"/>
      <c r="J17" s="40"/>
      <c r="K17" s="40"/>
      <c r="L17" s="40"/>
      <c r="M17" s="38"/>
      <c r="N17" s="38"/>
      <c r="O17" s="23">
        <v>1247</v>
      </c>
    </row>
    <row r="18" spans="1:16" ht="14.25" thickBot="1" x14ac:dyDescent="0.35">
      <c r="A18" s="21" t="s">
        <v>77</v>
      </c>
      <c r="B18" s="47">
        <f>O58-P18</f>
        <v>9157.5999999999985</v>
      </c>
      <c r="C18" s="22">
        <v>33044</v>
      </c>
      <c r="D18" s="40"/>
      <c r="E18" s="40"/>
      <c r="F18" s="40"/>
      <c r="G18" s="40"/>
      <c r="H18" s="40"/>
      <c r="I18" s="40"/>
      <c r="J18" s="40"/>
      <c r="K18" s="40"/>
      <c r="L18" s="40"/>
      <c r="M18" s="38"/>
      <c r="N18" s="38"/>
      <c r="O18" s="46">
        <f>O58</f>
        <v>42201.599999999999</v>
      </c>
      <c r="P18" s="23">
        <v>33044</v>
      </c>
    </row>
    <row r="19" spans="1:16" ht="14.25" thickBot="1" x14ac:dyDescent="0.35">
      <c r="A19" s="21" t="s">
        <v>78</v>
      </c>
      <c r="B19" s="40"/>
      <c r="C19" s="22">
        <v>11962</v>
      </c>
      <c r="D19" s="40"/>
      <c r="E19" s="40"/>
      <c r="F19" s="40"/>
      <c r="G19" s="40"/>
      <c r="H19" s="40"/>
      <c r="I19" s="40"/>
      <c r="J19" s="40"/>
      <c r="K19" s="40"/>
      <c r="L19" s="40"/>
      <c r="M19" s="38"/>
      <c r="N19" s="38"/>
      <c r="O19" s="23">
        <v>11962</v>
      </c>
    </row>
    <row r="20" spans="1:16" ht="14.25" thickBot="1" x14ac:dyDescent="0.35">
      <c r="A20" s="21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19"/>
      <c r="O20" s="19"/>
    </row>
    <row r="21" spans="1:16" ht="14.25" thickBot="1" x14ac:dyDescent="0.35">
      <c r="A21" s="13" t="s">
        <v>54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26"/>
      <c r="N21" s="19"/>
      <c r="O21" s="19"/>
    </row>
    <row r="22" spans="1:16" ht="14.25" thickBot="1" x14ac:dyDescent="0.35">
      <c r="A22" s="14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7">
        <v>2624.201</v>
      </c>
      <c r="N22" s="19"/>
      <c r="O22" s="23">
        <f>M22</f>
        <v>2624.201</v>
      </c>
    </row>
    <row r="23" spans="1:16" ht="14.25" thickBot="1" x14ac:dyDescent="0.35">
      <c r="A23" s="14" t="s">
        <v>35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27">
        <v>12.045999999999999</v>
      </c>
      <c r="N23" s="19"/>
      <c r="O23" s="23">
        <f t="shared" ref="O23:O26" si="0">M23</f>
        <v>12.045999999999999</v>
      </c>
    </row>
    <row r="24" spans="1:16" ht="27.75" thickBot="1" x14ac:dyDescent="0.35">
      <c r="A24" s="14" t="s">
        <v>36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27">
        <v>165.04599999999999</v>
      </c>
      <c r="N24" s="19"/>
      <c r="O24" s="23">
        <f t="shared" si="0"/>
        <v>165.04599999999999</v>
      </c>
    </row>
    <row r="25" spans="1:16" ht="27.75" thickBot="1" x14ac:dyDescent="0.35">
      <c r="A25" s="14" t="s">
        <v>37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27">
        <v>3851.6370000000002</v>
      </c>
      <c r="N25" s="19"/>
      <c r="O25" s="23">
        <f t="shared" si="0"/>
        <v>3851.6370000000002</v>
      </c>
    </row>
    <row r="26" spans="1:16" ht="14.25" thickBot="1" x14ac:dyDescent="0.35">
      <c r="A26" s="14" t="s">
        <v>38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7">
        <v>138631.73000000001</v>
      </c>
      <c r="N26" s="19"/>
      <c r="O26" s="23">
        <f t="shared" si="0"/>
        <v>138631.73000000001</v>
      </c>
    </row>
    <row r="27" spans="1:16" ht="14.25" thickBot="1" x14ac:dyDescent="0.35">
      <c r="A27" s="14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/>
      <c r="N27" s="19"/>
      <c r="O27" s="19"/>
    </row>
    <row r="28" spans="1:16" ht="14.25" thickBot="1" x14ac:dyDescent="0.35">
      <c r="A28" s="24" t="s">
        <v>39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38"/>
      <c r="O28" s="25" t="s">
        <v>18</v>
      </c>
    </row>
    <row r="29" spans="1:16" ht="14.25" thickBot="1" x14ac:dyDescent="0.35">
      <c r="A29" s="21" t="s">
        <v>124</v>
      </c>
      <c r="B29" s="19">
        <v>526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38"/>
      <c r="O29" s="19">
        <v>526</v>
      </c>
    </row>
    <row r="30" spans="1:16" ht="14.25" thickBot="1" x14ac:dyDescent="0.35">
      <c r="A30" s="21" t="s">
        <v>57</v>
      </c>
      <c r="B30" s="40"/>
      <c r="C30" s="22">
        <v>252567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38"/>
      <c r="O30" s="23">
        <v>252567</v>
      </c>
    </row>
    <row r="31" spans="1:16" ht="14.25" thickBot="1" x14ac:dyDescent="0.35">
      <c r="A31" s="21" t="s">
        <v>74</v>
      </c>
      <c r="B31" s="40"/>
      <c r="C31" s="47">
        <f>M70</f>
        <v>6400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38"/>
      <c r="O31" s="19" t="s">
        <v>18</v>
      </c>
    </row>
    <row r="32" spans="1:16" ht="14.25" thickBot="1" x14ac:dyDescent="0.35">
      <c r="A32" s="24" t="s">
        <v>79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38"/>
      <c r="O32" s="25" t="s">
        <v>18</v>
      </c>
    </row>
    <row r="33" spans="1:15" ht="14.25" thickBot="1" x14ac:dyDescent="0.35">
      <c r="A33" s="21" t="s">
        <v>80</v>
      </c>
      <c r="B33" s="18" t="s">
        <v>18</v>
      </c>
      <c r="C33" s="22">
        <v>180000</v>
      </c>
      <c r="D33" s="40"/>
      <c r="E33" s="40"/>
      <c r="F33" s="40"/>
      <c r="G33" s="22">
        <v>18000</v>
      </c>
      <c r="H33" s="18" t="s">
        <v>18</v>
      </c>
      <c r="I33" s="18" t="s">
        <v>18</v>
      </c>
      <c r="J33" s="18" t="s">
        <v>18</v>
      </c>
      <c r="K33" s="18" t="s">
        <v>18</v>
      </c>
      <c r="L33" s="18" t="s">
        <v>18</v>
      </c>
      <c r="M33" s="40"/>
      <c r="N33" s="38"/>
      <c r="O33" s="23">
        <v>198000</v>
      </c>
    </row>
    <row r="34" spans="1:15" ht="14.25" thickBot="1" x14ac:dyDescent="0.35">
      <c r="A34" s="1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38"/>
      <c r="O34" s="38"/>
    </row>
    <row r="37" spans="1:15" ht="14.25" thickBot="1" x14ac:dyDescent="0.35"/>
    <row r="38" spans="1:15" ht="14.25" thickBot="1" x14ac:dyDescent="0.35">
      <c r="A38" s="28" t="s">
        <v>81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43"/>
      <c r="N38" s="29"/>
      <c r="O38" s="29"/>
    </row>
    <row r="39" spans="1:15" ht="41.25" thickBot="1" x14ac:dyDescent="0.35">
      <c r="A39" s="21" t="s">
        <v>3</v>
      </c>
      <c r="B39" s="18" t="s">
        <v>82</v>
      </c>
      <c r="C39" s="18" t="s">
        <v>5</v>
      </c>
      <c r="D39" s="18" t="s">
        <v>62</v>
      </c>
      <c r="E39" s="18" t="s">
        <v>83</v>
      </c>
      <c r="F39" s="18" t="s">
        <v>84</v>
      </c>
      <c r="G39" s="18" t="s">
        <v>65</v>
      </c>
      <c r="H39" s="18" t="s">
        <v>10</v>
      </c>
      <c r="I39" s="18" t="s">
        <v>11</v>
      </c>
      <c r="J39" s="18" t="s">
        <v>12</v>
      </c>
      <c r="K39" s="18" t="s">
        <v>13</v>
      </c>
      <c r="L39" s="18" t="s">
        <v>66</v>
      </c>
      <c r="M39" s="19" t="s">
        <v>85</v>
      </c>
      <c r="N39" s="19" t="s">
        <v>68</v>
      </c>
      <c r="O39" s="19" t="s">
        <v>2</v>
      </c>
    </row>
    <row r="40" spans="1:15" ht="14.25" thickBot="1" x14ac:dyDescent="0.35">
      <c r="A40" s="24" t="s">
        <v>16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41"/>
      <c r="O40" s="41"/>
    </row>
    <row r="41" spans="1:15" ht="14.25" thickBot="1" x14ac:dyDescent="0.35">
      <c r="A41" s="21" t="s">
        <v>17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41"/>
      <c r="O41" s="30" t="s">
        <v>18</v>
      </c>
    </row>
    <row r="42" spans="1:15" ht="14.25" thickBot="1" x14ac:dyDescent="0.35">
      <c r="A42" s="21" t="s">
        <v>19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41"/>
      <c r="O42" s="30" t="s">
        <v>18</v>
      </c>
    </row>
    <row r="43" spans="1:15" ht="14.25" thickBot="1" x14ac:dyDescent="0.35">
      <c r="A43" s="21" t="s">
        <v>20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41"/>
      <c r="O43" s="30" t="s">
        <v>18</v>
      </c>
    </row>
    <row r="44" spans="1:15" ht="14.25" thickBot="1" x14ac:dyDescent="0.35">
      <c r="A44" s="21" t="s">
        <v>21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41"/>
      <c r="O44" s="30" t="s">
        <v>18</v>
      </c>
    </row>
    <row r="45" spans="1:15" ht="14.25" thickBot="1" x14ac:dyDescent="0.35">
      <c r="A45" s="21" t="s">
        <v>71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1"/>
      <c r="O45" s="30" t="s">
        <v>18</v>
      </c>
    </row>
    <row r="46" spans="1:15" ht="14.25" thickBot="1" x14ac:dyDescent="0.35">
      <c r="A46" s="21" t="s">
        <v>72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41"/>
      <c r="O46" s="30" t="s">
        <v>18</v>
      </c>
    </row>
    <row r="47" spans="1:15" ht="14.25" thickBot="1" x14ac:dyDescent="0.35">
      <c r="A47" s="21" t="s">
        <v>73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41"/>
      <c r="O47" s="30"/>
    </row>
    <row r="48" spans="1:15" ht="14.25" thickBot="1" x14ac:dyDescent="0.35">
      <c r="A48" s="24" t="s">
        <v>39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41"/>
      <c r="O48" s="30"/>
    </row>
    <row r="49" spans="1:16" ht="14.25" thickBot="1" x14ac:dyDescent="0.35">
      <c r="A49" s="21" t="s">
        <v>57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41"/>
      <c r="O49" s="30"/>
    </row>
    <row r="50" spans="1:16" ht="14.25" thickBot="1" x14ac:dyDescent="0.35">
      <c r="A50" s="21" t="s">
        <v>74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41"/>
      <c r="O50" s="30" t="s">
        <v>18</v>
      </c>
    </row>
    <row r="51" spans="1:16" ht="14.25" thickBot="1" x14ac:dyDescent="0.35">
      <c r="A51" s="21" t="s">
        <v>125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7"/>
      <c r="O51" s="63" t="s">
        <v>18</v>
      </c>
    </row>
    <row r="52" spans="1:16" ht="14.25" thickBot="1" x14ac:dyDescent="0.35">
      <c r="A52" s="24" t="s">
        <v>135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/>
      <c r="O52" s="25" t="s">
        <v>18</v>
      </c>
    </row>
    <row r="53" spans="1:16" ht="14.25" thickBot="1" x14ac:dyDescent="0.35">
      <c r="A53" s="21" t="s">
        <v>138</v>
      </c>
      <c r="B53" s="40"/>
      <c r="C53" s="40"/>
      <c r="D53" s="40"/>
      <c r="E53" s="40"/>
      <c r="F53" s="40"/>
      <c r="G53" s="40"/>
      <c r="H53" s="47">
        <f>C4</f>
        <v>15.866666666666667</v>
      </c>
      <c r="I53" s="40"/>
      <c r="J53" s="40"/>
      <c r="K53" s="40"/>
      <c r="L53" s="40"/>
      <c r="M53" s="40"/>
      <c r="N53" s="38"/>
      <c r="O53" s="25"/>
    </row>
    <row r="54" spans="1:16" ht="14.25" thickBot="1" x14ac:dyDescent="0.35">
      <c r="A54" s="21" t="s">
        <v>143</v>
      </c>
      <c r="B54" s="72">
        <f>C5</f>
        <v>505.71428571428572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8"/>
      <c r="O54" s="25"/>
    </row>
    <row r="55" spans="1:16" ht="14.25" thickBot="1" x14ac:dyDescent="0.35">
      <c r="A55" s="21" t="s">
        <v>140</v>
      </c>
      <c r="B55" s="45">
        <f>0.75*C6</f>
        <v>2730000</v>
      </c>
      <c r="C55" s="45">
        <f>0.25*C6</f>
        <v>910000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38"/>
      <c r="O55" s="25"/>
    </row>
    <row r="56" spans="1:16" ht="14.25" thickBot="1" x14ac:dyDescent="0.35">
      <c r="A56" s="24" t="s">
        <v>75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8"/>
      <c r="O56" s="25"/>
    </row>
    <row r="57" spans="1:16" ht="14.25" thickBot="1" x14ac:dyDescent="0.35">
      <c r="A57" s="21" t="s">
        <v>144</v>
      </c>
      <c r="B57" s="18" t="s">
        <v>18</v>
      </c>
      <c r="C57" s="18" t="s">
        <v>18</v>
      </c>
      <c r="D57" s="18" t="s">
        <v>18</v>
      </c>
      <c r="E57" s="18" t="s">
        <v>18</v>
      </c>
      <c r="F57" s="22">
        <f>O16+O17-O57</f>
        <v>0</v>
      </c>
      <c r="G57" s="22">
        <v>2506.4760000000001</v>
      </c>
      <c r="H57" s="22">
        <v>8713.4380000000001</v>
      </c>
      <c r="I57" s="18" t="s">
        <v>18</v>
      </c>
      <c r="J57" s="18" t="s">
        <v>18</v>
      </c>
      <c r="K57" s="22">
        <v>298.66699999999997</v>
      </c>
      <c r="L57" s="18" t="s">
        <v>18</v>
      </c>
      <c r="M57" s="18" t="s">
        <v>18</v>
      </c>
      <c r="N57" s="38"/>
      <c r="O57" s="23">
        <v>11518.581</v>
      </c>
    </row>
    <row r="58" spans="1:16" ht="14.25" thickBot="1" x14ac:dyDescent="0.35">
      <c r="A58" s="21" t="s">
        <v>77</v>
      </c>
      <c r="B58" s="18" t="s">
        <v>18</v>
      </c>
      <c r="C58" s="22">
        <v>2278.25</v>
      </c>
      <c r="D58" s="18" t="s">
        <v>18</v>
      </c>
      <c r="E58" s="22">
        <v>13975.65</v>
      </c>
      <c r="F58" s="18"/>
      <c r="G58" s="22">
        <v>7518.7</v>
      </c>
      <c r="H58" s="22">
        <v>3072.2</v>
      </c>
      <c r="I58" s="18" t="s">
        <v>18</v>
      </c>
      <c r="J58" s="18" t="s">
        <v>18</v>
      </c>
      <c r="K58" s="22">
        <v>3622</v>
      </c>
      <c r="L58" s="22">
        <v>11734.8</v>
      </c>
      <c r="M58" s="18" t="s">
        <v>18</v>
      </c>
      <c r="N58" s="38"/>
      <c r="O58" s="23">
        <v>42201.599999999999</v>
      </c>
    </row>
    <row r="59" spans="1:16" ht="14.25" thickBot="1" x14ac:dyDescent="0.35">
      <c r="A59" s="21" t="s">
        <v>78</v>
      </c>
      <c r="B59" s="18" t="s">
        <v>18</v>
      </c>
      <c r="C59" s="18" t="s">
        <v>18</v>
      </c>
      <c r="D59" s="18" t="s">
        <v>18</v>
      </c>
      <c r="E59" s="18" t="s">
        <v>18</v>
      </c>
      <c r="F59" s="22">
        <f>O19-P59</f>
        <v>11342.407999999999</v>
      </c>
      <c r="G59" s="22">
        <v>188.24799999999999</v>
      </c>
      <c r="H59" s="18" t="s">
        <v>18</v>
      </c>
      <c r="I59" s="22">
        <v>189.86099999999999</v>
      </c>
      <c r="J59" s="18" t="s">
        <v>18</v>
      </c>
      <c r="K59" s="22">
        <v>55.875999999999998</v>
      </c>
      <c r="L59" s="22">
        <v>185.607</v>
      </c>
      <c r="M59" s="18" t="s">
        <v>18</v>
      </c>
      <c r="N59" s="38"/>
      <c r="O59" s="46">
        <f>O19</f>
        <v>11962</v>
      </c>
      <c r="P59" s="23">
        <v>619.59199999999998</v>
      </c>
    </row>
    <row r="60" spans="1:16" ht="14.25" thickBot="1" x14ac:dyDescent="0.35">
      <c r="A60" s="13" t="s">
        <v>54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9"/>
      <c r="O60" s="19"/>
    </row>
    <row r="61" spans="1:16" ht="14.25" thickBot="1" x14ac:dyDescent="0.35">
      <c r="A61" s="14" t="s">
        <v>55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31">
        <v>2901.73</v>
      </c>
      <c r="N61" s="19"/>
      <c r="O61" s="23">
        <f>M61</f>
        <v>2901.73</v>
      </c>
      <c r="P61" s="74">
        <f>O61/O22</f>
        <v>1.1057575239091824</v>
      </c>
    </row>
    <row r="62" spans="1:16" ht="14.25" thickBot="1" x14ac:dyDescent="0.35">
      <c r="A62" s="14" t="s">
        <v>35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31">
        <v>5.601</v>
      </c>
      <c r="N62" s="19"/>
      <c r="O62" s="23">
        <f t="shared" ref="O62:O65" si="1">M62</f>
        <v>5.601</v>
      </c>
      <c r="P62" s="74">
        <f t="shared" ref="P62:P65" si="2">O62/O23</f>
        <v>0.46496762410758763</v>
      </c>
    </row>
    <row r="63" spans="1:16" ht="27.75" thickBot="1" x14ac:dyDescent="0.35">
      <c r="A63" s="14" t="s">
        <v>36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31">
        <v>26.140999999999998</v>
      </c>
      <c r="N63" s="19"/>
      <c r="O63" s="23">
        <f t="shared" si="1"/>
        <v>26.140999999999998</v>
      </c>
      <c r="P63" s="74">
        <f t="shared" si="2"/>
        <v>0.15838614689238151</v>
      </c>
    </row>
    <row r="64" spans="1:16" ht="27.75" thickBot="1" x14ac:dyDescent="0.35">
      <c r="A64" s="14" t="s">
        <v>37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31">
        <v>117.726</v>
      </c>
      <c r="N64" s="19"/>
      <c r="O64" s="23">
        <f t="shared" si="1"/>
        <v>117.726</v>
      </c>
      <c r="P64" s="74">
        <f t="shared" si="2"/>
        <v>3.056518566001936E-2</v>
      </c>
    </row>
    <row r="65" spans="1:16" ht="14.25" thickBot="1" x14ac:dyDescent="0.35">
      <c r="A65" s="14" t="s">
        <v>38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31">
        <v>11624.762000000001</v>
      </c>
      <c r="N65" s="19"/>
      <c r="O65" s="23">
        <f t="shared" si="1"/>
        <v>11624.762000000001</v>
      </c>
      <c r="P65" s="74">
        <f t="shared" si="2"/>
        <v>8.3853544927990145E-2</v>
      </c>
    </row>
    <row r="66" spans="1:16" ht="14.25" thickBot="1" x14ac:dyDescent="0.35">
      <c r="A66" s="14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9"/>
      <c r="O66" s="19"/>
    </row>
    <row r="67" spans="1:16" ht="14.25" thickBot="1" x14ac:dyDescent="0.35">
      <c r="A67" s="24" t="s">
        <v>39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38"/>
      <c r="O67" s="25" t="s">
        <v>18</v>
      </c>
    </row>
    <row r="68" spans="1:16" ht="14.25" thickBot="1" x14ac:dyDescent="0.35">
      <c r="A68" s="21" t="s">
        <v>123</v>
      </c>
      <c r="B68" s="40"/>
      <c r="C68" s="40"/>
      <c r="D68" s="40"/>
      <c r="E68" s="40"/>
      <c r="F68" s="40">
        <v>420.8</v>
      </c>
      <c r="G68" s="19"/>
      <c r="H68" s="40"/>
      <c r="I68" s="40"/>
      <c r="J68" s="40"/>
      <c r="K68" s="40"/>
      <c r="L68" s="40"/>
      <c r="M68" s="40">
        <v>105.19999999999999</v>
      </c>
      <c r="N68" s="38"/>
      <c r="O68" s="19">
        <v>526</v>
      </c>
    </row>
    <row r="69" spans="1:16" ht="14.25" thickBot="1" x14ac:dyDescent="0.35">
      <c r="A69" s="21" t="s">
        <v>86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23">
        <v>88089</v>
      </c>
      <c r="N69" s="38"/>
      <c r="O69" s="23">
        <v>88089</v>
      </c>
    </row>
    <row r="70" spans="1:16" ht="14.25" thickBot="1" x14ac:dyDescent="0.35">
      <c r="A70" s="21" t="s">
        <v>134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22">
        <v>6400</v>
      </c>
      <c r="N70" s="38"/>
      <c r="O70" s="23">
        <v>6400</v>
      </c>
    </row>
    <row r="71" spans="1:16" ht="14.25" thickBot="1" x14ac:dyDescent="0.35">
      <c r="A71" s="24" t="s">
        <v>79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38"/>
      <c r="O71" s="25" t="s">
        <v>18</v>
      </c>
    </row>
    <row r="72" spans="1:16" ht="14.25" thickBot="1" x14ac:dyDescent="0.35">
      <c r="A72" s="21" t="s">
        <v>87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38"/>
      <c r="O72" s="19" t="s">
        <v>18</v>
      </c>
    </row>
    <row r="73" spans="1:16" ht="14.25" thickBot="1" x14ac:dyDescent="0.35">
      <c r="A73" s="21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9"/>
      <c r="O73" s="19"/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3"/>
  <sheetViews>
    <sheetView workbookViewId="0">
      <selection activeCell="A17" sqref="A17"/>
    </sheetView>
  </sheetViews>
  <sheetFormatPr defaultColWidth="9.140625" defaultRowHeight="13.5" x14ac:dyDescent="0.3"/>
  <cols>
    <col min="1" max="1" width="42.28515625" style="42" customWidth="1"/>
    <col min="2" max="2" width="9.42578125" style="5" bestFit="1" customWidth="1"/>
    <col min="3" max="3" width="9.5703125" style="5" bestFit="1" customWidth="1"/>
    <col min="4" max="5" width="9.42578125" style="5" bestFit="1" customWidth="1"/>
    <col min="6" max="6" width="10.7109375" style="5" bestFit="1" customWidth="1"/>
    <col min="7" max="8" width="9.7109375" style="5" bestFit="1" customWidth="1"/>
    <col min="9" max="10" width="9.42578125" style="5" bestFit="1" customWidth="1"/>
    <col min="11" max="11" width="9.7109375" style="5" bestFit="1" customWidth="1"/>
    <col min="12" max="12" width="9.42578125" style="5" bestFit="1" customWidth="1"/>
    <col min="13" max="13" width="12.42578125" style="5" bestFit="1" customWidth="1"/>
    <col min="14" max="14" width="9.42578125" style="5" bestFit="1" customWidth="1"/>
    <col min="15" max="15" width="11.28515625" style="5" customWidth="1"/>
    <col min="16" max="16384" width="9.140625" style="5"/>
  </cols>
  <sheetData>
    <row r="1" spans="1:15" ht="14.25" thickBot="1" x14ac:dyDescent="0.3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43"/>
      <c r="O1" s="43"/>
    </row>
    <row r="2" spans="1:15" ht="41.25" thickBot="1" x14ac:dyDescent="0.35">
      <c r="A2" s="24" t="s">
        <v>3</v>
      </c>
      <c r="B2" s="32" t="s">
        <v>4</v>
      </c>
      <c r="C2" s="32" t="s">
        <v>5</v>
      </c>
      <c r="D2" s="32" t="s">
        <v>45</v>
      </c>
      <c r="E2" s="32" t="s">
        <v>7</v>
      </c>
      <c r="F2" s="32" t="s">
        <v>88</v>
      </c>
      <c r="G2" s="32" t="s">
        <v>9</v>
      </c>
      <c r="H2" s="32" t="s">
        <v>10</v>
      </c>
      <c r="I2" s="32" t="s">
        <v>11</v>
      </c>
      <c r="J2" s="32" t="s">
        <v>12</v>
      </c>
      <c r="K2" s="32" t="s">
        <v>89</v>
      </c>
      <c r="L2" s="25" t="s">
        <v>14</v>
      </c>
      <c r="M2" s="25" t="s">
        <v>67</v>
      </c>
      <c r="N2" s="25" t="s">
        <v>68</v>
      </c>
      <c r="O2" s="25" t="s">
        <v>2</v>
      </c>
    </row>
    <row r="3" spans="1:15" ht="14.25" thickBot="1" x14ac:dyDescent="0.35">
      <c r="A3" s="24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39"/>
      <c r="N3" s="41"/>
      <c r="O3" s="38"/>
    </row>
    <row r="4" spans="1:15" ht="14.25" thickBot="1" x14ac:dyDescent="0.35">
      <c r="A4" s="21" t="s">
        <v>90</v>
      </c>
      <c r="B4" s="39"/>
      <c r="C4" s="18">
        <v>33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41"/>
      <c r="O4" s="19">
        <v>33</v>
      </c>
    </row>
    <row r="5" spans="1:15" ht="14.25" thickBot="1" x14ac:dyDescent="0.35">
      <c r="A5" s="21" t="s">
        <v>91</v>
      </c>
      <c r="B5" s="39"/>
      <c r="C5" s="18">
        <v>555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41"/>
      <c r="O5" s="19">
        <v>555</v>
      </c>
    </row>
    <row r="6" spans="1:15" ht="14.25" thickBot="1" x14ac:dyDescent="0.35">
      <c r="A6" s="21" t="s">
        <v>92</v>
      </c>
      <c r="B6" s="39"/>
      <c r="C6" s="22">
        <v>1072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41"/>
      <c r="O6" s="23">
        <v>1072</v>
      </c>
    </row>
    <row r="7" spans="1:15" ht="14.25" thickBot="1" x14ac:dyDescent="0.35">
      <c r="A7" s="21" t="s">
        <v>21</v>
      </c>
      <c r="B7" s="39"/>
      <c r="C7" s="40"/>
      <c r="D7" s="39"/>
      <c r="E7" s="39"/>
      <c r="F7" s="39"/>
      <c r="G7" s="39"/>
      <c r="H7" s="39"/>
      <c r="I7" s="39"/>
      <c r="J7" s="39"/>
      <c r="K7" s="39"/>
      <c r="L7" s="39"/>
      <c r="M7" s="39"/>
      <c r="N7" s="41"/>
      <c r="O7" s="19" t="s">
        <v>18</v>
      </c>
    </row>
    <row r="8" spans="1:15" ht="14.25" thickBot="1" x14ac:dyDescent="0.35">
      <c r="A8" s="21" t="s">
        <v>93</v>
      </c>
      <c r="B8" s="39"/>
      <c r="C8" s="22">
        <v>36296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41"/>
      <c r="O8" s="23">
        <v>36296</v>
      </c>
    </row>
    <row r="9" spans="1:15" ht="14.25" thickBot="1" x14ac:dyDescent="0.35">
      <c r="A9" s="21" t="s">
        <v>94</v>
      </c>
      <c r="B9" s="39"/>
      <c r="C9" s="22">
        <v>78220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41"/>
      <c r="O9" s="23">
        <v>78220</v>
      </c>
    </row>
    <row r="10" spans="1:15" ht="14.25" thickBot="1" x14ac:dyDescent="0.35">
      <c r="A10" s="21" t="s">
        <v>95</v>
      </c>
      <c r="B10" s="39"/>
      <c r="C10" s="22">
        <v>2632371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1"/>
      <c r="O10" s="23">
        <v>2632371</v>
      </c>
    </row>
    <row r="11" spans="1:15" ht="14.25" thickBot="1" x14ac:dyDescent="0.35">
      <c r="A11" s="24" t="s">
        <v>96</v>
      </c>
      <c r="B11" s="39"/>
      <c r="C11" s="40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1"/>
      <c r="O11" s="38"/>
    </row>
    <row r="12" spans="1:15" ht="14.25" thickBot="1" x14ac:dyDescent="0.35">
      <c r="A12" s="21" t="s">
        <v>97</v>
      </c>
      <c r="B12" s="39"/>
      <c r="C12" s="40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1"/>
      <c r="O12" s="38"/>
    </row>
    <row r="13" spans="1:15" ht="14.25" thickBot="1" x14ac:dyDescent="0.35">
      <c r="A13" s="21" t="s">
        <v>25</v>
      </c>
      <c r="B13" s="39"/>
      <c r="C13" s="40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41"/>
      <c r="O13" s="38"/>
    </row>
    <row r="14" spans="1:15" ht="14.25" thickBot="1" x14ac:dyDescent="0.35">
      <c r="A14" s="21" t="s">
        <v>26</v>
      </c>
      <c r="B14" s="39"/>
      <c r="C14" s="40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1"/>
      <c r="O14" s="38"/>
    </row>
    <row r="15" spans="1:15" ht="14.25" thickBot="1" x14ac:dyDescent="0.35">
      <c r="A15" s="21" t="s">
        <v>27</v>
      </c>
      <c r="B15" s="39"/>
      <c r="C15" s="40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1"/>
      <c r="O15" s="38"/>
    </row>
    <row r="16" spans="1:15" ht="14.25" thickBot="1" x14ac:dyDescent="0.35">
      <c r="A16" s="24" t="s">
        <v>75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38"/>
      <c r="O16" s="38"/>
    </row>
    <row r="17" spans="1:17" ht="14.25" thickBot="1" x14ac:dyDescent="0.35">
      <c r="A17" s="21" t="s">
        <v>132</v>
      </c>
      <c r="B17" s="40"/>
      <c r="C17" s="22">
        <v>132677</v>
      </c>
      <c r="D17" s="18" t="s">
        <v>18</v>
      </c>
      <c r="E17" s="18" t="s">
        <v>18</v>
      </c>
      <c r="F17" s="18" t="s">
        <v>18</v>
      </c>
      <c r="G17" s="18" t="s">
        <v>18</v>
      </c>
      <c r="H17" s="40"/>
      <c r="I17" s="40"/>
      <c r="J17" s="40"/>
      <c r="K17" s="18" t="s">
        <v>18</v>
      </c>
      <c r="L17" s="18" t="s">
        <v>18</v>
      </c>
      <c r="M17" s="22">
        <v>1720</v>
      </c>
      <c r="N17" s="38"/>
      <c r="O17" s="67">
        <f>SUM(B17:N17)</f>
        <v>134397</v>
      </c>
    </row>
    <row r="18" spans="1:17" ht="14.25" thickBot="1" x14ac:dyDescent="0.35">
      <c r="A18" s="21" t="s">
        <v>98</v>
      </c>
      <c r="B18" s="40"/>
      <c r="C18" s="22">
        <v>41438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38"/>
      <c r="O18" s="67">
        <f t="shared" ref="O18:O72" si="0">SUM(B18:N18)</f>
        <v>41438</v>
      </c>
    </row>
    <row r="19" spans="1:17" ht="14.25" thickBot="1" x14ac:dyDescent="0.35">
      <c r="A19" s="21" t="s">
        <v>52</v>
      </c>
      <c r="B19" s="47">
        <v>114234</v>
      </c>
      <c r="C19" s="22">
        <f>128916+25228+20130</f>
        <v>174274</v>
      </c>
      <c r="D19" s="18" t="s">
        <v>18</v>
      </c>
      <c r="E19" s="18" t="s">
        <v>18</v>
      </c>
      <c r="F19" s="18" t="s">
        <v>18</v>
      </c>
      <c r="G19" s="18" t="s">
        <v>18</v>
      </c>
      <c r="H19" s="40"/>
      <c r="I19" s="40"/>
      <c r="J19" s="40"/>
      <c r="K19" s="18" t="s">
        <v>18</v>
      </c>
      <c r="L19" s="18" t="s">
        <v>18</v>
      </c>
      <c r="M19" s="18" t="s">
        <v>18</v>
      </c>
      <c r="N19" s="38"/>
      <c r="O19" s="67">
        <f t="shared" si="0"/>
        <v>288508</v>
      </c>
    </row>
    <row r="20" spans="1:17" ht="14.25" thickBot="1" x14ac:dyDescent="0.35">
      <c r="A20" s="21" t="s">
        <v>53</v>
      </c>
      <c r="B20" s="47">
        <v>93123</v>
      </c>
      <c r="C20" s="22">
        <v>51210</v>
      </c>
      <c r="D20" s="18" t="s">
        <v>18</v>
      </c>
      <c r="E20" s="18" t="s">
        <v>18</v>
      </c>
      <c r="F20" s="18" t="s">
        <v>18</v>
      </c>
      <c r="G20" s="18" t="s">
        <v>18</v>
      </c>
      <c r="H20" s="40"/>
      <c r="I20" s="40"/>
      <c r="J20" s="40"/>
      <c r="K20" s="18" t="s">
        <v>18</v>
      </c>
      <c r="L20" s="18" t="s">
        <v>18</v>
      </c>
      <c r="M20" s="18" t="s">
        <v>18</v>
      </c>
      <c r="N20" s="38"/>
      <c r="O20" s="67">
        <f t="shared" si="0"/>
        <v>144333</v>
      </c>
      <c r="P20" s="70">
        <f>SUM(O17:O20)</f>
        <v>608676</v>
      </c>
    </row>
    <row r="21" spans="1:17" ht="14.25" thickBot="1" x14ac:dyDescent="0.35">
      <c r="A21" s="13" t="s">
        <v>54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9"/>
      <c r="O21" s="67">
        <f t="shared" si="0"/>
        <v>0</v>
      </c>
    </row>
    <row r="22" spans="1:17" ht="14.25" thickBot="1" x14ac:dyDescent="0.35">
      <c r="A22" s="14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31">
        <f>14501778/1000</f>
        <v>14501.778</v>
      </c>
      <c r="N22" s="19"/>
      <c r="O22" s="67">
        <f t="shared" si="0"/>
        <v>14501.778</v>
      </c>
      <c r="Q22" s="70">
        <f>O22-O59</f>
        <v>1789.9930000000004</v>
      </c>
    </row>
    <row r="23" spans="1:17" ht="14.25" thickBot="1" x14ac:dyDescent="0.35">
      <c r="A23" s="14" t="s">
        <v>35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31">
        <f>15399/1000</f>
        <v>15.398999999999999</v>
      </c>
      <c r="N23" s="19"/>
      <c r="O23" s="67">
        <f t="shared" si="0"/>
        <v>15.398999999999999</v>
      </c>
    </row>
    <row r="24" spans="1:17" ht="27.75" thickBot="1" x14ac:dyDescent="0.35">
      <c r="A24" s="14" t="s">
        <v>36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31">
        <f>352961/1000</f>
        <v>352.96100000000001</v>
      </c>
      <c r="N24" s="19"/>
      <c r="O24" s="67">
        <f t="shared" si="0"/>
        <v>352.96100000000001</v>
      </c>
    </row>
    <row r="25" spans="1:17" ht="27.75" thickBot="1" x14ac:dyDescent="0.35">
      <c r="A25" s="14" t="s">
        <v>37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31">
        <f>476687/1000</f>
        <v>476.68700000000001</v>
      </c>
      <c r="N25" s="19"/>
      <c r="O25" s="67">
        <f t="shared" si="0"/>
        <v>476.68700000000001</v>
      </c>
    </row>
    <row r="26" spans="1:17" ht="14.25" thickBot="1" x14ac:dyDescent="0.35">
      <c r="A26" s="14" t="s">
        <v>38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31">
        <f>186423731/1000</f>
        <v>186423.731</v>
      </c>
      <c r="N26" s="19"/>
      <c r="O26" s="67">
        <f t="shared" si="0"/>
        <v>186423.731</v>
      </c>
      <c r="P26" s="70">
        <f>SUM(O22:O26)</f>
        <v>201770.55600000001</v>
      </c>
      <c r="Q26" s="5">
        <f>P26/P63</f>
        <v>5.7506151177517646</v>
      </c>
    </row>
    <row r="27" spans="1:17" ht="14.25" thickBot="1" x14ac:dyDescent="0.35">
      <c r="A27" s="24" t="s">
        <v>56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38"/>
      <c r="O27" s="67">
        <f t="shared" si="0"/>
        <v>0</v>
      </c>
    </row>
    <row r="28" spans="1:17" ht="14.25" thickBot="1" x14ac:dyDescent="0.35">
      <c r="A28" s="21" t="s">
        <v>123</v>
      </c>
      <c r="B28" s="40"/>
      <c r="C28" s="40"/>
      <c r="D28" s="40"/>
      <c r="E28" s="40"/>
      <c r="F28" s="51">
        <f>Sheet1!F28*12*255/1000</f>
        <v>1383.4581300000002</v>
      </c>
      <c r="G28" s="40"/>
      <c r="H28" s="40"/>
      <c r="I28" s="40"/>
      <c r="J28" s="40"/>
      <c r="K28" s="40"/>
      <c r="L28" s="40"/>
      <c r="M28" s="40"/>
      <c r="N28" s="38"/>
      <c r="O28" s="67">
        <f t="shared" si="0"/>
        <v>1383.4581300000002</v>
      </c>
    </row>
    <row r="29" spans="1:17" ht="14.25" thickBot="1" x14ac:dyDescent="0.35">
      <c r="A29" s="21" t="s">
        <v>99</v>
      </c>
      <c r="B29" s="72">
        <f>M67</f>
        <v>68.304000000000002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38"/>
      <c r="O29" s="67">
        <f t="shared" si="0"/>
        <v>68.304000000000002</v>
      </c>
    </row>
    <row r="30" spans="1:17" ht="14.25" thickBot="1" x14ac:dyDescent="0.35">
      <c r="A30" s="21" t="s">
        <v>41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38"/>
      <c r="O30" s="67">
        <f t="shared" si="0"/>
        <v>0</v>
      </c>
      <c r="P30" s="70">
        <f>SUM(O28:O30)</f>
        <v>1451.7621300000003</v>
      </c>
    </row>
    <row r="31" spans="1:17" ht="14.25" thickBot="1" x14ac:dyDescent="0.35">
      <c r="A31" s="24" t="s">
        <v>59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38"/>
      <c r="O31" s="67">
        <f t="shared" si="0"/>
        <v>0</v>
      </c>
    </row>
    <row r="32" spans="1:17" ht="14.25" thickBot="1" x14ac:dyDescent="0.35">
      <c r="A32" s="21" t="s">
        <v>129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38"/>
      <c r="O32" s="67">
        <f t="shared" si="0"/>
        <v>0</v>
      </c>
    </row>
    <row r="33" spans="1:18" ht="14.25" thickBot="1" x14ac:dyDescent="0.35">
      <c r="A33" s="53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54"/>
      <c r="O33" s="67">
        <f t="shared" si="0"/>
        <v>0</v>
      </c>
    </row>
    <row r="34" spans="1:18" ht="14.25" thickBot="1" x14ac:dyDescent="0.35">
      <c r="A34" s="55" t="s">
        <v>126</v>
      </c>
      <c r="B34" s="50">
        <f>SUM(B3:B33)</f>
        <v>207425.304</v>
      </c>
      <c r="C34" s="50">
        <f>SUM(C16:C33)</f>
        <v>399599</v>
      </c>
      <c r="D34" s="50">
        <f t="shared" ref="D34:N34" si="1">SUM(D3:D33)</f>
        <v>0</v>
      </c>
      <c r="E34" s="50">
        <f t="shared" si="1"/>
        <v>0</v>
      </c>
      <c r="F34" s="50">
        <f t="shared" si="1"/>
        <v>1383.4581300000002</v>
      </c>
      <c r="G34" s="50">
        <f t="shared" si="1"/>
        <v>0</v>
      </c>
      <c r="H34" s="50">
        <f t="shared" si="1"/>
        <v>0</v>
      </c>
      <c r="I34" s="50">
        <f t="shared" si="1"/>
        <v>0</v>
      </c>
      <c r="J34" s="50">
        <f t="shared" si="1"/>
        <v>0</v>
      </c>
      <c r="K34" s="50">
        <f t="shared" si="1"/>
        <v>0</v>
      </c>
      <c r="L34" s="50">
        <f t="shared" si="1"/>
        <v>0</v>
      </c>
      <c r="M34" s="50">
        <f t="shared" si="1"/>
        <v>203490.55600000001</v>
      </c>
      <c r="N34" s="50">
        <f t="shared" si="1"/>
        <v>0</v>
      </c>
      <c r="O34" s="67">
        <f t="shared" si="0"/>
        <v>811898.31813000003</v>
      </c>
    </row>
    <row r="35" spans="1:18" ht="14.25" thickBot="1" x14ac:dyDescent="0.35">
      <c r="O35" s="67">
        <f t="shared" si="0"/>
        <v>0</v>
      </c>
      <c r="P35" s="67">
        <v>811898.31813000003</v>
      </c>
      <c r="R35" s="5">
        <f>Sheet4!O82/Sheet3!P35</f>
        <v>2.7195992462278404</v>
      </c>
    </row>
    <row r="36" spans="1:18" ht="14.25" thickBot="1" x14ac:dyDescent="0.35">
      <c r="A36" s="28" t="s">
        <v>43</v>
      </c>
      <c r="B36" s="37"/>
      <c r="C36" s="33" t="s">
        <v>18</v>
      </c>
      <c r="D36" s="33" t="s">
        <v>18</v>
      </c>
      <c r="E36" s="33" t="s">
        <v>18</v>
      </c>
      <c r="F36" s="37"/>
      <c r="G36" s="37"/>
      <c r="H36" s="37"/>
      <c r="I36" s="37"/>
      <c r="J36" s="37"/>
      <c r="K36" s="33" t="s">
        <v>18</v>
      </c>
      <c r="L36" s="33" t="s">
        <v>18</v>
      </c>
      <c r="M36" s="37"/>
      <c r="N36" s="43"/>
      <c r="O36" s="67">
        <f t="shared" si="0"/>
        <v>0</v>
      </c>
    </row>
    <row r="37" spans="1:18" ht="41.25" thickBot="1" x14ac:dyDescent="0.35">
      <c r="A37" s="21" t="s">
        <v>3</v>
      </c>
      <c r="B37" s="18" t="s">
        <v>4</v>
      </c>
      <c r="C37" s="18" t="s">
        <v>44</v>
      </c>
      <c r="D37" s="18" t="s">
        <v>45</v>
      </c>
      <c r="E37" s="18" t="s">
        <v>7</v>
      </c>
      <c r="F37" s="18" t="s">
        <v>88</v>
      </c>
      <c r="G37" s="18" t="s">
        <v>100</v>
      </c>
      <c r="H37" s="18" t="s">
        <v>10</v>
      </c>
      <c r="I37" s="18" t="s">
        <v>11</v>
      </c>
      <c r="J37" s="18" t="s">
        <v>12</v>
      </c>
      <c r="K37" s="18" t="s">
        <v>13</v>
      </c>
      <c r="L37" s="19" t="s">
        <v>14</v>
      </c>
      <c r="M37" s="19" t="s">
        <v>49</v>
      </c>
      <c r="N37" s="19" t="s">
        <v>68</v>
      </c>
      <c r="O37" s="67">
        <f t="shared" si="0"/>
        <v>0</v>
      </c>
    </row>
    <row r="38" spans="1:18" ht="14.25" thickBot="1" x14ac:dyDescent="0.35">
      <c r="A38" s="24" t="s">
        <v>101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41"/>
      <c r="O38" s="67">
        <f t="shared" si="0"/>
        <v>0</v>
      </c>
    </row>
    <row r="39" spans="1:18" ht="14.25" thickBot="1" x14ac:dyDescent="0.35">
      <c r="A39" s="21" t="s">
        <v>102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41"/>
      <c r="O39" s="67">
        <f t="shared" si="0"/>
        <v>0</v>
      </c>
    </row>
    <row r="40" spans="1:18" ht="14.25" thickBot="1" x14ac:dyDescent="0.35">
      <c r="A40" s="21" t="s">
        <v>103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41"/>
      <c r="O40" s="67">
        <f t="shared" si="0"/>
        <v>0</v>
      </c>
    </row>
    <row r="41" spans="1:18" ht="14.25" thickBot="1" x14ac:dyDescent="0.35">
      <c r="A41" s="21" t="s">
        <v>104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41"/>
      <c r="O41" s="67">
        <f t="shared" si="0"/>
        <v>0</v>
      </c>
    </row>
    <row r="42" spans="1:18" ht="14.25" thickBot="1" x14ac:dyDescent="0.35">
      <c r="A42" s="21" t="s">
        <v>21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41"/>
      <c r="O42" s="67">
        <f t="shared" si="0"/>
        <v>0</v>
      </c>
    </row>
    <row r="43" spans="1:18" ht="14.25" thickBot="1" x14ac:dyDescent="0.35">
      <c r="A43" s="21" t="s">
        <v>105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41"/>
      <c r="O43" s="67">
        <f t="shared" si="0"/>
        <v>0</v>
      </c>
    </row>
    <row r="44" spans="1:18" ht="14.25" thickBot="1" x14ac:dyDescent="0.35">
      <c r="A44" s="21" t="s">
        <v>106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41"/>
      <c r="O44" s="67">
        <f t="shared" si="0"/>
        <v>0</v>
      </c>
    </row>
    <row r="45" spans="1:18" ht="14.25" thickBot="1" x14ac:dyDescent="0.35">
      <c r="A45" s="21" t="s">
        <v>107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1"/>
      <c r="O45" s="67">
        <f t="shared" si="0"/>
        <v>0</v>
      </c>
    </row>
    <row r="46" spans="1:18" ht="14.25" thickBot="1" x14ac:dyDescent="0.35">
      <c r="A46" s="24" t="s">
        <v>96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41"/>
      <c r="O46" s="67">
        <f t="shared" si="0"/>
        <v>0</v>
      </c>
    </row>
    <row r="47" spans="1:18" ht="14.25" thickBot="1" x14ac:dyDescent="0.35">
      <c r="A47" s="21" t="s">
        <v>97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41"/>
      <c r="O47" s="67">
        <f t="shared" si="0"/>
        <v>0</v>
      </c>
    </row>
    <row r="48" spans="1:18" ht="14.25" thickBot="1" x14ac:dyDescent="0.35">
      <c r="A48" s="21" t="s">
        <v>25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41"/>
      <c r="O48" s="67">
        <f t="shared" si="0"/>
        <v>0</v>
      </c>
    </row>
    <row r="49" spans="1:16" ht="14.25" thickBot="1" x14ac:dyDescent="0.35">
      <c r="A49" s="21" t="s">
        <v>26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41"/>
      <c r="O49" s="67">
        <f t="shared" si="0"/>
        <v>0</v>
      </c>
    </row>
    <row r="50" spans="1:16" ht="14.25" thickBot="1" x14ac:dyDescent="0.35">
      <c r="A50" s="24" t="s">
        <v>135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38"/>
      <c r="O50" s="67">
        <f t="shared" si="0"/>
        <v>0</v>
      </c>
    </row>
    <row r="51" spans="1:16" ht="14.25" thickBot="1" x14ac:dyDescent="0.35">
      <c r="A51" s="21" t="s">
        <v>137</v>
      </c>
      <c r="B51" s="40"/>
      <c r="C51" s="40"/>
      <c r="D51" s="40"/>
      <c r="E51" s="40"/>
      <c r="F51" s="40"/>
      <c r="G51" s="40"/>
      <c r="H51" s="40">
        <f>C4</f>
        <v>33</v>
      </c>
      <c r="I51" s="40"/>
      <c r="J51" s="40"/>
      <c r="K51" s="40"/>
      <c r="L51" s="40"/>
      <c r="M51" s="40"/>
      <c r="N51" s="38"/>
      <c r="O51" s="67">
        <f t="shared" si="0"/>
        <v>33</v>
      </c>
    </row>
    <row r="52" spans="1:16" ht="14.25" thickBot="1" x14ac:dyDescent="0.35">
      <c r="A52" s="24" t="s">
        <v>136</v>
      </c>
      <c r="B52" s="40">
        <f>C5</f>
        <v>555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/>
      <c r="O52" s="67">
        <f t="shared" si="0"/>
        <v>555</v>
      </c>
    </row>
    <row r="53" spans="1:16" ht="14.25" thickBot="1" x14ac:dyDescent="0.35">
      <c r="A53" s="21" t="s">
        <v>20</v>
      </c>
      <c r="B53" s="40">
        <f>0.75*C6</f>
        <v>804</v>
      </c>
      <c r="C53" s="47">
        <f>C6-B53</f>
        <v>268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8"/>
      <c r="O53" s="67">
        <f t="shared" si="0"/>
        <v>1072</v>
      </c>
      <c r="P53" s="70">
        <f>SUM(O51:O53)</f>
        <v>1660</v>
      </c>
    </row>
    <row r="54" spans="1:16" ht="14.25" thickBot="1" x14ac:dyDescent="0.35">
      <c r="A54" s="24" t="s">
        <v>50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8"/>
      <c r="O54" s="67"/>
    </row>
    <row r="55" spans="1:16" ht="14.25" thickBot="1" x14ac:dyDescent="0.35">
      <c r="A55" s="21" t="s">
        <v>51</v>
      </c>
      <c r="B55" s="40"/>
      <c r="C55" s="18" t="s">
        <v>18</v>
      </c>
      <c r="D55" s="18" t="s">
        <v>18</v>
      </c>
      <c r="E55" s="18" t="s">
        <v>18</v>
      </c>
      <c r="F55" s="22">
        <v>61200</v>
      </c>
      <c r="G55" s="22">
        <v>63320</v>
      </c>
      <c r="H55" s="22"/>
      <c r="I55" s="18" t="s">
        <v>18</v>
      </c>
      <c r="J55" s="18" t="s">
        <v>18</v>
      </c>
      <c r="K55" s="22">
        <v>7956</v>
      </c>
      <c r="L55" s="18" t="s">
        <v>18</v>
      </c>
      <c r="M55" s="22">
        <v>1921</v>
      </c>
      <c r="N55" s="38"/>
      <c r="O55" s="67">
        <f t="shared" si="0"/>
        <v>134397</v>
      </c>
    </row>
    <row r="56" spans="1:16" ht="14.25" thickBot="1" x14ac:dyDescent="0.35">
      <c r="A56" s="21" t="s">
        <v>52</v>
      </c>
      <c r="B56" s="40"/>
      <c r="C56" s="22">
        <v>5517</v>
      </c>
      <c r="D56" s="18" t="s">
        <v>18</v>
      </c>
      <c r="E56" s="22">
        <v>16551</v>
      </c>
      <c r="F56" s="18" t="s">
        <v>18</v>
      </c>
      <c r="G56" s="22">
        <v>64400</v>
      </c>
      <c r="H56" s="22">
        <v>16458</v>
      </c>
      <c r="I56" s="22">
        <v>62655</v>
      </c>
      <c r="J56" s="18" t="s">
        <v>18</v>
      </c>
      <c r="K56" s="22">
        <v>73881</v>
      </c>
      <c r="L56" s="22">
        <v>49046</v>
      </c>
      <c r="M56" s="18" t="s">
        <v>18</v>
      </c>
      <c r="N56" s="38"/>
      <c r="O56" s="67">
        <f t="shared" si="0"/>
        <v>288508</v>
      </c>
    </row>
    <row r="57" spans="1:16" ht="14.25" thickBot="1" x14ac:dyDescent="0.35">
      <c r="A57" s="21" t="s">
        <v>53</v>
      </c>
      <c r="B57" s="40"/>
      <c r="C57" s="18" t="s">
        <v>18</v>
      </c>
      <c r="D57" s="18" t="s">
        <v>18</v>
      </c>
      <c r="E57" s="18" t="s">
        <v>18</v>
      </c>
      <c r="F57" s="18" t="s">
        <v>18</v>
      </c>
      <c r="G57" s="22">
        <v>47617</v>
      </c>
      <c r="H57" s="18" t="s">
        <v>18</v>
      </c>
      <c r="I57" s="22">
        <v>26554</v>
      </c>
      <c r="J57" s="18" t="s">
        <v>18</v>
      </c>
      <c r="K57" s="22">
        <v>44182</v>
      </c>
      <c r="L57" s="22">
        <v>25980</v>
      </c>
      <c r="M57" s="18" t="s">
        <v>18</v>
      </c>
      <c r="N57" s="38"/>
      <c r="O57" s="67">
        <f t="shared" si="0"/>
        <v>144333</v>
      </c>
      <c r="P57" s="70">
        <f>SUM(O55:O57)</f>
        <v>567238</v>
      </c>
    </row>
    <row r="58" spans="1:16" ht="14.25" thickBot="1" x14ac:dyDescent="0.35">
      <c r="A58" s="13" t="s">
        <v>54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9"/>
      <c r="O58" s="67">
        <f t="shared" si="0"/>
        <v>0</v>
      </c>
    </row>
    <row r="59" spans="1:16" ht="14.25" thickBot="1" x14ac:dyDescent="0.35">
      <c r="A59" s="14" t="s">
        <v>55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31">
        <f>12711785/1000</f>
        <v>12711.785</v>
      </c>
      <c r="N59" s="19"/>
      <c r="O59" s="67">
        <f t="shared" si="0"/>
        <v>12711.785</v>
      </c>
    </row>
    <row r="60" spans="1:16" ht="14.25" thickBot="1" x14ac:dyDescent="0.35">
      <c r="A60" s="14" t="s">
        <v>35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31">
        <f>153195/1000</f>
        <v>153.19499999999999</v>
      </c>
      <c r="N60" s="19"/>
      <c r="O60" s="67">
        <f t="shared" si="0"/>
        <v>153.19499999999999</v>
      </c>
    </row>
    <row r="61" spans="1:16" ht="27.75" thickBot="1" x14ac:dyDescent="0.35">
      <c r="A61" s="14" t="s">
        <v>36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31">
        <f>26490/1000</f>
        <v>26.49</v>
      </c>
      <c r="N61" s="19"/>
      <c r="O61" s="67">
        <f t="shared" si="0"/>
        <v>26.49</v>
      </c>
    </row>
    <row r="62" spans="1:16" ht="27.75" thickBot="1" x14ac:dyDescent="0.35">
      <c r="A62" s="14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31">
        <f>672905/1000</f>
        <v>672.90499999999997</v>
      </c>
      <c r="N62" s="19"/>
      <c r="O62" s="67">
        <f t="shared" si="0"/>
        <v>672.90499999999997</v>
      </c>
    </row>
    <row r="63" spans="1:16" ht="14.25" thickBot="1" x14ac:dyDescent="0.35">
      <c r="A63" s="14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31">
        <f>21522403/1000</f>
        <v>21522.402999999998</v>
      </c>
      <c r="N63" s="19"/>
      <c r="O63" s="67">
        <f t="shared" si="0"/>
        <v>21522.402999999998</v>
      </c>
      <c r="P63" s="70">
        <f>SUM(O59:O63)</f>
        <v>35086.777999999998</v>
      </c>
    </row>
    <row r="64" spans="1:16" ht="14.25" thickBot="1" x14ac:dyDescent="0.35">
      <c r="A64" s="21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9"/>
      <c r="O64" s="67">
        <f t="shared" si="0"/>
        <v>0</v>
      </c>
    </row>
    <row r="65" spans="1:17" ht="14.25" thickBot="1" x14ac:dyDescent="0.35">
      <c r="A65" s="24" t="s">
        <v>56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38"/>
      <c r="O65" s="67">
        <f t="shared" si="0"/>
        <v>0</v>
      </c>
    </row>
    <row r="66" spans="1:17" ht="14.25" thickBot="1" x14ac:dyDescent="0.35">
      <c r="A66" s="21" t="s">
        <v>40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38"/>
      <c r="O66" s="67">
        <f t="shared" si="0"/>
        <v>0</v>
      </c>
    </row>
    <row r="67" spans="1:17" ht="14.25" thickBot="1" x14ac:dyDescent="0.35">
      <c r="A67" s="21" t="s">
        <v>99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72">
        <f>Sheet1!B29*3000/1000000</f>
        <v>68.304000000000002</v>
      </c>
      <c r="N67" s="38"/>
      <c r="O67" s="67">
        <f>SUM(C67:N67)</f>
        <v>68.304000000000002</v>
      </c>
    </row>
    <row r="68" spans="1:17" ht="14.25" thickBot="1" x14ac:dyDescent="0.35">
      <c r="A68" s="21" t="s">
        <v>41</v>
      </c>
      <c r="B68" s="40"/>
      <c r="C68" s="40"/>
      <c r="D68" s="40"/>
      <c r="E68" s="40"/>
      <c r="F68" s="69">
        <f>0.8*F28</f>
        <v>1106.7665040000002</v>
      </c>
      <c r="G68" s="40"/>
      <c r="H68" s="40"/>
      <c r="I68" s="40"/>
      <c r="J68" s="40"/>
      <c r="K68" s="40"/>
      <c r="L68" s="40"/>
      <c r="M68" s="69">
        <f>0.2*F28</f>
        <v>276.69162600000004</v>
      </c>
      <c r="N68" s="38"/>
      <c r="O68" s="67">
        <f t="shared" si="0"/>
        <v>1383.4581300000002</v>
      </c>
    </row>
    <row r="69" spans="1:17" ht="14.25" thickBot="1" x14ac:dyDescent="0.35">
      <c r="A69" s="52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38"/>
      <c r="O69" s="67">
        <f t="shared" si="0"/>
        <v>0</v>
      </c>
      <c r="P69" s="70">
        <f>SUM(O67:O69)</f>
        <v>1451.7621300000003</v>
      </c>
    </row>
    <row r="70" spans="1:17" ht="14.25" thickBot="1" x14ac:dyDescent="0.35">
      <c r="A70" s="24" t="s">
        <v>59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38"/>
      <c r="O70" s="67">
        <f t="shared" si="0"/>
        <v>0</v>
      </c>
    </row>
    <row r="71" spans="1:17" ht="14.25" thickBot="1" x14ac:dyDescent="0.35">
      <c r="A71" s="21" t="s">
        <v>80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65">
        <f>P35-Q73-1660</f>
        <v>206461.77799999993</v>
      </c>
      <c r="O71" s="67">
        <f t="shared" si="0"/>
        <v>206461.77799999993</v>
      </c>
    </row>
    <row r="72" spans="1:17" ht="14.25" thickBot="1" x14ac:dyDescent="0.35">
      <c r="A72" s="52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38"/>
      <c r="O72" s="67">
        <f t="shared" si="0"/>
        <v>0</v>
      </c>
    </row>
    <row r="73" spans="1:17" ht="14.25" thickBot="1" x14ac:dyDescent="0.35">
      <c r="A73" s="52" t="s">
        <v>127</v>
      </c>
      <c r="B73" s="44">
        <f t="shared" ref="B73:O73" si="2">SUM(B38:B72)</f>
        <v>1359</v>
      </c>
      <c r="C73" s="44">
        <f t="shared" si="2"/>
        <v>5785</v>
      </c>
      <c r="D73" s="44">
        <f t="shared" si="2"/>
        <v>0</v>
      </c>
      <c r="E73" s="44">
        <f t="shared" si="2"/>
        <v>16551</v>
      </c>
      <c r="F73" s="44">
        <f t="shared" si="2"/>
        <v>62306.766503999999</v>
      </c>
      <c r="G73" s="44">
        <f t="shared" si="2"/>
        <v>175337</v>
      </c>
      <c r="H73" s="44">
        <f t="shared" si="2"/>
        <v>16491</v>
      </c>
      <c r="I73" s="44">
        <f t="shared" si="2"/>
        <v>89209</v>
      </c>
      <c r="J73" s="44">
        <f t="shared" si="2"/>
        <v>0</v>
      </c>
      <c r="K73" s="44">
        <f t="shared" si="2"/>
        <v>126019</v>
      </c>
      <c r="L73" s="44">
        <f t="shared" si="2"/>
        <v>75026</v>
      </c>
      <c r="M73" s="44">
        <f t="shared" si="2"/>
        <v>37352.773625999995</v>
      </c>
      <c r="N73" s="44">
        <f t="shared" si="2"/>
        <v>206461.77799999993</v>
      </c>
      <c r="O73" s="44">
        <f t="shared" si="2"/>
        <v>811898.31813000003</v>
      </c>
      <c r="Q73" s="5">
        <v>603776.5401300001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3"/>
  <sheetViews>
    <sheetView workbookViewId="0">
      <selection activeCell="E46" sqref="E46"/>
    </sheetView>
  </sheetViews>
  <sheetFormatPr defaultColWidth="9.140625" defaultRowHeight="13.5" x14ac:dyDescent="0.3"/>
  <cols>
    <col min="1" max="1" width="46.140625" style="42" customWidth="1"/>
    <col min="2" max="2" width="9.42578125" style="5" bestFit="1" customWidth="1"/>
    <col min="3" max="3" width="14.140625" style="5" bestFit="1" customWidth="1"/>
    <col min="4" max="12" width="9.42578125" style="5" bestFit="1" customWidth="1"/>
    <col min="13" max="13" width="16.42578125" style="5" bestFit="1" customWidth="1"/>
    <col min="14" max="14" width="9.42578125" style="5" bestFit="1" customWidth="1"/>
    <col min="15" max="15" width="16.42578125" style="5" bestFit="1" customWidth="1"/>
    <col min="16" max="16384" width="9.140625" style="5"/>
  </cols>
  <sheetData>
    <row r="1" spans="1:16" ht="27.75" thickBot="1" x14ac:dyDescent="0.35">
      <c r="A1" s="12" t="s">
        <v>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1" t="s">
        <v>108</v>
      </c>
      <c r="O1" s="1" t="s">
        <v>2</v>
      </c>
    </row>
    <row r="2" spans="1:16" ht="14.25" thickBot="1" x14ac:dyDescent="0.35">
      <c r="A2" s="14" t="s">
        <v>3</v>
      </c>
      <c r="B2" s="8" t="s">
        <v>109</v>
      </c>
      <c r="C2" s="8" t="s">
        <v>5</v>
      </c>
      <c r="D2" s="8" t="s">
        <v>62</v>
      </c>
      <c r="E2" s="8" t="s">
        <v>63</v>
      </c>
      <c r="F2" s="8" t="s">
        <v>84</v>
      </c>
      <c r="G2" s="8" t="s">
        <v>100</v>
      </c>
      <c r="H2" s="8" t="s">
        <v>10</v>
      </c>
      <c r="I2" s="8" t="s">
        <v>11</v>
      </c>
      <c r="J2" s="8" t="s">
        <v>12</v>
      </c>
      <c r="K2" s="8" t="s">
        <v>89</v>
      </c>
      <c r="L2" s="8" t="s">
        <v>66</v>
      </c>
      <c r="M2" s="4" t="s">
        <v>67</v>
      </c>
      <c r="N2" s="38"/>
      <c r="O2" s="38"/>
    </row>
    <row r="3" spans="1:16" ht="14.25" thickBot="1" x14ac:dyDescent="0.35">
      <c r="A3" s="13" t="s">
        <v>16</v>
      </c>
      <c r="B3" s="56"/>
      <c r="C3" s="40"/>
      <c r="D3" s="56"/>
      <c r="E3" s="56"/>
      <c r="F3" s="56"/>
      <c r="G3" s="56"/>
      <c r="H3" s="56"/>
      <c r="I3" s="56"/>
      <c r="J3" s="56"/>
      <c r="K3" s="56"/>
      <c r="L3" s="56"/>
      <c r="M3" s="57"/>
      <c r="N3" s="57"/>
      <c r="O3" s="38"/>
    </row>
    <row r="4" spans="1:16" ht="14.25" thickBot="1" x14ac:dyDescent="0.35">
      <c r="A4" s="14" t="s">
        <v>110</v>
      </c>
      <c r="B4" s="56"/>
      <c r="C4" s="8">
        <v>238</v>
      </c>
      <c r="D4" s="56"/>
      <c r="E4" s="56"/>
      <c r="F4" s="56"/>
      <c r="G4" s="56"/>
      <c r="H4" s="56"/>
      <c r="I4" s="56"/>
      <c r="J4" s="56"/>
      <c r="K4" s="56"/>
      <c r="L4" s="56"/>
      <c r="M4" s="57"/>
      <c r="N4" s="57"/>
      <c r="O4" s="64">
        <f>SUM(B4:N4)</f>
        <v>238</v>
      </c>
    </row>
    <row r="5" spans="1:16" ht="14.25" thickBot="1" x14ac:dyDescent="0.35">
      <c r="A5" s="14" t="s">
        <v>91</v>
      </c>
      <c r="B5" s="56"/>
      <c r="C5" s="8">
        <v>354</v>
      </c>
      <c r="D5" s="56"/>
      <c r="E5" s="56"/>
      <c r="F5" s="56"/>
      <c r="G5" s="56"/>
      <c r="H5" s="56"/>
      <c r="I5" s="56"/>
      <c r="J5" s="56"/>
      <c r="K5" s="56"/>
      <c r="L5" s="56"/>
      <c r="M5" s="57"/>
      <c r="N5" s="57"/>
      <c r="O5" s="64">
        <f t="shared" ref="O5:O36" si="0">SUM(B5:N5)</f>
        <v>354</v>
      </c>
    </row>
    <row r="6" spans="1:16" ht="14.25" thickBot="1" x14ac:dyDescent="0.35">
      <c r="A6" s="14" t="s">
        <v>92</v>
      </c>
      <c r="B6" s="56"/>
      <c r="C6" s="6">
        <v>1820</v>
      </c>
      <c r="D6" s="56"/>
      <c r="E6" s="56"/>
      <c r="F6" s="56"/>
      <c r="G6" s="56"/>
      <c r="H6" s="56"/>
      <c r="I6" s="56"/>
      <c r="J6" s="56"/>
      <c r="K6" s="56"/>
      <c r="L6" s="56"/>
      <c r="M6" s="57"/>
      <c r="N6" s="57"/>
      <c r="O6" s="64">
        <f t="shared" si="0"/>
        <v>1820</v>
      </c>
      <c r="P6" s="70">
        <f>SUM(O4:O6)</f>
        <v>2412</v>
      </c>
    </row>
    <row r="7" spans="1:16" ht="14.25" thickBot="1" x14ac:dyDescent="0.35">
      <c r="A7" s="14" t="s">
        <v>21</v>
      </c>
      <c r="B7" s="56"/>
      <c r="C7" s="40"/>
      <c r="D7" s="56"/>
      <c r="E7" s="56"/>
      <c r="F7" s="56"/>
      <c r="G7" s="56"/>
      <c r="H7" s="56"/>
      <c r="I7" s="56"/>
      <c r="J7" s="56"/>
      <c r="K7" s="56"/>
      <c r="L7" s="56"/>
      <c r="M7" s="57"/>
      <c r="N7" s="57"/>
      <c r="O7" s="64">
        <f t="shared" si="0"/>
        <v>0</v>
      </c>
    </row>
    <row r="8" spans="1:16" ht="14.25" thickBot="1" x14ac:dyDescent="0.35">
      <c r="A8" s="14" t="s">
        <v>105</v>
      </c>
      <c r="B8" s="56"/>
      <c r="C8" s="6">
        <v>146520</v>
      </c>
      <c r="D8" s="56"/>
      <c r="E8" s="56"/>
      <c r="F8" s="56"/>
      <c r="G8" s="56"/>
      <c r="H8" s="56"/>
      <c r="I8" s="56"/>
      <c r="J8" s="56"/>
      <c r="K8" s="56"/>
      <c r="L8" s="56"/>
      <c r="M8" s="57"/>
      <c r="N8" s="57"/>
      <c r="O8" s="64">
        <f t="shared" si="0"/>
        <v>146520</v>
      </c>
    </row>
    <row r="9" spans="1:16" ht="14.25" thickBot="1" x14ac:dyDescent="0.35">
      <c r="A9" s="14" t="s">
        <v>106</v>
      </c>
      <c r="B9" s="56"/>
      <c r="C9" s="6">
        <v>156593</v>
      </c>
      <c r="D9" s="56"/>
      <c r="E9" s="56"/>
      <c r="F9" s="56"/>
      <c r="G9" s="56"/>
      <c r="H9" s="56"/>
      <c r="I9" s="56"/>
      <c r="J9" s="56"/>
      <c r="K9" s="56"/>
      <c r="L9" s="56"/>
      <c r="M9" s="57"/>
      <c r="N9" s="57"/>
      <c r="O9" s="64">
        <f t="shared" si="0"/>
        <v>156593</v>
      </c>
    </row>
    <row r="10" spans="1:16" ht="14.25" thickBot="1" x14ac:dyDescent="0.35">
      <c r="A10" s="14" t="s">
        <v>107</v>
      </c>
      <c r="B10" s="56"/>
      <c r="C10" s="6">
        <v>2035505</v>
      </c>
      <c r="D10" s="56"/>
      <c r="E10" s="56"/>
      <c r="F10" s="56"/>
      <c r="G10" s="56"/>
      <c r="H10" s="56"/>
      <c r="I10" s="56"/>
      <c r="J10" s="56"/>
      <c r="K10" s="56"/>
      <c r="L10" s="56"/>
      <c r="M10" s="57"/>
      <c r="N10" s="57"/>
      <c r="O10" s="64">
        <f t="shared" si="0"/>
        <v>2035505</v>
      </c>
    </row>
    <row r="11" spans="1:16" s="62" customFormat="1" ht="14.25" thickBot="1" x14ac:dyDescent="0.35">
      <c r="A11" s="13" t="s">
        <v>96</v>
      </c>
      <c r="B11" s="59"/>
      <c r="C11" s="60"/>
      <c r="D11" s="59"/>
      <c r="E11" s="59"/>
      <c r="F11" s="59"/>
      <c r="G11" s="59"/>
      <c r="H11" s="59"/>
      <c r="I11" s="59"/>
      <c r="J11" s="59"/>
      <c r="K11" s="59"/>
      <c r="L11" s="59"/>
      <c r="M11" s="61"/>
      <c r="N11" s="61"/>
      <c r="O11" s="64">
        <f t="shared" si="0"/>
        <v>0</v>
      </c>
    </row>
    <row r="12" spans="1:16" ht="14.25" thickBot="1" x14ac:dyDescent="0.35">
      <c r="A12" s="14" t="s">
        <v>111</v>
      </c>
      <c r="B12" s="40"/>
      <c r="C12" s="8">
        <v>758</v>
      </c>
      <c r="D12" s="56"/>
      <c r="E12" s="56"/>
      <c r="F12" s="56"/>
      <c r="G12" s="56"/>
      <c r="H12" s="56"/>
      <c r="I12" s="56"/>
      <c r="J12" s="56"/>
      <c r="K12" s="56"/>
      <c r="L12" s="56"/>
      <c r="M12" s="57"/>
      <c r="N12" s="57"/>
      <c r="O12" s="64">
        <f t="shared" si="0"/>
        <v>758</v>
      </c>
    </row>
    <row r="13" spans="1:16" ht="14.25" thickBot="1" x14ac:dyDescent="0.35">
      <c r="A13" s="14" t="s">
        <v>112</v>
      </c>
      <c r="B13" s="40"/>
      <c r="C13" s="6">
        <v>3561</v>
      </c>
      <c r="D13" s="56"/>
      <c r="E13" s="56"/>
      <c r="F13" s="56"/>
      <c r="G13" s="56"/>
      <c r="H13" s="56"/>
      <c r="I13" s="56"/>
      <c r="J13" s="56"/>
      <c r="K13" s="56"/>
      <c r="L13" s="56"/>
      <c r="M13" s="57"/>
      <c r="N13" s="57"/>
      <c r="O13" s="64">
        <f t="shared" si="0"/>
        <v>3561</v>
      </c>
    </row>
    <row r="14" spans="1:16" ht="14.25" thickBot="1" x14ac:dyDescent="0.35">
      <c r="A14" s="14" t="s">
        <v>113</v>
      </c>
      <c r="B14" s="40"/>
      <c r="C14" s="6">
        <v>3504</v>
      </c>
      <c r="D14" s="56"/>
      <c r="E14" s="56"/>
      <c r="F14" s="56"/>
      <c r="G14" s="56"/>
      <c r="H14" s="56"/>
      <c r="I14" s="56"/>
      <c r="J14" s="56"/>
      <c r="K14" s="56"/>
      <c r="L14" s="56"/>
      <c r="M14" s="57"/>
      <c r="N14" s="57"/>
      <c r="O14" s="64">
        <f t="shared" si="0"/>
        <v>3504</v>
      </c>
    </row>
    <row r="15" spans="1:16" ht="14.25" thickBot="1" x14ac:dyDescent="0.35">
      <c r="A15" s="14"/>
      <c r="B15" s="40"/>
      <c r="C15" s="40"/>
      <c r="D15" s="56"/>
      <c r="E15" s="56"/>
      <c r="F15" s="56"/>
      <c r="G15" s="56"/>
      <c r="H15" s="56"/>
      <c r="I15" s="56"/>
      <c r="J15" s="56"/>
      <c r="K15" s="56"/>
      <c r="L15" s="56"/>
      <c r="M15" s="57"/>
      <c r="N15" s="57"/>
      <c r="O15" s="64">
        <f t="shared" si="0"/>
        <v>0</v>
      </c>
    </row>
    <row r="16" spans="1:16" ht="14.25" thickBot="1" x14ac:dyDescent="0.35">
      <c r="A16" s="13" t="s">
        <v>75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38"/>
      <c r="N16" s="38"/>
      <c r="O16" s="64">
        <f t="shared" si="0"/>
        <v>0</v>
      </c>
    </row>
    <row r="17" spans="1:17" ht="14.25" thickBot="1" x14ac:dyDescent="0.35">
      <c r="A17" s="14" t="s">
        <v>131</v>
      </c>
      <c r="B17" s="8" t="s">
        <v>18</v>
      </c>
      <c r="C17" s="6">
        <v>361976</v>
      </c>
      <c r="D17" s="8" t="s">
        <v>18</v>
      </c>
      <c r="E17" s="8" t="s">
        <v>18</v>
      </c>
      <c r="F17" s="8" t="s">
        <v>18</v>
      </c>
      <c r="G17" s="8" t="s">
        <v>18</v>
      </c>
      <c r="H17" s="8" t="s">
        <v>18</v>
      </c>
      <c r="I17" s="8" t="s">
        <v>18</v>
      </c>
      <c r="J17" s="8" t="s">
        <v>18</v>
      </c>
      <c r="K17" s="8" t="s">
        <v>18</v>
      </c>
      <c r="L17" s="8" t="s">
        <v>18</v>
      </c>
      <c r="M17" s="4" t="s">
        <v>18</v>
      </c>
      <c r="N17" s="38"/>
      <c r="O17" s="64">
        <f t="shared" si="0"/>
        <v>361976</v>
      </c>
    </row>
    <row r="18" spans="1:17" ht="14.25" thickBot="1" x14ac:dyDescent="0.35">
      <c r="A18" s="14" t="s">
        <v>114</v>
      </c>
      <c r="B18" s="40"/>
      <c r="C18" s="6">
        <v>99291</v>
      </c>
      <c r="D18" s="40"/>
      <c r="E18" s="40"/>
      <c r="F18" s="40"/>
      <c r="G18" s="40"/>
      <c r="H18" s="40"/>
      <c r="I18" s="40"/>
      <c r="J18" s="40"/>
      <c r="K18" s="40"/>
      <c r="L18" s="40"/>
      <c r="M18" s="38"/>
      <c r="N18" s="38"/>
      <c r="O18" s="64">
        <f t="shared" si="0"/>
        <v>99291</v>
      </c>
    </row>
    <row r="19" spans="1:17" ht="14.25" thickBot="1" x14ac:dyDescent="0.35">
      <c r="A19" s="14" t="s">
        <v>115</v>
      </c>
      <c r="B19" s="6">
        <v>176277</v>
      </c>
      <c r="C19" s="6">
        <v>667755</v>
      </c>
      <c r="D19" s="8" t="s">
        <v>18</v>
      </c>
      <c r="E19" s="8" t="s">
        <v>18</v>
      </c>
      <c r="F19" s="8" t="s">
        <v>18</v>
      </c>
      <c r="G19" s="8" t="s">
        <v>18</v>
      </c>
      <c r="H19" s="8" t="s">
        <v>18</v>
      </c>
      <c r="I19" s="8" t="s">
        <v>18</v>
      </c>
      <c r="J19" s="8" t="s">
        <v>18</v>
      </c>
      <c r="K19" s="8" t="s">
        <v>18</v>
      </c>
      <c r="L19" s="8" t="s">
        <v>18</v>
      </c>
      <c r="M19" s="4" t="s">
        <v>18</v>
      </c>
      <c r="N19" s="38"/>
      <c r="O19" s="64">
        <f t="shared" si="0"/>
        <v>844032</v>
      </c>
    </row>
    <row r="20" spans="1:17" ht="14.25" thickBot="1" x14ac:dyDescent="0.35">
      <c r="A20" s="14" t="s">
        <v>116</v>
      </c>
      <c r="B20" s="6">
        <v>430476</v>
      </c>
      <c r="C20" s="6">
        <v>27488</v>
      </c>
      <c r="D20" s="8" t="s">
        <v>18</v>
      </c>
      <c r="E20" s="8" t="s">
        <v>18</v>
      </c>
      <c r="F20" s="8" t="s">
        <v>18</v>
      </c>
      <c r="G20" s="8" t="s">
        <v>18</v>
      </c>
      <c r="H20" s="8" t="s">
        <v>18</v>
      </c>
      <c r="I20" s="8" t="s">
        <v>18</v>
      </c>
      <c r="J20" s="8" t="s">
        <v>18</v>
      </c>
      <c r="K20" s="8" t="s">
        <v>18</v>
      </c>
      <c r="L20" s="8" t="s">
        <v>18</v>
      </c>
      <c r="M20" s="4" t="s">
        <v>18</v>
      </c>
      <c r="N20" s="38"/>
      <c r="O20" s="64">
        <f t="shared" si="0"/>
        <v>457964</v>
      </c>
      <c r="P20" s="70">
        <f>SUM(O17:O20)</f>
        <v>1763263</v>
      </c>
    </row>
    <row r="21" spans="1:17" ht="14.25" thickBot="1" x14ac:dyDescent="0.35">
      <c r="A21" s="14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4"/>
      <c r="N21" s="4"/>
      <c r="O21" s="64">
        <f t="shared" si="0"/>
        <v>0</v>
      </c>
    </row>
    <row r="22" spans="1:17" ht="14.25" thickBot="1" x14ac:dyDescent="0.35">
      <c r="A22" s="13" t="s">
        <v>54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4"/>
      <c r="N22" s="4"/>
      <c r="O22" s="64">
        <f t="shared" si="0"/>
        <v>0</v>
      </c>
    </row>
    <row r="23" spans="1:17" ht="14.25" thickBot="1" x14ac:dyDescent="0.35">
      <c r="A23" s="14" t="s">
        <v>55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34">
        <f>18202503/1000</f>
        <v>18202.503000000001</v>
      </c>
      <c r="N23" s="4"/>
      <c r="O23" s="64">
        <f t="shared" si="0"/>
        <v>18202.503000000001</v>
      </c>
    </row>
    <row r="24" spans="1:17" ht="14.25" thickBot="1" x14ac:dyDescent="0.35">
      <c r="A24" s="14" t="s">
        <v>35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34">
        <f>212008/1000</f>
        <v>212.00800000000001</v>
      </c>
      <c r="N24" s="4"/>
      <c r="O24" s="64">
        <f t="shared" si="0"/>
        <v>212.00800000000001</v>
      </c>
    </row>
    <row r="25" spans="1:17" ht="27.75" thickBot="1" x14ac:dyDescent="0.35">
      <c r="A25" s="14" t="s">
        <v>36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34">
        <f>518636/1000</f>
        <v>518.63599999999997</v>
      </c>
      <c r="N25" s="4"/>
      <c r="O25" s="64">
        <f t="shared" si="0"/>
        <v>518.63599999999997</v>
      </c>
    </row>
    <row r="26" spans="1:17" ht="27.75" thickBot="1" x14ac:dyDescent="0.35">
      <c r="A26" s="14" t="s">
        <v>37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34">
        <f>2728314/1000</f>
        <v>2728.3139999999999</v>
      </c>
      <c r="N26" s="4"/>
      <c r="O26" s="64">
        <f t="shared" si="0"/>
        <v>2728.3139999999999</v>
      </c>
    </row>
    <row r="27" spans="1:17" ht="14.25" thickBot="1" x14ac:dyDescent="0.35">
      <c r="A27" s="14" t="s">
        <v>38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34">
        <f>417774026/1000</f>
        <v>417774.02600000001</v>
      </c>
      <c r="N27" s="4"/>
      <c r="O27" s="64">
        <f t="shared" si="0"/>
        <v>417774.02600000001</v>
      </c>
      <c r="P27" s="70">
        <f>SUM(O23:O27)</f>
        <v>439435.48700000002</v>
      </c>
      <c r="Q27" s="5">
        <f>P27/P71</f>
        <v>2.5330621177436474</v>
      </c>
    </row>
    <row r="28" spans="1:17" ht="14.25" thickBot="1" x14ac:dyDescent="0.35">
      <c r="A28" s="14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4"/>
      <c r="N28" s="4"/>
      <c r="O28" s="64">
        <f t="shared" si="0"/>
        <v>0</v>
      </c>
    </row>
    <row r="29" spans="1:17" ht="14.25" thickBot="1" x14ac:dyDescent="0.35">
      <c r="A29" s="1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4"/>
      <c r="O29" s="64">
        <f t="shared" si="0"/>
        <v>0</v>
      </c>
    </row>
    <row r="30" spans="1:17" ht="14.25" thickBot="1" x14ac:dyDescent="0.35">
      <c r="A30" s="13" t="s">
        <v>39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38"/>
      <c r="O30" s="64">
        <f t="shared" si="0"/>
        <v>0</v>
      </c>
    </row>
    <row r="31" spans="1:17" ht="14.25" thickBot="1" x14ac:dyDescent="0.35">
      <c r="A31" s="14" t="s">
        <v>40</v>
      </c>
      <c r="B31" s="44">
        <f>F74+M74</f>
        <v>2630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38"/>
      <c r="O31" s="64">
        <f t="shared" si="0"/>
        <v>2630</v>
      </c>
    </row>
    <row r="32" spans="1:17" ht="14.25" thickBot="1" x14ac:dyDescent="0.35">
      <c r="A32" s="14" t="s">
        <v>111</v>
      </c>
      <c r="B32" s="45">
        <f>M75</f>
        <v>758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38"/>
      <c r="O32" s="64">
        <f t="shared" si="0"/>
        <v>758</v>
      </c>
    </row>
    <row r="33" spans="1:18" ht="14.25" thickBot="1" x14ac:dyDescent="0.35">
      <c r="A33" s="14" t="s">
        <v>41</v>
      </c>
      <c r="B33" s="40"/>
      <c r="C33" s="40"/>
      <c r="D33" s="40"/>
      <c r="E33" s="40"/>
      <c r="F33" s="40"/>
      <c r="G33" s="47">
        <f>M77</f>
        <v>927.30899999999997</v>
      </c>
      <c r="H33" s="40"/>
      <c r="I33" s="40"/>
      <c r="J33" s="40"/>
      <c r="K33" s="40"/>
      <c r="L33" s="40"/>
      <c r="M33" s="40"/>
      <c r="N33" s="38"/>
      <c r="O33" s="64">
        <f t="shared" si="0"/>
        <v>927.30899999999997</v>
      </c>
    </row>
    <row r="34" spans="1:18" ht="14.25" thickBot="1" x14ac:dyDescent="0.35">
      <c r="A34" s="13" t="s">
        <v>79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38"/>
      <c r="O34" s="64">
        <f t="shared" si="0"/>
        <v>0</v>
      </c>
    </row>
    <row r="35" spans="1:18" ht="14.25" thickBot="1" x14ac:dyDescent="0.35">
      <c r="A35" s="14" t="s">
        <v>117</v>
      </c>
      <c r="B35" s="40"/>
      <c r="C35" s="6">
        <v>1620</v>
      </c>
      <c r="D35" s="40"/>
      <c r="E35" s="40"/>
      <c r="F35" s="40"/>
      <c r="G35" s="8">
        <v>162</v>
      </c>
      <c r="H35" s="40"/>
      <c r="I35" s="40"/>
      <c r="J35" s="40"/>
      <c r="K35" s="40"/>
      <c r="L35" s="40"/>
      <c r="M35" s="40"/>
      <c r="N35" s="66"/>
      <c r="O35" s="64">
        <f t="shared" si="0"/>
        <v>1782</v>
      </c>
      <c r="P35" s="70">
        <f>SUM(O31:O35)</f>
        <v>6097.3090000000002</v>
      </c>
    </row>
    <row r="36" spans="1:18" ht="14.25" thickBot="1" x14ac:dyDescent="0.35">
      <c r="A36" s="14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38"/>
      <c r="O36" s="64">
        <f t="shared" si="0"/>
        <v>0</v>
      </c>
    </row>
    <row r="37" spans="1:18" ht="14.25" thickBot="1" x14ac:dyDescent="0.35">
      <c r="A37" s="14" t="s">
        <v>128</v>
      </c>
      <c r="B37" s="44">
        <f t="shared" ref="B37:O37" si="1">SUM(B15:B36)</f>
        <v>610141</v>
      </c>
      <c r="C37" s="44">
        <f t="shared" si="1"/>
        <v>1158130</v>
      </c>
      <c r="D37" s="44">
        <f t="shared" si="1"/>
        <v>0</v>
      </c>
      <c r="E37" s="44">
        <f t="shared" si="1"/>
        <v>0</v>
      </c>
      <c r="F37" s="44">
        <f t="shared" si="1"/>
        <v>0</v>
      </c>
      <c r="G37" s="44">
        <f t="shared" si="1"/>
        <v>1089.309</v>
      </c>
      <c r="H37" s="44">
        <f t="shared" si="1"/>
        <v>0</v>
      </c>
      <c r="I37" s="44">
        <f t="shared" si="1"/>
        <v>0</v>
      </c>
      <c r="J37" s="44">
        <f t="shared" si="1"/>
        <v>0</v>
      </c>
      <c r="K37" s="44">
        <f t="shared" si="1"/>
        <v>0</v>
      </c>
      <c r="L37" s="44">
        <f t="shared" si="1"/>
        <v>0</v>
      </c>
      <c r="M37" s="44">
        <f t="shared" si="1"/>
        <v>439435.48700000002</v>
      </c>
      <c r="N37" s="44">
        <f t="shared" si="1"/>
        <v>0</v>
      </c>
      <c r="O37" s="44">
        <f t="shared" si="1"/>
        <v>2208795.7959999996</v>
      </c>
      <c r="Q37" s="5">
        <v>2208037.7959999996</v>
      </c>
      <c r="R37" s="5">
        <f>Q37/Sheet3!P35</f>
        <v>2.7195989284540576</v>
      </c>
    </row>
    <row r="41" spans="1:18" ht="14.25" thickBot="1" x14ac:dyDescent="0.35"/>
    <row r="42" spans="1:18" ht="41.25" thickBot="1" x14ac:dyDescent="0.35">
      <c r="A42" s="15" t="s">
        <v>118</v>
      </c>
      <c r="B42" s="10" t="s">
        <v>109</v>
      </c>
      <c r="C42" s="10" t="s">
        <v>5</v>
      </c>
      <c r="D42" s="10" t="s">
        <v>62</v>
      </c>
      <c r="E42" s="10" t="s">
        <v>83</v>
      </c>
      <c r="F42" s="10" t="s">
        <v>64</v>
      </c>
      <c r="G42" s="10" t="s">
        <v>65</v>
      </c>
      <c r="H42" s="10" t="s">
        <v>10</v>
      </c>
      <c r="I42" s="10" t="s">
        <v>11</v>
      </c>
      <c r="J42" s="10" t="s">
        <v>12</v>
      </c>
      <c r="K42" s="10" t="s">
        <v>13</v>
      </c>
      <c r="L42" s="10" t="s">
        <v>66</v>
      </c>
      <c r="M42" s="35" t="s">
        <v>85</v>
      </c>
      <c r="N42" s="35" t="s">
        <v>68</v>
      </c>
      <c r="O42" s="35" t="s">
        <v>2</v>
      </c>
    </row>
    <row r="43" spans="1:18" ht="14.25" thickBot="1" x14ac:dyDescent="0.35">
      <c r="A43" s="13" t="s">
        <v>119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7"/>
      <c r="N43" s="57"/>
      <c r="O43" s="57"/>
    </row>
    <row r="44" spans="1:18" ht="14.25" thickBot="1" x14ac:dyDescent="0.35">
      <c r="A44" s="14" t="s">
        <v>102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7"/>
      <c r="O44" s="58" t="s">
        <v>18</v>
      </c>
    </row>
    <row r="45" spans="1:18" ht="14.25" thickBot="1" x14ac:dyDescent="0.35">
      <c r="A45" s="14" t="s">
        <v>103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7"/>
      <c r="O45" s="58" t="s">
        <v>18</v>
      </c>
    </row>
    <row r="46" spans="1:18" ht="14.25" thickBot="1" x14ac:dyDescent="0.35">
      <c r="A46" s="14" t="s">
        <v>104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7"/>
      <c r="O46" s="58" t="s">
        <v>18</v>
      </c>
    </row>
    <row r="47" spans="1:18" ht="14.25" thickBot="1" x14ac:dyDescent="0.35">
      <c r="A47" s="14" t="s">
        <v>21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7"/>
      <c r="O47" s="58" t="s">
        <v>18</v>
      </c>
    </row>
    <row r="48" spans="1:18" ht="14.25" thickBot="1" x14ac:dyDescent="0.35">
      <c r="A48" s="14" t="s">
        <v>105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7"/>
      <c r="O48" s="58" t="s">
        <v>18</v>
      </c>
    </row>
    <row r="49" spans="1:16" ht="14.25" thickBot="1" x14ac:dyDescent="0.35">
      <c r="A49" s="14" t="s">
        <v>106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7"/>
      <c r="O49" s="58" t="s">
        <v>18</v>
      </c>
    </row>
    <row r="50" spans="1:16" ht="14.25" thickBot="1" x14ac:dyDescent="0.35">
      <c r="A50" s="14" t="s">
        <v>107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7"/>
      <c r="O50" s="58" t="s">
        <v>18</v>
      </c>
    </row>
    <row r="51" spans="1:16" ht="14.25" thickBot="1" x14ac:dyDescent="0.35">
      <c r="A51" s="13" t="s">
        <v>96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7"/>
      <c r="O51" s="58" t="s">
        <v>18</v>
      </c>
    </row>
    <row r="52" spans="1:16" ht="14.25" thickBot="1" x14ac:dyDescent="0.35">
      <c r="A52" s="14" t="s">
        <v>111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7"/>
      <c r="O52" s="58"/>
    </row>
    <row r="53" spans="1:16" ht="14.25" thickBot="1" x14ac:dyDescent="0.35">
      <c r="A53" s="14" t="s">
        <v>112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7"/>
      <c r="O53" s="58"/>
    </row>
    <row r="54" spans="1:16" ht="14.25" thickBot="1" x14ac:dyDescent="0.35">
      <c r="A54" s="14" t="s">
        <v>113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7"/>
      <c r="O54" s="58"/>
    </row>
    <row r="55" spans="1:16" ht="14.25" thickBot="1" x14ac:dyDescent="0.35">
      <c r="A55" s="14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7"/>
      <c r="O55" s="58"/>
    </row>
    <row r="56" spans="1:16" ht="14.25" thickBot="1" x14ac:dyDescent="0.35">
      <c r="A56" s="14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7"/>
      <c r="O56" s="58"/>
    </row>
    <row r="57" spans="1:16" ht="14.25" thickBot="1" x14ac:dyDescent="0.35">
      <c r="A57" s="13" t="s">
        <v>135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8"/>
      <c r="O57" s="64">
        <f>SUM(B57:N57)</f>
        <v>0</v>
      </c>
    </row>
    <row r="58" spans="1:16" ht="14.25" thickBot="1" x14ac:dyDescent="0.35">
      <c r="A58" s="14" t="s">
        <v>137</v>
      </c>
      <c r="B58" s="40"/>
      <c r="C58" s="40"/>
      <c r="D58" s="40"/>
      <c r="E58" s="40"/>
      <c r="F58" s="40"/>
      <c r="G58" s="40"/>
      <c r="H58" s="40">
        <f>C4</f>
        <v>238</v>
      </c>
      <c r="I58" s="40"/>
      <c r="J58" s="40"/>
      <c r="K58" s="40"/>
      <c r="L58" s="40"/>
      <c r="M58" s="40"/>
      <c r="N58" s="38"/>
      <c r="O58" s="64">
        <f t="shared" ref="O58:O61" si="2">SUM(B58:N58)</f>
        <v>238</v>
      </c>
    </row>
    <row r="59" spans="1:16" ht="14.25" thickBot="1" x14ac:dyDescent="0.35">
      <c r="A59" s="14" t="s">
        <v>136</v>
      </c>
      <c r="B59" s="40">
        <f>C5</f>
        <v>354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38"/>
      <c r="O59" s="64">
        <f t="shared" si="2"/>
        <v>354</v>
      </c>
    </row>
    <row r="60" spans="1:16" ht="14.25" thickBot="1" x14ac:dyDescent="0.35">
      <c r="A60" s="13" t="s">
        <v>20</v>
      </c>
      <c r="B60" s="40">
        <f>0.75*C6</f>
        <v>1365</v>
      </c>
      <c r="C60" s="47">
        <f>C6-B60</f>
        <v>455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38"/>
      <c r="O60" s="64">
        <f t="shared" si="2"/>
        <v>1820</v>
      </c>
      <c r="P60" s="70">
        <f>SUM(O58:O60)</f>
        <v>2412</v>
      </c>
    </row>
    <row r="61" spans="1:16" ht="14.25" thickBot="1" x14ac:dyDescent="0.35">
      <c r="A61" s="13" t="s">
        <v>75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38"/>
      <c r="O61" s="64">
        <f t="shared" si="2"/>
        <v>0</v>
      </c>
    </row>
    <row r="62" spans="1:16" ht="14.25" thickBot="1" x14ac:dyDescent="0.35">
      <c r="A62" s="14" t="s">
        <v>51</v>
      </c>
      <c r="B62" s="8" t="s">
        <v>18</v>
      </c>
      <c r="C62" s="8" t="s">
        <v>18</v>
      </c>
      <c r="D62" s="8" t="s">
        <v>18</v>
      </c>
      <c r="E62" s="8" t="s">
        <v>18</v>
      </c>
      <c r="F62" s="6">
        <v>67436</v>
      </c>
      <c r="G62" s="6">
        <v>263180</v>
      </c>
      <c r="H62" s="6" t="s">
        <v>18</v>
      </c>
      <c r="I62" s="8" t="s">
        <v>18</v>
      </c>
      <c r="J62" s="8" t="s">
        <v>18</v>
      </c>
      <c r="K62" s="6">
        <v>31360</v>
      </c>
      <c r="L62" s="8" t="s">
        <v>18</v>
      </c>
      <c r="M62" s="8" t="s">
        <v>18</v>
      </c>
      <c r="N62" s="38"/>
      <c r="O62" s="64">
        <f t="shared" ref="O62:O81" si="3">SUM(B62:N62)</f>
        <v>361976</v>
      </c>
    </row>
    <row r="63" spans="1:16" ht="14.25" thickBot="1" x14ac:dyDescent="0.35">
      <c r="A63" s="14" t="s">
        <v>52</v>
      </c>
      <c r="B63" s="8" t="s">
        <v>18</v>
      </c>
      <c r="C63" s="6">
        <v>45565</v>
      </c>
      <c r="D63" s="8" t="s">
        <v>18</v>
      </c>
      <c r="E63" s="6">
        <v>279513</v>
      </c>
      <c r="F63" s="8" t="s">
        <v>18</v>
      </c>
      <c r="G63" s="6">
        <v>150374</v>
      </c>
      <c r="H63" s="6">
        <v>61444</v>
      </c>
      <c r="I63" s="8" t="s">
        <v>18</v>
      </c>
      <c r="J63" s="8" t="s">
        <v>18</v>
      </c>
      <c r="K63" s="6">
        <v>72440</v>
      </c>
      <c r="L63" s="6">
        <v>234696</v>
      </c>
      <c r="M63" s="8" t="s">
        <v>18</v>
      </c>
      <c r="N63" s="38"/>
      <c r="O63" s="64">
        <f t="shared" si="3"/>
        <v>844032</v>
      </c>
    </row>
    <row r="64" spans="1:16" ht="14.25" thickBot="1" x14ac:dyDescent="0.35">
      <c r="A64" s="14" t="s">
        <v>53</v>
      </c>
      <c r="B64" s="8" t="s">
        <v>18</v>
      </c>
      <c r="C64" s="8" t="s">
        <v>18</v>
      </c>
      <c r="D64" s="8" t="s">
        <v>18</v>
      </c>
      <c r="E64" s="8" t="s">
        <v>18</v>
      </c>
      <c r="F64" s="8" t="s">
        <v>18</v>
      </c>
      <c r="G64" s="6">
        <v>139123</v>
      </c>
      <c r="H64" s="8" t="s">
        <v>18</v>
      </c>
      <c r="I64" s="6">
        <v>140315</v>
      </c>
      <c r="J64" s="8" t="s">
        <v>18</v>
      </c>
      <c r="K64" s="6">
        <v>41295</v>
      </c>
      <c r="L64" s="6">
        <v>137171</v>
      </c>
      <c r="M64" s="8" t="s">
        <v>18</v>
      </c>
      <c r="N64" s="38"/>
      <c r="O64" s="64">
        <f t="shared" si="3"/>
        <v>457904</v>
      </c>
      <c r="P64" s="70">
        <f>SUM(O62:O64)</f>
        <v>1663912</v>
      </c>
    </row>
    <row r="65" spans="1:17" ht="14.25" thickBot="1" x14ac:dyDescent="0.35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4"/>
      <c r="O65" s="64">
        <f t="shared" si="3"/>
        <v>0</v>
      </c>
    </row>
    <row r="66" spans="1:17" ht="14.25" thickBot="1" x14ac:dyDescent="0.35">
      <c r="A66" s="13" t="s">
        <v>54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4"/>
      <c r="O66" s="64">
        <f t="shared" si="3"/>
        <v>0</v>
      </c>
    </row>
    <row r="67" spans="1:17" ht="14.25" thickBot="1" x14ac:dyDescent="0.35">
      <c r="A67" s="14" t="s">
        <v>55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9">
        <f>108962149/1000</f>
        <v>108962.149</v>
      </c>
      <c r="N67" s="4"/>
      <c r="O67" s="64">
        <f t="shared" si="3"/>
        <v>108962.149</v>
      </c>
    </row>
    <row r="68" spans="1:17" ht="14.25" thickBot="1" x14ac:dyDescent="0.35">
      <c r="A68" s="14" t="s">
        <v>35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9">
        <f>4773/1000</f>
        <v>4.7729999999999997</v>
      </c>
      <c r="N68" s="4"/>
      <c r="O68" s="64">
        <f t="shared" si="3"/>
        <v>4.7729999999999997</v>
      </c>
    </row>
    <row r="69" spans="1:17" ht="27.75" thickBot="1" x14ac:dyDescent="0.35">
      <c r="A69" s="14" t="s">
        <v>36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9">
        <f>761932/1000</f>
        <v>761.93200000000002</v>
      </c>
      <c r="N69" s="4"/>
      <c r="O69" s="64">
        <f t="shared" si="3"/>
        <v>761.93200000000002</v>
      </c>
    </row>
    <row r="70" spans="1:17" ht="27.75" thickBot="1" x14ac:dyDescent="0.35">
      <c r="A70" s="14" t="s">
        <v>37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9">
        <f>111148/1000</f>
        <v>111.148</v>
      </c>
      <c r="N70" s="4"/>
      <c r="O70" s="64">
        <f t="shared" si="3"/>
        <v>111.148</v>
      </c>
    </row>
    <row r="71" spans="1:17" ht="14.25" thickBot="1" x14ac:dyDescent="0.35">
      <c r="A71" s="14" t="s">
        <v>38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9">
        <f>63639947/1000</f>
        <v>63639.947</v>
      </c>
      <c r="N71" s="4"/>
      <c r="O71" s="64">
        <f t="shared" si="3"/>
        <v>63639.947</v>
      </c>
      <c r="P71" s="70">
        <f>SUM(O67:O71)</f>
        <v>173479.94900000002</v>
      </c>
    </row>
    <row r="72" spans="1:17" ht="14.25" thickBot="1" x14ac:dyDescent="0.35">
      <c r="A72" s="14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38"/>
      <c r="O72" s="64">
        <f t="shared" si="3"/>
        <v>0</v>
      </c>
    </row>
    <row r="73" spans="1:17" ht="14.25" thickBot="1" x14ac:dyDescent="0.35">
      <c r="A73" s="13" t="s">
        <v>39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38"/>
      <c r="O73" s="64">
        <f t="shared" si="3"/>
        <v>0</v>
      </c>
    </row>
    <row r="74" spans="1:17" ht="14.25" thickBot="1" x14ac:dyDescent="0.35">
      <c r="A74" s="14" t="s">
        <v>120</v>
      </c>
      <c r="B74" s="44"/>
      <c r="C74" s="44"/>
      <c r="D74" s="44"/>
      <c r="E74" s="44"/>
      <c r="F74" s="44">
        <f>Sheet2!B29*5*0.8</f>
        <v>2104</v>
      </c>
      <c r="G74" s="44"/>
      <c r="H74" s="44"/>
      <c r="I74" s="44"/>
      <c r="J74" s="44"/>
      <c r="K74" s="44"/>
      <c r="L74" s="44"/>
      <c r="M74" s="44">
        <f>Sheet2!B29*5*0.2</f>
        <v>526</v>
      </c>
      <c r="N74" s="38"/>
      <c r="O74" s="64">
        <f t="shared" si="3"/>
        <v>2630</v>
      </c>
    </row>
    <row r="75" spans="1:17" ht="14.25" thickBot="1" x14ac:dyDescent="0.35">
      <c r="A75" s="14" t="s">
        <v>121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75">
        <v>758</v>
      </c>
      <c r="N75" s="38"/>
      <c r="O75" s="64">
        <f t="shared" si="3"/>
        <v>758</v>
      </c>
      <c r="Q75" s="71">
        <f>O75*1000000/Sheet2!C30</f>
        <v>3001.1838442868625</v>
      </c>
    </row>
    <row r="76" spans="1:17" ht="14.25" thickBot="1" x14ac:dyDescent="0.35">
      <c r="A76" s="14" t="s">
        <v>58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38"/>
      <c r="O76" s="64">
        <f t="shared" si="3"/>
        <v>0</v>
      </c>
    </row>
    <row r="77" spans="1:17" ht="14.25" thickBot="1" x14ac:dyDescent="0.35">
      <c r="A77" s="14" t="s">
        <v>130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6">
        <v>927.30899999999997</v>
      </c>
      <c r="N77" s="38"/>
      <c r="O77" s="64">
        <f t="shared" si="3"/>
        <v>927.30899999999997</v>
      </c>
      <c r="P77" s="70">
        <f>SUM(O73:O77)</f>
        <v>4315.3090000000002</v>
      </c>
    </row>
    <row r="78" spans="1:17" ht="14.25" thickBot="1" x14ac:dyDescent="0.35">
      <c r="A78" s="14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38"/>
      <c r="O78" s="64">
        <f t="shared" si="3"/>
        <v>0</v>
      </c>
    </row>
    <row r="79" spans="1:17" ht="14.25" thickBot="1" x14ac:dyDescent="0.35">
      <c r="A79" s="13" t="s">
        <v>79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38"/>
      <c r="O79" s="64">
        <f t="shared" si="3"/>
        <v>0</v>
      </c>
    </row>
    <row r="80" spans="1:17" ht="14.25" thickBot="1" x14ac:dyDescent="0.35">
      <c r="A80" s="14" t="s">
        <v>146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65">
        <f>Q37-Q82</f>
        <v>363918.79599999962</v>
      </c>
      <c r="O80" s="64">
        <f t="shared" si="3"/>
        <v>363918.79599999962</v>
      </c>
    </row>
    <row r="81" spans="1:17" ht="14.25" thickBot="1" x14ac:dyDescent="0.35">
      <c r="A81" s="14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38"/>
      <c r="O81" s="64">
        <f t="shared" si="3"/>
        <v>0</v>
      </c>
    </row>
    <row r="82" spans="1:17" ht="14.25" thickBot="1" x14ac:dyDescent="0.35">
      <c r="A82" s="14" t="s">
        <v>128</v>
      </c>
      <c r="B82" s="44">
        <f t="shared" ref="B82:N82" si="4">SUM(B43:B81)</f>
        <v>1719</v>
      </c>
      <c r="C82" s="44">
        <f t="shared" si="4"/>
        <v>46020</v>
      </c>
      <c r="D82" s="44">
        <f t="shared" si="4"/>
        <v>0</v>
      </c>
      <c r="E82" s="44">
        <f t="shared" si="4"/>
        <v>279513</v>
      </c>
      <c r="F82" s="44">
        <f t="shared" si="4"/>
        <v>69540</v>
      </c>
      <c r="G82" s="44">
        <f t="shared" si="4"/>
        <v>552677</v>
      </c>
      <c r="H82" s="44">
        <f t="shared" si="4"/>
        <v>61682</v>
      </c>
      <c r="I82" s="44">
        <f t="shared" si="4"/>
        <v>140315</v>
      </c>
      <c r="J82" s="44">
        <f t="shared" si="4"/>
        <v>0</v>
      </c>
      <c r="K82" s="44">
        <f t="shared" si="4"/>
        <v>145095</v>
      </c>
      <c r="L82" s="44">
        <f t="shared" si="4"/>
        <v>371867</v>
      </c>
      <c r="M82" s="44">
        <f t="shared" si="4"/>
        <v>175691.25800000003</v>
      </c>
      <c r="N82" s="44">
        <f t="shared" si="4"/>
        <v>363918.79599999962</v>
      </c>
      <c r="O82" s="44">
        <f>SUM(O57:O81)</f>
        <v>2208038.0539999995</v>
      </c>
      <c r="Q82" s="5">
        <v>1844119</v>
      </c>
    </row>
    <row r="83" spans="1:17" x14ac:dyDescent="0.3">
      <c r="Q83" s="5">
        <v>2210449.7959999996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5"/>
  <sheetViews>
    <sheetView topLeftCell="A16" zoomScaleNormal="100" workbookViewId="0">
      <selection activeCell="A28" sqref="A28"/>
    </sheetView>
  </sheetViews>
  <sheetFormatPr defaultColWidth="9.140625" defaultRowHeight="13.5" x14ac:dyDescent="0.3"/>
  <cols>
    <col min="1" max="1" width="39.5703125" style="42" customWidth="1"/>
    <col min="2" max="3" width="10.7109375" style="5" bestFit="1" customWidth="1"/>
    <col min="4" max="13" width="9.140625" style="5"/>
    <col min="14" max="14" width="11.5703125" style="5" bestFit="1" customWidth="1"/>
    <col min="15" max="15" width="9.140625" style="5"/>
    <col min="16" max="16" width="11.28515625" style="5" bestFit="1" customWidth="1"/>
    <col min="17" max="16384" width="9.140625" style="5"/>
  </cols>
  <sheetData>
    <row r="1" spans="1:16" ht="41.25" thickBot="1" x14ac:dyDescent="0.35">
      <c r="A1" s="12" t="s">
        <v>175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" t="s">
        <v>1</v>
      </c>
      <c r="P1" s="1" t="s">
        <v>2</v>
      </c>
    </row>
    <row r="2" spans="1:16" ht="41.25" thickBot="1" x14ac:dyDescent="0.35">
      <c r="A2" s="13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3" t="s">
        <v>165</v>
      </c>
      <c r="L2" s="3" t="s">
        <v>14</v>
      </c>
      <c r="M2" s="3" t="s">
        <v>221</v>
      </c>
      <c r="N2" s="3" t="s">
        <v>15</v>
      </c>
      <c r="O2" s="1" t="s">
        <v>1</v>
      </c>
      <c r="P2" s="1" t="s">
        <v>2</v>
      </c>
    </row>
    <row r="3" spans="1:16" ht="14.25" thickBot="1" x14ac:dyDescent="0.35">
      <c r="A3" s="13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66">
        <f>SUM(B3:O3)</f>
        <v>0</v>
      </c>
    </row>
    <row r="4" spans="1:16" ht="14.25" thickBot="1" x14ac:dyDescent="0.35">
      <c r="A4" s="14" t="s">
        <v>139</v>
      </c>
      <c r="B4" s="39"/>
      <c r="C4" s="72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1"/>
      <c r="P4" s="66">
        <f t="shared" ref="P4:P39" si="0">SUM(B4:O4)</f>
        <v>0</v>
      </c>
    </row>
    <row r="5" spans="1:16" ht="14.25" thickBot="1" x14ac:dyDescent="0.35">
      <c r="A5" s="14" t="s">
        <v>140</v>
      </c>
      <c r="B5" s="39"/>
      <c r="C5" s="44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1"/>
      <c r="P5" s="66">
        <f t="shared" si="0"/>
        <v>0</v>
      </c>
    </row>
    <row r="6" spans="1:16" ht="14.25" thickBot="1" x14ac:dyDescent="0.35">
      <c r="A6" s="14" t="s">
        <v>21</v>
      </c>
      <c r="B6" s="39"/>
      <c r="C6" s="40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41"/>
      <c r="P6" s="66">
        <f t="shared" si="0"/>
        <v>0</v>
      </c>
    </row>
    <row r="7" spans="1:16" ht="14.25" thickBot="1" x14ac:dyDescent="0.35">
      <c r="A7" s="14" t="s">
        <v>210</v>
      </c>
      <c r="B7" s="39"/>
      <c r="C7" s="6">
        <f>([1]Sheet3!$F$5/1000)/10</f>
        <v>34.531599999999997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1"/>
      <c r="P7" s="66">
        <f t="shared" si="0"/>
        <v>34.531599999999997</v>
      </c>
    </row>
    <row r="8" spans="1:16" ht="14.25" thickBot="1" x14ac:dyDescent="0.35">
      <c r="A8" s="14" t="s">
        <v>211</v>
      </c>
      <c r="B8" s="39"/>
      <c r="C8" s="6">
        <f>([2]Sheet2!$G$5/1000)/10</f>
        <v>63.041600000000003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1"/>
      <c r="P8" s="66">
        <f t="shared" si="0"/>
        <v>63.041600000000003</v>
      </c>
    </row>
    <row r="9" spans="1:16" ht="14.25" thickBot="1" x14ac:dyDescent="0.35">
      <c r="A9" s="14" t="s">
        <v>220</v>
      </c>
      <c r="B9" s="39"/>
      <c r="C9" s="6">
        <f>([2]Sheet2!$I$5/1000)/30</f>
        <v>805.16806666666673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41"/>
      <c r="P9" s="66">
        <f t="shared" si="0"/>
        <v>805.16806666666673</v>
      </c>
    </row>
    <row r="10" spans="1:16" ht="14.25" thickBot="1" x14ac:dyDescent="0.35">
      <c r="A10" s="14" t="s">
        <v>213</v>
      </c>
      <c r="B10" s="39"/>
      <c r="C10" s="6">
        <f>([2]Sheet2!$J$5/1000)/30</f>
        <v>122.96073333333334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1"/>
      <c r="P10" s="66">
        <f t="shared" si="0"/>
        <v>122.96073333333334</v>
      </c>
    </row>
    <row r="11" spans="1:16" ht="14.25" thickBot="1" x14ac:dyDescent="0.35">
      <c r="A11" s="14" t="s">
        <v>214</v>
      </c>
      <c r="B11" s="39"/>
      <c r="C11" s="6">
        <f>([2]Sheet2!$K$5/1000)/30</f>
        <v>501.27356666666668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1"/>
      <c r="P11" s="66">
        <f t="shared" si="0"/>
        <v>501.27356666666668</v>
      </c>
    </row>
    <row r="12" spans="1:16" ht="14.25" thickBot="1" x14ac:dyDescent="0.35">
      <c r="A12" s="14" t="s">
        <v>198</v>
      </c>
      <c r="B12" s="39"/>
      <c r="C12" s="6">
        <f>SUM(C7:C11)</f>
        <v>1526.975566666667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41"/>
      <c r="P12" s="66"/>
    </row>
    <row r="13" spans="1:16" ht="14.25" thickBot="1" x14ac:dyDescent="0.35">
      <c r="A13" s="14" t="s">
        <v>237</v>
      </c>
      <c r="B13" s="39"/>
      <c r="C13" s="6">
        <f>[3]Sheet2!$P$7/1000</f>
        <v>57468.892099999997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1"/>
      <c r="P13" s="66"/>
    </row>
    <row r="14" spans="1:16" ht="14.25" thickBot="1" x14ac:dyDescent="0.35">
      <c r="A14" s="14" t="s">
        <v>239</v>
      </c>
      <c r="B14" s="39"/>
      <c r="C14" s="6">
        <f>SUM(C7:C13)</f>
        <v>60522.843233333333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1"/>
      <c r="P14" s="66"/>
    </row>
    <row r="15" spans="1:16" ht="14.25" thickBot="1" x14ac:dyDescent="0.35">
      <c r="A15" s="14" t="s">
        <v>238</v>
      </c>
      <c r="B15" s="39"/>
      <c r="C15" s="75">
        <f>P21-C14</f>
        <v>-42271.643233333336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1"/>
      <c r="P15" s="66"/>
    </row>
    <row r="16" spans="1:16" ht="14.25" thickBot="1" x14ac:dyDescent="0.35">
      <c r="A16" s="13" t="s">
        <v>96</v>
      </c>
      <c r="B16" s="39"/>
      <c r="C16" s="40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1"/>
      <c r="P16" s="66">
        <f t="shared" si="0"/>
        <v>0</v>
      </c>
    </row>
    <row r="17" spans="1:19" ht="14.25" thickBot="1" x14ac:dyDescent="0.35">
      <c r="A17" s="14" t="s">
        <v>168</v>
      </c>
      <c r="B17" s="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7"/>
      <c r="P17" s="66">
        <f t="shared" si="0"/>
        <v>0</v>
      </c>
    </row>
    <row r="18" spans="1:19" ht="14.25" thickBot="1" x14ac:dyDescent="0.35">
      <c r="A18" s="14" t="s">
        <v>25</v>
      </c>
      <c r="B18" s="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66">
        <f t="shared" si="0"/>
        <v>0</v>
      </c>
    </row>
    <row r="19" spans="1:19" ht="14.25" thickBot="1" x14ac:dyDescent="0.35">
      <c r="A19" s="14" t="s">
        <v>26</v>
      </c>
      <c r="B19" s="40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66">
        <f t="shared" si="0"/>
        <v>0</v>
      </c>
    </row>
    <row r="20" spans="1:19" ht="14.25" thickBot="1" x14ac:dyDescent="0.35">
      <c r="A20" s="14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38"/>
      <c r="P20" s="66">
        <f t="shared" si="0"/>
        <v>0</v>
      </c>
    </row>
    <row r="21" spans="1:19" s="79" customFormat="1" ht="14.25" thickBot="1" x14ac:dyDescent="0.35">
      <c r="A21" s="80" t="s">
        <v>158</v>
      </c>
      <c r="B21" s="77"/>
      <c r="C21" s="81">
        <f>SUM(C22:C27)</f>
        <v>16592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8">
        <f>0.1*SUM(B21:N21)</f>
        <v>1659.2</v>
      </c>
      <c r="P21" s="66">
        <f t="shared" si="0"/>
        <v>18251.2</v>
      </c>
    </row>
    <row r="22" spans="1:19" ht="14.25" thickBot="1" x14ac:dyDescent="0.35">
      <c r="A22" s="14" t="s">
        <v>270</v>
      </c>
      <c r="B22" s="6"/>
      <c r="C22" s="82">
        <v>324</v>
      </c>
      <c r="D22" s="8"/>
      <c r="E22" s="8"/>
      <c r="F22" s="8"/>
      <c r="G22" s="8"/>
      <c r="H22" s="40"/>
      <c r="I22" s="40"/>
      <c r="J22" s="40"/>
      <c r="K22" s="8"/>
      <c r="L22" s="8"/>
      <c r="M22" s="8"/>
      <c r="N22" s="40"/>
      <c r="O22" s="78">
        <f t="shared" ref="O22:O27" si="1">0.1*SUM(B22:N22)</f>
        <v>32.4</v>
      </c>
      <c r="P22" s="66">
        <f t="shared" si="0"/>
        <v>356.4</v>
      </c>
      <c r="R22" s="73">
        <f>C22/$C$28</f>
        <v>1.95274831243973E-2</v>
      </c>
    </row>
    <row r="23" spans="1:19" ht="14.25" thickBot="1" x14ac:dyDescent="0.35">
      <c r="A23" s="14" t="s">
        <v>266</v>
      </c>
      <c r="B23" s="40"/>
      <c r="C23" s="82">
        <v>431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78">
        <f t="shared" si="1"/>
        <v>43.1</v>
      </c>
      <c r="P23" s="66">
        <f t="shared" si="0"/>
        <v>474.1</v>
      </c>
      <c r="R23" s="73">
        <f t="shared" ref="R23:R27" si="2">C23/$C$28</f>
        <v>2.5976374156219863E-2</v>
      </c>
    </row>
    <row r="24" spans="1:19" ht="14.25" thickBot="1" x14ac:dyDescent="0.35">
      <c r="A24" s="14" t="s">
        <v>271</v>
      </c>
      <c r="B24" s="40"/>
      <c r="C24" s="82">
        <v>11654</v>
      </c>
      <c r="D24" s="8"/>
      <c r="E24" s="8"/>
      <c r="F24" s="8"/>
      <c r="G24" s="8"/>
      <c r="H24" s="40"/>
      <c r="I24" s="40"/>
      <c r="J24" s="40"/>
      <c r="K24" s="8"/>
      <c r="L24" s="8"/>
      <c r="M24" s="8"/>
      <c r="N24" s="8"/>
      <c r="O24" s="78">
        <f t="shared" si="1"/>
        <v>1165.4000000000001</v>
      </c>
      <c r="P24" s="66">
        <f t="shared" si="0"/>
        <v>12819.4</v>
      </c>
      <c r="R24" s="73">
        <f t="shared" si="2"/>
        <v>0.70238669238187079</v>
      </c>
      <c r="S24" s="135">
        <f>R24+R25+R26</f>
        <v>0.81008919961427195</v>
      </c>
    </row>
    <row r="25" spans="1:19" ht="14.25" thickBot="1" x14ac:dyDescent="0.35">
      <c r="A25" s="14" t="s">
        <v>268</v>
      </c>
      <c r="B25" s="40"/>
      <c r="C25" s="82">
        <v>1534</v>
      </c>
      <c r="D25" s="8"/>
      <c r="E25" s="8"/>
      <c r="F25" s="8"/>
      <c r="G25" s="8"/>
      <c r="H25" s="40"/>
      <c r="I25" s="40"/>
      <c r="J25" s="40"/>
      <c r="K25" s="8"/>
      <c r="L25" s="8"/>
      <c r="M25" s="8"/>
      <c r="N25" s="8"/>
      <c r="O25" s="78">
        <f t="shared" si="1"/>
        <v>153.4</v>
      </c>
      <c r="P25" s="66">
        <f t="shared" si="0"/>
        <v>1687.4</v>
      </c>
      <c r="R25" s="73">
        <f t="shared" si="2"/>
        <v>9.2454194792671168E-2</v>
      </c>
    </row>
    <row r="26" spans="1:19" ht="14.25" thickBot="1" x14ac:dyDescent="0.35">
      <c r="A26" s="14" t="s">
        <v>269</v>
      </c>
      <c r="B26" s="40"/>
      <c r="C26" s="82">
        <v>253</v>
      </c>
      <c r="D26" s="8"/>
      <c r="E26" s="8"/>
      <c r="F26" s="8"/>
      <c r="G26" s="8"/>
      <c r="H26" s="40"/>
      <c r="I26" s="40"/>
      <c r="J26" s="40"/>
      <c r="K26" s="8"/>
      <c r="L26" s="8"/>
      <c r="M26" s="8"/>
      <c r="N26" s="8"/>
      <c r="O26" s="78">
        <f t="shared" si="1"/>
        <v>25.3</v>
      </c>
      <c r="P26" s="66">
        <f t="shared" si="0"/>
        <v>278.3</v>
      </c>
      <c r="R26" s="73">
        <f t="shared" si="2"/>
        <v>1.524831243972999E-2</v>
      </c>
    </row>
    <row r="27" spans="1:19" ht="14.25" thickBot="1" x14ac:dyDescent="0.35">
      <c r="A27" s="14" t="s">
        <v>272</v>
      </c>
      <c r="B27" s="40"/>
      <c r="C27" s="82">
        <f>(2142+254)</f>
        <v>2396</v>
      </c>
      <c r="D27" s="8"/>
      <c r="E27" s="8"/>
      <c r="F27" s="8"/>
      <c r="G27" s="8"/>
      <c r="H27" s="40"/>
      <c r="I27" s="40"/>
      <c r="J27" s="40"/>
      <c r="K27" s="8"/>
      <c r="L27" s="8"/>
      <c r="M27" s="8"/>
      <c r="N27" s="8"/>
      <c r="O27" s="78">
        <f t="shared" si="1"/>
        <v>239.60000000000002</v>
      </c>
      <c r="P27" s="66">
        <f t="shared" si="0"/>
        <v>2635.6</v>
      </c>
      <c r="R27" s="73">
        <f t="shared" si="2"/>
        <v>0.1444069431051109</v>
      </c>
    </row>
    <row r="28" spans="1:19" ht="14.25" thickBot="1" x14ac:dyDescent="0.35">
      <c r="A28" s="14" t="s">
        <v>198</v>
      </c>
      <c r="B28" s="44">
        <f>SUM(B22:B27)</f>
        <v>0</v>
      </c>
      <c r="C28" s="44">
        <f t="shared" ref="C28:N28" si="3">SUM(C22:C27)</f>
        <v>16592</v>
      </c>
      <c r="D28" s="44"/>
      <c r="E28" s="44">
        <f t="shared" si="3"/>
        <v>0</v>
      </c>
      <c r="F28" s="44">
        <f t="shared" si="3"/>
        <v>0</v>
      </c>
      <c r="G28" s="44">
        <f t="shared" si="3"/>
        <v>0</v>
      </c>
      <c r="H28" s="44">
        <f t="shared" si="3"/>
        <v>0</v>
      </c>
      <c r="I28" s="44">
        <f t="shared" si="3"/>
        <v>0</v>
      </c>
      <c r="J28" s="44">
        <f t="shared" si="3"/>
        <v>0</v>
      </c>
      <c r="K28" s="44">
        <f t="shared" si="3"/>
        <v>0</v>
      </c>
      <c r="L28" s="44">
        <f t="shared" si="3"/>
        <v>0</v>
      </c>
      <c r="M28" s="44"/>
      <c r="N28" s="44">
        <f t="shared" si="3"/>
        <v>0</v>
      </c>
      <c r="O28" s="44">
        <f>SUM(O22:O27)</f>
        <v>1659.2000000000003</v>
      </c>
      <c r="P28" s="44">
        <f>SUM(B28:O28)</f>
        <v>18251.2</v>
      </c>
      <c r="R28" s="73">
        <f>C28/$C$28</f>
        <v>1</v>
      </c>
    </row>
    <row r="29" spans="1:19" ht="14.25" thickBot="1" x14ac:dyDescent="0.35">
      <c r="A29" s="13" t="s">
        <v>33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66">
        <f t="shared" si="0"/>
        <v>0</v>
      </c>
    </row>
    <row r="30" spans="1:19" ht="14.25" thickBot="1" x14ac:dyDescent="0.35">
      <c r="A30" s="14" t="s">
        <v>34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9"/>
      <c r="O30" s="4"/>
      <c r="P30" s="66">
        <f t="shared" si="0"/>
        <v>0</v>
      </c>
    </row>
    <row r="31" spans="1:19" ht="14.25" thickBot="1" x14ac:dyDescent="0.35">
      <c r="A31" s="14" t="s">
        <v>35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4"/>
      <c r="P31" s="66">
        <f t="shared" si="0"/>
        <v>0</v>
      </c>
    </row>
    <row r="32" spans="1:19" ht="27.75" thickBot="1" x14ac:dyDescent="0.35">
      <c r="A32" s="14" t="s">
        <v>36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9"/>
      <c r="O32" s="4"/>
      <c r="P32" s="66">
        <f t="shared" si="0"/>
        <v>0</v>
      </c>
    </row>
    <row r="33" spans="1:16" ht="27.75" thickBot="1" x14ac:dyDescent="0.35">
      <c r="A33" s="14" t="s">
        <v>37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9"/>
      <c r="O33" s="4"/>
      <c r="P33" s="66">
        <f t="shared" si="0"/>
        <v>0</v>
      </c>
    </row>
    <row r="34" spans="1:16" ht="14.25" thickBot="1" x14ac:dyDescent="0.35">
      <c r="A34" s="14" t="s">
        <v>38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9"/>
      <c r="O34" s="4"/>
      <c r="P34" s="66">
        <f t="shared" si="0"/>
        <v>0</v>
      </c>
    </row>
    <row r="35" spans="1:16" ht="14.25" thickBot="1" x14ac:dyDescent="0.35">
      <c r="A35" s="13" t="s">
        <v>39</v>
      </c>
      <c r="B35" s="91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38"/>
      <c r="P35" s="66">
        <f t="shared" si="0"/>
        <v>0</v>
      </c>
    </row>
    <row r="36" spans="1:16" ht="14.25" thickBot="1" x14ac:dyDescent="0.35">
      <c r="A36" s="48" t="s">
        <v>123</v>
      </c>
      <c r="B36" s="92"/>
      <c r="C36" s="40"/>
      <c r="D36" s="40"/>
      <c r="E36" s="40"/>
      <c r="F36" s="50"/>
      <c r="G36" s="40"/>
      <c r="H36" s="40"/>
      <c r="I36" s="40"/>
      <c r="J36" s="40"/>
      <c r="K36" s="40"/>
      <c r="L36" s="40"/>
      <c r="M36" s="40"/>
      <c r="N36" s="40"/>
      <c r="O36" s="38"/>
      <c r="P36" s="66">
        <f t="shared" si="0"/>
        <v>0</v>
      </c>
    </row>
    <row r="37" spans="1:16" ht="14.25" thickBot="1" x14ac:dyDescent="0.35">
      <c r="A37" s="14" t="s">
        <v>133</v>
      </c>
      <c r="B37" s="6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38"/>
      <c r="P37" s="66">
        <f t="shared" si="0"/>
        <v>0</v>
      </c>
    </row>
    <row r="38" spans="1:16" ht="14.25" thickBot="1" x14ac:dyDescent="0.35">
      <c r="A38" s="14" t="s">
        <v>41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38"/>
      <c r="P38" s="66">
        <f t="shared" si="0"/>
        <v>0</v>
      </c>
    </row>
    <row r="39" spans="1:16" ht="14.25" thickBot="1" x14ac:dyDescent="0.35">
      <c r="A39" s="13" t="s">
        <v>59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38"/>
      <c r="P39" s="66">
        <f t="shared" si="0"/>
        <v>0</v>
      </c>
    </row>
    <row r="40" spans="1:16" ht="14.25" thickBot="1" x14ac:dyDescent="0.35">
      <c r="A40" s="14" t="s">
        <v>42</v>
      </c>
      <c r="B40" s="40"/>
      <c r="C40" s="71">
        <f>0.1*C28</f>
        <v>1659.2</v>
      </c>
      <c r="D40" s="40"/>
      <c r="E40" s="40"/>
      <c r="F40" s="40"/>
      <c r="G40" s="40"/>
      <c r="H40" s="40"/>
      <c r="I40" s="40"/>
      <c r="J40" s="40"/>
      <c r="K40" s="40"/>
      <c r="L40" s="40"/>
      <c r="M40" s="45"/>
      <c r="N40" s="40"/>
      <c r="O40" s="69"/>
      <c r="P40" s="66">
        <f>SUM(B40:O40)</f>
        <v>1659.2</v>
      </c>
    </row>
    <row r="41" spans="1:16" ht="14.25" thickBot="1" x14ac:dyDescent="0.35">
      <c r="A41" s="42" t="s">
        <v>228</v>
      </c>
      <c r="C41" s="70">
        <f>C40+C28</f>
        <v>18251.2</v>
      </c>
      <c r="M41" s="70">
        <f>M28</f>
        <v>0</v>
      </c>
      <c r="O41" s="70">
        <f>O28</f>
        <v>1659.2000000000003</v>
      </c>
      <c r="P41" s="64">
        <f>P40+P28</f>
        <v>19910.400000000001</v>
      </c>
    </row>
    <row r="42" spans="1:16" ht="14.25" thickBot="1" x14ac:dyDescent="0.35">
      <c r="P42" s="64"/>
    </row>
    <row r="43" spans="1:16" ht="41.25" thickBot="1" x14ac:dyDescent="0.35">
      <c r="A43" s="15" t="s">
        <v>176</v>
      </c>
      <c r="B43" s="3" t="s">
        <v>4</v>
      </c>
      <c r="C43" s="3" t="s">
        <v>5</v>
      </c>
      <c r="D43" s="3" t="s">
        <v>6</v>
      </c>
      <c r="E43" s="3" t="s">
        <v>7</v>
      </c>
      <c r="F43" s="3" t="s">
        <v>8</v>
      </c>
      <c r="G43" s="3" t="s">
        <v>9</v>
      </c>
      <c r="H43" s="3" t="s">
        <v>10</v>
      </c>
      <c r="I43" s="3" t="s">
        <v>11</v>
      </c>
      <c r="J43" s="3" t="s">
        <v>12</v>
      </c>
      <c r="K43" s="3" t="s">
        <v>165</v>
      </c>
      <c r="L43" s="3" t="s">
        <v>14</v>
      </c>
      <c r="M43" s="3"/>
      <c r="N43" s="3" t="s">
        <v>49</v>
      </c>
      <c r="O43" s="1" t="s">
        <v>1</v>
      </c>
      <c r="P43" s="1" t="s">
        <v>2</v>
      </c>
    </row>
    <row r="44" spans="1:16" ht="13.5" customHeight="1" thickBot="1" x14ac:dyDescent="0.35">
      <c r="A44" s="13" t="s">
        <v>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8"/>
      <c r="P44" s="66">
        <f>SUM(B44:O44)</f>
        <v>0</v>
      </c>
    </row>
    <row r="45" spans="1:16" ht="13.5" hidden="1" customHeight="1" thickBot="1" x14ac:dyDescent="0.35">
      <c r="A45" s="13" t="s">
        <v>16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41"/>
      <c r="P45" s="66">
        <f t="shared" ref="P45:P83" si="4">SUM(B45:O45)</f>
        <v>0</v>
      </c>
    </row>
    <row r="46" spans="1:16" ht="13.5" hidden="1" customHeight="1" thickBot="1" x14ac:dyDescent="0.35">
      <c r="A46" s="14" t="s">
        <v>17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41"/>
      <c r="P46" s="66">
        <f t="shared" si="4"/>
        <v>0</v>
      </c>
    </row>
    <row r="47" spans="1:16" ht="13.5" hidden="1" customHeight="1" thickBot="1" x14ac:dyDescent="0.35">
      <c r="A47" s="14" t="s">
        <v>19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41"/>
      <c r="P47" s="66">
        <f t="shared" si="4"/>
        <v>0</v>
      </c>
    </row>
    <row r="48" spans="1:16" ht="13.5" hidden="1" customHeight="1" thickBot="1" x14ac:dyDescent="0.35">
      <c r="A48" s="14" t="s">
        <v>20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41"/>
      <c r="P48" s="66">
        <f t="shared" si="4"/>
        <v>0</v>
      </c>
    </row>
    <row r="49" spans="1:16" ht="13.5" hidden="1" customHeight="1" thickBot="1" x14ac:dyDescent="0.35">
      <c r="A49" s="14" t="s">
        <v>21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41"/>
      <c r="P49" s="66">
        <f t="shared" si="4"/>
        <v>0</v>
      </c>
    </row>
    <row r="50" spans="1:16" ht="13.5" hidden="1" customHeight="1" thickBot="1" x14ac:dyDescent="0.35">
      <c r="A50" s="14" t="s">
        <v>22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41"/>
      <c r="P50" s="66">
        <f t="shared" si="4"/>
        <v>0</v>
      </c>
    </row>
    <row r="51" spans="1:16" ht="13.5" hidden="1" customHeight="1" thickBot="1" x14ac:dyDescent="0.35">
      <c r="A51" s="14" t="s">
        <v>23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41"/>
      <c r="P51" s="66">
        <f t="shared" si="4"/>
        <v>0</v>
      </c>
    </row>
    <row r="52" spans="1:16" ht="13.5" hidden="1" customHeight="1" thickBot="1" x14ac:dyDescent="0.35">
      <c r="A52" s="13" t="s">
        <v>96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41"/>
      <c r="P52" s="66">
        <f t="shared" si="4"/>
        <v>0</v>
      </c>
    </row>
    <row r="53" spans="1:16" ht="13.5" hidden="1" customHeight="1" thickBot="1" x14ac:dyDescent="0.35">
      <c r="A53" s="14" t="s">
        <v>125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41"/>
      <c r="P53" s="66">
        <f t="shared" si="4"/>
        <v>0</v>
      </c>
    </row>
    <row r="54" spans="1:16" ht="13.5" hidden="1" customHeight="1" thickBot="1" x14ac:dyDescent="0.35">
      <c r="A54" s="14" t="s">
        <v>25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41"/>
      <c r="P54" s="66">
        <f t="shared" si="4"/>
        <v>0</v>
      </c>
    </row>
    <row r="55" spans="1:16" ht="13.5" hidden="1" customHeight="1" thickBot="1" x14ac:dyDescent="0.35">
      <c r="A55" s="14" t="s">
        <v>26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41"/>
      <c r="P55" s="66">
        <f t="shared" si="4"/>
        <v>0</v>
      </c>
    </row>
    <row r="56" spans="1:16" ht="14.25" thickBot="1" x14ac:dyDescent="0.35">
      <c r="A56" s="13" t="s">
        <v>135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38"/>
      <c r="P56" s="66">
        <f t="shared" si="4"/>
        <v>0</v>
      </c>
    </row>
    <row r="57" spans="1:16" ht="14.25" thickBot="1" x14ac:dyDescent="0.35">
      <c r="A57" s="14" t="s">
        <v>138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38"/>
      <c r="P57" s="66">
        <f t="shared" si="4"/>
        <v>0</v>
      </c>
    </row>
    <row r="58" spans="1:16" ht="14.25" thickBot="1" x14ac:dyDescent="0.35">
      <c r="A58" s="14" t="s">
        <v>141</v>
      </c>
      <c r="B58" s="72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38"/>
      <c r="P58" s="66">
        <f t="shared" si="4"/>
        <v>0</v>
      </c>
    </row>
    <row r="59" spans="1:16" ht="14.25" thickBot="1" x14ac:dyDescent="0.35">
      <c r="A59" s="14" t="s">
        <v>140</v>
      </c>
      <c r="B59" s="45"/>
      <c r="C59" s="45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38"/>
      <c r="P59" s="66">
        <f t="shared" si="4"/>
        <v>0</v>
      </c>
    </row>
    <row r="60" spans="1:16" ht="14.25" thickBot="1" x14ac:dyDescent="0.35">
      <c r="A60" s="14" t="s">
        <v>21</v>
      </c>
      <c r="B60" s="45"/>
      <c r="C60" s="45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38"/>
      <c r="P60" s="66">
        <f t="shared" si="4"/>
        <v>0</v>
      </c>
    </row>
    <row r="61" spans="1:16" ht="14.25" thickBot="1" x14ac:dyDescent="0.35">
      <c r="A61" s="14" t="s">
        <v>188</v>
      </c>
      <c r="B61" s="45"/>
      <c r="C61" s="45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38"/>
      <c r="P61" s="66">
        <f t="shared" si="4"/>
        <v>0</v>
      </c>
    </row>
    <row r="62" spans="1:16" ht="14.25" thickBot="1" x14ac:dyDescent="0.35">
      <c r="A62" s="14" t="s">
        <v>189</v>
      </c>
      <c r="B62" s="45"/>
      <c r="C62" s="45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38"/>
      <c r="P62" s="66">
        <f t="shared" si="4"/>
        <v>0</v>
      </c>
    </row>
    <row r="63" spans="1:16" ht="14.25" thickBot="1" x14ac:dyDescent="0.35">
      <c r="A63" s="14" t="s">
        <v>190</v>
      </c>
      <c r="B63" s="45"/>
      <c r="C63" s="45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38"/>
      <c r="P63" s="66">
        <f t="shared" si="4"/>
        <v>0</v>
      </c>
    </row>
    <row r="64" spans="1:16" ht="14.25" thickBot="1" x14ac:dyDescent="0.35">
      <c r="A64" s="14" t="s">
        <v>191</v>
      </c>
      <c r="B64" s="45"/>
      <c r="C64" s="45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38"/>
      <c r="P64" s="66">
        <f t="shared" si="4"/>
        <v>0</v>
      </c>
    </row>
    <row r="65" spans="1:16" ht="14.25" thickBot="1" x14ac:dyDescent="0.35">
      <c r="A65" s="14" t="s">
        <v>192</v>
      </c>
      <c r="B65" s="45"/>
      <c r="C65" s="45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38"/>
      <c r="P65" s="66">
        <f t="shared" si="4"/>
        <v>0</v>
      </c>
    </row>
    <row r="66" spans="1:16" ht="14.25" thickBot="1" x14ac:dyDescent="0.35">
      <c r="A66" s="13" t="s">
        <v>164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38"/>
      <c r="P66" s="66"/>
    </row>
    <row r="67" spans="1:16" ht="14.25" thickBot="1" x14ac:dyDescent="0.35">
      <c r="A67" s="14" t="s">
        <v>29</v>
      </c>
      <c r="B67" s="87"/>
      <c r="C67" s="87"/>
      <c r="D67" s="87"/>
      <c r="E67" s="87"/>
      <c r="F67" s="87"/>
      <c r="G67" s="87"/>
      <c r="H67" s="87">
        <v>324</v>
      </c>
      <c r="I67" s="87"/>
      <c r="J67" s="87"/>
      <c r="K67" s="87"/>
      <c r="L67" s="87"/>
      <c r="M67" s="87"/>
      <c r="N67" s="87"/>
      <c r="O67" s="88">
        <f>0.1*SUM(B67:N67)</f>
        <v>32.4</v>
      </c>
      <c r="P67" s="66">
        <f t="shared" si="4"/>
        <v>356.4</v>
      </c>
    </row>
    <row r="68" spans="1:16" ht="14.25" thickBot="1" x14ac:dyDescent="0.35">
      <c r="A68" s="14" t="s">
        <v>266</v>
      </c>
      <c r="B68" s="87"/>
      <c r="C68" s="87"/>
      <c r="D68" s="87"/>
      <c r="E68" s="87"/>
      <c r="F68" s="87">
        <v>323</v>
      </c>
      <c r="G68" s="87"/>
      <c r="H68" s="87">
        <v>108</v>
      </c>
      <c r="I68" s="87"/>
      <c r="J68" s="87"/>
      <c r="K68" s="87"/>
      <c r="L68" s="87"/>
      <c r="M68" s="87"/>
      <c r="N68" s="87"/>
      <c r="O68" s="88">
        <f t="shared" ref="O68:O72" si="5">0.1*SUM(B68:N68)</f>
        <v>43.1</v>
      </c>
      <c r="P68" s="66">
        <f t="shared" si="4"/>
        <v>474.1</v>
      </c>
    </row>
    <row r="69" spans="1:16" ht="14.25" thickBot="1" x14ac:dyDescent="0.35">
      <c r="A69" s="14" t="s">
        <v>267</v>
      </c>
      <c r="B69" s="87"/>
      <c r="C69" s="87"/>
      <c r="D69" s="87"/>
      <c r="E69" s="87"/>
      <c r="F69" s="87">
        <f>407+11249</f>
        <v>11656</v>
      </c>
      <c r="G69" s="87"/>
      <c r="H69" s="87"/>
      <c r="I69" s="87"/>
      <c r="J69" s="87"/>
      <c r="K69" s="87"/>
      <c r="L69" s="87"/>
      <c r="M69" s="87"/>
      <c r="N69" s="87"/>
      <c r="O69" s="88">
        <f t="shared" si="5"/>
        <v>1165.6000000000001</v>
      </c>
      <c r="P69" s="66">
        <f t="shared" si="4"/>
        <v>12821.6</v>
      </c>
    </row>
    <row r="70" spans="1:16" ht="14.25" thickBot="1" x14ac:dyDescent="0.35">
      <c r="A70" s="14" t="s">
        <v>268</v>
      </c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>
        <f>243+1291</f>
        <v>1534</v>
      </c>
      <c r="M70" s="87"/>
      <c r="N70" s="87"/>
      <c r="O70" s="88">
        <f t="shared" si="5"/>
        <v>153.4</v>
      </c>
      <c r="P70" s="66">
        <f t="shared" si="4"/>
        <v>1687.4</v>
      </c>
    </row>
    <row r="71" spans="1:16" ht="14.25" thickBot="1" x14ac:dyDescent="0.35">
      <c r="A71" s="14" t="s">
        <v>269</v>
      </c>
      <c r="B71" s="87"/>
      <c r="C71" s="87"/>
      <c r="D71" s="87"/>
      <c r="E71" s="87"/>
      <c r="F71" s="87"/>
      <c r="G71" s="87">
        <f>152+101</f>
        <v>253</v>
      </c>
      <c r="H71" s="87"/>
      <c r="I71" s="87"/>
      <c r="J71" s="87"/>
      <c r="K71" s="87"/>
      <c r="L71" s="87"/>
      <c r="M71" s="87"/>
      <c r="N71" s="87"/>
      <c r="O71" s="88">
        <f t="shared" si="5"/>
        <v>25.3</v>
      </c>
      <c r="P71" s="66">
        <f t="shared" si="4"/>
        <v>278.3</v>
      </c>
    </row>
    <row r="72" spans="1:16" ht="14.25" thickBot="1" x14ac:dyDescent="0.35">
      <c r="A72" s="14" t="s">
        <v>32</v>
      </c>
      <c r="B72" s="87"/>
      <c r="C72" s="87"/>
      <c r="D72" s="87"/>
      <c r="E72" s="87"/>
      <c r="F72" s="87"/>
      <c r="G72" s="87"/>
      <c r="H72" s="87"/>
      <c r="I72" s="87">
        <f>(C27+G27)</f>
        <v>2396</v>
      </c>
      <c r="J72" s="87"/>
      <c r="K72" s="87"/>
      <c r="L72" s="87"/>
      <c r="M72" s="87"/>
      <c r="N72" s="87"/>
      <c r="O72" s="88">
        <f t="shared" si="5"/>
        <v>239.60000000000002</v>
      </c>
      <c r="P72" s="66">
        <f t="shared" si="4"/>
        <v>2635.6</v>
      </c>
    </row>
    <row r="73" spans="1:16" ht="14.25" thickBot="1" x14ac:dyDescent="0.35">
      <c r="A73" s="14" t="s">
        <v>198</v>
      </c>
      <c r="B73" s="87">
        <f>SUM(B67:B72)</f>
        <v>0</v>
      </c>
      <c r="C73" s="87">
        <f t="shared" ref="C73:O73" si="6">SUM(C67:C72)</f>
        <v>0</v>
      </c>
      <c r="D73" s="87">
        <f t="shared" si="6"/>
        <v>0</v>
      </c>
      <c r="E73" s="87">
        <f t="shared" si="6"/>
        <v>0</v>
      </c>
      <c r="F73" s="87">
        <f t="shared" si="6"/>
        <v>11979</v>
      </c>
      <c r="G73" s="87">
        <f t="shared" si="6"/>
        <v>253</v>
      </c>
      <c r="H73" s="87">
        <f t="shared" si="6"/>
        <v>432</v>
      </c>
      <c r="I73" s="87">
        <f t="shared" si="6"/>
        <v>2396</v>
      </c>
      <c r="J73" s="87">
        <f t="shared" si="6"/>
        <v>0</v>
      </c>
      <c r="K73" s="87">
        <f t="shared" si="6"/>
        <v>0</v>
      </c>
      <c r="L73" s="87">
        <f t="shared" si="6"/>
        <v>1534</v>
      </c>
      <c r="M73" s="87"/>
      <c r="N73" s="87">
        <f t="shared" si="6"/>
        <v>0</v>
      </c>
      <c r="O73" s="87">
        <f t="shared" si="6"/>
        <v>1659.4</v>
      </c>
      <c r="P73" s="66">
        <f t="shared" si="4"/>
        <v>18253.400000000001</v>
      </c>
    </row>
    <row r="74" spans="1:16" ht="14.25" thickBot="1" x14ac:dyDescent="0.35">
      <c r="A74" s="13" t="s">
        <v>54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66">
        <f t="shared" si="4"/>
        <v>0</v>
      </c>
    </row>
    <row r="75" spans="1:16" ht="14.25" thickBot="1" x14ac:dyDescent="0.35">
      <c r="A75" s="14" t="s">
        <v>55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9"/>
      <c r="O75" s="4"/>
      <c r="P75" s="66">
        <f t="shared" si="4"/>
        <v>0</v>
      </c>
    </row>
    <row r="76" spans="1:16" ht="14.25" thickBot="1" x14ac:dyDescent="0.35">
      <c r="A76" s="14" t="s">
        <v>35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9"/>
      <c r="O76" s="4"/>
      <c r="P76" s="66">
        <f t="shared" si="4"/>
        <v>0</v>
      </c>
    </row>
    <row r="77" spans="1:16" ht="27.75" thickBot="1" x14ac:dyDescent="0.35">
      <c r="A77" s="14" t="s">
        <v>36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11"/>
      <c r="O77" s="4"/>
      <c r="P77" s="66">
        <f>SUM(B77:O77)</f>
        <v>0</v>
      </c>
    </row>
    <row r="78" spans="1:16" ht="27.75" thickBot="1" x14ac:dyDescent="0.35">
      <c r="A78" s="14" t="s">
        <v>37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9"/>
      <c r="O78" s="4"/>
      <c r="P78" s="66">
        <f t="shared" si="4"/>
        <v>0</v>
      </c>
    </row>
    <row r="79" spans="1:16" ht="14.25" thickBot="1" x14ac:dyDescent="0.35">
      <c r="A79" s="14" t="s">
        <v>38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9"/>
      <c r="O79" s="4"/>
      <c r="P79" s="66">
        <f t="shared" si="4"/>
        <v>0</v>
      </c>
    </row>
    <row r="80" spans="1:16" ht="14.25" thickBot="1" x14ac:dyDescent="0.35">
      <c r="A80" s="13" t="s">
        <v>56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38"/>
      <c r="P80" s="66">
        <f t="shared" si="4"/>
        <v>0</v>
      </c>
    </row>
    <row r="81" spans="1:16" ht="14.25" thickBot="1" x14ac:dyDescent="0.35">
      <c r="A81" s="14" t="s">
        <v>122</v>
      </c>
      <c r="B81" s="8"/>
      <c r="C81" s="40"/>
      <c r="D81" s="40"/>
      <c r="E81" s="40"/>
      <c r="F81" s="45"/>
      <c r="G81" s="44"/>
      <c r="H81" s="40"/>
      <c r="I81" s="40"/>
      <c r="J81" s="40"/>
      <c r="K81" s="40"/>
      <c r="L81" s="40"/>
      <c r="M81" s="40"/>
      <c r="N81" s="47"/>
      <c r="O81" s="38"/>
      <c r="P81" s="66">
        <f t="shared" si="4"/>
        <v>0</v>
      </c>
    </row>
    <row r="82" spans="1:16" ht="14.25" thickBot="1" x14ac:dyDescent="0.35">
      <c r="A82" s="14" t="s">
        <v>57</v>
      </c>
      <c r="B82" s="8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7"/>
      <c r="O82" s="38"/>
      <c r="P82" s="66">
        <f t="shared" si="4"/>
        <v>0</v>
      </c>
    </row>
    <row r="83" spans="1:16" ht="14.25" thickBot="1" x14ac:dyDescent="0.35">
      <c r="A83" s="14" t="s">
        <v>41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38"/>
      <c r="P83" s="66">
        <f t="shared" si="4"/>
        <v>0</v>
      </c>
    </row>
    <row r="84" spans="1:16" ht="14.25" thickBot="1" x14ac:dyDescent="0.35">
      <c r="A84" s="13" t="s">
        <v>59</v>
      </c>
      <c r="B84" s="119">
        <f>0.1*B73</f>
        <v>0</v>
      </c>
      <c r="C84" s="119">
        <f t="shared" ref="C84:N84" si="7">0.1*C73</f>
        <v>0</v>
      </c>
      <c r="D84" s="119">
        <f t="shared" si="7"/>
        <v>0</v>
      </c>
      <c r="E84" s="119">
        <f t="shared" si="7"/>
        <v>0</v>
      </c>
      <c r="F84" s="119">
        <f t="shared" si="7"/>
        <v>1197.9000000000001</v>
      </c>
      <c r="G84" s="119">
        <f t="shared" si="7"/>
        <v>25.3</v>
      </c>
      <c r="H84" s="119">
        <f t="shared" si="7"/>
        <v>43.2</v>
      </c>
      <c r="I84" s="119">
        <f t="shared" si="7"/>
        <v>239.60000000000002</v>
      </c>
      <c r="J84" s="119">
        <f t="shared" si="7"/>
        <v>0</v>
      </c>
      <c r="K84" s="119">
        <f t="shared" si="7"/>
        <v>0</v>
      </c>
      <c r="L84" s="119">
        <f t="shared" si="7"/>
        <v>153.4</v>
      </c>
      <c r="M84" s="119"/>
      <c r="N84" s="119">
        <f t="shared" si="7"/>
        <v>0</v>
      </c>
      <c r="O84" s="119"/>
      <c r="P84" s="119">
        <f>SUM(B84:N84)</f>
        <v>1659.4</v>
      </c>
    </row>
    <row r="85" spans="1:16" x14ac:dyDescent="0.3">
      <c r="A85" s="42" t="s">
        <v>167</v>
      </c>
      <c r="P85" s="134">
        <f>P84+P73</f>
        <v>19912.800000000003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9"/>
  <sheetViews>
    <sheetView topLeftCell="A15" zoomScaleNormal="100" workbookViewId="0">
      <selection activeCell="C27" sqref="C27"/>
    </sheetView>
  </sheetViews>
  <sheetFormatPr defaultColWidth="9.140625" defaultRowHeight="13.5" x14ac:dyDescent="0.3"/>
  <cols>
    <col min="1" max="1" width="39.5703125" style="42" customWidth="1"/>
    <col min="2" max="2" width="10.7109375" style="5" bestFit="1" customWidth="1"/>
    <col min="3" max="3" width="11.5703125" style="5" bestFit="1" customWidth="1"/>
    <col min="4" max="5" width="9.140625" style="5"/>
    <col min="6" max="9" width="9.28515625" style="5" bestFit="1" customWidth="1"/>
    <col min="10" max="11" width="9.140625" style="5"/>
    <col min="12" max="12" width="9.28515625" style="5" bestFit="1" customWidth="1"/>
    <col min="13" max="13" width="14.5703125" style="5" bestFit="1" customWidth="1"/>
    <col min="14" max="14" width="9.140625" style="5"/>
    <col min="15" max="15" width="14.28515625" style="5" bestFit="1" customWidth="1"/>
    <col min="16" max="16384" width="9.140625" style="5"/>
  </cols>
  <sheetData>
    <row r="1" spans="1:15" ht="41.25" thickBot="1" x14ac:dyDescent="0.35">
      <c r="A1" s="12" t="s">
        <v>177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1" t="s">
        <v>1</v>
      </c>
      <c r="O1" s="1" t="s">
        <v>2</v>
      </c>
    </row>
    <row r="2" spans="1:15" ht="41.25" thickBot="1" x14ac:dyDescent="0.35">
      <c r="A2" s="1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165</v>
      </c>
      <c r="L2" s="3" t="s">
        <v>14</v>
      </c>
      <c r="M2" s="3" t="s">
        <v>15</v>
      </c>
      <c r="N2" s="1" t="s">
        <v>1</v>
      </c>
      <c r="O2" s="1" t="s">
        <v>2</v>
      </c>
    </row>
    <row r="3" spans="1:15" ht="14.25" thickBot="1" x14ac:dyDescent="0.35">
      <c r="A3" s="13" t="s">
        <v>16</v>
      </c>
      <c r="B3" s="104"/>
      <c r="C3" s="4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5"/>
      <c r="O3" s="66">
        <f>SUM(B3:N3)</f>
        <v>0</v>
      </c>
    </row>
    <row r="4" spans="1:15" ht="14.25" thickBot="1" x14ac:dyDescent="0.35">
      <c r="A4" s="14" t="s">
        <v>139</v>
      </c>
      <c r="B4" s="104"/>
      <c r="C4" s="4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5"/>
      <c r="O4" s="66">
        <f t="shared" ref="O4:O40" si="0">SUM(B4:N4)</f>
        <v>0</v>
      </c>
    </row>
    <row r="5" spans="1:15" ht="14.25" thickBot="1" x14ac:dyDescent="0.35">
      <c r="A5" s="14" t="s">
        <v>140</v>
      </c>
      <c r="B5" s="104"/>
      <c r="C5" s="4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5"/>
      <c r="O5" s="66">
        <f t="shared" si="0"/>
        <v>0</v>
      </c>
    </row>
    <row r="6" spans="1:15" ht="14.25" thickBot="1" x14ac:dyDescent="0.35">
      <c r="A6" s="14" t="s">
        <v>21</v>
      </c>
      <c r="B6" s="104"/>
      <c r="C6" s="44">
        <f>SUM(C7:C11)</f>
        <v>1494.4511666666667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5"/>
      <c r="O6" s="66">
        <f t="shared" si="0"/>
        <v>1494.4511666666667</v>
      </c>
    </row>
    <row r="7" spans="1:15" ht="14.25" thickBot="1" x14ac:dyDescent="0.35">
      <c r="A7" s="14" t="s">
        <v>199</v>
      </c>
      <c r="B7" s="104"/>
      <c r="C7" s="75">
        <f>([2]Sheet2!$F$5/1000)/15</f>
        <v>23.021066666666666</v>
      </c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5"/>
      <c r="O7" s="66">
        <f t="shared" si="0"/>
        <v>23.021066666666666</v>
      </c>
    </row>
    <row r="8" spans="1:15" ht="14.25" thickBot="1" x14ac:dyDescent="0.35">
      <c r="A8" s="14" t="s">
        <v>200</v>
      </c>
      <c r="B8" s="104"/>
      <c r="C8" s="75">
        <f>([2]Sheet2!$G$5/1000)/15</f>
        <v>42.027733333333337</v>
      </c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5"/>
      <c r="O8" s="66">
        <f t="shared" si="0"/>
        <v>42.027733333333337</v>
      </c>
    </row>
    <row r="9" spans="1:15" ht="14.25" thickBot="1" x14ac:dyDescent="0.35">
      <c r="A9" s="14" t="s">
        <v>201</v>
      </c>
      <c r="B9" s="104"/>
      <c r="C9" s="75">
        <f>([2]Sheet2!$I$5/1000)/30</f>
        <v>805.16806666666673</v>
      </c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5"/>
      <c r="O9" s="66">
        <f t="shared" si="0"/>
        <v>805.16806666666673</v>
      </c>
    </row>
    <row r="10" spans="1:15" ht="14.25" thickBot="1" x14ac:dyDescent="0.35">
      <c r="A10" s="14" t="s">
        <v>202</v>
      </c>
      <c r="B10" s="104"/>
      <c r="C10" s="75">
        <f>([2]Sheet2!$J$5/1000)/30</f>
        <v>122.96073333333334</v>
      </c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5"/>
      <c r="O10" s="66">
        <f t="shared" si="0"/>
        <v>122.96073333333334</v>
      </c>
    </row>
    <row r="11" spans="1:15" ht="14.25" thickBot="1" x14ac:dyDescent="0.35">
      <c r="A11" s="14" t="s">
        <v>203</v>
      </c>
      <c r="B11" s="104"/>
      <c r="C11" s="75">
        <f>([2]Sheet2!$K$5/1000)/30</f>
        <v>501.27356666666668</v>
      </c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5"/>
      <c r="O11" s="66">
        <f t="shared" si="0"/>
        <v>501.27356666666668</v>
      </c>
    </row>
    <row r="12" spans="1:15" ht="14.25" thickBot="1" x14ac:dyDescent="0.35">
      <c r="A12" s="14" t="s">
        <v>240</v>
      </c>
      <c r="B12" s="104"/>
      <c r="C12" s="75">
        <f>C6</f>
        <v>1494.4511666666667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5"/>
      <c r="O12" s="66"/>
    </row>
    <row r="13" spans="1:15" ht="14.25" thickBot="1" x14ac:dyDescent="0.35">
      <c r="A13" s="14" t="s">
        <v>241</v>
      </c>
      <c r="B13" s="104"/>
      <c r="C13" s="75">
        <f>[3]Sheet2!$P$15/1000</f>
        <v>41813.499360000002</v>
      </c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5"/>
      <c r="O13" s="66"/>
    </row>
    <row r="14" spans="1:15" ht="14.25" thickBot="1" x14ac:dyDescent="0.35">
      <c r="A14" s="14" t="s">
        <v>242</v>
      </c>
      <c r="B14" s="104"/>
      <c r="C14" s="75">
        <f>C13+C12</f>
        <v>43307.950526666667</v>
      </c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5"/>
      <c r="O14" s="66"/>
    </row>
    <row r="15" spans="1:15" ht="14.25" thickBot="1" x14ac:dyDescent="0.35">
      <c r="A15" s="14" t="s">
        <v>243</v>
      </c>
      <c r="B15" s="104"/>
      <c r="C15" s="75">
        <f>O27-C14</f>
        <v>-15577.450526666667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5"/>
      <c r="O15" s="66"/>
    </row>
    <row r="16" spans="1:15" ht="14.25" thickBot="1" x14ac:dyDescent="0.35">
      <c r="A16" s="13" t="s">
        <v>96</v>
      </c>
      <c r="B16" s="104"/>
      <c r="C16" s="4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5"/>
      <c r="O16" s="66">
        <f t="shared" si="0"/>
        <v>0</v>
      </c>
    </row>
    <row r="17" spans="1:17" ht="14.25" thickBot="1" x14ac:dyDescent="0.35">
      <c r="A17" s="14" t="s">
        <v>168</v>
      </c>
      <c r="B17" s="75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7"/>
      <c r="O17" s="66">
        <f t="shared" si="0"/>
        <v>0</v>
      </c>
    </row>
    <row r="18" spans="1:17" ht="14.25" thickBot="1" x14ac:dyDescent="0.35">
      <c r="A18" s="14" t="s">
        <v>25</v>
      </c>
      <c r="B18" s="75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7"/>
      <c r="O18" s="66">
        <f t="shared" si="0"/>
        <v>0</v>
      </c>
    </row>
    <row r="19" spans="1:17" ht="14.25" thickBot="1" x14ac:dyDescent="0.35">
      <c r="A19" s="14" t="s">
        <v>26</v>
      </c>
      <c r="B19" s="44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7"/>
      <c r="O19" s="66">
        <f t="shared" si="0"/>
        <v>0</v>
      </c>
    </row>
    <row r="20" spans="1:17" s="79" customFormat="1" ht="14.25" thickBot="1" x14ac:dyDescent="0.35">
      <c r="A20" s="80" t="s">
        <v>158</v>
      </c>
      <c r="B20" s="108"/>
      <c r="C20" s="109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10"/>
      <c r="O20" s="66"/>
    </row>
    <row r="21" spans="1:17" ht="14.25" thickBot="1" x14ac:dyDescent="0.35">
      <c r="A21" s="14" t="s">
        <v>29</v>
      </c>
      <c r="B21" s="75"/>
      <c r="C21" s="111">
        <v>652</v>
      </c>
      <c r="D21" s="75"/>
      <c r="E21" s="75"/>
      <c r="F21" s="75"/>
      <c r="G21" s="75"/>
      <c r="H21" s="44"/>
      <c r="I21" s="44"/>
      <c r="J21" s="44"/>
      <c r="K21" s="75"/>
      <c r="L21" s="75"/>
      <c r="M21" s="44"/>
      <c r="N21" s="66">
        <f>0.05*SUM(B21:M21)</f>
        <v>32.6</v>
      </c>
      <c r="O21" s="66">
        <f t="shared" si="0"/>
        <v>684.6</v>
      </c>
      <c r="Q21" s="73">
        <f>C21/$C$27</f>
        <v>2.4687618326391519E-2</v>
      </c>
    </row>
    <row r="22" spans="1:17" ht="14.25" thickBot="1" x14ac:dyDescent="0.35">
      <c r="A22" s="14" t="s">
        <v>30</v>
      </c>
      <c r="B22" s="44"/>
      <c r="C22" s="111">
        <v>659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66">
        <f t="shared" ref="N22:N38" si="1">0.05*SUM(B22:M22)</f>
        <v>32.950000000000003</v>
      </c>
      <c r="O22" s="66">
        <f t="shared" si="0"/>
        <v>691.95</v>
      </c>
      <c r="Q22" s="73">
        <f t="shared" ref="Q22:Q27" si="2">C22/$C$27</f>
        <v>2.4952669443392653E-2</v>
      </c>
    </row>
    <row r="23" spans="1:17" ht="14.25" thickBot="1" x14ac:dyDescent="0.35">
      <c r="A23" s="14" t="s">
        <v>148</v>
      </c>
      <c r="B23" s="44"/>
      <c r="C23" s="111">
        <v>16100</v>
      </c>
      <c r="D23" s="75"/>
      <c r="E23" s="75"/>
      <c r="F23" s="75"/>
      <c r="G23" s="75"/>
      <c r="H23" s="44"/>
      <c r="I23" s="44"/>
      <c r="J23" s="44"/>
      <c r="K23" s="75"/>
      <c r="L23" s="75"/>
      <c r="M23" s="75"/>
      <c r="N23" s="66">
        <f t="shared" si="1"/>
        <v>805</v>
      </c>
      <c r="O23" s="66">
        <f t="shared" si="0"/>
        <v>16905</v>
      </c>
      <c r="Q23" s="73">
        <f t="shared" si="2"/>
        <v>0.60961756910261267</v>
      </c>
    </row>
    <row r="24" spans="1:17" ht="14.25" thickBot="1" x14ac:dyDescent="0.35">
      <c r="A24" s="14" t="s">
        <v>149</v>
      </c>
      <c r="B24" s="44"/>
      <c r="C24" s="111">
        <v>2550</v>
      </c>
      <c r="D24" s="75"/>
      <c r="E24" s="75"/>
      <c r="F24" s="75"/>
      <c r="G24" s="75"/>
      <c r="H24" s="44"/>
      <c r="I24" s="44"/>
      <c r="J24" s="44"/>
      <c r="K24" s="75"/>
      <c r="L24" s="75"/>
      <c r="M24" s="75"/>
      <c r="N24" s="66">
        <f t="shared" si="1"/>
        <v>127.5</v>
      </c>
      <c r="O24" s="66">
        <f t="shared" si="0"/>
        <v>2677.5</v>
      </c>
      <c r="Q24" s="73">
        <f t="shared" si="2"/>
        <v>9.6554335478985232E-2</v>
      </c>
    </row>
    <row r="25" spans="1:17" ht="14.25" thickBot="1" x14ac:dyDescent="0.35">
      <c r="A25" s="14" t="s">
        <v>150</v>
      </c>
      <c r="B25" s="44"/>
      <c r="C25" s="111">
        <v>1569</v>
      </c>
      <c r="D25" s="75"/>
      <c r="E25" s="75"/>
      <c r="F25" s="75"/>
      <c r="G25" s="75"/>
      <c r="H25" s="44"/>
      <c r="I25" s="44"/>
      <c r="J25" s="44"/>
      <c r="K25" s="75"/>
      <c r="L25" s="75"/>
      <c r="M25" s="75"/>
      <c r="N25" s="66">
        <f t="shared" si="1"/>
        <v>78.45</v>
      </c>
      <c r="O25" s="66">
        <f t="shared" si="0"/>
        <v>1647.45</v>
      </c>
      <c r="Q25" s="73">
        <f t="shared" si="2"/>
        <v>5.9409314653540324E-2</v>
      </c>
    </row>
    <row r="26" spans="1:17" ht="14.25" thickBot="1" x14ac:dyDescent="0.35">
      <c r="A26" s="14" t="s">
        <v>32</v>
      </c>
      <c r="B26" s="44"/>
      <c r="C26" s="111">
        <f>(4332+548)</f>
        <v>4880</v>
      </c>
      <c r="D26" s="75"/>
      <c r="E26" s="75"/>
      <c r="F26" s="75"/>
      <c r="G26" s="75"/>
      <c r="H26" s="44"/>
      <c r="I26" s="44"/>
      <c r="J26" s="44"/>
      <c r="K26" s="75"/>
      <c r="L26" s="75"/>
      <c r="M26" s="75"/>
      <c r="N26" s="66">
        <f t="shared" si="1"/>
        <v>244</v>
      </c>
      <c r="O26" s="66">
        <f t="shared" si="0"/>
        <v>5124</v>
      </c>
      <c r="Q26" s="73">
        <f t="shared" si="2"/>
        <v>0.18477849299507762</v>
      </c>
    </row>
    <row r="27" spans="1:17" s="62" customFormat="1" ht="14.25" thickBot="1" x14ac:dyDescent="0.35">
      <c r="A27" s="13" t="s">
        <v>229</v>
      </c>
      <c r="B27" s="131">
        <f>SUM(B21:B26)</f>
        <v>0</v>
      </c>
      <c r="C27" s="131">
        <f t="shared" ref="C27:O27" si="3">SUM(C21:C26)</f>
        <v>26410</v>
      </c>
      <c r="D27" s="131">
        <f t="shared" si="3"/>
        <v>0</v>
      </c>
      <c r="E27" s="131">
        <f t="shared" si="3"/>
        <v>0</v>
      </c>
      <c r="F27" s="131">
        <f t="shared" si="3"/>
        <v>0</v>
      </c>
      <c r="G27" s="131">
        <f t="shared" si="3"/>
        <v>0</v>
      </c>
      <c r="H27" s="131">
        <f t="shared" si="3"/>
        <v>0</v>
      </c>
      <c r="I27" s="131">
        <f t="shared" si="3"/>
        <v>0</v>
      </c>
      <c r="J27" s="131">
        <f t="shared" si="3"/>
        <v>0</v>
      </c>
      <c r="K27" s="131">
        <f t="shared" si="3"/>
        <v>0</v>
      </c>
      <c r="L27" s="131">
        <f t="shared" si="3"/>
        <v>0</v>
      </c>
      <c r="M27" s="131">
        <f t="shared" si="3"/>
        <v>0</v>
      </c>
      <c r="N27" s="131">
        <f t="shared" si="3"/>
        <v>1320.5</v>
      </c>
      <c r="O27" s="131">
        <f t="shared" si="3"/>
        <v>27730.5</v>
      </c>
      <c r="Q27" s="73">
        <f t="shared" si="2"/>
        <v>1</v>
      </c>
    </row>
    <row r="28" spans="1:17" ht="14.25" thickBot="1" x14ac:dyDescent="0.35">
      <c r="A28" s="13" t="s">
        <v>33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66">
        <f t="shared" si="1"/>
        <v>0</v>
      </c>
      <c r="O28" s="66">
        <f t="shared" si="0"/>
        <v>0</v>
      </c>
    </row>
    <row r="29" spans="1:17" ht="14.25" thickBot="1" x14ac:dyDescent="0.35">
      <c r="A29" s="14" t="s">
        <v>209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114">
        <f>([4]Sheet1!$G$21)*7/1000000</f>
        <v>74158.641354000007</v>
      </c>
      <c r="N29" s="66">
        <f t="shared" si="1"/>
        <v>3707.9320677000005</v>
      </c>
      <c r="O29" s="66">
        <f t="shared" si="0"/>
        <v>77866.573421700014</v>
      </c>
      <c r="Q29" s="70">
        <f>M29-M74</f>
        <v>25037.295654000009</v>
      </c>
    </row>
    <row r="30" spans="1:17" ht="14.25" thickBot="1" x14ac:dyDescent="0.35">
      <c r="A30" s="14" t="s">
        <v>230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114">
        <f>[4]Sheet2!$G$21/1000000</f>
        <v>9976.9283489999998</v>
      </c>
      <c r="N30" s="66">
        <f t="shared" si="1"/>
        <v>498.84641744999999</v>
      </c>
      <c r="O30" s="66">
        <f t="shared" si="0"/>
        <v>10475.77476645</v>
      </c>
      <c r="Q30" s="70">
        <f t="shared" ref="Q30:Q32" si="4">M30-M75</f>
        <v>9976.9283489999998</v>
      </c>
    </row>
    <row r="31" spans="1:17" ht="27.75" thickBot="1" x14ac:dyDescent="0.35">
      <c r="A31" s="14" t="s">
        <v>206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114">
        <f>[4]Sheet3!$G$21/1000000</f>
        <v>6135.8527029999996</v>
      </c>
      <c r="N31" s="66">
        <f t="shared" si="1"/>
        <v>306.79263514999997</v>
      </c>
      <c r="O31" s="66">
        <f t="shared" si="0"/>
        <v>6442.6453381499996</v>
      </c>
      <c r="Q31" s="70">
        <f t="shared" si="4"/>
        <v>6133.8526879999999</v>
      </c>
    </row>
    <row r="32" spans="1:17" ht="41.25" thickBot="1" x14ac:dyDescent="0.35">
      <c r="A32" s="14" t="s">
        <v>207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114">
        <f>[4]Sheet4!$G$21/1000000</f>
        <v>191.52192199999999</v>
      </c>
      <c r="N32" s="66">
        <f t="shared" si="1"/>
        <v>9.5760960999999991</v>
      </c>
      <c r="O32" s="66">
        <f t="shared" si="0"/>
        <v>201.09801809999999</v>
      </c>
      <c r="Q32" s="70">
        <f t="shared" si="4"/>
        <v>191.52192199999999</v>
      </c>
    </row>
    <row r="33" spans="1:17" ht="27.75" thickBot="1" x14ac:dyDescent="0.35">
      <c r="A33" s="14" t="s">
        <v>219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114">
        <f>[4]Sheet5!$G$21/1000000</f>
        <v>34303.549395000002</v>
      </c>
      <c r="N33" s="66">
        <f t="shared" si="1"/>
        <v>1715.1774697500002</v>
      </c>
      <c r="O33" s="66">
        <f t="shared" si="0"/>
        <v>36018.726864750002</v>
      </c>
      <c r="Q33" s="70">
        <f>M79-M33</f>
        <v>15613.759966999991</v>
      </c>
    </row>
    <row r="34" spans="1:17" s="62" customFormat="1" ht="14.25" thickBot="1" x14ac:dyDescent="0.35">
      <c r="A34" s="13" t="s">
        <v>229</v>
      </c>
      <c r="B34" s="136">
        <f>SUM(B29:B33)</f>
        <v>0</v>
      </c>
      <c r="C34" s="136">
        <f t="shared" ref="C34:O34" si="5">SUM(C29:C33)</f>
        <v>0</v>
      </c>
      <c r="D34" s="136">
        <f t="shared" si="5"/>
        <v>0</v>
      </c>
      <c r="E34" s="136">
        <f t="shared" si="5"/>
        <v>0</v>
      </c>
      <c r="F34" s="136">
        <f t="shared" si="5"/>
        <v>0</v>
      </c>
      <c r="G34" s="136">
        <f t="shared" si="5"/>
        <v>0</v>
      </c>
      <c r="H34" s="136">
        <f t="shared" si="5"/>
        <v>0</v>
      </c>
      <c r="I34" s="136">
        <f t="shared" si="5"/>
        <v>0</v>
      </c>
      <c r="J34" s="136">
        <f t="shared" si="5"/>
        <v>0</v>
      </c>
      <c r="K34" s="136">
        <f t="shared" si="5"/>
        <v>0</v>
      </c>
      <c r="L34" s="136"/>
      <c r="M34" s="136">
        <f t="shared" si="5"/>
        <v>124766.49372299999</v>
      </c>
      <c r="N34" s="136">
        <f t="shared" si="5"/>
        <v>6238.3246861500002</v>
      </c>
      <c r="O34" s="136">
        <f t="shared" si="5"/>
        <v>131004.81840915003</v>
      </c>
    </row>
    <row r="35" spans="1:17" ht="14.25" thickBot="1" x14ac:dyDescent="0.35">
      <c r="A35" s="13" t="s">
        <v>39</v>
      </c>
      <c r="B35" s="115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66">
        <f t="shared" si="1"/>
        <v>0</v>
      </c>
      <c r="O35" s="66">
        <f t="shared" si="0"/>
        <v>0</v>
      </c>
    </row>
    <row r="36" spans="1:17" ht="14.25" thickBot="1" x14ac:dyDescent="0.35">
      <c r="A36" s="48" t="s">
        <v>123</v>
      </c>
      <c r="B36" s="92"/>
      <c r="C36" s="44"/>
      <c r="D36" s="44"/>
      <c r="E36" s="44"/>
      <c r="F36" s="50"/>
      <c r="G36" s="44"/>
      <c r="H36" s="44"/>
      <c r="I36" s="44"/>
      <c r="J36" s="44"/>
      <c r="K36" s="44"/>
      <c r="L36" s="44"/>
      <c r="M36" s="44"/>
      <c r="N36" s="66">
        <f t="shared" si="1"/>
        <v>0</v>
      </c>
      <c r="O36" s="66">
        <f t="shared" si="0"/>
        <v>0</v>
      </c>
    </row>
    <row r="37" spans="1:17" ht="14.25" thickBot="1" x14ac:dyDescent="0.35">
      <c r="A37" s="14" t="s">
        <v>133</v>
      </c>
      <c r="B37" s="75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66">
        <f t="shared" si="1"/>
        <v>0</v>
      </c>
      <c r="O37" s="66">
        <f t="shared" si="0"/>
        <v>0</v>
      </c>
    </row>
    <row r="38" spans="1:17" ht="14.25" thickBot="1" x14ac:dyDescent="0.35">
      <c r="A38" s="14" t="s">
        <v>41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66">
        <f t="shared" si="1"/>
        <v>0</v>
      </c>
      <c r="O38" s="66">
        <f t="shared" si="0"/>
        <v>0</v>
      </c>
    </row>
    <row r="39" spans="1:17" ht="14.25" thickBot="1" x14ac:dyDescent="0.35">
      <c r="A39" s="13" t="s">
        <v>59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66"/>
      <c r="O39" s="66">
        <f t="shared" si="0"/>
        <v>0</v>
      </c>
    </row>
    <row r="40" spans="1:17" ht="14.25" thickBot="1" x14ac:dyDescent="0.35">
      <c r="A40" s="14" t="s">
        <v>42</v>
      </c>
      <c r="B40" s="44"/>
      <c r="C40" s="44">
        <f>N20</f>
        <v>0</v>
      </c>
      <c r="D40" s="44">
        <f t="shared" ref="D40:M40" si="6">O20</f>
        <v>0</v>
      </c>
      <c r="E40" s="44">
        <f t="shared" si="6"/>
        <v>0</v>
      </c>
      <c r="F40" s="44">
        <f t="shared" si="6"/>
        <v>0</v>
      </c>
      <c r="G40" s="44">
        <f t="shared" si="6"/>
        <v>0</v>
      </c>
      <c r="H40" s="44">
        <f t="shared" si="6"/>
        <v>0</v>
      </c>
      <c r="I40" s="44">
        <f t="shared" si="6"/>
        <v>0</v>
      </c>
      <c r="J40" s="44">
        <f t="shared" si="6"/>
        <v>0</v>
      </c>
      <c r="K40" s="44">
        <f t="shared" si="6"/>
        <v>0</v>
      </c>
      <c r="L40" s="44">
        <f t="shared" si="6"/>
        <v>0</v>
      </c>
      <c r="M40" s="44">
        <f t="shared" si="6"/>
        <v>0</v>
      </c>
      <c r="N40" s="66">
        <f>N34+N27</f>
        <v>7558.8246861500002</v>
      </c>
      <c r="O40" s="66">
        <f t="shared" si="0"/>
        <v>7558.8246861500002</v>
      </c>
    </row>
    <row r="41" spans="1:17" x14ac:dyDescent="0.3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</row>
    <row r="42" spans="1:17" ht="14.25" thickBot="1" x14ac:dyDescent="0.35"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64"/>
    </row>
    <row r="43" spans="1:17" ht="54.75" thickBot="1" x14ac:dyDescent="0.35">
      <c r="A43" s="15" t="s">
        <v>178</v>
      </c>
      <c r="B43" s="113" t="s">
        <v>4</v>
      </c>
      <c r="C43" s="113" t="s">
        <v>5</v>
      </c>
      <c r="D43" s="113" t="s">
        <v>6</v>
      </c>
      <c r="E43" s="113" t="s">
        <v>7</v>
      </c>
      <c r="F43" s="113" t="s">
        <v>8</v>
      </c>
      <c r="G43" s="113" t="s">
        <v>9</v>
      </c>
      <c r="H43" s="113" t="s">
        <v>10</v>
      </c>
      <c r="I43" s="113" t="s">
        <v>11</v>
      </c>
      <c r="J43" s="113" t="s">
        <v>12</v>
      </c>
      <c r="K43" s="113" t="s">
        <v>165</v>
      </c>
      <c r="L43" s="113" t="s">
        <v>14</v>
      </c>
      <c r="M43" s="113" t="s">
        <v>49</v>
      </c>
      <c r="N43" s="117" t="s">
        <v>1</v>
      </c>
      <c r="O43" s="117" t="s">
        <v>2</v>
      </c>
    </row>
    <row r="44" spans="1:17" ht="14.25" thickBot="1" x14ac:dyDescent="0.35">
      <c r="A44" s="13" t="s">
        <v>3</v>
      </c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66"/>
      <c r="O44" s="64"/>
    </row>
    <row r="45" spans="1:17" ht="14.25" hidden="1" thickBot="1" x14ac:dyDescent="0.35">
      <c r="A45" s="13" t="s">
        <v>16</v>
      </c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5"/>
      <c r="O45" s="64"/>
    </row>
    <row r="46" spans="1:17" ht="14.25" hidden="1" thickBot="1" x14ac:dyDescent="0.35">
      <c r="A46" s="14" t="s">
        <v>17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5"/>
      <c r="O46" s="64"/>
    </row>
    <row r="47" spans="1:17" ht="14.25" hidden="1" thickBot="1" x14ac:dyDescent="0.35">
      <c r="A47" s="14" t="s">
        <v>19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5"/>
      <c r="O47" s="64"/>
    </row>
    <row r="48" spans="1:17" ht="14.25" hidden="1" thickBot="1" x14ac:dyDescent="0.35">
      <c r="A48" s="14" t="s">
        <v>20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5"/>
      <c r="O48" s="64"/>
    </row>
    <row r="49" spans="1:15" ht="14.25" hidden="1" thickBot="1" x14ac:dyDescent="0.35">
      <c r="A49" s="14" t="s">
        <v>21</v>
      </c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5"/>
      <c r="O49" s="64"/>
    </row>
    <row r="50" spans="1:15" ht="14.25" hidden="1" thickBot="1" x14ac:dyDescent="0.35">
      <c r="A50" s="14" t="s">
        <v>22</v>
      </c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5"/>
      <c r="O50" s="64"/>
    </row>
    <row r="51" spans="1:15" ht="14.25" hidden="1" thickBot="1" x14ac:dyDescent="0.35">
      <c r="A51" s="14" t="s">
        <v>23</v>
      </c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5"/>
      <c r="O51" s="64"/>
    </row>
    <row r="52" spans="1:15" ht="14.25" hidden="1" thickBot="1" x14ac:dyDescent="0.35">
      <c r="A52" s="13" t="s">
        <v>96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5"/>
      <c r="O52" s="64"/>
    </row>
    <row r="53" spans="1:15" ht="14.25" hidden="1" thickBot="1" x14ac:dyDescent="0.35">
      <c r="A53" s="14" t="s">
        <v>125</v>
      </c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5"/>
      <c r="O53" s="64"/>
    </row>
    <row r="54" spans="1:15" ht="14.25" hidden="1" thickBot="1" x14ac:dyDescent="0.35">
      <c r="A54" s="14" t="s">
        <v>25</v>
      </c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5"/>
      <c r="O54" s="64"/>
    </row>
    <row r="55" spans="1:15" ht="14.25" hidden="1" thickBot="1" x14ac:dyDescent="0.35">
      <c r="A55" s="14" t="s">
        <v>26</v>
      </c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5"/>
      <c r="O55" s="64"/>
    </row>
    <row r="56" spans="1:15" ht="14.25" thickBot="1" x14ac:dyDescent="0.35">
      <c r="A56" s="13" t="s">
        <v>135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03"/>
      <c r="O56" s="102"/>
    </row>
    <row r="57" spans="1:15" ht="14.25" thickBot="1" x14ac:dyDescent="0.35">
      <c r="A57" s="14" t="s">
        <v>141</v>
      </c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03"/>
      <c r="O57" s="103">
        <f>SUM(B57:N57)</f>
        <v>0</v>
      </c>
    </row>
    <row r="58" spans="1:15" ht="14.25" thickBot="1" x14ac:dyDescent="0.35">
      <c r="A58" s="14" t="s">
        <v>140</v>
      </c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03"/>
      <c r="O58" s="103">
        <f t="shared" ref="O58:O89" si="7">SUM(B58:N58)</f>
        <v>0</v>
      </c>
    </row>
    <row r="59" spans="1:15" ht="14.25" thickBot="1" x14ac:dyDescent="0.35">
      <c r="A59" s="14" t="s">
        <v>21</v>
      </c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03"/>
      <c r="O59" s="103">
        <f t="shared" si="7"/>
        <v>0</v>
      </c>
    </row>
    <row r="60" spans="1:15" ht="14.25" thickBot="1" x14ac:dyDescent="0.35">
      <c r="A60" s="14" t="s">
        <v>21</v>
      </c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03"/>
      <c r="O60" s="103">
        <f t="shared" si="7"/>
        <v>0</v>
      </c>
    </row>
    <row r="61" spans="1:15" ht="14.25" thickBot="1" x14ac:dyDescent="0.35">
      <c r="A61" s="14" t="s">
        <v>188</v>
      </c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03"/>
      <c r="O61" s="103">
        <f t="shared" si="7"/>
        <v>0</v>
      </c>
    </row>
    <row r="62" spans="1:15" ht="14.25" thickBot="1" x14ac:dyDescent="0.35">
      <c r="A62" s="14" t="s">
        <v>189</v>
      </c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03"/>
      <c r="O62" s="103">
        <f t="shared" si="7"/>
        <v>0</v>
      </c>
    </row>
    <row r="63" spans="1:15" ht="14.25" thickBot="1" x14ac:dyDescent="0.35">
      <c r="A63" s="14" t="s">
        <v>190</v>
      </c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03"/>
      <c r="O63" s="103">
        <f t="shared" si="7"/>
        <v>0</v>
      </c>
    </row>
    <row r="64" spans="1:15" ht="14.25" thickBot="1" x14ac:dyDescent="0.35">
      <c r="A64" s="14" t="s">
        <v>191</v>
      </c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03"/>
      <c r="O64" s="103">
        <f t="shared" si="7"/>
        <v>0</v>
      </c>
    </row>
    <row r="65" spans="1:15" ht="14.25" thickBot="1" x14ac:dyDescent="0.35">
      <c r="A65" s="14" t="s">
        <v>192</v>
      </c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03"/>
      <c r="O65" s="103">
        <f t="shared" si="7"/>
        <v>0</v>
      </c>
    </row>
    <row r="66" spans="1:15" ht="14.25" thickBot="1" x14ac:dyDescent="0.35">
      <c r="A66" s="14" t="s">
        <v>29</v>
      </c>
      <c r="B66" s="87"/>
      <c r="C66" s="87"/>
      <c r="D66" s="87"/>
      <c r="E66" s="87"/>
      <c r="F66" s="87"/>
      <c r="G66" s="87"/>
      <c r="H66" s="87">
        <v>652</v>
      </c>
      <c r="I66" s="87"/>
      <c r="J66" s="87"/>
      <c r="K66" s="87"/>
      <c r="L66" s="87"/>
      <c r="M66" s="87"/>
      <c r="N66" s="88"/>
      <c r="O66" s="66">
        <f t="shared" si="7"/>
        <v>652</v>
      </c>
    </row>
    <row r="67" spans="1:15" ht="14.25" thickBot="1" x14ac:dyDescent="0.35">
      <c r="A67" s="14" t="s">
        <v>30</v>
      </c>
      <c r="B67" s="87"/>
      <c r="C67" s="87"/>
      <c r="D67" s="87"/>
      <c r="E67" s="87"/>
      <c r="F67" s="87">
        <v>452</v>
      </c>
      <c r="G67" s="87"/>
      <c r="H67" s="87">
        <v>207</v>
      </c>
      <c r="I67" s="87"/>
      <c r="J67" s="87"/>
      <c r="K67" s="87"/>
      <c r="L67" s="87"/>
      <c r="M67" s="87"/>
      <c r="N67" s="88"/>
      <c r="O67" s="66">
        <f t="shared" si="7"/>
        <v>659</v>
      </c>
    </row>
    <row r="68" spans="1:15" ht="14.25" thickBot="1" x14ac:dyDescent="0.35">
      <c r="A68" s="14" t="s">
        <v>148</v>
      </c>
      <c r="B68" s="87"/>
      <c r="C68" s="87"/>
      <c r="D68" s="87"/>
      <c r="E68" s="87"/>
      <c r="F68" s="87">
        <v>15422</v>
      </c>
      <c r="G68" s="87"/>
      <c r="H68" s="87">
        <v>678</v>
      </c>
      <c r="I68" s="87"/>
      <c r="J68" s="87"/>
      <c r="K68" s="87"/>
      <c r="L68" s="87"/>
      <c r="M68" s="87"/>
      <c r="N68" s="88"/>
      <c r="O68" s="66">
        <f t="shared" si="7"/>
        <v>16100</v>
      </c>
    </row>
    <row r="69" spans="1:15" ht="14.25" thickBot="1" x14ac:dyDescent="0.35">
      <c r="A69" s="14" t="s">
        <v>149</v>
      </c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>
        <f>595+1955</f>
        <v>2550</v>
      </c>
      <c r="M69" s="87"/>
      <c r="N69" s="88"/>
      <c r="O69" s="66">
        <f t="shared" si="7"/>
        <v>2550</v>
      </c>
    </row>
    <row r="70" spans="1:15" ht="14.25" thickBot="1" x14ac:dyDescent="0.35">
      <c r="A70" s="14" t="s">
        <v>150</v>
      </c>
      <c r="B70" s="87"/>
      <c r="C70" s="87"/>
      <c r="D70" s="87"/>
      <c r="E70" s="87"/>
      <c r="F70" s="87"/>
      <c r="G70" s="87">
        <f>1285+284</f>
        <v>1569</v>
      </c>
      <c r="H70" s="87"/>
      <c r="I70" s="87"/>
      <c r="J70" s="87"/>
      <c r="K70" s="87"/>
      <c r="L70" s="87"/>
      <c r="M70" s="87"/>
      <c r="N70" s="88"/>
      <c r="O70" s="66">
        <f t="shared" si="7"/>
        <v>1569</v>
      </c>
    </row>
    <row r="71" spans="1:15" ht="14.25" thickBot="1" x14ac:dyDescent="0.35">
      <c r="A71" s="14" t="s">
        <v>32</v>
      </c>
      <c r="B71" s="87"/>
      <c r="C71" s="87"/>
      <c r="D71" s="87"/>
      <c r="E71" s="87"/>
      <c r="F71" s="87"/>
      <c r="G71" s="87"/>
      <c r="H71" s="87"/>
      <c r="I71" s="87">
        <f>C26</f>
        <v>4880</v>
      </c>
      <c r="J71" s="87"/>
      <c r="K71" s="87"/>
      <c r="L71" s="87"/>
      <c r="M71" s="87"/>
      <c r="N71" s="88"/>
      <c r="O71" s="66">
        <f t="shared" si="7"/>
        <v>4880</v>
      </c>
    </row>
    <row r="72" spans="1:15" ht="14.25" thickBot="1" x14ac:dyDescent="0.35">
      <c r="A72" s="14" t="s">
        <v>167</v>
      </c>
      <c r="B72" s="87">
        <f>SUM(B66:B71)</f>
        <v>0</v>
      </c>
      <c r="C72" s="87">
        <f t="shared" ref="C72:N72" si="8">SUM(C66:C71)</f>
        <v>0</v>
      </c>
      <c r="D72" s="87">
        <f t="shared" si="8"/>
        <v>0</v>
      </c>
      <c r="E72" s="87">
        <f t="shared" si="8"/>
        <v>0</v>
      </c>
      <c r="F72" s="87">
        <f t="shared" si="8"/>
        <v>15874</v>
      </c>
      <c r="G72" s="87">
        <f t="shared" si="8"/>
        <v>1569</v>
      </c>
      <c r="H72" s="87">
        <f t="shared" si="8"/>
        <v>1537</v>
      </c>
      <c r="I72" s="87">
        <f t="shared" si="8"/>
        <v>4880</v>
      </c>
      <c r="J72" s="87">
        <f t="shared" si="8"/>
        <v>0</v>
      </c>
      <c r="K72" s="87">
        <f t="shared" si="8"/>
        <v>0</v>
      </c>
      <c r="L72" s="87">
        <f t="shared" si="8"/>
        <v>2550</v>
      </c>
      <c r="M72" s="87">
        <f t="shared" si="8"/>
        <v>0</v>
      </c>
      <c r="N72" s="87">
        <f t="shared" si="8"/>
        <v>0</v>
      </c>
      <c r="O72" s="66">
        <f>SUM(O66:O71)</f>
        <v>26410</v>
      </c>
    </row>
    <row r="73" spans="1:15" ht="14.25" thickBot="1" x14ac:dyDescent="0.35">
      <c r="A73" s="13" t="s">
        <v>54</v>
      </c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3"/>
      <c r="O73" s="66">
        <f t="shared" si="7"/>
        <v>0</v>
      </c>
    </row>
    <row r="74" spans="1:15" ht="14.25" thickBot="1" x14ac:dyDescent="0.35">
      <c r="A74" s="14" t="s">
        <v>204</v>
      </c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114">
        <f>([5]Sheet2!$G$222)*0.7/1000</f>
        <v>49121.345699999998</v>
      </c>
      <c r="N74" s="64">
        <f>SUM(B74:M74)*0.05</f>
        <v>2456.0672850000001</v>
      </c>
      <c r="O74" s="66">
        <f t="shared" si="7"/>
        <v>51577.412984999995</v>
      </c>
    </row>
    <row r="75" spans="1:15" ht="14.25" thickBot="1" x14ac:dyDescent="0.35">
      <c r="A75" s="14" t="s">
        <v>205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114"/>
      <c r="N75" s="64">
        <f t="shared" ref="N75:N78" si="9">SUM(B75:M75)*0.05</f>
        <v>0</v>
      </c>
      <c r="O75" s="66">
        <f t="shared" si="7"/>
        <v>0</v>
      </c>
    </row>
    <row r="76" spans="1:15" ht="27.75" thickBot="1" x14ac:dyDescent="0.35">
      <c r="A76" s="14" t="s">
        <v>206</v>
      </c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114">
        <f>[5]Sheet4!$G$149/1000000</f>
        <v>2.0000149999999999</v>
      </c>
      <c r="N76" s="64">
        <f t="shared" si="9"/>
        <v>0.10000075</v>
      </c>
      <c r="O76" s="66">
        <f t="shared" si="7"/>
        <v>2.1000157499999998</v>
      </c>
    </row>
    <row r="77" spans="1:15" ht="41.25" thickBot="1" x14ac:dyDescent="0.35">
      <c r="A77" s="14" t="s">
        <v>207</v>
      </c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114"/>
      <c r="N77" s="64">
        <f t="shared" si="9"/>
        <v>0</v>
      </c>
      <c r="O77" s="66">
        <f t="shared" si="7"/>
        <v>0</v>
      </c>
    </row>
    <row r="78" spans="1:15" ht="27.75" thickBot="1" x14ac:dyDescent="0.35">
      <c r="A78" s="14" t="s">
        <v>208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114">
        <f>[5]Sheet6!$G$208/1000000</f>
        <v>793.96364700000004</v>
      </c>
      <c r="N78" s="64">
        <f t="shared" si="9"/>
        <v>39.698182350000003</v>
      </c>
      <c r="O78" s="66">
        <f t="shared" si="7"/>
        <v>833.66182935000006</v>
      </c>
    </row>
    <row r="79" spans="1:15" ht="14.25" thickBot="1" x14ac:dyDescent="0.35">
      <c r="A79" s="14" t="s">
        <v>229</v>
      </c>
      <c r="B79" s="75">
        <f>SUM(B74:B78)</f>
        <v>0</v>
      </c>
      <c r="C79" s="75">
        <f t="shared" ref="C79:N79" si="10">SUM(C74:C78)</f>
        <v>0</v>
      </c>
      <c r="D79" s="75">
        <f t="shared" si="10"/>
        <v>0</v>
      </c>
      <c r="E79" s="75">
        <f t="shared" si="10"/>
        <v>0</v>
      </c>
      <c r="F79" s="75">
        <f t="shared" si="10"/>
        <v>0</v>
      </c>
      <c r="G79" s="75">
        <f t="shared" si="10"/>
        <v>0</v>
      </c>
      <c r="H79" s="75">
        <f t="shared" si="10"/>
        <v>0</v>
      </c>
      <c r="I79" s="75">
        <f t="shared" si="10"/>
        <v>0</v>
      </c>
      <c r="J79" s="75">
        <f t="shared" si="10"/>
        <v>0</v>
      </c>
      <c r="K79" s="75">
        <f t="shared" si="10"/>
        <v>0</v>
      </c>
      <c r="L79" s="75"/>
      <c r="M79" s="75">
        <f t="shared" si="10"/>
        <v>49917.309361999993</v>
      </c>
      <c r="N79" s="75">
        <f t="shared" si="10"/>
        <v>2495.8654681000003</v>
      </c>
      <c r="O79" s="75">
        <f>SUM(O74:O78)</f>
        <v>52413.174830099997</v>
      </c>
    </row>
    <row r="80" spans="1:15" ht="14.25" thickBot="1" x14ac:dyDescent="0.35">
      <c r="A80" s="13" t="s">
        <v>56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66"/>
      <c r="O80" s="66">
        <f t="shared" si="7"/>
        <v>0</v>
      </c>
    </row>
    <row r="81" spans="1:15" ht="14.25" thickBot="1" x14ac:dyDescent="0.35">
      <c r="A81" s="14" t="s">
        <v>122</v>
      </c>
      <c r="B81" s="75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66"/>
      <c r="O81" s="66">
        <f t="shared" si="7"/>
        <v>0</v>
      </c>
    </row>
    <row r="82" spans="1:15" ht="14.25" thickBot="1" x14ac:dyDescent="0.35">
      <c r="A82" s="14" t="s">
        <v>57</v>
      </c>
      <c r="B82" s="75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66"/>
      <c r="O82" s="66">
        <f t="shared" si="7"/>
        <v>0</v>
      </c>
    </row>
    <row r="83" spans="1:15" ht="14.25" thickBot="1" x14ac:dyDescent="0.35">
      <c r="A83" s="14" t="s">
        <v>41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66"/>
      <c r="O83" s="66">
        <f t="shared" si="7"/>
        <v>0</v>
      </c>
    </row>
    <row r="84" spans="1:15" ht="14.25" thickBot="1" x14ac:dyDescent="0.35">
      <c r="A84" s="13" t="s">
        <v>59</v>
      </c>
      <c r="B84" s="44">
        <f>0.05*B72</f>
        <v>0</v>
      </c>
      <c r="C84" s="44">
        <f t="shared" ref="C84:N84" si="11">0.05*C72</f>
        <v>0</v>
      </c>
      <c r="D84" s="44">
        <f t="shared" si="11"/>
        <v>0</v>
      </c>
      <c r="E84" s="44">
        <f t="shared" si="11"/>
        <v>0</v>
      </c>
      <c r="F84" s="44">
        <f t="shared" si="11"/>
        <v>793.7</v>
      </c>
      <c r="G84" s="44">
        <f t="shared" si="11"/>
        <v>78.45</v>
      </c>
      <c r="H84" s="44">
        <f t="shared" si="11"/>
        <v>76.850000000000009</v>
      </c>
      <c r="I84" s="44">
        <f t="shared" si="11"/>
        <v>244</v>
      </c>
      <c r="J84" s="44">
        <f t="shared" si="11"/>
        <v>0</v>
      </c>
      <c r="K84" s="44">
        <f t="shared" si="11"/>
        <v>0</v>
      </c>
      <c r="L84" s="44">
        <f t="shared" si="11"/>
        <v>127.5</v>
      </c>
      <c r="M84" s="44">
        <f t="shared" si="11"/>
        <v>0</v>
      </c>
      <c r="N84" s="44">
        <f t="shared" si="11"/>
        <v>0</v>
      </c>
      <c r="O84" s="66">
        <f t="shared" si="7"/>
        <v>1320.5</v>
      </c>
    </row>
    <row r="85" spans="1:15" ht="14.25" thickBot="1" x14ac:dyDescent="0.35">
      <c r="A85" s="1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66"/>
      <c r="O85" s="66">
        <f t="shared" si="7"/>
        <v>0</v>
      </c>
    </row>
    <row r="86" spans="1:15" ht="14.25" thickBot="1" x14ac:dyDescent="0.35">
      <c r="A86" s="14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64"/>
      <c r="O86" s="66">
        <f t="shared" si="7"/>
        <v>0</v>
      </c>
    </row>
    <row r="87" spans="1:15" ht="14.25" thickBot="1" x14ac:dyDescent="0.35"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66">
        <f t="shared" si="7"/>
        <v>0</v>
      </c>
    </row>
    <row r="88" spans="1:15" ht="14.25" thickBot="1" x14ac:dyDescent="0.35">
      <c r="F88" s="73">
        <f>F72/$O$72</f>
        <v>0.60106020446800457</v>
      </c>
      <c r="G88" s="73">
        <f t="shared" ref="G88:L88" si="12">G72/$O$72</f>
        <v>5.9409314653540324E-2</v>
      </c>
      <c r="H88" s="73">
        <f t="shared" si="12"/>
        <v>5.8197652404392279E-2</v>
      </c>
      <c r="I88" s="73">
        <f t="shared" si="12"/>
        <v>0.18477849299507762</v>
      </c>
      <c r="J88" s="73">
        <f t="shared" si="12"/>
        <v>0</v>
      </c>
      <c r="K88" s="73">
        <f t="shared" si="12"/>
        <v>0</v>
      </c>
      <c r="L88" s="73">
        <f t="shared" si="12"/>
        <v>9.6554335478985232E-2</v>
      </c>
      <c r="O88" s="66">
        <f t="shared" si="7"/>
        <v>1</v>
      </c>
    </row>
    <row r="89" spans="1:15" ht="14.25" thickBot="1" x14ac:dyDescent="0.35">
      <c r="O89" s="66">
        <f t="shared" si="7"/>
        <v>0</v>
      </c>
    </row>
  </sheetData>
  <pageMargins left="0.7" right="0.7" top="0.75" bottom="0.75" header="0.3" footer="0.3"/>
  <pageSetup orientation="portrait" horizontalDpi="4294967293" verticalDpi="0" r:id="rId1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7"/>
  <sheetViews>
    <sheetView topLeftCell="A56" workbookViewId="0">
      <selection activeCell="I72" sqref="I72"/>
    </sheetView>
  </sheetViews>
  <sheetFormatPr defaultColWidth="9.140625" defaultRowHeight="13.5" x14ac:dyDescent="0.3"/>
  <cols>
    <col min="1" max="1" width="39.5703125" style="42" customWidth="1"/>
    <col min="2" max="3" width="10.7109375" style="5" bestFit="1" customWidth="1"/>
    <col min="4" max="12" width="9.140625" style="5"/>
    <col min="13" max="13" width="11.5703125" style="5" bestFit="1" customWidth="1"/>
    <col min="14" max="14" width="9.85546875" style="5" bestFit="1" customWidth="1"/>
    <col min="15" max="15" width="11.28515625" style="5" bestFit="1" customWidth="1"/>
    <col min="16" max="16384" width="9.140625" style="5"/>
  </cols>
  <sheetData>
    <row r="1" spans="1:16" ht="27.75" thickBot="1" x14ac:dyDescent="0.35">
      <c r="A1" s="12" t="s">
        <v>174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1" t="s">
        <v>1</v>
      </c>
      <c r="O1" s="1" t="s">
        <v>2</v>
      </c>
    </row>
    <row r="2" spans="1:16" ht="41.25" thickBot="1" x14ac:dyDescent="0.35">
      <c r="A2" s="1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165</v>
      </c>
      <c r="L2" s="3" t="s">
        <v>14</v>
      </c>
      <c r="M2" s="3" t="s">
        <v>15</v>
      </c>
      <c r="N2" s="1" t="s">
        <v>1</v>
      </c>
      <c r="O2" s="1" t="s">
        <v>2</v>
      </c>
    </row>
    <row r="3" spans="1:16" ht="14.25" thickBot="1" x14ac:dyDescent="0.35">
      <c r="A3" s="13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39"/>
      <c r="N3" s="41"/>
      <c r="O3" s="38"/>
    </row>
    <row r="4" spans="1:16" ht="14.25" thickBot="1" x14ac:dyDescent="0.35">
      <c r="A4" s="14" t="s">
        <v>139</v>
      </c>
      <c r="B4" s="39"/>
      <c r="C4" s="72"/>
      <c r="D4" s="39"/>
      <c r="E4" s="39"/>
      <c r="F4" s="39"/>
      <c r="G4" s="39"/>
      <c r="H4" s="39"/>
      <c r="I4" s="39"/>
      <c r="J4" s="39"/>
      <c r="K4" s="39"/>
      <c r="L4" s="39"/>
      <c r="M4" s="39"/>
      <c r="N4" s="41"/>
      <c r="O4" s="64">
        <f>SUM(B4:N4)</f>
        <v>0</v>
      </c>
    </row>
    <row r="5" spans="1:16" ht="14.25" thickBot="1" x14ac:dyDescent="0.35">
      <c r="A5" s="14" t="s">
        <v>140</v>
      </c>
      <c r="B5" s="39"/>
      <c r="C5" s="44"/>
      <c r="D5" s="39"/>
      <c r="E5" s="39"/>
      <c r="F5" s="39"/>
      <c r="G5" s="39"/>
      <c r="H5" s="39"/>
      <c r="I5" s="39"/>
      <c r="J5" s="39"/>
      <c r="K5" s="39"/>
      <c r="L5" s="39"/>
      <c r="M5" s="39"/>
      <c r="N5" s="41"/>
      <c r="O5" s="64">
        <f t="shared" ref="O5:O40" si="0">SUM(B5:N5)</f>
        <v>0</v>
      </c>
    </row>
    <row r="6" spans="1:16" ht="14.25" thickBot="1" x14ac:dyDescent="0.35">
      <c r="A6" s="14" t="s">
        <v>21</v>
      </c>
      <c r="B6" s="39"/>
      <c r="C6" s="47"/>
      <c r="D6" s="39"/>
      <c r="E6" s="39"/>
      <c r="F6" s="39"/>
      <c r="G6" s="39"/>
      <c r="H6" s="39"/>
      <c r="I6" s="39"/>
      <c r="J6" s="39"/>
      <c r="K6" s="39"/>
      <c r="L6" s="39"/>
      <c r="M6" s="39"/>
      <c r="N6" s="41"/>
      <c r="O6" s="64">
        <f t="shared" si="0"/>
        <v>0</v>
      </c>
    </row>
    <row r="7" spans="1:16" ht="14.25" thickBot="1" x14ac:dyDescent="0.35">
      <c r="A7" s="14" t="s">
        <v>210</v>
      </c>
      <c r="B7" s="39"/>
      <c r="C7" s="47">
        <f>([1]Sheet3!$F$17/1000)/15</f>
        <v>24.292533333333331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41"/>
      <c r="O7" s="64">
        <f t="shared" si="0"/>
        <v>24.292533333333331</v>
      </c>
    </row>
    <row r="8" spans="1:16" ht="14.25" thickBot="1" x14ac:dyDescent="0.35">
      <c r="A8" s="14" t="s">
        <v>211</v>
      </c>
      <c r="B8" s="39"/>
      <c r="C8" s="6">
        <f>([1]Sheet3!$G$17/1000)/15</f>
        <v>32.906799999999997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41"/>
      <c r="O8" s="64">
        <f t="shared" si="0"/>
        <v>32.906799999999997</v>
      </c>
    </row>
    <row r="9" spans="1:16" ht="14.25" thickBot="1" x14ac:dyDescent="0.35">
      <c r="A9" s="14" t="s">
        <v>212</v>
      </c>
      <c r="B9" s="39"/>
      <c r="C9" s="6">
        <f>([2]Sheet2!$I$17/1000)/30</f>
        <v>580.45623333333344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41"/>
      <c r="O9" s="64">
        <f t="shared" si="0"/>
        <v>580.45623333333344</v>
      </c>
    </row>
    <row r="10" spans="1:16" ht="14.25" thickBot="1" x14ac:dyDescent="0.35">
      <c r="A10" s="14" t="s">
        <v>213</v>
      </c>
      <c r="B10" s="39"/>
      <c r="C10" s="6">
        <f>([2]Sheet2!$J$17/1000)/30</f>
        <v>68.713800000000006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1"/>
      <c r="O10" s="64">
        <f t="shared" si="0"/>
        <v>68.713800000000006</v>
      </c>
    </row>
    <row r="11" spans="1:16" ht="14.25" thickBot="1" x14ac:dyDescent="0.35">
      <c r="A11" s="14" t="s">
        <v>214</v>
      </c>
      <c r="B11" s="39"/>
      <c r="C11" s="6">
        <f>([2]Sheet2!$K$17/1000)/30</f>
        <v>162.28956666666667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1"/>
      <c r="O11" s="64">
        <f t="shared" si="0"/>
        <v>162.28956666666667</v>
      </c>
    </row>
    <row r="12" spans="1:16" s="62" customFormat="1" ht="14.25" thickBot="1" x14ac:dyDescent="0.35">
      <c r="A12" s="14" t="s">
        <v>240</v>
      </c>
      <c r="B12" s="104"/>
      <c r="C12" s="75">
        <f>SUM(C7:C11)</f>
        <v>868.65893333333349</v>
      </c>
      <c r="D12" s="112">
        <f t="shared" ref="D12:O12" si="1">SUM(D7:D11)</f>
        <v>0</v>
      </c>
      <c r="E12" s="112">
        <f t="shared" si="1"/>
        <v>0</v>
      </c>
      <c r="F12" s="112">
        <f t="shared" si="1"/>
        <v>0</v>
      </c>
      <c r="G12" s="112">
        <f t="shared" si="1"/>
        <v>0</v>
      </c>
      <c r="H12" s="112">
        <f t="shared" si="1"/>
        <v>0</v>
      </c>
      <c r="I12" s="112">
        <f t="shared" si="1"/>
        <v>0</v>
      </c>
      <c r="J12" s="112">
        <f t="shared" si="1"/>
        <v>0</v>
      </c>
      <c r="K12" s="112">
        <f t="shared" si="1"/>
        <v>0</v>
      </c>
      <c r="L12" s="112">
        <f t="shared" si="1"/>
        <v>0</v>
      </c>
      <c r="M12" s="112">
        <f t="shared" si="1"/>
        <v>0</v>
      </c>
      <c r="N12" s="112">
        <f t="shared" si="1"/>
        <v>0</v>
      </c>
      <c r="O12" s="112">
        <f t="shared" si="1"/>
        <v>868.65893333333349</v>
      </c>
      <c r="P12" s="142">
        <f>O12/O27</f>
        <v>2.570913397626472E-2</v>
      </c>
    </row>
    <row r="13" spans="1:16" s="62" customFormat="1" ht="14.25" thickBot="1" x14ac:dyDescent="0.35">
      <c r="A13" s="14" t="s">
        <v>241</v>
      </c>
      <c r="B13" s="104"/>
      <c r="C13" s="75">
        <f>[3]Sheet2!$P$24/1000</f>
        <v>38895.619480000008</v>
      </c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42"/>
    </row>
    <row r="14" spans="1:16" s="62" customFormat="1" ht="14.25" thickBot="1" x14ac:dyDescent="0.35">
      <c r="A14" s="14" t="s">
        <v>242</v>
      </c>
      <c r="B14" s="104"/>
      <c r="C14" s="75">
        <f>C13+C12</f>
        <v>39764.278413333341</v>
      </c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42"/>
    </row>
    <row r="15" spans="1:16" ht="14.25" thickBot="1" x14ac:dyDescent="0.35">
      <c r="A15" s="14" t="s">
        <v>243</v>
      </c>
      <c r="B15" s="104"/>
      <c r="C15" s="75">
        <f>O27-C14</f>
        <v>-5976.3284133333436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1"/>
      <c r="O15" s="64"/>
    </row>
    <row r="16" spans="1:16" ht="14.25" thickBot="1" x14ac:dyDescent="0.35">
      <c r="A16" s="13" t="s">
        <v>96</v>
      </c>
      <c r="B16" s="39"/>
      <c r="C16" s="40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41"/>
      <c r="O16" s="64">
        <f t="shared" si="0"/>
        <v>0</v>
      </c>
    </row>
    <row r="17" spans="1:17" ht="14.25" thickBot="1" x14ac:dyDescent="0.35">
      <c r="A17" s="14" t="s">
        <v>168</v>
      </c>
      <c r="B17" s="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7"/>
      <c r="O17" s="64">
        <f t="shared" si="0"/>
        <v>0</v>
      </c>
    </row>
    <row r="18" spans="1:17" ht="14.25" thickBot="1" x14ac:dyDescent="0.35">
      <c r="A18" s="14" t="s">
        <v>25</v>
      </c>
      <c r="B18" s="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7"/>
      <c r="O18" s="64">
        <f t="shared" si="0"/>
        <v>0</v>
      </c>
    </row>
    <row r="19" spans="1:17" ht="14.25" thickBot="1" x14ac:dyDescent="0.35">
      <c r="A19" s="14" t="s">
        <v>26</v>
      </c>
      <c r="B19" s="40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  <c r="O19" s="64">
        <f t="shared" si="0"/>
        <v>0</v>
      </c>
    </row>
    <row r="20" spans="1:17" s="79" customFormat="1" ht="14.25" thickBot="1" x14ac:dyDescent="0.35">
      <c r="A20" s="80" t="s">
        <v>158</v>
      </c>
      <c r="B20" s="77"/>
      <c r="C20" s="81">
        <f>SUM(C21:C26)</f>
        <v>32179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  <c r="O20" s="64"/>
    </row>
    <row r="21" spans="1:17" ht="14.25" thickBot="1" x14ac:dyDescent="0.35">
      <c r="A21" s="14" t="s">
        <v>29</v>
      </c>
      <c r="B21" s="6"/>
      <c r="C21" s="82">
        <v>902</v>
      </c>
      <c r="D21" s="8"/>
      <c r="E21" s="8"/>
      <c r="F21" s="8"/>
      <c r="G21" s="8"/>
      <c r="H21" s="40"/>
      <c r="I21" s="40"/>
      <c r="J21" s="40"/>
      <c r="K21" s="8"/>
      <c r="L21" s="8"/>
      <c r="M21" s="40"/>
      <c r="N21" s="38">
        <f t="shared" ref="N21:N37" si="2">0.05*SUM(B21:M21)</f>
        <v>45.1</v>
      </c>
      <c r="O21" s="64">
        <f t="shared" si="0"/>
        <v>947.1</v>
      </c>
      <c r="Q21" s="73">
        <f>C21/$C$27</f>
        <v>2.8030703253674755E-2</v>
      </c>
    </row>
    <row r="22" spans="1:17" ht="14.25" thickBot="1" x14ac:dyDescent="0.35">
      <c r="A22" s="14" t="s">
        <v>30</v>
      </c>
      <c r="B22" s="40"/>
      <c r="C22" s="82">
        <v>808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38">
        <f t="shared" si="2"/>
        <v>40.400000000000006</v>
      </c>
      <c r="O22" s="64">
        <f t="shared" si="0"/>
        <v>848.4</v>
      </c>
      <c r="Q22" s="73">
        <f t="shared" ref="Q22:Q27" si="3">C22/$C$27</f>
        <v>2.5109543491096679E-2</v>
      </c>
    </row>
    <row r="23" spans="1:17" ht="14.25" thickBot="1" x14ac:dyDescent="0.35">
      <c r="A23" s="14" t="s">
        <v>148</v>
      </c>
      <c r="B23" s="40"/>
      <c r="C23" s="82">
        <v>19021</v>
      </c>
      <c r="D23" s="8"/>
      <c r="E23" s="8"/>
      <c r="F23" s="8"/>
      <c r="G23" s="8"/>
      <c r="H23" s="40"/>
      <c r="I23" s="40"/>
      <c r="J23" s="40"/>
      <c r="K23" s="8"/>
      <c r="L23" s="8"/>
      <c r="M23" s="8"/>
      <c r="N23" s="38">
        <f t="shared" si="2"/>
        <v>951.05000000000007</v>
      </c>
      <c r="O23" s="64">
        <f t="shared" si="0"/>
        <v>19972.05</v>
      </c>
      <c r="Q23" s="73">
        <f t="shared" si="3"/>
        <v>0.59109978557444298</v>
      </c>
    </row>
    <row r="24" spans="1:17" ht="14.25" thickBot="1" x14ac:dyDescent="0.35">
      <c r="A24" s="14" t="s">
        <v>149</v>
      </c>
      <c r="B24" s="40"/>
      <c r="C24" s="82">
        <v>2993</v>
      </c>
      <c r="D24" s="8"/>
      <c r="E24" s="8"/>
      <c r="F24" s="8"/>
      <c r="G24" s="8"/>
      <c r="H24" s="40"/>
      <c r="I24" s="40"/>
      <c r="J24" s="40"/>
      <c r="K24" s="8"/>
      <c r="L24" s="8"/>
      <c r="M24" s="8"/>
      <c r="N24" s="38">
        <f t="shared" si="2"/>
        <v>149.65</v>
      </c>
      <c r="O24" s="64">
        <f t="shared" si="0"/>
        <v>3142.65</v>
      </c>
      <c r="Q24" s="73">
        <f t="shared" si="3"/>
        <v>9.3010969887193512E-2</v>
      </c>
    </row>
    <row r="25" spans="1:17" ht="14.25" thickBot="1" x14ac:dyDescent="0.35">
      <c r="A25" s="14" t="s">
        <v>150</v>
      </c>
      <c r="B25" s="40"/>
      <c r="C25" s="82">
        <v>1949</v>
      </c>
      <c r="D25" s="8"/>
      <c r="E25" s="8"/>
      <c r="F25" s="8"/>
      <c r="G25" s="8"/>
      <c r="H25" s="40"/>
      <c r="I25" s="40"/>
      <c r="J25" s="40"/>
      <c r="K25" s="8"/>
      <c r="L25" s="8"/>
      <c r="M25" s="8"/>
      <c r="N25" s="38">
        <f t="shared" si="2"/>
        <v>97.45</v>
      </c>
      <c r="O25" s="64">
        <f t="shared" si="0"/>
        <v>2046.45</v>
      </c>
      <c r="Q25" s="73">
        <f t="shared" si="3"/>
        <v>6.0567450821964637E-2</v>
      </c>
    </row>
    <row r="26" spans="1:17" ht="14.25" thickBot="1" x14ac:dyDescent="0.35">
      <c r="A26" s="14" t="s">
        <v>32</v>
      </c>
      <c r="B26" s="40"/>
      <c r="C26" s="82">
        <f>6506</f>
        <v>6506</v>
      </c>
      <c r="D26" s="8"/>
      <c r="E26" s="8"/>
      <c r="F26" s="8"/>
      <c r="G26" s="8"/>
      <c r="H26" s="40"/>
      <c r="I26" s="40"/>
      <c r="J26" s="40"/>
      <c r="K26" s="8"/>
      <c r="L26" s="8"/>
      <c r="M26" s="8"/>
      <c r="N26" s="38">
        <f t="shared" si="2"/>
        <v>325.3</v>
      </c>
      <c r="O26" s="64">
        <f t="shared" si="0"/>
        <v>6831.3</v>
      </c>
      <c r="Q26" s="73">
        <f t="shared" si="3"/>
        <v>0.20218154697162746</v>
      </c>
    </row>
    <row r="27" spans="1:17" s="62" customFormat="1" ht="14.25" thickBot="1" x14ac:dyDescent="0.35">
      <c r="A27" s="13" t="s">
        <v>229</v>
      </c>
      <c r="B27" s="138"/>
      <c r="C27" s="139">
        <f>SUM(C21:C26)</f>
        <v>32179</v>
      </c>
      <c r="D27" s="2"/>
      <c r="E27" s="2"/>
      <c r="F27" s="2"/>
      <c r="G27" s="2"/>
      <c r="H27" s="138"/>
      <c r="I27" s="138"/>
      <c r="J27" s="138"/>
      <c r="K27" s="2"/>
      <c r="L27" s="2"/>
      <c r="M27" s="2"/>
      <c r="N27" s="137">
        <f t="shared" si="2"/>
        <v>1608.95</v>
      </c>
      <c r="O27" s="113">
        <f t="shared" si="0"/>
        <v>33787.949999999997</v>
      </c>
      <c r="Q27" s="73">
        <f t="shared" si="3"/>
        <v>1</v>
      </c>
    </row>
    <row r="28" spans="1:17" ht="14.25" thickBot="1" x14ac:dyDescent="0.35">
      <c r="A28" s="13" t="s">
        <v>33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37">
        <f t="shared" si="2"/>
        <v>0</v>
      </c>
      <c r="O28" s="64">
        <f t="shared" si="0"/>
        <v>0</v>
      </c>
    </row>
    <row r="29" spans="1:17" ht="14.25" thickBot="1" x14ac:dyDescent="0.35">
      <c r="A29" s="14" t="s">
        <v>204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22">
        <f>[4]Sheet1!$I$16*0.7/1000</f>
        <v>1.2018654844216954</v>
      </c>
      <c r="N29" s="137">
        <f t="shared" si="2"/>
        <v>6.0093274221084771E-2</v>
      </c>
      <c r="O29" s="64">
        <f t="shared" si="0"/>
        <v>1.2619587586427801</v>
      </c>
    </row>
    <row r="30" spans="1:17" ht="14.25" thickBot="1" x14ac:dyDescent="0.35">
      <c r="A30" s="14" t="s">
        <v>230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40">
        <f>[4]Sheet2!$I$16/1000</f>
        <v>4.9242251235212343E-2</v>
      </c>
      <c r="N30" s="137">
        <f t="shared" si="2"/>
        <v>2.4621125617606174E-3</v>
      </c>
      <c r="O30" s="64">
        <f t="shared" si="0"/>
        <v>5.1704363796972963E-2</v>
      </c>
    </row>
    <row r="31" spans="1:17" ht="27.75" thickBot="1" x14ac:dyDescent="0.35">
      <c r="A31" s="14" t="s">
        <v>206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>
        <f>[4]Sheet3!$I$16/1000</f>
        <v>252.59119999999999</v>
      </c>
      <c r="N31" s="137">
        <f t="shared" si="2"/>
        <v>12.62956</v>
      </c>
      <c r="O31" s="64">
        <f t="shared" si="0"/>
        <v>265.22075999999998</v>
      </c>
    </row>
    <row r="32" spans="1:17" ht="41.25" thickBot="1" x14ac:dyDescent="0.35">
      <c r="A32" s="14" t="s">
        <v>207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22">
        <f>[4]Sheet4!$I$16/1000</f>
        <v>0.33981352135403864</v>
      </c>
      <c r="N32" s="137">
        <f t="shared" si="2"/>
        <v>1.6990676067701934E-2</v>
      </c>
      <c r="O32" s="64">
        <f t="shared" si="0"/>
        <v>0.35680419742174058</v>
      </c>
    </row>
    <row r="33" spans="1:15" ht="27.75" thickBot="1" x14ac:dyDescent="0.35">
      <c r="A33" s="14" t="s">
        <v>208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9">
        <f>[4]Sheet5!$I$16/1000</f>
        <v>18501.792000000001</v>
      </c>
      <c r="N33" s="137">
        <f t="shared" si="2"/>
        <v>925.08960000000013</v>
      </c>
      <c r="O33" s="64">
        <f t="shared" si="0"/>
        <v>19426.881600000001</v>
      </c>
    </row>
    <row r="34" spans="1:15" ht="14.25" thickBot="1" x14ac:dyDescent="0.35">
      <c r="A34" s="14" t="s">
        <v>229</v>
      </c>
      <c r="B34" s="91"/>
      <c r="C34" s="8"/>
      <c r="D34" s="8"/>
      <c r="E34" s="8"/>
      <c r="F34" s="8"/>
      <c r="G34" s="8"/>
      <c r="H34" s="8"/>
      <c r="I34" s="8"/>
      <c r="J34" s="8"/>
      <c r="K34" s="8"/>
      <c r="L34" s="8"/>
      <c r="M34" s="9">
        <f>SUM(M29:M33)</f>
        <v>18755.974121257012</v>
      </c>
      <c r="N34" s="137">
        <f t="shared" si="2"/>
        <v>937.79870606285067</v>
      </c>
      <c r="O34" s="9">
        <f t="shared" ref="O34" si="4">SUM(O29:O33)</f>
        <v>19693.772827319863</v>
      </c>
    </row>
    <row r="35" spans="1:15" ht="14.25" thickBot="1" x14ac:dyDescent="0.35">
      <c r="A35" s="13" t="s">
        <v>39</v>
      </c>
      <c r="B35" s="91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137">
        <f t="shared" si="2"/>
        <v>0</v>
      </c>
      <c r="O35" s="64">
        <f t="shared" si="0"/>
        <v>0</v>
      </c>
    </row>
    <row r="36" spans="1:15" ht="14.25" thickBot="1" x14ac:dyDescent="0.35">
      <c r="A36" s="48" t="s">
        <v>123</v>
      </c>
      <c r="B36" s="92"/>
      <c r="C36" s="40"/>
      <c r="D36" s="40"/>
      <c r="E36" s="40"/>
      <c r="F36" s="50"/>
      <c r="G36" s="40"/>
      <c r="H36" s="40"/>
      <c r="I36" s="40"/>
      <c r="J36" s="40"/>
      <c r="K36" s="40"/>
      <c r="L36" s="40"/>
      <c r="M36" s="40"/>
      <c r="N36" s="137">
        <f t="shared" si="2"/>
        <v>0</v>
      </c>
      <c r="O36" s="64">
        <f t="shared" si="0"/>
        <v>0</v>
      </c>
    </row>
    <row r="37" spans="1:15" ht="14.25" thickBot="1" x14ac:dyDescent="0.35">
      <c r="A37" s="14" t="s">
        <v>133</v>
      </c>
      <c r="B37" s="6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137">
        <f t="shared" si="2"/>
        <v>0</v>
      </c>
      <c r="O37" s="64">
        <f t="shared" si="0"/>
        <v>0</v>
      </c>
    </row>
    <row r="38" spans="1:15" ht="14.25" thickBot="1" x14ac:dyDescent="0.35">
      <c r="A38" s="14" t="s">
        <v>41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38"/>
      <c r="O38" s="64">
        <f t="shared" si="0"/>
        <v>0</v>
      </c>
    </row>
    <row r="39" spans="1:15" ht="14.25" thickBot="1" x14ac:dyDescent="0.35">
      <c r="A39" s="13" t="s">
        <v>59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38"/>
      <c r="O39" s="64">
        <f t="shared" si="0"/>
        <v>0</v>
      </c>
    </row>
    <row r="40" spans="1:15" ht="14.25" thickBot="1" x14ac:dyDescent="0.35">
      <c r="A40" s="14" t="s">
        <v>42</v>
      </c>
      <c r="B40" s="40"/>
      <c r="C40" s="45">
        <f>O20-C20</f>
        <v>-32179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8"/>
      <c r="O40" s="64">
        <f t="shared" si="0"/>
        <v>-32179</v>
      </c>
    </row>
    <row r="41" spans="1:15" ht="14.25" thickBot="1" x14ac:dyDescent="0.35">
      <c r="O41" s="64"/>
    </row>
    <row r="42" spans="1:15" ht="14.25" thickBot="1" x14ac:dyDescent="0.35">
      <c r="O42" s="64"/>
    </row>
    <row r="43" spans="1:15" ht="41.25" thickBot="1" x14ac:dyDescent="0.35">
      <c r="A43" s="15" t="s">
        <v>173</v>
      </c>
      <c r="B43" s="3" t="s">
        <v>4</v>
      </c>
      <c r="C43" s="3" t="s">
        <v>5</v>
      </c>
      <c r="D43" s="3" t="s">
        <v>6</v>
      </c>
      <c r="E43" s="3" t="s">
        <v>7</v>
      </c>
      <c r="F43" s="3" t="s">
        <v>8</v>
      </c>
      <c r="G43" s="3" t="s">
        <v>9</v>
      </c>
      <c r="H43" s="3" t="s">
        <v>10</v>
      </c>
      <c r="I43" s="3" t="s">
        <v>11</v>
      </c>
      <c r="J43" s="3" t="s">
        <v>12</v>
      </c>
      <c r="K43" s="3" t="s">
        <v>165</v>
      </c>
      <c r="L43" s="3" t="s">
        <v>14</v>
      </c>
      <c r="M43" s="3" t="s">
        <v>49</v>
      </c>
      <c r="N43" s="1" t="s">
        <v>1</v>
      </c>
      <c r="O43" s="1" t="s">
        <v>2</v>
      </c>
    </row>
    <row r="44" spans="1:15" ht="14.25" thickBot="1" x14ac:dyDescent="0.35">
      <c r="A44" s="13" t="s">
        <v>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8"/>
      <c r="O44" s="64"/>
    </row>
    <row r="45" spans="1:15" ht="14.25" hidden="1" thickBot="1" x14ac:dyDescent="0.35">
      <c r="A45" s="13" t="s">
        <v>16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1"/>
      <c r="O45" s="64"/>
    </row>
    <row r="46" spans="1:15" ht="14.25" hidden="1" thickBot="1" x14ac:dyDescent="0.35">
      <c r="A46" s="14" t="s">
        <v>17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41"/>
      <c r="O46" s="64"/>
    </row>
    <row r="47" spans="1:15" ht="14.25" hidden="1" thickBot="1" x14ac:dyDescent="0.35">
      <c r="A47" s="14" t="s">
        <v>19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41"/>
      <c r="O47" s="64"/>
    </row>
    <row r="48" spans="1:15" ht="14.25" hidden="1" thickBot="1" x14ac:dyDescent="0.35">
      <c r="A48" s="14" t="s">
        <v>20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41"/>
      <c r="O48" s="64"/>
    </row>
    <row r="49" spans="1:15" ht="14.25" hidden="1" thickBot="1" x14ac:dyDescent="0.35">
      <c r="A49" s="14" t="s">
        <v>21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41"/>
      <c r="O49" s="64"/>
    </row>
    <row r="50" spans="1:15" ht="14.25" hidden="1" thickBot="1" x14ac:dyDescent="0.35">
      <c r="A50" s="14" t="s">
        <v>22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41"/>
      <c r="O50" s="64"/>
    </row>
    <row r="51" spans="1:15" ht="14.25" hidden="1" thickBot="1" x14ac:dyDescent="0.35">
      <c r="A51" s="14" t="s">
        <v>23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41"/>
      <c r="O51" s="64"/>
    </row>
    <row r="52" spans="1:15" ht="14.25" hidden="1" thickBot="1" x14ac:dyDescent="0.35">
      <c r="A52" s="13" t="s">
        <v>96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41"/>
      <c r="O52" s="64"/>
    </row>
    <row r="53" spans="1:15" ht="14.25" hidden="1" thickBot="1" x14ac:dyDescent="0.35">
      <c r="A53" s="14" t="s">
        <v>125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41"/>
      <c r="O53" s="64"/>
    </row>
    <row r="54" spans="1:15" ht="14.25" hidden="1" thickBot="1" x14ac:dyDescent="0.35">
      <c r="A54" s="14" t="s">
        <v>25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41"/>
      <c r="O54" s="64"/>
    </row>
    <row r="55" spans="1:15" ht="14.25" hidden="1" thickBot="1" x14ac:dyDescent="0.35">
      <c r="A55" s="14" t="s">
        <v>26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41"/>
      <c r="O55" s="64"/>
    </row>
    <row r="56" spans="1:15" ht="14.25" thickBot="1" x14ac:dyDescent="0.35">
      <c r="A56" s="13" t="s">
        <v>135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8"/>
      <c r="O56" s="64">
        <f>SUM(B56:N56)</f>
        <v>0</v>
      </c>
    </row>
    <row r="57" spans="1:15" ht="14.25" thickBot="1" x14ac:dyDescent="0.35">
      <c r="A57" s="14" t="s">
        <v>141</v>
      </c>
      <c r="B57" s="72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8"/>
      <c r="O57" s="64">
        <f t="shared" ref="O57:O87" si="5">SUM(B57:N57)</f>
        <v>0</v>
      </c>
    </row>
    <row r="58" spans="1:15" ht="14.25" thickBot="1" x14ac:dyDescent="0.35">
      <c r="A58" s="14" t="s">
        <v>140</v>
      </c>
      <c r="B58" s="45"/>
      <c r="C58" s="45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8"/>
      <c r="O58" s="64">
        <f t="shared" si="5"/>
        <v>0</v>
      </c>
    </row>
    <row r="59" spans="1:15" ht="14.25" thickBot="1" x14ac:dyDescent="0.35">
      <c r="A59" s="14" t="s">
        <v>21</v>
      </c>
      <c r="B59" s="45"/>
      <c r="C59" s="45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38"/>
      <c r="O59" s="64">
        <f t="shared" si="5"/>
        <v>0</v>
      </c>
    </row>
    <row r="60" spans="1:15" ht="14.25" thickBot="1" x14ac:dyDescent="0.35">
      <c r="A60" s="14" t="s">
        <v>188</v>
      </c>
      <c r="B60" s="45"/>
      <c r="C60" s="45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38"/>
      <c r="O60" s="64">
        <f t="shared" si="5"/>
        <v>0</v>
      </c>
    </row>
    <row r="61" spans="1:15" ht="14.25" thickBot="1" x14ac:dyDescent="0.35">
      <c r="A61" s="14" t="s">
        <v>189</v>
      </c>
      <c r="B61" s="45"/>
      <c r="C61" s="45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38"/>
      <c r="O61" s="64">
        <f t="shared" si="5"/>
        <v>0</v>
      </c>
    </row>
    <row r="62" spans="1:15" ht="14.25" thickBot="1" x14ac:dyDescent="0.35">
      <c r="A62" s="14" t="s">
        <v>190</v>
      </c>
      <c r="B62" s="45"/>
      <c r="C62" s="45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38"/>
      <c r="O62" s="64">
        <f t="shared" si="5"/>
        <v>0</v>
      </c>
    </row>
    <row r="63" spans="1:15" ht="14.25" thickBot="1" x14ac:dyDescent="0.35">
      <c r="A63" s="14" t="s">
        <v>191</v>
      </c>
      <c r="B63" s="45"/>
      <c r="C63" s="45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38"/>
      <c r="O63" s="64">
        <f t="shared" si="5"/>
        <v>0</v>
      </c>
    </row>
    <row r="64" spans="1:15" ht="14.25" thickBot="1" x14ac:dyDescent="0.35">
      <c r="A64" s="14" t="s">
        <v>192</v>
      </c>
      <c r="B64" s="45"/>
      <c r="C64" s="45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38"/>
      <c r="O64" s="64">
        <f t="shared" si="5"/>
        <v>0</v>
      </c>
    </row>
    <row r="65" spans="1:17" ht="14.25" thickBot="1" x14ac:dyDescent="0.35">
      <c r="A65" s="13" t="s">
        <v>75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38"/>
      <c r="O65" s="64">
        <f t="shared" si="5"/>
        <v>0</v>
      </c>
    </row>
    <row r="66" spans="1:17" ht="14.25" thickBot="1" x14ac:dyDescent="0.35">
      <c r="A66" s="14" t="s">
        <v>29</v>
      </c>
      <c r="B66" s="87"/>
      <c r="C66" s="87"/>
      <c r="D66" s="87"/>
      <c r="E66" s="87"/>
      <c r="F66" s="87"/>
      <c r="G66" s="87"/>
      <c r="H66" s="87">
        <v>902</v>
      </c>
      <c r="I66" s="87"/>
      <c r="J66" s="87"/>
      <c r="K66" s="87"/>
      <c r="L66" s="87"/>
      <c r="M66" s="87"/>
      <c r="N66" s="88"/>
      <c r="O66" s="64">
        <f t="shared" si="5"/>
        <v>902</v>
      </c>
    </row>
    <row r="67" spans="1:17" ht="14.25" thickBot="1" x14ac:dyDescent="0.35">
      <c r="A67" s="14" t="s">
        <v>30</v>
      </c>
      <c r="B67" s="87"/>
      <c r="C67" s="87"/>
      <c r="D67" s="87"/>
      <c r="E67" s="87"/>
      <c r="F67" s="87">
        <v>555</v>
      </c>
      <c r="G67" s="87"/>
      <c r="H67" s="87">
        <v>253</v>
      </c>
      <c r="I67" s="87"/>
      <c r="J67" s="87"/>
      <c r="K67" s="87"/>
      <c r="L67" s="87"/>
      <c r="M67" s="87"/>
      <c r="N67" s="88"/>
      <c r="O67" s="64">
        <f t="shared" si="5"/>
        <v>808</v>
      </c>
    </row>
    <row r="68" spans="1:17" ht="14.25" thickBot="1" x14ac:dyDescent="0.35">
      <c r="A68" s="14" t="s">
        <v>148</v>
      </c>
      <c r="B68" s="87"/>
      <c r="C68" s="87"/>
      <c r="D68" s="87"/>
      <c r="E68" s="87"/>
      <c r="F68" s="87">
        <f>802+18219</f>
        <v>19021</v>
      </c>
      <c r="G68" s="87"/>
      <c r="H68" s="87"/>
      <c r="I68" s="87"/>
      <c r="J68" s="87"/>
      <c r="K68" s="87"/>
      <c r="L68" s="87"/>
      <c r="M68" s="87"/>
      <c r="N68" s="88"/>
      <c r="O68" s="64">
        <f t="shared" si="5"/>
        <v>19021</v>
      </c>
    </row>
    <row r="69" spans="1:17" ht="14.25" thickBot="1" x14ac:dyDescent="0.35">
      <c r="A69" s="14" t="s">
        <v>149</v>
      </c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>
        <f>676+2219</f>
        <v>2895</v>
      </c>
      <c r="M69" s="87"/>
      <c r="N69" s="88"/>
      <c r="O69" s="64">
        <f t="shared" si="5"/>
        <v>2895</v>
      </c>
    </row>
    <row r="70" spans="1:17" ht="14.25" thickBot="1" x14ac:dyDescent="0.35">
      <c r="A70" s="14" t="s">
        <v>150</v>
      </c>
      <c r="B70" s="87"/>
      <c r="C70" s="87"/>
      <c r="D70" s="87"/>
      <c r="E70" s="87"/>
      <c r="F70" s="87"/>
      <c r="G70" s="87">
        <f>346+1562</f>
        <v>1908</v>
      </c>
      <c r="H70" s="87"/>
      <c r="I70" s="87"/>
      <c r="J70" s="87"/>
      <c r="K70" s="87"/>
      <c r="L70" s="87"/>
      <c r="M70" s="87"/>
      <c r="N70" s="88"/>
      <c r="O70" s="64">
        <f t="shared" si="5"/>
        <v>1908</v>
      </c>
    </row>
    <row r="71" spans="1:17" ht="14.25" thickBot="1" x14ac:dyDescent="0.35">
      <c r="A71" s="14" t="s">
        <v>32</v>
      </c>
      <c r="B71" s="87"/>
      <c r="C71" s="87"/>
      <c r="D71" s="87"/>
      <c r="E71" s="87"/>
      <c r="F71" s="87"/>
      <c r="G71" s="87"/>
      <c r="H71" s="87"/>
      <c r="I71" s="87">
        <f>6080</f>
        <v>6080</v>
      </c>
      <c r="J71" s="87"/>
      <c r="K71" s="87"/>
      <c r="L71" s="87"/>
      <c r="M71" s="87"/>
      <c r="N71" s="88"/>
      <c r="O71" s="64">
        <f t="shared" si="5"/>
        <v>6080</v>
      </c>
    </row>
    <row r="72" spans="1:17" ht="14.25" thickBot="1" x14ac:dyDescent="0.35">
      <c r="A72" s="14" t="s">
        <v>229</v>
      </c>
      <c r="B72" s="87">
        <f>SUM(B66:B71)</f>
        <v>0</v>
      </c>
      <c r="C72" s="87">
        <f t="shared" ref="C72:O72" si="6">SUM(C66:C71)</f>
        <v>0</v>
      </c>
      <c r="D72" s="87">
        <f t="shared" si="6"/>
        <v>0</v>
      </c>
      <c r="E72" s="87">
        <f t="shared" si="6"/>
        <v>0</v>
      </c>
      <c r="F72" s="87">
        <f t="shared" si="6"/>
        <v>19576</v>
      </c>
      <c r="G72" s="87">
        <f t="shared" si="6"/>
        <v>1908</v>
      </c>
      <c r="H72" s="87">
        <f t="shared" si="6"/>
        <v>1155</v>
      </c>
      <c r="I72" s="87">
        <f t="shared" si="6"/>
        <v>6080</v>
      </c>
      <c r="J72" s="87">
        <f t="shared" si="6"/>
        <v>0</v>
      </c>
      <c r="K72" s="87">
        <f t="shared" si="6"/>
        <v>0</v>
      </c>
      <c r="L72" s="87">
        <f t="shared" si="6"/>
        <v>2895</v>
      </c>
      <c r="M72" s="87">
        <f t="shared" si="6"/>
        <v>0</v>
      </c>
      <c r="N72" s="87">
        <f t="shared" si="6"/>
        <v>0</v>
      </c>
      <c r="O72" s="87">
        <f t="shared" si="6"/>
        <v>31614</v>
      </c>
    </row>
    <row r="73" spans="1:17" ht="14.25" thickBot="1" x14ac:dyDescent="0.35">
      <c r="A73" s="13" t="s">
        <v>54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  <c r="O73" s="64">
        <f t="shared" si="5"/>
        <v>0</v>
      </c>
    </row>
    <row r="74" spans="1:17" ht="14.25" thickBot="1" x14ac:dyDescent="0.35">
      <c r="A74" s="14" t="s">
        <v>215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141">
        <f>[5]Sheet2!$H$170*0.7/1000</f>
        <v>462.22119999999995</v>
      </c>
      <c r="N74" s="68">
        <f>0.05*M74</f>
        <v>23.111059999999998</v>
      </c>
      <c r="O74" s="64">
        <f t="shared" si="5"/>
        <v>485.33225999999996</v>
      </c>
      <c r="Q74" s="71">
        <f>M74-M29</f>
        <v>461.01933451557824</v>
      </c>
    </row>
    <row r="75" spans="1:17" ht="14.25" thickBot="1" x14ac:dyDescent="0.35">
      <c r="A75" s="14" t="s">
        <v>216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41"/>
      <c r="N75" s="68">
        <f t="shared" ref="N75:N78" si="7">0.05*M75</f>
        <v>0</v>
      </c>
      <c r="O75" s="64">
        <f t="shared" si="5"/>
        <v>0</v>
      </c>
      <c r="Q75" s="71">
        <f t="shared" ref="Q75:Q78" si="8">M75-M30</f>
        <v>-4.9242251235212343E-2</v>
      </c>
    </row>
    <row r="76" spans="1:17" ht="27.75" thickBot="1" x14ac:dyDescent="0.35">
      <c r="A76" s="14" t="s">
        <v>217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41">
        <f>[5]Sheet4!$H$119/1000</f>
        <v>7.4989999999999997</v>
      </c>
      <c r="N76" s="68">
        <f t="shared" si="7"/>
        <v>0.37495000000000001</v>
      </c>
      <c r="O76" s="64">
        <f t="shared" si="5"/>
        <v>7.8739499999999998</v>
      </c>
      <c r="Q76" s="71">
        <f t="shared" si="8"/>
        <v>-245.09219999999999</v>
      </c>
    </row>
    <row r="77" spans="1:17" ht="27.75" thickBot="1" x14ac:dyDescent="0.35">
      <c r="A77" s="14" t="s">
        <v>218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41">
        <f>[5]Sheet5!$H$118/1000</f>
        <v>41.496000000000002</v>
      </c>
      <c r="N77" s="68">
        <f t="shared" si="7"/>
        <v>2.0748000000000002</v>
      </c>
      <c r="O77" s="64">
        <f t="shared" si="5"/>
        <v>43.570800000000006</v>
      </c>
      <c r="Q77" s="71">
        <f t="shared" si="8"/>
        <v>41.156186478645964</v>
      </c>
    </row>
    <row r="78" spans="1:17" ht="27.75" thickBot="1" x14ac:dyDescent="0.35">
      <c r="A78" s="14" t="s">
        <v>219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141">
        <f>[5]Sheet6!$H$148/1000</f>
        <v>3524.855</v>
      </c>
      <c r="N78" s="68">
        <f t="shared" si="7"/>
        <v>176.24275</v>
      </c>
      <c r="O78" s="64">
        <f t="shared" si="5"/>
        <v>3701.0977499999999</v>
      </c>
      <c r="Q78" s="71">
        <f t="shared" si="8"/>
        <v>-14976.937000000002</v>
      </c>
    </row>
    <row r="79" spans="1:17" ht="14.25" thickBot="1" x14ac:dyDescent="0.35">
      <c r="A79" s="14" t="s">
        <v>229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41">
        <f>SUM(M74:M78)</f>
        <v>4036.0711999999999</v>
      </c>
      <c r="N79" s="141">
        <f t="shared" ref="N79:O79" si="9">SUM(N74:N78)</f>
        <v>201.80356</v>
      </c>
      <c r="O79" s="141">
        <f t="shared" si="9"/>
        <v>4237.8747599999997</v>
      </c>
    </row>
    <row r="80" spans="1:17" ht="14.25" thickBot="1" x14ac:dyDescent="0.35">
      <c r="A80" s="13" t="s">
        <v>56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38"/>
      <c r="O80" s="64">
        <f t="shared" si="5"/>
        <v>0</v>
      </c>
    </row>
    <row r="81" spans="1:15" ht="14.25" thickBot="1" x14ac:dyDescent="0.35">
      <c r="A81" s="14" t="s">
        <v>122</v>
      </c>
      <c r="B81" s="8"/>
      <c r="C81" s="40"/>
      <c r="D81" s="40"/>
      <c r="E81" s="40"/>
      <c r="F81" s="45"/>
      <c r="G81" s="44"/>
      <c r="H81" s="40"/>
      <c r="I81" s="40"/>
      <c r="J81" s="40"/>
      <c r="K81" s="40"/>
      <c r="L81" s="40"/>
      <c r="M81" s="47"/>
      <c r="N81" s="38"/>
      <c r="O81" s="64">
        <f t="shared" si="5"/>
        <v>0</v>
      </c>
    </row>
    <row r="82" spans="1:15" ht="14.25" thickBot="1" x14ac:dyDescent="0.35">
      <c r="A82" s="14" t="s">
        <v>57</v>
      </c>
      <c r="B82" s="8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7"/>
      <c r="N82" s="38"/>
      <c r="O82" s="64">
        <f t="shared" si="5"/>
        <v>0</v>
      </c>
    </row>
    <row r="83" spans="1:15" ht="14.25" thickBot="1" x14ac:dyDescent="0.35">
      <c r="A83" s="14" t="s">
        <v>41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38"/>
      <c r="O83" s="64">
        <f t="shared" si="5"/>
        <v>0</v>
      </c>
    </row>
    <row r="84" spans="1:15" ht="14.25" thickBot="1" x14ac:dyDescent="0.35">
      <c r="A84" s="13" t="s">
        <v>59</v>
      </c>
      <c r="B84" s="69">
        <f>0.05*B72</f>
        <v>0</v>
      </c>
      <c r="C84" s="69">
        <f t="shared" ref="C84:N84" si="10">0.05*C72</f>
        <v>0</v>
      </c>
      <c r="D84" s="69">
        <f t="shared" si="10"/>
        <v>0</v>
      </c>
      <c r="E84" s="69">
        <f t="shared" si="10"/>
        <v>0</v>
      </c>
      <c r="F84" s="69">
        <f t="shared" si="10"/>
        <v>978.80000000000007</v>
      </c>
      <c r="G84" s="69">
        <f t="shared" si="10"/>
        <v>95.4</v>
      </c>
      <c r="H84" s="69">
        <f t="shared" si="10"/>
        <v>57.75</v>
      </c>
      <c r="I84" s="69">
        <f t="shared" si="10"/>
        <v>304</v>
      </c>
      <c r="J84" s="69">
        <f t="shared" si="10"/>
        <v>0</v>
      </c>
      <c r="K84" s="69">
        <f t="shared" si="10"/>
        <v>0</v>
      </c>
      <c r="L84" s="69">
        <f t="shared" si="10"/>
        <v>144.75</v>
      </c>
      <c r="M84" s="69">
        <f t="shared" si="10"/>
        <v>0</v>
      </c>
      <c r="N84" s="69">
        <f t="shared" si="10"/>
        <v>0</v>
      </c>
      <c r="O84" s="64">
        <f t="shared" si="5"/>
        <v>1580.7</v>
      </c>
    </row>
    <row r="85" spans="1:15" ht="14.25" thickBot="1" x14ac:dyDescent="0.35">
      <c r="A85" s="14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38"/>
      <c r="O85" s="64">
        <f t="shared" si="5"/>
        <v>0</v>
      </c>
    </row>
    <row r="86" spans="1:15" ht="14.25" thickBot="1" x14ac:dyDescent="0.35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4"/>
      <c r="O86" s="64">
        <f t="shared" si="5"/>
        <v>0</v>
      </c>
    </row>
    <row r="87" spans="1:15" ht="14.25" thickBot="1" x14ac:dyDescent="0.35">
      <c r="F87" s="73">
        <f>F72/$O$72</f>
        <v>0.61921933320680711</v>
      </c>
      <c r="G87" s="73">
        <f t="shared" ref="G87:L87" si="11">G72/$O$72</f>
        <v>6.0353008160941357E-2</v>
      </c>
      <c r="H87" s="73">
        <f t="shared" si="11"/>
        <v>3.6534446764091857E-2</v>
      </c>
      <c r="I87" s="73">
        <f t="shared" si="11"/>
        <v>0.19231985829063072</v>
      </c>
      <c r="J87" s="73">
        <f t="shared" si="11"/>
        <v>0</v>
      </c>
      <c r="K87" s="73">
        <f t="shared" si="11"/>
        <v>0</v>
      </c>
      <c r="L87" s="73">
        <f t="shared" si="11"/>
        <v>9.1573353577528938E-2</v>
      </c>
      <c r="O87" s="64">
        <f t="shared" si="5"/>
        <v>1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82"/>
  <sheetViews>
    <sheetView topLeftCell="A50" zoomScaleNormal="100" workbookViewId="0">
      <selection activeCell="O68" sqref="O68:P69"/>
    </sheetView>
  </sheetViews>
  <sheetFormatPr defaultColWidth="9.140625" defaultRowHeight="13.5" x14ac:dyDescent="0.3"/>
  <cols>
    <col min="1" max="1" width="39.5703125" style="42" customWidth="1"/>
    <col min="2" max="3" width="10.7109375" style="5" bestFit="1" customWidth="1"/>
    <col min="4" max="13" width="9.140625" style="5"/>
    <col min="14" max="14" width="11.5703125" style="5" bestFit="1" customWidth="1"/>
    <col min="15" max="15" width="9.140625" style="5"/>
    <col min="16" max="16" width="11.28515625" style="5" bestFit="1" customWidth="1"/>
    <col min="17" max="16384" width="9.140625" style="5"/>
  </cols>
  <sheetData>
    <row r="1" spans="1:18" ht="41.25" thickBot="1" x14ac:dyDescent="0.35">
      <c r="A1" s="12" t="s">
        <v>147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" t="s">
        <v>1</v>
      </c>
      <c r="P1" s="1" t="s">
        <v>2</v>
      </c>
    </row>
    <row r="2" spans="1:18" ht="41.25" thickBot="1" x14ac:dyDescent="0.35">
      <c r="A2" s="13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9</v>
      </c>
      <c r="G2" s="3" t="s">
        <v>165</v>
      </c>
      <c r="H2" s="2" t="s">
        <v>10</v>
      </c>
      <c r="I2" s="2" t="s">
        <v>11</v>
      </c>
      <c r="J2" s="2" t="s">
        <v>12</v>
      </c>
      <c r="K2" s="3" t="s">
        <v>14</v>
      </c>
      <c r="L2" s="3"/>
      <c r="M2" s="2" t="s">
        <v>8</v>
      </c>
      <c r="N2" s="3" t="s">
        <v>15</v>
      </c>
      <c r="O2" s="38"/>
      <c r="P2" s="38"/>
    </row>
    <row r="3" spans="1:18" ht="14.25" thickBot="1" x14ac:dyDescent="0.35">
      <c r="A3" s="13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38"/>
    </row>
    <row r="4" spans="1:18" ht="14.25" thickBot="1" x14ac:dyDescent="0.35">
      <c r="A4" s="14" t="s">
        <v>139</v>
      </c>
      <c r="B4" s="39"/>
      <c r="C4" s="72">
        <f>Sheet3!C5/0.7</f>
        <v>792.85714285714289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1"/>
      <c r="P4" s="64">
        <f t="shared" ref="P4:P36" si="0">SUM(B4:O4)</f>
        <v>792.85714285714289</v>
      </c>
    </row>
    <row r="5" spans="1:18" ht="14.25" thickBot="1" x14ac:dyDescent="0.35">
      <c r="A5" s="14" t="s">
        <v>140</v>
      </c>
      <c r="B5" s="39"/>
      <c r="C5" s="44">
        <f>Sheet3!C6*1000000/500</f>
        <v>2144000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1"/>
      <c r="P5" s="64">
        <f t="shared" si="0"/>
        <v>2144000</v>
      </c>
    </row>
    <row r="6" spans="1:18" ht="14.25" thickBot="1" x14ac:dyDescent="0.35">
      <c r="A6" s="14" t="s">
        <v>21</v>
      </c>
      <c r="B6" s="39"/>
      <c r="C6" s="47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41"/>
      <c r="P6" s="64">
        <f t="shared" si="0"/>
        <v>0</v>
      </c>
    </row>
    <row r="7" spans="1:18" ht="14.25" thickBot="1" x14ac:dyDescent="0.35">
      <c r="A7" s="14" t="s">
        <v>210</v>
      </c>
      <c r="B7" s="39"/>
      <c r="C7" s="6">
        <f>[2]Sheet2!$F$23/100015</f>
        <v>11.306933959906013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1"/>
      <c r="P7" s="64">
        <f t="shared" si="0"/>
        <v>11.306933959906013</v>
      </c>
    </row>
    <row r="8" spans="1:18" ht="14.25" thickBot="1" x14ac:dyDescent="0.35">
      <c r="A8" s="14" t="s">
        <v>211</v>
      </c>
      <c r="B8" s="39"/>
      <c r="C8" s="6">
        <f>[2]Sheet2!$G$23/1000/15</f>
        <v>174.30099999999999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1"/>
      <c r="P8" s="64">
        <f t="shared" si="0"/>
        <v>174.30099999999999</v>
      </c>
    </row>
    <row r="9" spans="1:18" ht="14.25" thickBot="1" x14ac:dyDescent="0.35">
      <c r="A9" s="14" t="s">
        <v>220</v>
      </c>
      <c r="B9" s="39"/>
      <c r="C9" s="6">
        <f>([2]Sheet2!$I$23/1000)/30</f>
        <v>578.90283333333332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41"/>
      <c r="P9" s="64">
        <f t="shared" si="0"/>
        <v>578.90283333333332</v>
      </c>
    </row>
    <row r="10" spans="1:18" ht="14.25" thickBot="1" x14ac:dyDescent="0.35">
      <c r="A10" s="14" t="s">
        <v>213</v>
      </c>
      <c r="B10" s="39"/>
      <c r="C10" s="6">
        <f>[2]Sheet2!$J$23/1000/30</f>
        <v>37.245133333333335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1"/>
      <c r="P10" s="64">
        <f t="shared" si="0"/>
        <v>37.245133333333335</v>
      </c>
    </row>
    <row r="11" spans="1:18" ht="14.25" thickBot="1" x14ac:dyDescent="0.35">
      <c r="A11" s="14" t="s">
        <v>214</v>
      </c>
      <c r="B11" s="39"/>
      <c r="C11" s="6">
        <f>[2]Sheet2!$K$23/1000/30</f>
        <v>140.9923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1"/>
      <c r="P11" s="64">
        <f t="shared" si="0"/>
        <v>140.9923</v>
      </c>
    </row>
    <row r="12" spans="1:18" ht="14.25" thickBot="1" x14ac:dyDescent="0.35">
      <c r="A12" s="14" t="s">
        <v>240</v>
      </c>
      <c r="B12" s="104"/>
      <c r="C12" s="75">
        <f>SUM(C7:C11)</f>
        <v>942.74820062657261</v>
      </c>
      <c r="D12" s="6">
        <f t="shared" ref="D12:P12" si="1">SUM(D7:D11)</f>
        <v>0</v>
      </c>
      <c r="E12" s="6">
        <f t="shared" si="1"/>
        <v>0</v>
      </c>
      <c r="F12" s="6">
        <f t="shared" si="1"/>
        <v>0</v>
      </c>
      <c r="G12" s="6">
        <f t="shared" si="1"/>
        <v>0</v>
      </c>
      <c r="H12" s="6">
        <f t="shared" si="1"/>
        <v>0</v>
      </c>
      <c r="I12" s="6">
        <f t="shared" si="1"/>
        <v>0</v>
      </c>
      <c r="J12" s="6">
        <f t="shared" si="1"/>
        <v>0</v>
      </c>
      <c r="K12" s="6">
        <f t="shared" si="1"/>
        <v>0</v>
      </c>
      <c r="L12" s="6">
        <f t="shared" si="1"/>
        <v>0</v>
      </c>
      <c r="M12" s="6">
        <f t="shared" si="1"/>
        <v>0</v>
      </c>
      <c r="N12" s="6">
        <f t="shared" si="1"/>
        <v>0</v>
      </c>
      <c r="O12" s="6">
        <f t="shared" si="1"/>
        <v>0</v>
      </c>
      <c r="P12" s="6">
        <f t="shared" si="1"/>
        <v>942.74820062657261</v>
      </c>
      <c r="R12" s="148">
        <f>C12/P28</f>
        <v>2.2748370345541169E-2</v>
      </c>
    </row>
    <row r="13" spans="1:18" ht="14.25" thickBot="1" x14ac:dyDescent="0.35">
      <c r="A13" s="14" t="s">
        <v>241</v>
      </c>
      <c r="B13" s="104"/>
      <c r="C13" s="75">
        <f>([3]Sheet2!$P$35)/1000</f>
        <v>45539.639160000006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R13" s="148"/>
    </row>
    <row r="14" spans="1:18" ht="14.25" thickBot="1" x14ac:dyDescent="0.35">
      <c r="A14" s="14" t="s">
        <v>242</v>
      </c>
      <c r="B14" s="104"/>
      <c r="C14" s="75">
        <f>C13+C12</f>
        <v>46482.387360626577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R14" s="148"/>
    </row>
    <row r="15" spans="1:18" ht="14.25" thickBot="1" x14ac:dyDescent="0.35">
      <c r="A15" s="14" t="s">
        <v>243</v>
      </c>
      <c r="B15" s="104"/>
      <c r="C15" s="75">
        <f>P28-C14</f>
        <v>-5039.9373606265799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1"/>
      <c r="P15" s="64"/>
      <c r="R15" s="148">
        <f>C15/P28</f>
        <v>-0.12161292010068372</v>
      </c>
    </row>
    <row r="16" spans="1:18" ht="14.25" thickBot="1" x14ac:dyDescent="0.35">
      <c r="A16" s="13" t="s">
        <v>96</v>
      </c>
      <c r="B16" s="39"/>
      <c r="C16" s="40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1"/>
      <c r="P16" s="64">
        <f t="shared" si="0"/>
        <v>0</v>
      </c>
    </row>
    <row r="17" spans="1:20" ht="14.25" thickBot="1" x14ac:dyDescent="0.35">
      <c r="A17" s="14" t="s">
        <v>168</v>
      </c>
      <c r="B17" s="6">
        <v>753518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121">
        <f>0.05*SUM(B17:N17)</f>
        <v>37675.9</v>
      </c>
      <c r="P17" s="64">
        <f t="shared" si="0"/>
        <v>791193.9</v>
      </c>
    </row>
    <row r="18" spans="1:20" ht="14.25" thickBot="1" x14ac:dyDescent="0.35">
      <c r="A18" s="98" t="s">
        <v>25</v>
      </c>
      <c r="B18" s="6"/>
      <c r="C18" s="6">
        <f>Sheet1!B29</f>
        <v>22768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121">
        <f t="shared" ref="O18:O19" si="2">0.05*SUM(B18:N18)</f>
        <v>1138.4000000000001</v>
      </c>
      <c r="P18" s="64">
        <f t="shared" si="0"/>
        <v>23906.400000000001</v>
      </c>
    </row>
    <row r="19" spans="1:20" ht="14.25" thickBot="1" x14ac:dyDescent="0.35">
      <c r="A19" s="14" t="s">
        <v>26</v>
      </c>
      <c r="B19" s="40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121">
        <f t="shared" si="2"/>
        <v>0</v>
      </c>
      <c r="P19" s="64">
        <f t="shared" si="0"/>
        <v>0</v>
      </c>
    </row>
    <row r="20" spans="1:20" ht="14.25" thickBot="1" x14ac:dyDescent="0.35">
      <c r="A20" s="14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38"/>
      <c r="P20" s="64">
        <f t="shared" si="0"/>
        <v>0</v>
      </c>
    </row>
    <row r="21" spans="1:20" s="79" customFormat="1" ht="14.25" thickBot="1" x14ac:dyDescent="0.35">
      <c r="A21" s="80" t="s">
        <v>158</v>
      </c>
      <c r="B21" s="77"/>
      <c r="C21" s="81">
        <f>SUM(C22:C27)</f>
        <v>39469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8"/>
      <c r="P21" s="64"/>
    </row>
    <row r="22" spans="1:20" ht="14.25" thickBot="1" x14ac:dyDescent="0.35">
      <c r="A22" s="14" t="s">
        <v>29</v>
      </c>
      <c r="B22" s="6"/>
      <c r="C22" s="82">
        <v>1847</v>
      </c>
      <c r="D22" s="8"/>
      <c r="E22" s="8"/>
      <c r="G22" s="8"/>
      <c r="H22" s="40"/>
      <c r="I22" s="40"/>
      <c r="J22" s="40"/>
      <c r="K22" s="8"/>
      <c r="L22" s="8"/>
      <c r="M22" s="8"/>
      <c r="N22" s="40"/>
      <c r="O22" s="121">
        <f>0.05*SUM(B22:N22)</f>
        <v>92.350000000000009</v>
      </c>
      <c r="P22" s="64">
        <f t="shared" si="0"/>
        <v>1939.35</v>
      </c>
      <c r="R22" s="148">
        <f>C22/$C$21</f>
        <v>4.6796219818085079E-2</v>
      </c>
      <c r="S22" s="46">
        <v>132677</v>
      </c>
      <c r="T22" s="132">
        <f>S22*1000000/(C22*1000)</f>
        <v>71833.784515430423</v>
      </c>
    </row>
    <row r="23" spans="1:20" ht="14.25" thickBot="1" x14ac:dyDescent="0.35">
      <c r="A23" s="14" t="s">
        <v>30</v>
      </c>
      <c r="B23" s="40"/>
      <c r="C23" s="82">
        <v>1013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121">
        <f t="shared" ref="O23:O40" si="3">0.05*SUM(B23:N23)</f>
        <v>50.650000000000006</v>
      </c>
      <c r="P23" s="64">
        <f t="shared" si="0"/>
        <v>1063.6500000000001</v>
      </c>
      <c r="R23" s="148">
        <f t="shared" ref="R23:R28" si="4">C23/$C$21</f>
        <v>2.5665712331196636E-2</v>
      </c>
      <c r="S23" s="46">
        <v>41438</v>
      </c>
      <c r="T23" s="132">
        <f t="shared" ref="T23:T28" si="5">S23*1000000/(C23*1000)</f>
        <v>40906.219151036523</v>
      </c>
    </row>
    <row r="24" spans="1:20" ht="14.25" thickBot="1" x14ac:dyDescent="0.35">
      <c r="A24" s="14" t="s">
        <v>148</v>
      </c>
      <c r="B24" s="40"/>
      <c r="C24" s="82">
        <v>22692</v>
      </c>
      <c r="D24" s="8"/>
      <c r="E24" s="8"/>
      <c r="G24" s="8"/>
      <c r="H24" s="40"/>
      <c r="I24" s="40"/>
      <c r="J24" s="40"/>
      <c r="K24" s="8"/>
      <c r="L24" s="8"/>
      <c r="M24" s="8"/>
      <c r="N24" s="8"/>
      <c r="O24" s="121">
        <f t="shared" si="3"/>
        <v>1134.6000000000001</v>
      </c>
      <c r="P24" s="64">
        <f t="shared" si="0"/>
        <v>23826.6</v>
      </c>
      <c r="R24" s="148">
        <f t="shared" si="4"/>
        <v>0.57493222529073451</v>
      </c>
      <c r="S24" s="46">
        <v>128916</v>
      </c>
      <c r="T24" s="132">
        <f t="shared" si="5"/>
        <v>5681.1210999471177</v>
      </c>
    </row>
    <row r="25" spans="1:20" ht="14.25" thickBot="1" x14ac:dyDescent="0.35">
      <c r="A25" s="14" t="s">
        <v>149</v>
      </c>
      <c r="B25" s="40"/>
      <c r="C25" s="82">
        <v>3256</v>
      </c>
      <c r="D25" s="8"/>
      <c r="E25" s="8"/>
      <c r="F25" s="8"/>
      <c r="G25" s="8"/>
      <c r="H25" s="40"/>
      <c r="I25" s="40"/>
      <c r="J25" s="40"/>
      <c r="K25" s="8"/>
      <c r="L25" s="8"/>
      <c r="M25" s="8"/>
      <c r="N25" s="8"/>
      <c r="O25" s="121">
        <f t="shared" si="3"/>
        <v>162.80000000000001</v>
      </c>
      <c r="P25" s="64">
        <f t="shared" si="0"/>
        <v>3418.8</v>
      </c>
      <c r="R25" s="148">
        <f t="shared" si="4"/>
        <v>8.2495122754566871E-2</v>
      </c>
      <c r="S25" s="46">
        <v>25225</v>
      </c>
      <c r="T25" s="132">
        <f t="shared" si="5"/>
        <v>7747.2358722358722</v>
      </c>
    </row>
    <row r="26" spans="1:20" ht="14.25" thickBot="1" x14ac:dyDescent="0.35">
      <c r="A26" s="14" t="s">
        <v>150</v>
      </c>
      <c r="B26" s="40"/>
      <c r="C26" s="82">
        <v>2126</v>
      </c>
      <c r="D26" s="8"/>
      <c r="E26" s="8"/>
      <c r="F26" s="8"/>
      <c r="G26" s="8"/>
      <c r="H26" s="40"/>
      <c r="I26" s="40"/>
      <c r="J26" s="40"/>
      <c r="K26" s="8"/>
      <c r="L26" s="8"/>
      <c r="M26" s="8"/>
      <c r="N26" s="8"/>
      <c r="O26" s="121">
        <f t="shared" si="3"/>
        <v>106.30000000000001</v>
      </c>
      <c r="P26" s="64">
        <f t="shared" si="0"/>
        <v>2232.3000000000002</v>
      </c>
      <c r="R26" s="148">
        <f t="shared" si="4"/>
        <v>5.3865058653626896E-2</v>
      </c>
      <c r="S26" s="46">
        <v>20130</v>
      </c>
      <c r="T26" s="132">
        <f t="shared" si="5"/>
        <v>9468.4854186265293</v>
      </c>
    </row>
    <row r="27" spans="1:20" ht="14.25" thickBot="1" x14ac:dyDescent="0.35">
      <c r="A27" s="14" t="s">
        <v>32</v>
      </c>
      <c r="B27" s="40"/>
      <c r="C27" s="82">
        <f>8535</f>
        <v>8535</v>
      </c>
      <c r="D27" s="8"/>
      <c r="E27" s="8"/>
      <c r="G27" s="8"/>
      <c r="H27" s="40"/>
      <c r="I27" s="40"/>
      <c r="J27" s="40"/>
      <c r="K27" s="8"/>
      <c r="L27" s="8"/>
      <c r="M27" s="8"/>
      <c r="N27" s="8"/>
      <c r="O27" s="121">
        <f t="shared" si="3"/>
        <v>426.75</v>
      </c>
      <c r="P27" s="64">
        <f t="shared" si="0"/>
        <v>8961.75</v>
      </c>
      <c r="R27" s="148">
        <f t="shared" si="4"/>
        <v>0.21624566115179</v>
      </c>
      <c r="S27" s="46">
        <v>51210</v>
      </c>
      <c r="T27" s="132">
        <f t="shared" si="5"/>
        <v>6000</v>
      </c>
    </row>
    <row r="28" spans="1:20" ht="14.25" thickBot="1" x14ac:dyDescent="0.35">
      <c r="A28" s="14" t="s">
        <v>229</v>
      </c>
      <c r="B28" s="44">
        <f>SUM(B22:B27)</f>
        <v>0</v>
      </c>
      <c r="C28" s="44">
        <f t="shared" ref="C28:P28" si="6">SUM(C22:C27)</f>
        <v>39469</v>
      </c>
      <c r="D28" s="44">
        <f t="shared" si="6"/>
        <v>0</v>
      </c>
      <c r="E28" s="44">
        <f t="shared" si="6"/>
        <v>0</v>
      </c>
      <c r="F28" s="44">
        <f t="shared" si="6"/>
        <v>0</v>
      </c>
      <c r="G28" s="44">
        <f t="shared" si="6"/>
        <v>0</v>
      </c>
      <c r="H28" s="44">
        <f t="shared" si="6"/>
        <v>0</v>
      </c>
      <c r="I28" s="44">
        <f t="shared" si="6"/>
        <v>0</v>
      </c>
      <c r="J28" s="44">
        <f t="shared" si="6"/>
        <v>0</v>
      </c>
      <c r="K28" s="44">
        <f t="shared" si="6"/>
        <v>0</v>
      </c>
      <c r="L28" s="44">
        <f t="shared" si="6"/>
        <v>0</v>
      </c>
      <c r="M28" s="44">
        <f t="shared" si="6"/>
        <v>0</v>
      </c>
      <c r="N28" s="44">
        <f t="shared" si="6"/>
        <v>0</v>
      </c>
      <c r="O28" s="44">
        <f t="shared" si="6"/>
        <v>1973.45</v>
      </c>
      <c r="P28" s="44">
        <f t="shared" si="6"/>
        <v>41442.449999999997</v>
      </c>
      <c r="R28" s="148">
        <f t="shared" si="4"/>
        <v>1</v>
      </c>
      <c r="S28" s="46">
        <v>399599</v>
      </c>
      <c r="T28" s="132">
        <f t="shared" si="5"/>
        <v>10124.376092629658</v>
      </c>
    </row>
    <row r="29" spans="1:20" ht="14.25" thickBot="1" x14ac:dyDescent="0.35">
      <c r="A29" s="13" t="s">
        <v>33</v>
      </c>
      <c r="B29" s="112">
        <f>SUM(B22:B28)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21">
        <f t="shared" si="3"/>
        <v>0</v>
      </c>
      <c r="P29" s="64">
        <f t="shared" si="0"/>
        <v>0</v>
      </c>
    </row>
    <row r="30" spans="1:20" ht="14.25" thickBot="1" x14ac:dyDescent="0.35">
      <c r="A30" s="14" t="s">
        <v>204</v>
      </c>
      <c r="B30" s="8"/>
      <c r="C30" s="8"/>
      <c r="D30" s="8"/>
      <c r="E30" s="8"/>
      <c r="F30" s="93"/>
      <c r="G30" s="8"/>
      <c r="H30" s="8"/>
      <c r="I30" s="8"/>
      <c r="J30" s="8"/>
      <c r="K30" s="8"/>
      <c r="L30" s="8"/>
      <c r="M30" s="8"/>
      <c r="N30" s="9">
        <f>3341716*0.7/1000</f>
        <v>2339.2011999999995</v>
      </c>
      <c r="O30" s="66">
        <f t="shared" si="3"/>
        <v>116.96005999999998</v>
      </c>
      <c r="P30" s="64">
        <f t="shared" si="0"/>
        <v>2456.1612599999994</v>
      </c>
    </row>
    <row r="31" spans="1:20" ht="14.25" thickBot="1" x14ac:dyDescent="0.35">
      <c r="A31" s="14" t="s">
        <v>230</v>
      </c>
      <c r="B31" s="8"/>
      <c r="C31" s="8"/>
      <c r="D31" s="8"/>
      <c r="E31" s="8"/>
      <c r="F31" s="93"/>
      <c r="G31" s="8"/>
      <c r="H31" s="8"/>
      <c r="I31" s="8"/>
      <c r="J31" s="8"/>
      <c r="K31" s="8"/>
      <c r="L31" s="8"/>
      <c r="M31" s="8"/>
      <c r="N31" s="143">
        <f>2081/1000000</f>
        <v>2.081E-3</v>
      </c>
      <c r="O31" s="121">
        <f t="shared" si="3"/>
        <v>1.0405000000000001E-4</v>
      </c>
      <c r="P31" s="64">
        <f t="shared" si="0"/>
        <v>2.18505E-3</v>
      </c>
    </row>
    <row r="32" spans="1:20" ht="27.75" thickBot="1" x14ac:dyDescent="0.35">
      <c r="A32" s="14" t="s">
        <v>206</v>
      </c>
      <c r="B32" s="8"/>
      <c r="C32" s="8"/>
      <c r="D32" s="8"/>
      <c r="E32" s="8"/>
      <c r="F32" s="93"/>
      <c r="G32" s="8"/>
      <c r="H32" s="8"/>
      <c r="I32" s="8"/>
      <c r="J32" s="8"/>
      <c r="K32" s="8"/>
      <c r="L32" s="8"/>
      <c r="M32" s="8"/>
      <c r="N32" s="122">
        <f>345524/1000000</f>
        <v>0.345524</v>
      </c>
      <c r="O32" s="121">
        <f t="shared" si="3"/>
        <v>1.7276200000000002E-2</v>
      </c>
      <c r="P32" s="64">
        <f t="shared" si="0"/>
        <v>0.36280020000000002</v>
      </c>
    </row>
    <row r="33" spans="1:16" ht="41.25" thickBot="1" x14ac:dyDescent="0.35">
      <c r="A33" s="14" t="s">
        <v>207</v>
      </c>
      <c r="B33" s="8"/>
      <c r="C33" s="8"/>
      <c r="D33" s="8"/>
      <c r="E33" s="8"/>
      <c r="F33" s="93"/>
      <c r="G33" s="8"/>
      <c r="H33" s="8"/>
      <c r="I33" s="8"/>
      <c r="J33" s="8"/>
      <c r="K33" s="8"/>
      <c r="L33" s="8"/>
      <c r="M33" s="8"/>
      <c r="N33" s="140">
        <f>911851/1000000</f>
        <v>0.91185099999999997</v>
      </c>
      <c r="O33" s="121">
        <f t="shared" si="3"/>
        <v>4.5592550000000003E-2</v>
      </c>
      <c r="P33" s="64">
        <f t="shared" si="0"/>
        <v>0.95744354999999992</v>
      </c>
    </row>
    <row r="34" spans="1:16" ht="27.75" thickBot="1" x14ac:dyDescent="0.35">
      <c r="A34" s="14" t="s">
        <v>208</v>
      </c>
      <c r="B34" s="8"/>
      <c r="C34" s="8"/>
      <c r="D34" s="8"/>
      <c r="E34" s="8"/>
      <c r="F34" s="93"/>
      <c r="G34" s="8"/>
      <c r="H34" s="8"/>
      <c r="I34" s="8"/>
      <c r="J34" s="8"/>
      <c r="K34" s="8"/>
      <c r="L34" s="8"/>
      <c r="M34" s="8"/>
      <c r="N34" s="140">
        <f>95852047/1000000</f>
        <v>95.852046999999999</v>
      </c>
      <c r="O34" s="121">
        <f t="shared" si="3"/>
        <v>4.7926023500000001</v>
      </c>
      <c r="P34" s="64">
        <f t="shared" si="0"/>
        <v>100.64464934999999</v>
      </c>
    </row>
    <row r="35" spans="1:16" ht="14.25" thickBot="1" x14ac:dyDescent="0.35">
      <c r="A35" s="14" t="s">
        <v>229</v>
      </c>
      <c r="B35" s="91"/>
      <c r="C35" s="8"/>
      <c r="D35" s="8"/>
      <c r="E35" s="8"/>
      <c r="F35" s="93"/>
      <c r="G35" s="8"/>
      <c r="H35" s="8"/>
      <c r="I35" s="8"/>
      <c r="J35" s="8"/>
      <c r="K35" s="8"/>
      <c r="L35" s="8"/>
      <c r="M35" s="8"/>
      <c r="N35" s="9">
        <f>SUM(N30:N34)</f>
        <v>2436.3127029999991</v>
      </c>
      <c r="O35" s="9">
        <f t="shared" ref="O35:P35" si="7">SUM(O30:O34)</f>
        <v>121.81563514999998</v>
      </c>
      <c r="P35" s="9">
        <f t="shared" si="7"/>
        <v>2558.1283381499993</v>
      </c>
    </row>
    <row r="36" spans="1:16" ht="14.25" thickBot="1" x14ac:dyDescent="0.35">
      <c r="A36" s="13" t="s">
        <v>39</v>
      </c>
      <c r="B36" s="91"/>
      <c r="C36" s="40"/>
      <c r="D36" s="40"/>
      <c r="E36" s="40"/>
      <c r="F36" s="94"/>
      <c r="G36" s="40"/>
      <c r="H36" s="40"/>
      <c r="I36" s="40"/>
      <c r="J36" s="40"/>
      <c r="K36" s="40"/>
      <c r="L36" s="40"/>
      <c r="M36" s="40"/>
      <c r="N36" s="40"/>
      <c r="O36" s="121">
        <f t="shared" si="3"/>
        <v>0</v>
      </c>
      <c r="P36" s="64">
        <f t="shared" si="0"/>
        <v>0</v>
      </c>
    </row>
    <row r="37" spans="1:16" ht="14.25" thickBot="1" x14ac:dyDescent="0.35">
      <c r="A37" s="48" t="s">
        <v>123</v>
      </c>
      <c r="C37" s="40"/>
      <c r="D37" s="40"/>
      <c r="E37" s="40"/>
      <c r="F37" s="92">
        <f>[6]Sheet1!$Y$12/1000</f>
        <v>1507.0350000000001</v>
      </c>
      <c r="G37" s="40"/>
      <c r="H37" s="40"/>
      <c r="I37" s="40"/>
      <c r="J37" s="40"/>
      <c r="K37" s="40"/>
      <c r="L37" s="96"/>
      <c r="M37" s="50"/>
      <c r="N37" s="40"/>
      <c r="O37" s="121">
        <f t="shared" si="3"/>
        <v>75.35175000000001</v>
      </c>
      <c r="P37" s="64">
        <f>SUM(C37:O37)</f>
        <v>1582.3867500000001</v>
      </c>
    </row>
    <row r="38" spans="1:16" ht="14.25" thickBot="1" x14ac:dyDescent="0.35">
      <c r="A38" s="98" t="s">
        <v>133</v>
      </c>
      <c r="C38" s="94"/>
      <c r="D38" s="40"/>
      <c r="E38" s="40"/>
      <c r="F38" s="99"/>
      <c r="G38" s="40"/>
      <c r="H38" s="40"/>
      <c r="I38" s="40"/>
      <c r="J38" s="40"/>
      <c r="K38" s="40"/>
      <c r="L38" s="40"/>
      <c r="M38" s="40"/>
      <c r="N38" s="40"/>
      <c r="O38" s="121"/>
      <c r="P38" s="64">
        <f>SUM(C38:O38)</f>
        <v>0</v>
      </c>
    </row>
    <row r="39" spans="1:16" ht="14.25" thickBot="1" x14ac:dyDescent="0.35">
      <c r="A39" s="14" t="s">
        <v>41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121">
        <f t="shared" si="3"/>
        <v>0</v>
      </c>
      <c r="P39" s="64">
        <f>SUM(B39:O39)</f>
        <v>0</v>
      </c>
    </row>
    <row r="40" spans="1:16" ht="14.25" thickBot="1" x14ac:dyDescent="0.35">
      <c r="A40" s="13" t="s">
        <v>59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121">
        <f t="shared" si="3"/>
        <v>0</v>
      </c>
      <c r="P40" s="64">
        <f>SUM(B40:O40)</f>
        <v>0</v>
      </c>
    </row>
    <row r="41" spans="1:16" ht="14.25" thickBot="1" x14ac:dyDescent="0.35">
      <c r="A41" s="14" t="s">
        <v>42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66">
        <f>SUM(O22:O40)</f>
        <v>4265.8830202999998</v>
      </c>
      <c r="P41" s="64">
        <f>SUM(B41:O41)</f>
        <v>4265.8830202999998</v>
      </c>
    </row>
    <row r="42" spans="1:16" ht="14.25" thickBot="1" x14ac:dyDescent="0.35">
      <c r="A42" s="95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7"/>
      <c r="P42" s="64"/>
    </row>
    <row r="43" spans="1:16" ht="14.25" thickBot="1" x14ac:dyDescent="0.35">
      <c r="P43" s="64">
        <f>SUM(B43:O43)</f>
        <v>0</v>
      </c>
    </row>
    <row r="44" spans="1:16" ht="14.25" thickBot="1" x14ac:dyDescent="0.35">
      <c r="P44" s="64">
        <f>SUM(B44:O44)</f>
        <v>0</v>
      </c>
    </row>
    <row r="45" spans="1:16" ht="14.25" thickBot="1" x14ac:dyDescent="0.35">
      <c r="A45" s="15" t="s">
        <v>43</v>
      </c>
      <c r="B45" s="37"/>
      <c r="C45" s="10" t="s">
        <v>18</v>
      </c>
      <c r="D45" s="10" t="s">
        <v>18</v>
      </c>
      <c r="E45" s="10" t="s">
        <v>18</v>
      </c>
      <c r="F45" s="37"/>
      <c r="G45" s="10" t="s">
        <v>18</v>
      </c>
      <c r="H45" s="37"/>
      <c r="I45" s="37"/>
      <c r="J45" s="37"/>
      <c r="K45" s="10" t="s">
        <v>18</v>
      </c>
      <c r="L45" s="10"/>
      <c r="M45" s="37"/>
      <c r="N45" s="37"/>
      <c r="O45" s="43"/>
      <c r="P45" s="64">
        <f>SUM(B45:O45)</f>
        <v>0</v>
      </c>
    </row>
    <row r="46" spans="1:16" ht="41.25" thickBot="1" x14ac:dyDescent="0.35">
      <c r="A46" s="13" t="s">
        <v>3</v>
      </c>
      <c r="B46" s="3" t="s">
        <v>180</v>
      </c>
      <c r="C46" s="3" t="s">
        <v>44</v>
      </c>
      <c r="D46" s="3" t="s">
        <v>45</v>
      </c>
      <c r="E46" s="3" t="s">
        <v>7</v>
      </c>
      <c r="F46" s="3" t="s">
        <v>9</v>
      </c>
      <c r="G46" s="3" t="s">
        <v>165</v>
      </c>
      <c r="H46" s="3" t="s">
        <v>10</v>
      </c>
      <c r="I46" s="3" t="s">
        <v>11</v>
      </c>
      <c r="J46" s="3" t="s">
        <v>12</v>
      </c>
      <c r="K46" s="3" t="s">
        <v>14</v>
      </c>
      <c r="L46" s="3" t="s">
        <v>181</v>
      </c>
      <c r="M46" s="3" t="s">
        <v>166</v>
      </c>
      <c r="N46" s="3" t="s">
        <v>49</v>
      </c>
      <c r="O46" s="1" t="s">
        <v>1</v>
      </c>
      <c r="P46" s="1" t="s">
        <v>2</v>
      </c>
    </row>
    <row r="47" spans="1:16" ht="14.25" thickBot="1" x14ac:dyDescent="0.35">
      <c r="A47" s="13" t="s">
        <v>16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41"/>
      <c r="P47" s="64">
        <f t="shared" ref="P47:P75" si="8">SUM(B47:O47)</f>
        <v>0</v>
      </c>
    </row>
    <row r="48" spans="1:16" ht="14.25" thickBot="1" x14ac:dyDescent="0.35">
      <c r="A48" s="14" t="s">
        <v>19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41"/>
      <c r="P48" s="64">
        <f t="shared" si="8"/>
        <v>0</v>
      </c>
    </row>
    <row r="49" spans="1:16" ht="14.25" thickBot="1" x14ac:dyDescent="0.35">
      <c r="A49" s="14" t="s">
        <v>20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41"/>
      <c r="P49" s="64">
        <f t="shared" si="8"/>
        <v>0</v>
      </c>
    </row>
    <row r="50" spans="1:16" ht="14.25" thickBot="1" x14ac:dyDescent="0.35">
      <c r="A50" s="14" t="s">
        <v>21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41"/>
      <c r="P50" s="64">
        <f t="shared" si="8"/>
        <v>0</v>
      </c>
    </row>
    <row r="51" spans="1:16" ht="14.25" thickBot="1" x14ac:dyDescent="0.35">
      <c r="A51" s="14" t="s">
        <v>210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41"/>
      <c r="P51" s="64">
        <f t="shared" si="8"/>
        <v>0</v>
      </c>
    </row>
    <row r="52" spans="1:16" ht="14.25" thickBot="1" x14ac:dyDescent="0.35">
      <c r="A52" s="14" t="s">
        <v>211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41"/>
      <c r="P52" s="64">
        <f t="shared" si="8"/>
        <v>0</v>
      </c>
    </row>
    <row r="53" spans="1:16" ht="14.25" thickBot="1" x14ac:dyDescent="0.35">
      <c r="A53" s="14" t="s">
        <v>220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41"/>
      <c r="P53" s="64"/>
    </row>
    <row r="54" spans="1:16" ht="14.25" thickBot="1" x14ac:dyDescent="0.35">
      <c r="A54" s="14" t="s">
        <v>213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41"/>
      <c r="P54" s="64"/>
    </row>
    <row r="55" spans="1:16" ht="14.25" thickBot="1" x14ac:dyDescent="0.35">
      <c r="A55" s="14" t="s">
        <v>214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41"/>
      <c r="P55" s="64"/>
    </row>
    <row r="56" spans="1:16" ht="14.25" thickBot="1" x14ac:dyDescent="0.35">
      <c r="A56" s="13" t="s">
        <v>96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41"/>
      <c r="P56" s="64">
        <f t="shared" si="8"/>
        <v>0</v>
      </c>
    </row>
    <row r="57" spans="1:16" ht="14.25" thickBot="1" x14ac:dyDescent="0.35">
      <c r="A57" s="14" t="s">
        <v>125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41"/>
      <c r="P57" s="64">
        <f t="shared" si="8"/>
        <v>0</v>
      </c>
    </row>
    <row r="58" spans="1:16" ht="14.25" thickBot="1" x14ac:dyDescent="0.35">
      <c r="A58" s="14" t="s">
        <v>25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41"/>
      <c r="P58" s="64">
        <f t="shared" si="8"/>
        <v>0</v>
      </c>
    </row>
    <row r="59" spans="1:16" ht="14.25" thickBot="1" x14ac:dyDescent="0.35">
      <c r="A59" s="14" t="s">
        <v>26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41"/>
      <c r="P59" s="64">
        <f t="shared" si="8"/>
        <v>0</v>
      </c>
    </row>
    <row r="60" spans="1:16" ht="14.25" thickBot="1" x14ac:dyDescent="0.35">
      <c r="A60" s="13" t="s">
        <v>182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38"/>
      <c r="P60" s="64">
        <f t="shared" si="8"/>
        <v>0</v>
      </c>
    </row>
    <row r="61" spans="1:16" ht="14.25" thickBot="1" x14ac:dyDescent="0.35">
      <c r="A61" s="14" t="s">
        <v>141</v>
      </c>
      <c r="B61" s="147">
        <v>26460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65">
        <f>SUM(B61:N61)*0.05</f>
        <v>1323</v>
      </c>
      <c r="P61" s="64">
        <f t="shared" si="8"/>
        <v>27783</v>
      </c>
    </row>
    <row r="62" spans="1:16" ht="14.25" thickBot="1" x14ac:dyDescent="0.35">
      <c r="A62" s="14" t="s">
        <v>140</v>
      </c>
      <c r="B62" s="45">
        <f>C7*0.75</f>
        <v>8.4802004699295104</v>
      </c>
      <c r="C62" s="45">
        <f>C7-B62</f>
        <v>2.8267334899765029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65">
        <f>SUM(B62:N62)*0.05</f>
        <v>0.56534669799530068</v>
      </c>
      <c r="P62" s="64">
        <f t="shared" si="8"/>
        <v>11.872280657901314</v>
      </c>
    </row>
    <row r="63" spans="1:16" ht="14.25" thickBot="1" x14ac:dyDescent="0.35">
      <c r="A63" s="14" t="s">
        <v>29</v>
      </c>
      <c r="B63" s="87"/>
      <c r="C63" s="87"/>
      <c r="D63" s="87"/>
      <c r="E63" s="87"/>
      <c r="F63" s="87"/>
      <c r="G63" s="87"/>
      <c r="H63" s="87">
        <v>1847</v>
      </c>
      <c r="I63" s="87"/>
      <c r="J63" s="87"/>
      <c r="K63" s="87"/>
      <c r="L63" s="87"/>
      <c r="M63" s="87"/>
      <c r="N63" s="87"/>
      <c r="O63" s="65">
        <f t="shared" ref="O63:O69" si="9">SUM(B63:N63)*0.05</f>
        <v>92.350000000000009</v>
      </c>
      <c r="P63" s="64"/>
    </row>
    <row r="64" spans="1:16" ht="14.25" thickBot="1" x14ac:dyDescent="0.35">
      <c r="A64" s="14" t="s">
        <v>30</v>
      </c>
      <c r="B64" s="87"/>
      <c r="C64" s="87"/>
      <c r="D64" s="87"/>
      <c r="E64" s="87"/>
      <c r="F64" s="87"/>
      <c r="G64" s="87">
        <v>21</v>
      </c>
      <c r="H64" s="87">
        <v>317</v>
      </c>
      <c r="I64" s="87"/>
      <c r="J64" s="87"/>
      <c r="K64" s="87"/>
      <c r="L64" s="87"/>
      <c r="M64" s="87">
        <v>675</v>
      </c>
      <c r="N64" s="87"/>
      <c r="O64" s="65">
        <f t="shared" si="9"/>
        <v>50.650000000000006</v>
      </c>
      <c r="P64" s="64">
        <f t="shared" si="8"/>
        <v>1063.6500000000001</v>
      </c>
    </row>
    <row r="65" spans="1:18" ht="14.25" thickBot="1" x14ac:dyDescent="0.35">
      <c r="A65" s="14" t="s">
        <v>148</v>
      </c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>
        <f>948+21743</f>
        <v>22691</v>
      </c>
      <c r="N65" s="87"/>
      <c r="O65" s="65">
        <f t="shared" si="9"/>
        <v>1134.55</v>
      </c>
      <c r="P65" s="64">
        <f t="shared" si="8"/>
        <v>23825.55</v>
      </c>
    </row>
    <row r="66" spans="1:18" ht="14.25" thickBot="1" x14ac:dyDescent="0.35">
      <c r="A66" s="14" t="s">
        <v>149</v>
      </c>
      <c r="B66" s="87"/>
      <c r="C66" s="87"/>
      <c r="D66" s="87"/>
      <c r="E66" s="87"/>
      <c r="F66" s="87"/>
      <c r="G66" s="87"/>
      <c r="H66" s="87"/>
      <c r="I66" s="87"/>
      <c r="J66" s="87"/>
      <c r="K66" s="87">
        <f>760+2496</f>
        <v>3256</v>
      </c>
      <c r="L66" s="87"/>
      <c r="M66" s="87"/>
      <c r="N66" s="87"/>
      <c r="O66" s="65">
        <f t="shared" si="9"/>
        <v>162.80000000000001</v>
      </c>
      <c r="P66" s="64">
        <f t="shared" si="8"/>
        <v>3418.8</v>
      </c>
    </row>
    <row r="67" spans="1:18" ht="14.25" thickBot="1" x14ac:dyDescent="0.35">
      <c r="A67" s="14" t="s">
        <v>150</v>
      </c>
      <c r="B67" s="87"/>
      <c r="C67" s="87"/>
      <c r="D67" s="87"/>
      <c r="E67" s="87"/>
      <c r="F67" s="87">
        <f>1740+385</f>
        <v>2125</v>
      </c>
      <c r="G67" s="87"/>
      <c r="H67" s="87"/>
      <c r="I67" s="87"/>
      <c r="J67" s="87"/>
      <c r="K67" s="87"/>
      <c r="L67" s="87"/>
      <c r="M67" s="87"/>
      <c r="N67" s="87"/>
      <c r="O67" s="65">
        <f t="shared" si="9"/>
        <v>106.25</v>
      </c>
      <c r="P67" s="64">
        <f t="shared" si="8"/>
        <v>2231.25</v>
      </c>
    </row>
    <row r="68" spans="1:18" ht="14.25" thickBot="1" x14ac:dyDescent="0.35">
      <c r="A68" s="14" t="s">
        <v>32</v>
      </c>
      <c r="B68" s="87"/>
      <c r="C68" s="87"/>
      <c r="D68" s="87"/>
      <c r="E68" s="87"/>
      <c r="F68" s="87"/>
      <c r="G68" s="87"/>
      <c r="H68" s="87"/>
      <c r="I68" s="87">
        <f>8535</f>
        <v>8535</v>
      </c>
      <c r="J68" s="87"/>
      <c r="K68" s="87"/>
      <c r="L68" s="87"/>
      <c r="M68" s="87"/>
      <c r="N68" s="87"/>
      <c r="O68" s="65">
        <f t="shared" si="9"/>
        <v>426.75</v>
      </c>
      <c r="P68" s="64">
        <f t="shared" si="8"/>
        <v>8961.75</v>
      </c>
    </row>
    <row r="69" spans="1:18" s="62" customFormat="1" ht="14.25" thickBot="1" x14ac:dyDescent="0.35">
      <c r="A69" s="13" t="s">
        <v>229</v>
      </c>
      <c r="B69" s="120">
        <f>SUM(B63:B68)</f>
        <v>0</v>
      </c>
      <c r="C69" s="120">
        <f t="shared" ref="C69:P69" si="10">SUM(C63:C68)</f>
        <v>0</v>
      </c>
      <c r="D69" s="120">
        <f t="shared" si="10"/>
        <v>0</v>
      </c>
      <c r="E69" s="120">
        <f t="shared" si="10"/>
        <v>0</v>
      </c>
      <c r="F69" s="120">
        <f t="shared" si="10"/>
        <v>2125</v>
      </c>
      <c r="G69" s="120">
        <f t="shared" si="10"/>
        <v>21</v>
      </c>
      <c r="H69" s="120">
        <f t="shared" si="10"/>
        <v>2164</v>
      </c>
      <c r="I69" s="120">
        <f t="shared" si="10"/>
        <v>8535</v>
      </c>
      <c r="J69" s="120">
        <f t="shared" si="10"/>
        <v>0</v>
      </c>
      <c r="K69" s="120">
        <f t="shared" si="10"/>
        <v>3256</v>
      </c>
      <c r="L69" s="120">
        <f t="shared" si="10"/>
        <v>0</v>
      </c>
      <c r="M69" s="120">
        <f t="shared" si="10"/>
        <v>23366</v>
      </c>
      <c r="N69" s="120">
        <f t="shared" si="10"/>
        <v>0</v>
      </c>
      <c r="O69" s="65">
        <f t="shared" si="9"/>
        <v>1973.3500000000001</v>
      </c>
      <c r="P69" s="120">
        <f t="shared" si="10"/>
        <v>39501</v>
      </c>
    </row>
    <row r="70" spans="1:18" ht="14.25" thickBot="1" x14ac:dyDescent="0.35">
      <c r="A70" s="14" t="s">
        <v>204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144">
        <f>3786521*0.7/1000</f>
        <v>2650.5646999999999</v>
      </c>
      <c r="O70" s="145">
        <f>0.05*N70</f>
        <v>132.528235</v>
      </c>
      <c r="P70" s="64">
        <f t="shared" si="8"/>
        <v>2783.0929349999997</v>
      </c>
      <c r="R70" s="71">
        <f>N70-N30</f>
        <v>311.36350000000039</v>
      </c>
    </row>
    <row r="71" spans="1:18" ht="14.25" thickBot="1" x14ac:dyDescent="0.35">
      <c r="A71" s="14" t="s">
        <v>231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144">
        <f>104063/1000000</f>
        <v>0.104063</v>
      </c>
      <c r="O71" s="145">
        <f t="shared" ref="O71:O74" si="11">0.05*N71</f>
        <v>5.2031500000000001E-3</v>
      </c>
      <c r="P71" s="64">
        <f t="shared" si="8"/>
        <v>0.10926615000000001</v>
      </c>
      <c r="R71" s="71">
        <f t="shared" ref="R71:R74" si="12">N71-N31</f>
        <v>0.101982</v>
      </c>
    </row>
    <row r="72" spans="1:18" ht="27.75" thickBot="1" x14ac:dyDescent="0.35">
      <c r="A72" s="14" t="s">
        <v>232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144">
        <f>692/1000000</f>
        <v>6.9200000000000002E-4</v>
      </c>
      <c r="O72" s="145">
        <f t="shared" si="11"/>
        <v>3.4600000000000001E-5</v>
      </c>
      <c r="P72" s="64">
        <f t="shared" si="8"/>
        <v>7.2659999999999999E-4</v>
      </c>
      <c r="R72" s="71">
        <f t="shared" si="12"/>
        <v>-0.34483199999999997</v>
      </c>
    </row>
    <row r="73" spans="1:18" ht="41.25" thickBot="1" x14ac:dyDescent="0.35">
      <c r="A73" s="14" t="s">
        <v>233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144">
        <f>1205401/1000000</f>
        <v>1.2054009999999999</v>
      </c>
      <c r="O73" s="145">
        <f t="shared" si="11"/>
        <v>6.0270049999999999E-2</v>
      </c>
      <c r="P73" s="64">
        <f t="shared" si="8"/>
        <v>1.2656710499999999</v>
      </c>
      <c r="R73" s="71">
        <f t="shared" si="12"/>
        <v>0.29354999999999998</v>
      </c>
    </row>
    <row r="74" spans="1:18" ht="27.75" thickBot="1" x14ac:dyDescent="0.35">
      <c r="A74" s="14" t="s">
        <v>234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144">
        <f>8028727/1000000</f>
        <v>8.0287269999999999</v>
      </c>
      <c r="O74" s="145">
        <f t="shared" si="11"/>
        <v>0.40143635</v>
      </c>
      <c r="P74" s="64">
        <f t="shared" si="8"/>
        <v>8.4301633500000008</v>
      </c>
      <c r="R74" s="71">
        <f t="shared" si="12"/>
        <v>-87.823319999999995</v>
      </c>
    </row>
    <row r="75" spans="1:18" ht="14.25" thickBot="1" x14ac:dyDescent="0.35">
      <c r="A75" s="14" t="s">
        <v>229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51">
        <f>SUM(N70:N74)</f>
        <v>2659.9035830000003</v>
      </c>
      <c r="O75" s="146">
        <f>SUM(O70:O74)</f>
        <v>132.99517915000001</v>
      </c>
      <c r="P75" s="64">
        <f t="shared" si="8"/>
        <v>2792.89876215</v>
      </c>
    </row>
    <row r="76" spans="1:18" ht="14.25" thickBot="1" x14ac:dyDescent="0.35">
      <c r="A76" s="13" t="s">
        <v>56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38"/>
      <c r="P76" s="64">
        <f t="shared" ref="P76:P82" si="13">SUM(B76:O76)</f>
        <v>0</v>
      </c>
    </row>
    <row r="77" spans="1:18" ht="14.25" thickBot="1" x14ac:dyDescent="0.35">
      <c r="A77" s="14" t="s">
        <v>122</v>
      </c>
      <c r="B77" s="8"/>
      <c r="C77" s="40"/>
      <c r="D77" s="40"/>
      <c r="E77" s="40"/>
      <c r="F77" s="44">
        <f>0.2*F37</f>
        <v>301.40700000000004</v>
      </c>
      <c r="G77" s="40"/>
      <c r="H77" s="40"/>
      <c r="I77" s="40"/>
      <c r="J77" s="40"/>
      <c r="K77" s="40"/>
      <c r="L77" s="40"/>
      <c r="M77" s="45">
        <f>0.8*F37</f>
        <v>1205.6280000000002</v>
      </c>
      <c r="N77" s="47"/>
      <c r="O77" s="38"/>
      <c r="P77" s="64">
        <f t="shared" si="13"/>
        <v>1507.0350000000003</v>
      </c>
    </row>
    <row r="78" spans="1:18" ht="14.25" thickBot="1" x14ac:dyDescent="0.35">
      <c r="A78" s="14" t="s">
        <v>57</v>
      </c>
      <c r="B78" s="8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7">
        <f>Sheet1!M65</f>
        <v>22768</v>
      </c>
      <c r="O78" s="38"/>
      <c r="P78" s="64">
        <f t="shared" si="13"/>
        <v>22768</v>
      </c>
    </row>
    <row r="79" spans="1:18" ht="14.25" thickBot="1" x14ac:dyDescent="0.35">
      <c r="A79" s="14" t="s">
        <v>41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38"/>
      <c r="P79" s="64">
        <f t="shared" si="13"/>
        <v>0</v>
      </c>
    </row>
    <row r="80" spans="1:18" ht="14.25" thickBot="1" x14ac:dyDescent="0.35">
      <c r="A80" s="13" t="s">
        <v>59</v>
      </c>
      <c r="B80" s="45">
        <f>SUM(B69:B79)*0.05</f>
        <v>0</v>
      </c>
      <c r="C80" s="45">
        <f t="shared" ref="C80:O80" si="14">SUM(C69:C79)*0.05</f>
        <v>0</v>
      </c>
      <c r="D80" s="45">
        <f t="shared" si="14"/>
        <v>0</v>
      </c>
      <c r="E80" s="45">
        <f t="shared" si="14"/>
        <v>0</v>
      </c>
      <c r="F80" s="45">
        <f t="shared" si="14"/>
        <v>121.32035000000002</v>
      </c>
      <c r="G80" s="45">
        <f t="shared" si="14"/>
        <v>1.05</v>
      </c>
      <c r="H80" s="45">
        <f t="shared" si="14"/>
        <v>108.2</v>
      </c>
      <c r="I80" s="45">
        <f t="shared" si="14"/>
        <v>426.75</v>
      </c>
      <c r="J80" s="45">
        <f t="shared" si="14"/>
        <v>0</v>
      </c>
      <c r="K80" s="45">
        <f t="shared" si="14"/>
        <v>162.80000000000001</v>
      </c>
      <c r="L80" s="45">
        <f t="shared" si="14"/>
        <v>0</v>
      </c>
      <c r="M80" s="45">
        <f t="shared" si="14"/>
        <v>1228.5814</v>
      </c>
      <c r="N80" s="45">
        <f t="shared" si="14"/>
        <v>1404.3903583000001</v>
      </c>
      <c r="O80" s="45">
        <f t="shared" si="14"/>
        <v>111.967017915</v>
      </c>
      <c r="P80" s="64">
        <f t="shared" si="13"/>
        <v>3565.0591262150001</v>
      </c>
    </row>
    <row r="81" spans="1:16" ht="14.25" thickBot="1" x14ac:dyDescent="0.35">
      <c r="A81" s="14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38"/>
      <c r="P81" s="64">
        <f t="shared" si="13"/>
        <v>0</v>
      </c>
    </row>
    <row r="82" spans="1:16" ht="14.25" thickBot="1" x14ac:dyDescent="0.35">
      <c r="A82" s="14"/>
      <c r="B82" s="8"/>
      <c r="C82" s="8"/>
      <c r="D82" s="8"/>
      <c r="E82" s="8"/>
      <c r="F82" s="149">
        <f>F69/$P$69</f>
        <v>5.3796106427685376E-2</v>
      </c>
      <c r="G82" s="149">
        <f t="shared" ref="G82:O82" si="15">G69/$P$69</f>
        <v>5.3163211057947904E-4</v>
      </c>
      <c r="H82" s="149">
        <f t="shared" si="15"/>
        <v>5.4783423204475837E-2</v>
      </c>
      <c r="I82" s="149">
        <f t="shared" si="15"/>
        <v>0.21607047922837397</v>
      </c>
      <c r="J82" s="149">
        <f t="shared" si="15"/>
        <v>0</v>
      </c>
      <c r="K82" s="149">
        <f t="shared" si="15"/>
        <v>8.242829295460874E-2</v>
      </c>
      <c r="L82" s="149">
        <f t="shared" si="15"/>
        <v>0</v>
      </c>
      <c r="M82" s="149">
        <f t="shared" si="15"/>
        <v>0.59152932837143368</v>
      </c>
      <c r="N82" s="149">
        <f t="shared" si="15"/>
        <v>0</v>
      </c>
      <c r="O82" s="149">
        <f t="shared" si="15"/>
        <v>4.9956963114857852E-2</v>
      </c>
      <c r="P82" s="64">
        <f t="shared" si="13"/>
        <v>1.0490962254120149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87"/>
  <sheetViews>
    <sheetView topLeftCell="A57" zoomScaleNormal="100" workbookViewId="0">
      <selection activeCell="N67" sqref="N67:N73"/>
    </sheetView>
  </sheetViews>
  <sheetFormatPr defaultColWidth="9.140625" defaultRowHeight="13.5" x14ac:dyDescent="0.3"/>
  <cols>
    <col min="1" max="1" width="39.5703125" style="42" customWidth="1"/>
    <col min="2" max="3" width="10.7109375" style="5" bestFit="1" customWidth="1"/>
    <col min="4" max="6" width="9.140625" style="5"/>
    <col min="7" max="7" width="9.85546875" style="5" customWidth="1"/>
    <col min="8" max="11" width="9.140625" style="5"/>
    <col min="12" max="12" width="11" style="5" customWidth="1"/>
    <col min="13" max="13" width="11.5703125" style="5" bestFit="1" customWidth="1"/>
    <col min="14" max="14" width="9.140625" style="5"/>
    <col min="15" max="15" width="11.28515625" style="5" bestFit="1" customWidth="1"/>
    <col min="16" max="18" width="9.140625" style="5"/>
    <col min="19" max="19" width="9.5703125" style="5" bestFit="1" customWidth="1"/>
    <col min="20" max="16384" width="9.140625" style="5"/>
  </cols>
  <sheetData>
    <row r="1" spans="1:16" ht="23.25" customHeight="1" thickBot="1" x14ac:dyDescent="0.35">
      <c r="A1" s="12" t="s">
        <v>171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1" t="s">
        <v>1</v>
      </c>
      <c r="O1" s="1" t="s">
        <v>2</v>
      </c>
    </row>
    <row r="2" spans="1:16" ht="30.75" customHeight="1" thickBot="1" x14ac:dyDescent="0.35">
      <c r="A2" s="1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165</v>
      </c>
      <c r="L2" s="3" t="s">
        <v>14</v>
      </c>
      <c r="M2" s="3" t="s">
        <v>15</v>
      </c>
      <c r="N2" s="1" t="s">
        <v>1</v>
      </c>
      <c r="O2" s="1" t="s">
        <v>2</v>
      </c>
    </row>
    <row r="3" spans="1:16" ht="14.25" thickBot="1" x14ac:dyDescent="0.35">
      <c r="A3" s="13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39"/>
      <c r="N3" s="41"/>
      <c r="O3" s="66">
        <f>SUM(B3:N3)</f>
        <v>0</v>
      </c>
    </row>
    <row r="4" spans="1:16" ht="14.25" thickBot="1" x14ac:dyDescent="0.35">
      <c r="A4" s="14" t="s">
        <v>139</v>
      </c>
      <c r="B4" s="39"/>
      <c r="C4" s="72"/>
      <c r="D4" s="39"/>
      <c r="E4" s="39"/>
      <c r="F4" s="39"/>
      <c r="G4" s="39"/>
      <c r="H4" s="39"/>
      <c r="I4" s="39"/>
      <c r="J4" s="39"/>
      <c r="K4" s="39"/>
      <c r="L4" s="39"/>
      <c r="M4" s="39"/>
      <c r="N4" s="41"/>
      <c r="O4" s="66">
        <f t="shared" ref="O4:O41" si="0">SUM(B4:N4)</f>
        <v>0</v>
      </c>
    </row>
    <row r="5" spans="1:16" ht="14.25" thickBot="1" x14ac:dyDescent="0.35">
      <c r="A5" s="14" t="s">
        <v>140</v>
      </c>
      <c r="B5" s="39"/>
      <c r="C5" s="44"/>
      <c r="D5" s="39"/>
      <c r="E5" s="39"/>
      <c r="F5" s="39"/>
      <c r="G5" s="39"/>
      <c r="H5" s="39"/>
      <c r="I5" s="39"/>
      <c r="J5" s="39"/>
      <c r="K5" s="39"/>
      <c r="L5" s="39"/>
      <c r="M5" s="39"/>
      <c r="N5" s="41"/>
      <c r="O5" s="66">
        <f t="shared" si="0"/>
        <v>0</v>
      </c>
    </row>
    <row r="6" spans="1:16" ht="14.25" thickBot="1" x14ac:dyDescent="0.35">
      <c r="A6" s="14" t="s">
        <v>21</v>
      </c>
      <c r="B6" s="39"/>
      <c r="C6" s="47"/>
      <c r="D6" s="39"/>
      <c r="E6" s="39"/>
      <c r="F6" s="39"/>
      <c r="G6" s="39"/>
      <c r="H6" s="39"/>
      <c r="I6" s="39"/>
      <c r="J6" s="39"/>
      <c r="K6" s="39"/>
      <c r="L6" s="39"/>
      <c r="M6" s="39"/>
      <c r="N6" s="41"/>
      <c r="O6" s="66">
        <f t="shared" si="0"/>
        <v>0</v>
      </c>
      <c r="P6" s="148">
        <f>O6/O28</f>
        <v>0</v>
      </c>
    </row>
    <row r="7" spans="1:16" ht="14.25" thickBot="1" x14ac:dyDescent="0.35">
      <c r="A7" s="14" t="s">
        <v>210</v>
      </c>
      <c r="B7" s="39"/>
      <c r="C7" s="6">
        <f>[2]Sheet2!$F$28/1000/15</f>
        <v>97.679733333333331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41"/>
      <c r="O7" s="66">
        <f t="shared" si="0"/>
        <v>97.679733333333331</v>
      </c>
    </row>
    <row r="8" spans="1:16" ht="14.25" thickBot="1" x14ac:dyDescent="0.35">
      <c r="A8" s="14" t="s">
        <v>211</v>
      </c>
      <c r="B8" s="39"/>
      <c r="C8" s="6">
        <f>[2]Sheet2!$G$28/1000/15</f>
        <v>99.424066666666675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41"/>
      <c r="O8" s="66">
        <f t="shared" si="0"/>
        <v>99.424066666666675</v>
      </c>
    </row>
    <row r="9" spans="1:16" ht="14.25" thickBot="1" x14ac:dyDescent="0.35">
      <c r="A9" s="14" t="s">
        <v>220</v>
      </c>
      <c r="B9" s="39"/>
      <c r="C9" s="6">
        <f>[2]Sheet2!$I$28/1000/30</f>
        <v>525.22856666666667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41"/>
      <c r="O9" s="66">
        <f t="shared" si="0"/>
        <v>525.22856666666667</v>
      </c>
    </row>
    <row r="10" spans="1:16" ht="14.25" thickBot="1" x14ac:dyDescent="0.35">
      <c r="A10" s="14" t="s">
        <v>213</v>
      </c>
      <c r="B10" s="39"/>
      <c r="C10" s="6">
        <f>[2]Sheet2!$J$28/1000/30</f>
        <v>71.242199999999997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1"/>
      <c r="O10" s="66">
        <f t="shared" si="0"/>
        <v>71.242199999999997</v>
      </c>
    </row>
    <row r="11" spans="1:16" ht="14.25" thickBot="1" x14ac:dyDescent="0.35">
      <c r="A11" s="14" t="s">
        <v>214</v>
      </c>
      <c r="B11" s="39"/>
      <c r="C11" s="6">
        <f>[2]Sheet2!$K$28/1000/30</f>
        <v>154.44266666666667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1"/>
      <c r="O11" s="66">
        <f t="shared" si="0"/>
        <v>154.44266666666667</v>
      </c>
    </row>
    <row r="12" spans="1:16" ht="14.25" thickBot="1" x14ac:dyDescent="0.35">
      <c r="A12" s="14" t="s">
        <v>240</v>
      </c>
      <c r="B12" s="104"/>
      <c r="C12" s="75">
        <f>SUM(C7:C11)</f>
        <v>948.01723333333337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1"/>
      <c r="O12" s="66"/>
    </row>
    <row r="13" spans="1:16" ht="14.25" thickBot="1" x14ac:dyDescent="0.35">
      <c r="A13" s="14" t="s">
        <v>241</v>
      </c>
      <c r="B13" s="104"/>
      <c r="C13" s="75">
        <f>[3]Sheet2!$P$42/1000</f>
        <v>45805.061140000013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41"/>
      <c r="O13" s="66"/>
    </row>
    <row r="14" spans="1:16" ht="14.25" thickBot="1" x14ac:dyDescent="0.35">
      <c r="A14" s="14" t="s">
        <v>242</v>
      </c>
      <c r="B14" s="104"/>
      <c r="C14" s="75">
        <f>C13+C12</f>
        <v>46753.078373333345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1"/>
      <c r="O14" s="66"/>
    </row>
    <row r="15" spans="1:16" ht="14.25" thickBot="1" x14ac:dyDescent="0.35">
      <c r="A15" s="14" t="s">
        <v>243</v>
      </c>
      <c r="B15" s="104"/>
      <c r="C15" s="75">
        <f>O28-C14</f>
        <v>4388.221626666651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1"/>
      <c r="O15" s="66"/>
      <c r="P15" s="148">
        <f>C15/O28</f>
        <v>8.5805828687707419E-2</v>
      </c>
    </row>
    <row r="16" spans="1:16" ht="14.25" thickBot="1" x14ac:dyDescent="0.35">
      <c r="A16" s="13" t="s">
        <v>96</v>
      </c>
      <c r="B16" s="39"/>
      <c r="C16" s="40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41"/>
      <c r="O16" s="66">
        <f t="shared" si="0"/>
        <v>0</v>
      </c>
    </row>
    <row r="17" spans="1:19" ht="14.25" thickBot="1" x14ac:dyDescent="0.35">
      <c r="A17" s="14" t="s">
        <v>168</v>
      </c>
      <c r="B17" s="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7"/>
      <c r="O17" s="66">
        <f t="shared" si="0"/>
        <v>0</v>
      </c>
    </row>
    <row r="18" spans="1:19" ht="14.25" thickBot="1" x14ac:dyDescent="0.35">
      <c r="A18" s="14" t="s">
        <v>25</v>
      </c>
      <c r="B18" s="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7"/>
      <c r="O18" s="66">
        <f t="shared" si="0"/>
        <v>0</v>
      </c>
    </row>
    <row r="19" spans="1:19" ht="14.25" thickBot="1" x14ac:dyDescent="0.35">
      <c r="A19" s="14" t="s">
        <v>26</v>
      </c>
      <c r="B19" s="40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  <c r="O19" s="66">
        <f t="shared" si="0"/>
        <v>0</v>
      </c>
    </row>
    <row r="20" spans="1:19" ht="14.25" thickBot="1" x14ac:dyDescent="0.35">
      <c r="A20" s="14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38"/>
      <c r="O20" s="66">
        <f t="shared" si="0"/>
        <v>0</v>
      </c>
    </row>
    <row r="21" spans="1:19" s="79" customFormat="1" ht="14.25" thickBot="1" x14ac:dyDescent="0.35">
      <c r="A21" s="80" t="s">
        <v>158</v>
      </c>
      <c r="B21" s="77"/>
      <c r="C21" s="81">
        <f>SUM(C22:C27)</f>
        <v>48706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  <c r="O21" s="66">
        <f>SUM(O22:O27)</f>
        <v>51141.299999999996</v>
      </c>
    </row>
    <row r="22" spans="1:19" ht="14.25" thickBot="1" x14ac:dyDescent="0.35">
      <c r="A22" s="14" t="s">
        <v>29</v>
      </c>
      <c r="B22" s="6"/>
      <c r="C22" s="82">
        <v>2453</v>
      </c>
      <c r="D22" s="8"/>
      <c r="E22" s="8"/>
      <c r="F22" s="8"/>
      <c r="G22" s="8"/>
      <c r="H22" s="40"/>
      <c r="I22" s="40"/>
      <c r="J22" s="40"/>
      <c r="K22" s="8"/>
      <c r="L22" s="8"/>
      <c r="M22" s="40"/>
      <c r="N22" s="38">
        <f>0.05*SUM(B22:M22)</f>
        <v>122.65</v>
      </c>
      <c r="O22" s="66">
        <f t="shared" si="0"/>
        <v>2575.65</v>
      </c>
      <c r="R22" s="158">
        <v>361976</v>
      </c>
      <c r="S22" s="132">
        <f>R22*1000000/(C22*1000)</f>
        <v>147564.61475743988</v>
      </c>
    </row>
    <row r="23" spans="1:19" ht="14.25" thickBot="1" x14ac:dyDescent="0.35">
      <c r="A23" s="14" t="s">
        <v>30</v>
      </c>
      <c r="B23" s="40"/>
      <c r="C23" s="82">
        <v>1247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38">
        <f t="shared" ref="N23:N40" si="1">0.05*SUM(B23:M23)</f>
        <v>62.35</v>
      </c>
      <c r="O23" s="66">
        <f t="shared" si="0"/>
        <v>1309.3499999999999</v>
      </c>
      <c r="Q23" s="73">
        <f>C22/$C$28</f>
        <v>5.0363404919311787E-2</v>
      </c>
      <c r="R23" s="159">
        <v>251793</v>
      </c>
      <c r="S23" s="132">
        <f t="shared" ref="S23:S27" si="2">R23*1000000/(C23*1000)</f>
        <v>201919.00561347234</v>
      </c>
    </row>
    <row r="24" spans="1:19" ht="14.25" thickBot="1" x14ac:dyDescent="0.35">
      <c r="A24" s="14" t="s">
        <v>148</v>
      </c>
      <c r="B24" s="40"/>
      <c r="C24" s="82">
        <v>27024</v>
      </c>
      <c r="D24" s="8"/>
      <c r="E24" s="8"/>
      <c r="F24" s="8"/>
      <c r="G24" s="8"/>
      <c r="H24" s="40"/>
      <c r="I24" s="40"/>
      <c r="J24" s="40"/>
      <c r="K24" s="8"/>
      <c r="L24" s="8"/>
      <c r="M24" s="8"/>
      <c r="N24" s="38">
        <f t="shared" si="1"/>
        <v>1351.2</v>
      </c>
      <c r="O24" s="66">
        <f t="shared" si="0"/>
        <v>28375.200000000001</v>
      </c>
      <c r="Q24" s="73">
        <f t="shared" ref="Q24:Q29" si="3">C23/$C$28</f>
        <v>2.5602595162813616E-2</v>
      </c>
      <c r="R24" s="159">
        <v>146752</v>
      </c>
      <c r="S24" s="132">
        <f t="shared" si="2"/>
        <v>5430.4322084073419</v>
      </c>
    </row>
    <row r="25" spans="1:19" ht="14.25" thickBot="1" x14ac:dyDescent="0.35">
      <c r="A25" s="14" t="s">
        <v>149</v>
      </c>
      <c r="B25" s="40"/>
      <c r="C25" s="82">
        <v>3656</v>
      </c>
      <c r="D25" s="8"/>
      <c r="E25" s="8"/>
      <c r="F25" s="8"/>
      <c r="G25" s="8"/>
      <c r="H25" s="40"/>
      <c r="I25" s="40"/>
      <c r="J25" s="40"/>
      <c r="K25" s="8"/>
      <c r="L25" s="8"/>
      <c r="M25" s="8"/>
      <c r="N25" s="38">
        <f t="shared" si="1"/>
        <v>182.8</v>
      </c>
      <c r="O25" s="66">
        <f t="shared" si="0"/>
        <v>3838.8</v>
      </c>
      <c r="Q25" s="73">
        <f t="shared" si="3"/>
        <v>0.55483923951874514</v>
      </c>
      <c r="R25" s="159">
        <v>27523</v>
      </c>
      <c r="S25" s="132">
        <f t="shared" si="2"/>
        <v>7528.1728665207875</v>
      </c>
    </row>
    <row r="26" spans="1:19" ht="14.25" thickBot="1" x14ac:dyDescent="0.35">
      <c r="A26" s="14" t="s">
        <v>150</v>
      </c>
      <c r="B26" s="40"/>
      <c r="C26" s="82">
        <v>2364</v>
      </c>
      <c r="D26" s="8"/>
      <c r="E26" s="8"/>
      <c r="F26" s="8"/>
      <c r="G26" s="8"/>
      <c r="H26" s="40"/>
      <c r="I26" s="40"/>
      <c r="J26" s="40"/>
      <c r="K26" s="8"/>
      <c r="L26" s="8"/>
      <c r="M26" s="8"/>
      <c r="N26" s="38">
        <f t="shared" si="1"/>
        <v>118.2</v>
      </c>
      <c r="O26" s="66">
        <f t="shared" si="0"/>
        <v>2482.1999999999998</v>
      </c>
      <c r="Q26" s="73">
        <f t="shared" si="3"/>
        <v>7.5062620621689322E-2</v>
      </c>
      <c r="R26" s="159">
        <v>21867</v>
      </c>
      <c r="S26" s="132">
        <f t="shared" si="2"/>
        <v>9250</v>
      </c>
    </row>
    <row r="27" spans="1:19" ht="14.25" thickBot="1" x14ac:dyDescent="0.35">
      <c r="A27" s="14" t="s">
        <v>32</v>
      </c>
      <c r="B27" s="40"/>
      <c r="C27" s="82">
        <f>11962</f>
        <v>11962</v>
      </c>
      <c r="D27" s="8"/>
      <c r="E27" s="8"/>
      <c r="F27" s="8"/>
      <c r="G27" s="8"/>
      <c r="H27" s="40"/>
      <c r="I27" s="40"/>
      <c r="J27" s="40"/>
      <c r="K27" s="8"/>
      <c r="L27" s="8"/>
      <c r="M27" s="8"/>
      <c r="N27" s="38">
        <f t="shared" si="1"/>
        <v>598.1</v>
      </c>
      <c r="O27" s="66">
        <f t="shared" si="0"/>
        <v>12560.1</v>
      </c>
      <c r="Q27" s="73">
        <f t="shared" si="3"/>
        <v>4.8536114647066073E-2</v>
      </c>
      <c r="R27" s="159">
        <v>66894</v>
      </c>
      <c r="S27" s="132">
        <f t="shared" si="2"/>
        <v>5592.20866075907</v>
      </c>
    </row>
    <row r="28" spans="1:19" ht="14.25" thickBot="1" x14ac:dyDescent="0.35">
      <c r="A28" s="14" t="s">
        <v>229</v>
      </c>
      <c r="B28" s="44">
        <f>SUM(B22:B27)</f>
        <v>0</v>
      </c>
      <c r="C28" s="44">
        <f t="shared" ref="C28:O28" si="4">SUM(C22:C27)</f>
        <v>48706</v>
      </c>
      <c r="D28" s="44">
        <f t="shared" si="4"/>
        <v>0</v>
      </c>
      <c r="E28" s="44">
        <f t="shared" si="4"/>
        <v>0</v>
      </c>
      <c r="F28" s="44">
        <f t="shared" si="4"/>
        <v>0</v>
      </c>
      <c r="G28" s="44">
        <f t="shared" si="4"/>
        <v>0</v>
      </c>
      <c r="H28" s="44">
        <f t="shared" si="4"/>
        <v>0</v>
      </c>
      <c r="I28" s="44">
        <f t="shared" si="4"/>
        <v>0</v>
      </c>
      <c r="J28" s="44">
        <f t="shared" si="4"/>
        <v>0</v>
      </c>
      <c r="K28" s="44">
        <f t="shared" si="4"/>
        <v>0</v>
      </c>
      <c r="L28" s="44">
        <f t="shared" si="4"/>
        <v>0</v>
      </c>
      <c r="M28" s="44">
        <f t="shared" si="4"/>
        <v>0</v>
      </c>
      <c r="N28" s="44">
        <f t="shared" si="4"/>
        <v>2435.3000000000002</v>
      </c>
      <c r="O28" s="44">
        <f t="shared" si="4"/>
        <v>51141.299999999996</v>
      </c>
      <c r="Q28" s="73">
        <f t="shared" si="3"/>
        <v>0.24559602513037407</v>
      </c>
      <c r="R28" s="160">
        <v>876805</v>
      </c>
    </row>
    <row r="29" spans="1:19" ht="14.25" thickBot="1" x14ac:dyDescent="0.35">
      <c r="A29" s="13" t="s">
        <v>33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8">
        <f t="shared" si="1"/>
        <v>0</v>
      </c>
      <c r="O29" s="66">
        <f t="shared" si="0"/>
        <v>0</v>
      </c>
      <c r="Q29" s="73">
        <f t="shared" si="3"/>
        <v>1</v>
      </c>
    </row>
    <row r="30" spans="1:19" ht="14.25" thickBot="1" x14ac:dyDescent="0.35">
      <c r="A30" s="14" t="s">
        <v>204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22">
        <f>[4]Sheet1!$I$6*0.7</f>
        <v>136.5</v>
      </c>
      <c r="N30" s="152">
        <f t="shared" si="1"/>
        <v>6.8250000000000002</v>
      </c>
      <c r="O30" s="66">
        <f t="shared" si="0"/>
        <v>143.32499999999999</v>
      </c>
    </row>
    <row r="31" spans="1:19" ht="14.25" thickBot="1" x14ac:dyDescent="0.35">
      <c r="A31" s="14" t="s">
        <v>230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22">
        <f>[4]Sheet2!$I$6/1000</f>
        <v>0.33700000000000002</v>
      </c>
      <c r="N31" s="152">
        <f t="shared" si="1"/>
        <v>1.685E-2</v>
      </c>
      <c r="O31" s="66">
        <f t="shared" si="0"/>
        <v>0.35385</v>
      </c>
    </row>
    <row r="32" spans="1:19" ht="27.75" thickBot="1" x14ac:dyDescent="0.35">
      <c r="A32" s="14" t="s">
        <v>217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22">
        <f>[4]Sheet3!$I$6/1000000</f>
        <v>8.3031999999999995E-2</v>
      </c>
      <c r="N32" s="152">
        <f t="shared" si="1"/>
        <v>4.1516000000000001E-3</v>
      </c>
      <c r="O32" s="66">
        <f t="shared" si="0"/>
        <v>8.71836E-2</v>
      </c>
    </row>
    <row r="33" spans="1:15" ht="27.75" thickBot="1" x14ac:dyDescent="0.35">
      <c r="A33" s="14" t="s">
        <v>218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22">
        <f>[4]Sheet4!$I$6/1000000</f>
        <v>1.266913</v>
      </c>
      <c r="N33" s="152">
        <f t="shared" si="1"/>
        <v>6.3345650000000003E-2</v>
      </c>
      <c r="O33" s="66">
        <f t="shared" si="0"/>
        <v>1.33025865</v>
      </c>
    </row>
    <row r="34" spans="1:15" ht="27.75" thickBot="1" x14ac:dyDescent="0.35">
      <c r="A34" s="14" t="s">
        <v>219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151">
        <f>[4]Sheet5!$I$6/1000000</f>
        <v>34.487876</v>
      </c>
      <c r="N34" s="153">
        <f t="shared" si="1"/>
        <v>1.7243938000000001</v>
      </c>
      <c r="O34" s="100">
        <f t="shared" si="0"/>
        <v>36.212269800000001</v>
      </c>
    </row>
    <row r="35" spans="1:15" ht="14.25" thickBot="1" x14ac:dyDescent="0.35">
      <c r="A35" s="48" t="s">
        <v>229</v>
      </c>
      <c r="B35" s="150">
        <f>SUM(B30:B34)</f>
        <v>0</v>
      </c>
      <c r="C35" s="150">
        <f t="shared" ref="C35:O35" si="5">SUM(C30:C34)</f>
        <v>0</v>
      </c>
      <c r="D35" s="150">
        <f t="shared" si="5"/>
        <v>0</v>
      </c>
      <c r="E35" s="150">
        <f t="shared" si="5"/>
        <v>0</v>
      </c>
      <c r="F35" s="150">
        <f t="shared" si="5"/>
        <v>0</v>
      </c>
      <c r="G35" s="150">
        <f t="shared" si="5"/>
        <v>0</v>
      </c>
      <c r="H35" s="150">
        <f t="shared" si="5"/>
        <v>0</v>
      </c>
      <c r="I35" s="150">
        <f t="shared" si="5"/>
        <v>0</v>
      </c>
      <c r="J35" s="150">
        <f t="shared" si="5"/>
        <v>0</v>
      </c>
      <c r="K35" s="150">
        <f t="shared" si="5"/>
        <v>0</v>
      </c>
      <c r="L35" s="150">
        <f t="shared" si="5"/>
        <v>0</v>
      </c>
      <c r="M35" s="150">
        <f t="shared" si="5"/>
        <v>172.67482099999998</v>
      </c>
      <c r="N35" s="154">
        <f t="shared" si="5"/>
        <v>8.6337410499999994</v>
      </c>
      <c r="O35" s="150">
        <f t="shared" si="5"/>
        <v>181.30856204999998</v>
      </c>
    </row>
    <row r="36" spans="1:15" ht="14.25" thickBot="1" x14ac:dyDescent="0.35">
      <c r="A36" s="13" t="s">
        <v>39</v>
      </c>
      <c r="B36" s="91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38">
        <f t="shared" si="1"/>
        <v>0</v>
      </c>
      <c r="O36" s="66">
        <f t="shared" si="0"/>
        <v>0</v>
      </c>
    </row>
    <row r="37" spans="1:15" ht="14.25" thickBot="1" x14ac:dyDescent="0.35">
      <c r="A37" s="48" t="s">
        <v>123</v>
      </c>
      <c r="B37" s="92"/>
      <c r="C37" s="40"/>
      <c r="D37" s="40"/>
      <c r="E37" s="40"/>
      <c r="F37" s="50"/>
      <c r="G37" s="40"/>
      <c r="H37" s="40"/>
      <c r="I37" s="40"/>
      <c r="J37" s="40"/>
      <c r="K37" s="40"/>
      <c r="L37" s="40"/>
      <c r="M37" s="40"/>
      <c r="N37" s="38">
        <f t="shared" si="1"/>
        <v>0</v>
      </c>
      <c r="O37" s="66">
        <f t="shared" si="0"/>
        <v>0</v>
      </c>
    </row>
    <row r="38" spans="1:15" ht="14.25" thickBot="1" x14ac:dyDescent="0.35">
      <c r="A38" s="14" t="s">
        <v>133</v>
      </c>
      <c r="B38" s="6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38">
        <f t="shared" si="1"/>
        <v>0</v>
      </c>
      <c r="O38" s="66">
        <f t="shared" si="0"/>
        <v>0</v>
      </c>
    </row>
    <row r="39" spans="1:15" ht="14.25" thickBot="1" x14ac:dyDescent="0.35">
      <c r="A39" s="14" t="s">
        <v>41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38">
        <f t="shared" si="1"/>
        <v>0</v>
      </c>
      <c r="O39" s="66">
        <f t="shared" si="0"/>
        <v>0</v>
      </c>
    </row>
    <row r="40" spans="1:15" ht="14.25" thickBot="1" x14ac:dyDescent="0.35">
      <c r="A40" s="13" t="s">
        <v>59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8">
        <f t="shared" si="1"/>
        <v>0</v>
      </c>
      <c r="O40" s="66">
        <f t="shared" si="0"/>
        <v>0</v>
      </c>
    </row>
    <row r="41" spans="1:15" ht="14.25" thickBot="1" x14ac:dyDescent="0.35">
      <c r="A41" s="14" t="s">
        <v>42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66">
        <f>SUM(N20:N40)</f>
        <v>4887.8674821000004</v>
      </c>
      <c r="O41" s="66">
        <f t="shared" si="0"/>
        <v>4887.8674821000004</v>
      </c>
    </row>
    <row r="42" spans="1:15" ht="14.25" thickBot="1" x14ac:dyDescent="0.35">
      <c r="O42" s="64"/>
    </row>
    <row r="43" spans="1:15" ht="14.25" thickBot="1" x14ac:dyDescent="0.35">
      <c r="O43" s="64"/>
    </row>
    <row r="44" spans="1:15" ht="41.25" thickBot="1" x14ac:dyDescent="0.35">
      <c r="A44" s="15" t="s">
        <v>169</v>
      </c>
      <c r="B44" s="3" t="s">
        <v>4</v>
      </c>
      <c r="C44" s="3" t="s">
        <v>5</v>
      </c>
      <c r="D44" s="3" t="s">
        <v>6</v>
      </c>
      <c r="E44" s="3" t="s">
        <v>7</v>
      </c>
      <c r="F44" s="3" t="s">
        <v>8</v>
      </c>
      <c r="G44" s="3" t="s">
        <v>9</v>
      </c>
      <c r="H44" s="3" t="s">
        <v>10</v>
      </c>
      <c r="I44" s="3" t="s">
        <v>11</v>
      </c>
      <c r="J44" s="3" t="s">
        <v>12</v>
      </c>
      <c r="K44" s="3" t="s">
        <v>235</v>
      </c>
      <c r="L44" s="3" t="s">
        <v>14</v>
      </c>
      <c r="M44" s="3" t="s">
        <v>49</v>
      </c>
      <c r="N44" s="1" t="s">
        <v>1</v>
      </c>
      <c r="O44" s="1" t="s">
        <v>2</v>
      </c>
    </row>
    <row r="45" spans="1:15" ht="14.25" thickBot="1" x14ac:dyDescent="0.35">
      <c r="A45" s="13" t="s">
        <v>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8"/>
      <c r="O45" s="66">
        <f>SUM(B45:N45)</f>
        <v>0</v>
      </c>
    </row>
    <row r="46" spans="1:15" ht="14.25" hidden="1" thickBot="1" x14ac:dyDescent="0.35">
      <c r="A46" s="13" t="s">
        <v>16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41"/>
      <c r="O46" s="66">
        <f t="shared" ref="O46:O72" si="6">SUM(B46:N46)</f>
        <v>0</v>
      </c>
    </row>
    <row r="47" spans="1:15" ht="14.25" hidden="1" thickBot="1" x14ac:dyDescent="0.35">
      <c r="A47" s="14" t="s">
        <v>17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41"/>
      <c r="O47" s="66">
        <f t="shared" si="6"/>
        <v>0</v>
      </c>
    </row>
    <row r="48" spans="1:15" ht="14.25" hidden="1" thickBot="1" x14ac:dyDescent="0.35">
      <c r="A48" s="14" t="s">
        <v>19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41"/>
      <c r="O48" s="66">
        <f t="shared" si="6"/>
        <v>0</v>
      </c>
    </row>
    <row r="49" spans="1:15" ht="14.25" hidden="1" thickBot="1" x14ac:dyDescent="0.35">
      <c r="A49" s="14" t="s">
        <v>20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41"/>
      <c r="O49" s="66">
        <f t="shared" si="6"/>
        <v>0</v>
      </c>
    </row>
    <row r="50" spans="1:15" ht="14.25" hidden="1" thickBot="1" x14ac:dyDescent="0.35">
      <c r="A50" s="14" t="s">
        <v>21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41"/>
      <c r="O50" s="66">
        <f t="shared" si="6"/>
        <v>0</v>
      </c>
    </row>
    <row r="51" spans="1:15" ht="14.25" hidden="1" thickBot="1" x14ac:dyDescent="0.35">
      <c r="A51" s="14" t="s">
        <v>22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41"/>
      <c r="O51" s="66">
        <f t="shared" si="6"/>
        <v>0</v>
      </c>
    </row>
    <row r="52" spans="1:15" ht="14.25" hidden="1" thickBot="1" x14ac:dyDescent="0.35">
      <c r="A52" s="14" t="s">
        <v>23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41"/>
      <c r="O52" s="66">
        <f t="shared" si="6"/>
        <v>0</v>
      </c>
    </row>
    <row r="53" spans="1:15" ht="14.25" hidden="1" thickBot="1" x14ac:dyDescent="0.35">
      <c r="A53" s="13" t="s">
        <v>96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41"/>
      <c r="O53" s="66">
        <f t="shared" si="6"/>
        <v>0</v>
      </c>
    </row>
    <row r="54" spans="1:15" ht="14.25" hidden="1" thickBot="1" x14ac:dyDescent="0.35">
      <c r="A54" s="14" t="s">
        <v>125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41"/>
      <c r="O54" s="66">
        <f t="shared" si="6"/>
        <v>0</v>
      </c>
    </row>
    <row r="55" spans="1:15" ht="14.25" hidden="1" thickBot="1" x14ac:dyDescent="0.35">
      <c r="A55" s="14" t="s">
        <v>25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41"/>
      <c r="O55" s="66">
        <f t="shared" si="6"/>
        <v>0</v>
      </c>
    </row>
    <row r="56" spans="1:15" ht="14.25" hidden="1" thickBot="1" x14ac:dyDescent="0.35">
      <c r="A56" s="14" t="s">
        <v>26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41"/>
      <c r="O56" s="66">
        <f t="shared" si="6"/>
        <v>0</v>
      </c>
    </row>
    <row r="57" spans="1:15" ht="14.25" thickBot="1" x14ac:dyDescent="0.35">
      <c r="A57" s="13" t="s">
        <v>135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8"/>
      <c r="O57" s="66">
        <f t="shared" si="6"/>
        <v>0</v>
      </c>
    </row>
    <row r="58" spans="1:15" ht="14.25" thickBot="1" x14ac:dyDescent="0.35">
      <c r="A58" s="14" t="s">
        <v>141</v>
      </c>
      <c r="B58" s="72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8"/>
      <c r="O58" s="66">
        <f t="shared" si="6"/>
        <v>0</v>
      </c>
    </row>
    <row r="59" spans="1:15" ht="14.25" thickBot="1" x14ac:dyDescent="0.35">
      <c r="A59" s="14" t="s">
        <v>140</v>
      </c>
      <c r="B59" s="45"/>
      <c r="C59" s="45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38"/>
      <c r="O59" s="66">
        <f t="shared" si="6"/>
        <v>0</v>
      </c>
    </row>
    <row r="60" spans="1:15" ht="14.25" thickBot="1" x14ac:dyDescent="0.35">
      <c r="A60" s="14" t="s">
        <v>21</v>
      </c>
      <c r="B60" s="45"/>
      <c r="C60" s="45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38"/>
      <c r="O60" s="66">
        <f t="shared" si="6"/>
        <v>0</v>
      </c>
    </row>
    <row r="61" spans="1:15" ht="14.25" thickBot="1" x14ac:dyDescent="0.35">
      <c r="A61" s="14" t="s">
        <v>210</v>
      </c>
      <c r="B61" s="45"/>
      <c r="C61" s="45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38"/>
      <c r="O61" s="66">
        <f t="shared" si="6"/>
        <v>0</v>
      </c>
    </row>
    <row r="62" spans="1:15" ht="14.25" thickBot="1" x14ac:dyDescent="0.35">
      <c r="A62" s="14" t="s">
        <v>211</v>
      </c>
      <c r="B62" s="45"/>
      <c r="C62" s="45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38"/>
      <c r="O62" s="66">
        <f t="shared" si="6"/>
        <v>0</v>
      </c>
    </row>
    <row r="63" spans="1:15" ht="14.25" thickBot="1" x14ac:dyDescent="0.35">
      <c r="A63" s="14" t="s">
        <v>220</v>
      </c>
      <c r="B63" s="45"/>
      <c r="C63" s="45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38"/>
      <c r="O63" s="66">
        <f t="shared" si="6"/>
        <v>0</v>
      </c>
    </row>
    <row r="64" spans="1:15" ht="14.25" thickBot="1" x14ac:dyDescent="0.35">
      <c r="A64" s="14" t="s">
        <v>213</v>
      </c>
      <c r="B64" s="45"/>
      <c r="C64" s="45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38"/>
      <c r="O64" s="66">
        <f t="shared" si="6"/>
        <v>0</v>
      </c>
    </row>
    <row r="65" spans="1:17" ht="14.25" thickBot="1" x14ac:dyDescent="0.35">
      <c r="A65" s="14" t="s">
        <v>214</v>
      </c>
      <c r="B65" s="45"/>
      <c r="C65" s="45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38"/>
      <c r="O65" s="66">
        <f t="shared" si="6"/>
        <v>0</v>
      </c>
    </row>
    <row r="66" spans="1:17" ht="14.25" thickBot="1" x14ac:dyDescent="0.35">
      <c r="A66" s="13" t="s">
        <v>164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38"/>
      <c r="O66" s="66">
        <f t="shared" si="6"/>
        <v>0</v>
      </c>
    </row>
    <row r="67" spans="1:17" ht="14.25" thickBot="1" x14ac:dyDescent="0.35">
      <c r="A67" s="14" t="s">
        <v>29</v>
      </c>
      <c r="B67" s="87"/>
      <c r="C67" s="87"/>
      <c r="D67" s="87"/>
      <c r="E67" s="87"/>
      <c r="F67" s="87"/>
      <c r="G67" s="87"/>
      <c r="H67" s="87">
        <v>2453</v>
      </c>
      <c r="J67" s="87"/>
      <c r="K67" s="87"/>
      <c r="L67" s="87"/>
      <c r="M67" s="87"/>
      <c r="N67" s="88">
        <f>SUM(B67:M67)*0.05</f>
        <v>122.65</v>
      </c>
      <c r="O67" s="66">
        <f t="shared" si="6"/>
        <v>2575.65</v>
      </c>
    </row>
    <row r="68" spans="1:17" ht="14.25" thickBot="1" x14ac:dyDescent="0.35">
      <c r="A68" s="14" t="s">
        <v>30</v>
      </c>
      <c r="B68" s="87"/>
      <c r="C68" s="87"/>
      <c r="D68" s="87"/>
      <c r="E68" s="87"/>
      <c r="F68" s="87">
        <v>820</v>
      </c>
      <c r="G68" s="87"/>
      <c r="H68" s="87">
        <v>383</v>
      </c>
      <c r="I68" s="87"/>
      <c r="J68" s="87"/>
      <c r="K68" s="87"/>
      <c r="L68" s="87"/>
      <c r="M68" s="87"/>
      <c r="N68" s="88">
        <f t="shared" ref="N68:N72" si="7">SUM(B68:M68)*0.05</f>
        <v>60.150000000000006</v>
      </c>
      <c r="O68" s="66">
        <f t="shared" si="6"/>
        <v>1263.1500000000001</v>
      </c>
    </row>
    <row r="69" spans="1:17" ht="14.25" thickBot="1" x14ac:dyDescent="0.35">
      <c r="A69" s="14" t="s">
        <v>148</v>
      </c>
      <c r="B69" s="87"/>
      <c r="C69" s="87"/>
      <c r="D69" s="87"/>
      <c r="E69" s="87"/>
      <c r="F69" s="87">
        <f>1119+25905</f>
        <v>27024</v>
      </c>
      <c r="G69" s="87"/>
      <c r="H69" s="87"/>
      <c r="I69" s="87"/>
      <c r="J69" s="87"/>
      <c r="K69" s="87"/>
      <c r="L69" s="87"/>
      <c r="M69" s="87"/>
      <c r="N69" s="88">
        <f t="shared" si="7"/>
        <v>1351.2</v>
      </c>
      <c r="O69" s="66">
        <f t="shared" si="6"/>
        <v>28375.200000000001</v>
      </c>
    </row>
    <row r="70" spans="1:17" ht="14.25" thickBot="1" x14ac:dyDescent="0.35">
      <c r="A70" s="14" t="s">
        <v>149</v>
      </c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>
        <f>854+2802</f>
        <v>3656</v>
      </c>
      <c r="M70" s="87"/>
      <c r="N70" s="88">
        <f t="shared" si="7"/>
        <v>182.8</v>
      </c>
      <c r="O70" s="66">
        <f t="shared" si="6"/>
        <v>3838.8</v>
      </c>
    </row>
    <row r="71" spans="1:17" ht="14.25" thickBot="1" x14ac:dyDescent="0.35">
      <c r="A71" s="14" t="s">
        <v>150</v>
      </c>
      <c r="B71" s="87"/>
      <c r="C71" s="87"/>
      <c r="D71" s="87"/>
      <c r="E71" s="87"/>
      <c r="F71" s="87"/>
      <c r="G71" s="87">
        <f>1936+428</f>
        <v>2364</v>
      </c>
      <c r="H71" s="87"/>
      <c r="I71" s="87"/>
      <c r="J71" s="87"/>
      <c r="K71" s="87"/>
      <c r="L71" s="87"/>
      <c r="M71" s="87"/>
      <c r="N71" s="88">
        <f t="shared" si="7"/>
        <v>118.2</v>
      </c>
      <c r="O71" s="66">
        <f t="shared" si="6"/>
        <v>2482.1999999999998</v>
      </c>
    </row>
    <row r="72" spans="1:17" ht="14.25" thickBot="1" x14ac:dyDescent="0.35">
      <c r="A72" s="14" t="s">
        <v>32</v>
      </c>
      <c r="B72" s="87"/>
      <c r="C72" s="87"/>
      <c r="D72" s="87"/>
      <c r="E72" s="87"/>
      <c r="F72" s="87"/>
      <c r="G72" s="87"/>
      <c r="H72" s="87"/>
      <c r="I72" s="87">
        <f>11962</f>
        <v>11962</v>
      </c>
      <c r="J72" s="87"/>
      <c r="K72" s="87"/>
      <c r="L72" s="87"/>
      <c r="M72" s="87"/>
      <c r="N72" s="88">
        <f t="shared" si="7"/>
        <v>598.1</v>
      </c>
      <c r="O72" s="66">
        <f t="shared" si="6"/>
        <v>12560.1</v>
      </c>
    </row>
    <row r="73" spans="1:17" ht="14.25" thickBot="1" x14ac:dyDescent="0.35">
      <c r="A73" s="14" t="s">
        <v>223</v>
      </c>
      <c r="B73" s="87">
        <f>SUM(B67:B72)</f>
        <v>0</v>
      </c>
      <c r="C73" s="87">
        <f t="shared" ref="C73:N73" si="8">SUM(C67:C72)</f>
        <v>0</v>
      </c>
      <c r="D73" s="87">
        <f t="shared" si="8"/>
        <v>0</v>
      </c>
      <c r="E73" s="87">
        <f t="shared" si="8"/>
        <v>0</v>
      </c>
      <c r="F73" s="87">
        <f t="shared" si="8"/>
        <v>27844</v>
      </c>
      <c r="G73" s="87">
        <f t="shared" si="8"/>
        <v>2364</v>
      </c>
      <c r="H73" s="87">
        <f>SUM(H67:H72)</f>
        <v>2836</v>
      </c>
      <c r="I73" s="87">
        <f t="shared" si="8"/>
        <v>11962</v>
      </c>
      <c r="J73" s="87">
        <f t="shared" si="8"/>
        <v>0</v>
      </c>
      <c r="K73" s="87">
        <f t="shared" si="8"/>
        <v>0</v>
      </c>
      <c r="L73" s="87">
        <f t="shared" si="8"/>
        <v>3656</v>
      </c>
      <c r="M73" s="87">
        <f t="shared" si="8"/>
        <v>0</v>
      </c>
      <c r="N73" s="87">
        <f t="shared" si="8"/>
        <v>2433.1</v>
      </c>
      <c r="O73" s="87">
        <f>SUM(B73:N73)</f>
        <v>51095.1</v>
      </c>
    </row>
    <row r="74" spans="1:17" ht="14.25" thickBot="1" x14ac:dyDescent="0.35">
      <c r="A74" s="13" t="s">
        <v>54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  <c r="O74" s="87">
        <f t="shared" ref="O74:O86" si="9">SUM(B74:N74)</f>
        <v>0</v>
      </c>
    </row>
    <row r="75" spans="1:17" ht="14.25" thickBot="1" x14ac:dyDescent="0.35">
      <c r="A75" s="14" t="s">
        <v>215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9">
        <f>[5]Sheet2!$H$50*0.7/1000</f>
        <v>15008.3066</v>
      </c>
      <c r="N75" s="7">
        <f>0.05*SUM(B75:M75)</f>
        <v>750.41533000000004</v>
      </c>
      <c r="O75" s="161">
        <f t="shared" si="9"/>
        <v>15758.72193</v>
      </c>
      <c r="Q75" s="156">
        <f>M75-M30</f>
        <v>14871.8066</v>
      </c>
    </row>
    <row r="76" spans="1:17" ht="14.25" thickBot="1" x14ac:dyDescent="0.35">
      <c r="A76" s="14" t="s">
        <v>216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>
        <f>[5]Sheet3!$H$14/1000000</f>
        <v>8.5699999999999995E-3</v>
      </c>
      <c r="N76" s="7">
        <f t="shared" ref="N76:N79" si="10">0.05*SUM(B76:M76)</f>
        <v>4.2850000000000001E-4</v>
      </c>
      <c r="O76" s="161">
        <f t="shared" si="9"/>
        <v>8.9984999999999996E-3</v>
      </c>
      <c r="Q76" s="156">
        <f t="shared" ref="Q76:Q79" si="11">M76-M31</f>
        <v>-0.32843</v>
      </c>
    </row>
    <row r="77" spans="1:17" ht="27.75" thickBot="1" x14ac:dyDescent="0.35">
      <c r="A77" s="14" t="s">
        <v>217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62">
        <f>[5]Sheet4!$H$44/1000000</f>
        <v>0.24713399999999999</v>
      </c>
      <c r="N77" s="7">
        <f t="shared" si="10"/>
        <v>1.23567E-2</v>
      </c>
      <c r="O77" s="161">
        <f t="shared" si="9"/>
        <v>0.25949070000000002</v>
      </c>
      <c r="Q77" s="156">
        <f t="shared" si="11"/>
        <v>0.164102</v>
      </c>
    </row>
    <row r="78" spans="1:17" ht="27.75" thickBot="1" x14ac:dyDescent="0.35">
      <c r="A78" s="14" t="s">
        <v>218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9">
        <f>[5]Sheet5!$H$31/1000000</f>
        <v>4.1803E-2</v>
      </c>
      <c r="N78" s="7">
        <f t="shared" si="10"/>
        <v>2.0901500000000003E-3</v>
      </c>
      <c r="O78" s="161">
        <f t="shared" si="9"/>
        <v>4.3893149999999999E-2</v>
      </c>
      <c r="Q78" s="156">
        <f t="shared" si="11"/>
        <v>-1.2251099999999999</v>
      </c>
    </row>
    <row r="79" spans="1:17" ht="27.75" thickBot="1" x14ac:dyDescent="0.35">
      <c r="A79" s="14" t="s">
        <v>219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9">
        <f>[5]Sheet6!$H$28/1000000</f>
        <v>19.774417239999998</v>
      </c>
      <c r="N79" s="7">
        <f t="shared" si="10"/>
        <v>0.98872086199999998</v>
      </c>
      <c r="O79" s="161">
        <f t="shared" si="9"/>
        <v>20.763138101999999</v>
      </c>
      <c r="Q79" s="156">
        <f t="shared" si="11"/>
        <v>-14.713458760000002</v>
      </c>
    </row>
    <row r="80" spans="1:17" ht="14.25" thickBot="1" x14ac:dyDescent="0.35">
      <c r="A80" s="14" t="s">
        <v>223</v>
      </c>
      <c r="B80" s="40">
        <f>SUM(B75:B79)</f>
        <v>0</v>
      </c>
      <c r="C80" s="40">
        <f t="shared" ref="C80:O80" si="12">SUM(C75:C79)</f>
        <v>0</v>
      </c>
      <c r="D80" s="40">
        <f t="shared" si="12"/>
        <v>0</v>
      </c>
      <c r="E80" s="40">
        <f t="shared" si="12"/>
        <v>0</v>
      </c>
      <c r="F80" s="40">
        <f t="shared" si="12"/>
        <v>0</v>
      </c>
      <c r="G80" s="40">
        <f t="shared" si="12"/>
        <v>0</v>
      </c>
      <c r="H80" s="40">
        <f t="shared" si="12"/>
        <v>0</v>
      </c>
      <c r="I80" s="40">
        <f t="shared" si="12"/>
        <v>0</v>
      </c>
      <c r="J80" s="40">
        <f t="shared" si="12"/>
        <v>0</v>
      </c>
      <c r="K80" s="40">
        <f t="shared" si="12"/>
        <v>0</v>
      </c>
      <c r="L80" s="40">
        <f t="shared" si="12"/>
        <v>0</v>
      </c>
      <c r="M80" s="47">
        <f t="shared" si="12"/>
        <v>15028.378524239999</v>
      </c>
      <c r="N80" s="47">
        <f t="shared" si="12"/>
        <v>751.41892621200009</v>
      </c>
      <c r="O80" s="47">
        <f t="shared" si="12"/>
        <v>15779.797450451999</v>
      </c>
    </row>
    <row r="81" spans="1:16" ht="14.25" thickBot="1" x14ac:dyDescent="0.35">
      <c r="A81" s="24" t="s">
        <v>39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7"/>
      <c r="N81" s="163"/>
      <c r="O81" s="161">
        <f t="shared" si="9"/>
        <v>0</v>
      </c>
    </row>
    <row r="82" spans="1:16" ht="14.25" thickBot="1" x14ac:dyDescent="0.35">
      <c r="A82" s="21" t="s">
        <v>123</v>
      </c>
      <c r="B82" s="40"/>
      <c r="C82" s="40"/>
      <c r="D82" s="40"/>
      <c r="E82" s="40"/>
      <c r="F82" s="40">
        <v>420.8</v>
      </c>
      <c r="G82" s="19"/>
      <c r="H82" s="40"/>
      <c r="I82" s="40"/>
      <c r="J82" s="40"/>
      <c r="K82" s="40"/>
      <c r="L82" s="40"/>
      <c r="M82" s="47">
        <v>105.19999999999999</v>
      </c>
      <c r="N82" s="163"/>
      <c r="O82" s="161">
        <f t="shared" si="9"/>
        <v>526</v>
      </c>
    </row>
    <row r="83" spans="1:16" ht="14.25" thickBot="1" x14ac:dyDescent="0.35">
      <c r="A83" s="21" t="s">
        <v>86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23">
        <v>88089</v>
      </c>
      <c r="N83" s="38"/>
      <c r="O83" s="87">
        <f t="shared" si="9"/>
        <v>88089</v>
      </c>
    </row>
    <row r="84" spans="1:16" ht="14.25" thickBot="1" x14ac:dyDescent="0.35">
      <c r="A84" s="21" t="s">
        <v>134</v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22">
        <v>6400</v>
      </c>
      <c r="N84" s="38"/>
      <c r="O84" s="87">
        <f t="shared" si="9"/>
        <v>6400</v>
      </c>
    </row>
    <row r="85" spans="1:16" ht="14.25" thickBot="1" x14ac:dyDescent="0.35">
      <c r="A85" s="24" t="s">
        <v>79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38"/>
      <c r="O85" s="87">
        <f t="shared" si="9"/>
        <v>0</v>
      </c>
    </row>
    <row r="86" spans="1:16" ht="14.25" thickBot="1" x14ac:dyDescent="0.35">
      <c r="A86" s="21" t="s">
        <v>87</v>
      </c>
      <c r="B86" s="45">
        <f>SUM(B73:B85)*0.05</f>
        <v>0</v>
      </c>
      <c r="C86" s="45">
        <f t="shared" ref="C86:N86" si="13">SUM(C73:C85)*0.05</f>
        <v>0</v>
      </c>
      <c r="D86" s="45">
        <f t="shared" si="13"/>
        <v>0</v>
      </c>
      <c r="E86" s="45">
        <f t="shared" si="13"/>
        <v>0</v>
      </c>
      <c r="F86" s="45">
        <f t="shared" si="13"/>
        <v>1413.24</v>
      </c>
      <c r="G86" s="45">
        <f t="shared" si="13"/>
        <v>118.2</v>
      </c>
      <c r="H86" s="45">
        <f t="shared" si="13"/>
        <v>141.80000000000001</v>
      </c>
      <c r="I86" s="45">
        <f t="shared" si="13"/>
        <v>598.1</v>
      </c>
      <c r="J86" s="45">
        <f t="shared" si="13"/>
        <v>0</v>
      </c>
      <c r="K86" s="45">
        <f t="shared" si="13"/>
        <v>0</v>
      </c>
      <c r="L86" s="45">
        <f t="shared" si="13"/>
        <v>182.8</v>
      </c>
      <c r="M86" s="45">
        <f t="shared" si="13"/>
        <v>6232.5478524239998</v>
      </c>
      <c r="N86" s="45">
        <f t="shared" si="13"/>
        <v>196.79689262120002</v>
      </c>
      <c r="O86" s="87">
        <f t="shared" si="9"/>
        <v>8883.4847450451998</v>
      </c>
      <c r="P86" s="64"/>
    </row>
    <row r="87" spans="1:16" ht="14.25" thickBot="1" x14ac:dyDescent="0.35">
      <c r="A87" s="14"/>
      <c r="B87" s="8"/>
      <c r="C87" s="8"/>
      <c r="D87" s="8"/>
      <c r="E87" s="8"/>
      <c r="F87" s="155">
        <f>F73/$O$73</f>
        <v>0.54494462286990342</v>
      </c>
      <c r="G87" s="155">
        <f t="shared" ref="G87:O87" si="14">G73/$O$73</f>
        <v>4.6266667449520599E-2</v>
      </c>
      <c r="H87" s="155">
        <f t="shared" si="14"/>
        <v>5.5504343860761599E-2</v>
      </c>
      <c r="I87" s="155">
        <f t="shared" si="14"/>
        <v>0.23411246871030686</v>
      </c>
      <c r="J87" s="155">
        <f t="shared" si="14"/>
        <v>0</v>
      </c>
      <c r="K87" s="155">
        <f t="shared" si="14"/>
        <v>0</v>
      </c>
      <c r="L87" s="155">
        <f t="shared" si="14"/>
        <v>7.1552849490459952E-2</v>
      </c>
      <c r="M87" s="155">
        <f t="shared" si="14"/>
        <v>0</v>
      </c>
      <c r="N87" s="155">
        <f t="shared" si="14"/>
        <v>4.7619047619047616E-2</v>
      </c>
      <c r="O87" s="155">
        <f t="shared" si="14"/>
        <v>1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95"/>
  <sheetViews>
    <sheetView topLeftCell="A9" zoomScaleNormal="100" workbookViewId="0">
      <selection activeCell="A14" sqref="A14"/>
    </sheetView>
  </sheetViews>
  <sheetFormatPr defaultColWidth="9.140625" defaultRowHeight="13.5" x14ac:dyDescent="0.3"/>
  <cols>
    <col min="1" max="1" width="42.28515625" style="42" customWidth="1"/>
    <col min="2" max="2" width="12.42578125" style="5" bestFit="1" customWidth="1"/>
    <col min="3" max="3" width="9.5703125" style="5" bestFit="1" customWidth="1"/>
    <col min="4" max="5" width="9.42578125" style="5" bestFit="1" customWidth="1"/>
    <col min="6" max="6" width="10.7109375" style="5" bestFit="1" customWidth="1"/>
    <col min="7" max="8" width="9.7109375" style="5" bestFit="1" customWidth="1"/>
    <col min="9" max="11" width="9.42578125" style="5" bestFit="1" customWidth="1"/>
    <col min="12" max="12" width="9.7109375" style="5" bestFit="1" customWidth="1"/>
    <col min="13" max="13" width="9.42578125" style="5" customWidth="1"/>
    <col min="14" max="14" width="12.42578125" style="5" bestFit="1" customWidth="1"/>
    <col min="15" max="15" width="9.42578125" style="5" bestFit="1" customWidth="1"/>
    <col min="16" max="16" width="11.28515625" style="5" customWidth="1"/>
    <col min="17" max="16384" width="9.140625" style="5"/>
  </cols>
  <sheetData>
    <row r="1" spans="1:16" ht="14.25" hidden="1" customHeight="1" thickBot="1" x14ac:dyDescent="0.35">
      <c r="A1" s="36" t="s">
        <v>175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43"/>
      <c r="P1" s="43"/>
    </row>
    <row r="2" spans="1:16" ht="41.25" thickBot="1" x14ac:dyDescent="0.35">
      <c r="A2" s="24" t="s">
        <v>3</v>
      </c>
      <c r="B2" s="32" t="s">
        <v>4</v>
      </c>
      <c r="C2" s="32" t="s">
        <v>5</v>
      </c>
      <c r="D2" s="32" t="s">
        <v>45</v>
      </c>
      <c r="E2" s="32" t="s">
        <v>7</v>
      </c>
      <c r="F2" s="32" t="s">
        <v>88</v>
      </c>
      <c r="G2" s="32" t="s">
        <v>9</v>
      </c>
      <c r="H2" s="32" t="s">
        <v>10</v>
      </c>
      <c r="I2" s="32" t="s">
        <v>11</v>
      </c>
      <c r="J2" s="32" t="s">
        <v>12</v>
      </c>
      <c r="K2" s="25" t="s">
        <v>14</v>
      </c>
      <c r="L2" s="3" t="s">
        <v>165</v>
      </c>
      <c r="M2" s="25" t="s">
        <v>222</v>
      </c>
      <c r="N2" s="25" t="s">
        <v>67</v>
      </c>
      <c r="O2" s="25" t="s">
        <v>68</v>
      </c>
      <c r="P2" s="25" t="s">
        <v>2</v>
      </c>
    </row>
    <row r="3" spans="1:16" ht="14.25" thickBot="1" x14ac:dyDescent="0.35">
      <c r="A3" s="24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66">
        <f t="shared" ref="P3:P40" si="0">SUM(B3:O3)</f>
        <v>0</v>
      </c>
    </row>
    <row r="4" spans="1:16" ht="14.25" thickBot="1" x14ac:dyDescent="0.35">
      <c r="A4" s="21" t="s">
        <v>90</v>
      </c>
      <c r="B4" s="39"/>
      <c r="C4" s="22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1"/>
      <c r="P4" s="66">
        <f t="shared" si="0"/>
        <v>0</v>
      </c>
    </row>
    <row r="5" spans="1:16" ht="14.25" thickBot="1" x14ac:dyDescent="0.35">
      <c r="A5" s="21" t="s">
        <v>91</v>
      </c>
      <c r="B5" s="39"/>
      <c r="C5" s="22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1"/>
      <c r="P5" s="66">
        <f t="shared" si="0"/>
        <v>0</v>
      </c>
    </row>
    <row r="6" spans="1:16" ht="14.25" thickBot="1" x14ac:dyDescent="0.35">
      <c r="A6" s="21" t="s">
        <v>92</v>
      </c>
      <c r="B6" s="39"/>
      <c r="C6" s="22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41"/>
      <c r="P6" s="66">
        <f t="shared" si="0"/>
        <v>0</v>
      </c>
    </row>
    <row r="7" spans="1:16" ht="14.25" thickBot="1" x14ac:dyDescent="0.35">
      <c r="A7" s="14" t="s">
        <v>21</v>
      </c>
      <c r="B7" s="39"/>
      <c r="C7" s="22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1"/>
      <c r="P7" s="66">
        <f t="shared" si="0"/>
        <v>0</v>
      </c>
    </row>
    <row r="8" spans="1:16" ht="14.25" thickBot="1" x14ac:dyDescent="0.35">
      <c r="A8" s="14" t="s">
        <v>193</v>
      </c>
      <c r="B8" s="39"/>
      <c r="C8" s="22">
        <f>[2]Sheet2!$U$5</f>
        <v>7063.0582111966114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1"/>
      <c r="P8" s="66">
        <f t="shared" si="0"/>
        <v>7063.0582111966114</v>
      </c>
    </row>
    <row r="9" spans="1:16" ht="14.25" thickBot="1" x14ac:dyDescent="0.35">
      <c r="A9" s="14" t="s">
        <v>194</v>
      </c>
      <c r="B9" s="39"/>
      <c r="C9" s="22">
        <f>[2]Sheet2!$V$5</f>
        <v>13539.187731044056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41"/>
      <c r="P9" s="66">
        <f t="shared" si="0"/>
        <v>13539.187731044056</v>
      </c>
    </row>
    <row r="10" spans="1:16" ht="14.25" thickBot="1" x14ac:dyDescent="0.35">
      <c r="A10" s="14" t="s">
        <v>195</v>
      </c>
      <c r="B10" s="39"/>
      <c r="C10" s="22">
        <f>[2]Sheet2!$X$5</f>
        <v>295944.79310602322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1"/>
      <c r="P10" s="66">
        <f t="shared" si="0"/>
        <v>295944.79310602322</v>
      </c>
    </row>
    <row r="11" spans="1:16" ht="14.25" thickBot="1" x14ac:dyDescent="0.35">
      <c r="A11" s="14" t="s">
        <v>196</v>
      </c>
      <c r="B11" s="39"/>
      <c r="C11" s="22">
        <f>[2]Sheet2!$Y$5</f>
        <v>45195.022372345557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1"/>
      <c r="P11" s="66">
        <f t="shared" si="0"/>
        <v>45195.022372345557</v>
      </c>
    </row>
    <row r="12" spans="1:16" ht="14.25" thickBot="1" x14ac:dyDescent="0.35">
      <c r="A12" s="14" t="s">
        <v>197</v>
      </c>
      <c r="B12" s="39"/>
      <c r="C12" s="22">
        <f>[2]Sheet2!$Z$5</f>
        <v>563406.75426090136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41"/>
      <c r="P12" s="66">
        <f t="shared" si="0"/>
        <v>563406.75426090136</v>
      </c>
    </row>
    <row r="13" spans="1:16" ht="14.25" thickBot="1" x14ac:dyDescent="0.35">
      <c r="A13" s="14" t="s">
        <v>225</v>
      </c>
      <c r="B13" s="104">
        <f t="shared" ref="B13:P13" si="1">SUM(B8:B12)</f>
        <v>0</v>
      </c>
      <c r="C13" s="104">
        <f t="shared" si="1"/>
        <v>925148.81568151084</v>
      </c>
      <c r="D13" s="104">
        <f t="shared" si="1"/>
        <v>0</v>
      </c>
      <c r="E13" s="104">
        <f t="shared" si="1"/>
        <v>0</v>
      </c>
      <c r="F13" s="104">
        <f t="shared" si="1"/>
        <v>0</v>
      </c>
      <c r="G13" s="104">
        <f t="shared" si="1"/>
        <v>0</v>
      </c>
      <c r="H13" s="104">
        <f t="shared" si="1"/>
        <v>0</v>
      </c>
      <c r="I13" s="104">
        <f t="shared" si="1"/>
        <v>0</v>
      </c>
      <c r="J13" s="104">
        <f t="shared" si="1"/>
        <v>0</v>
      </c>
      <c r="K13" s="104">
        <f t="shared" si="1"/>
        <v>0</v>
      </c>
      <c r="L13" s="104">
        <f t="shared" si="1"/>
        <v>0</v>
      </c>
      <c r="M13" s="104">
        <f t="shared" si="1"/>
        <v>0</v>
      </c>
      <c r="N13" s="104">
        <f t="shared" si="1"/>
        <v>0</v>
      </c>
      <c r="O13" s="104">
        <f t="shared" si="1"/>
        <v>0</v>
      </c>
      <c r="P13" s="104">
        <f t="shared" si="1"/>
        <v>925148.81568151084</v>
      </c>
    </row>
    <row r="14" spans="1:16" ht="14.25" thickBot="1" x14ac:dyDescent="0.35">
      <c r="A14" s="24" t="s">
        <v>96</v>
      </c>
    </row>
    <row r="15" spans="1:16" ht="14.25" thickBot="1" x14ac:dyDescent="0.35">
      <c r="A15" s="21" t="s">
        <v>97</v>
      </c>
      <c r="B15" s="39"/>
      <c r="C15" s="40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1"/>
      <c r="P15" s="66">
        <f t="shared" si="0"/>
        <v>0</v>
      </c>
    </row>
    <row r="16" spans="1:16" ht="14.25" thickBot="1" x14ac:dyDescent="0.35">
      <c r="A16" s="21" t="s">
        <v>25</v>
      </c>
      <c r="B16" s="39"/>
      <c r="C16" s="40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1"/>
      <c r="P16" s="66">
        <f t="shared" si="0"/>
        <v>0</v>
      </c>
    </row>
    <row r="17" spans="1:18" ht="14.25" thickBot="1" x14ac:dyDescent="0.35">
      <c r="A17" s="21" t="s">
        <v>26</v>
      </c>
      <c r="B17" s="39"/>
      <c r="C17" s="40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1"/>
      <c r="P17" s="66">
        <f t="shared" si="0"/>
        <v>0</v>
      </c>
    </row>
    <row r="18" spans="1:18" ht="14.25" thickBot="1" x14ac:dyDescent="0.35">
      <c r="A18" s="21" t="s">
        <v>27</v>
      </c>
      <c r="B18" s="39"/>
      <c r="C18" s="40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1"/>
      <c r="P18" s="66">
        <f t="shared" si="0"/>
        <v>0</v>
      </c>
    </row>
    <row r="19" spans="1:18" ht="14.25" thickBot="1" x14ac:dyDescent="0.35">
      <c r="A19" s="21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8"/>
      <c r="P19" s="66">
        <f t="shared" si="0"/>
        <v>0</v>
      </c>
    </row>
    <row r="20" spans="1:18" s="79" customFormat="1" ht="14.25" thickBot="1" x14ac:dyDescent="0.35">
      <c r="A20" s="76" t="s">
        <v>157</v>
      </c>
      <c r="B20" s="40"/>
    </row>
    <row r="21" spans="1:18" ht="14.25" thickBot="1" x14ac:dyDescent="0.35">
      <c r="A21" s="21" t="s">
        <v>155</v>
      </c>
      <c r="B21" s="40"/>
      <c r="C21" s="83">
        <v>5530</v>
      </c>
      <c r="D21" s="18"/>
      <c r="E21" s="18"/>
      <c r="F21" s="18"/>
      <c r="G21" s="18"/>
      <c r="H21" s="40"/>
      <c r="I21" s="40"/>
      <c r="J21" s="40"/>
      <c r="K21" s="18"/>
      <c r="L21" s="18"/>
      <c r="M21" s="18"/>
      <c r="N21" s="22"/>
      <c r="O21" s="66">
        <f t="shared" ref="O21:O26" si="2">0.1*SUM(B21:N21)</f>
        <v>553</v>
      </c>
      <c r="P21" s="66">
        <f t="shared" si="0"/>
        <v>6083</v>
      </c>
    </row>
    <row r="22" spans="1:18" ht="14.25" thickBot="1" x14ac:dyDescent="0.35">
      <c r="A22" s="21" t="s">
        <v>156</v>
      </c>
      <c r="B22" s="40"/>
      <c r="C22" s="83">
        <v>3136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66">
        <f t="shared" si="2"/>
        <v>313.60000000000002</v>
      </c>
      <c r="P22" s="66">
        <f t="shared" si="0"/>
        <v>3449.6</v>
      </c>
    </row>
    <row r="23" spans="1:18" ht="14.25" thickBot="1" x14ac:dyDescent="0.35">
      <c r="A23" s="21" t="s">
        <v>151</v>
      </c>
      <c r="B23" s="40"/>
      <c r="C23" s="83">
        <v>16125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66">
        <f t="shared" si="2"/>
        <v>1612.5</v>
      </c>
      <c r="P23" s="66">
        <f t="shared" si="0"/>
        <v>17737.5</v>
      </c>
    </row>
    <row r="24" spans="1:18" ht="14.25" thickBot="1" x14ac:dyDescent="0.35">
      <c r="A24" s="21" t="s">
        <v>152</v>
      </c>
      <c r="B24" s="40"/>
      <c r="C24" s="83">
        <v>4380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66">
        <f t="shared" si="2"/>
        <v>438</v>
      </c>
      <c r="P24" s="66">
        <f t="shared" si="0"/>
        <v>4818</v>
      </c>
    </row>
    <row r="25" spans="1:18" ht="14.25" thickBot="1" x14ac:dyDescent="0.35">
      <c r="A25" s="21" t="s">
        <v>153</v>
      </c>
      <c r="B25" s="40"/>
      <c r="C25" s="83">
        <v>2051</v>
      </c>
      <c r="D25" s="18"/>
      <c r="E25" s="18"/>
      <c r="F25" s="18"/>
      <c r="G25" s="18"/>
      <c r="H25" s="40"/>
      <c r="I25" s="40"/>
      <c r="J25" s="40"/>
      <c r="K25" s="18"/>
      <c r="L25" s="18"/>
      <c r="M25" s="18"/>
      <c r="N25" s="18"/>
      <c r="O25" s="66">
        <f t="shared" si="2"/>
        <v>205.10000000000002</v>
      </c>
      <c r="P25" s="66">
        <f t="shared" si="0"/>
        <v>2256.1</v>
      </c>
    </row>
    <row r="26" spans="1:18" ht="14.25" thickBot="1" x14ac:dyDescent="0.35">
      <c r="A26" s="21" t="s">
        <v>154</v>
      </c>
      <c r="B26" s="40"/>
      <c r="C26" s="83">
        <v>8526</v>
      </c>
      <c r="D26" s="18"/>
      <c r="E26" s="18"/>
      <c r="F26" s="18"/>
      <c r="G26" s="18"/>
      <c r="H26" s="40"/>
      <c r="I26" s="40"/>
      <c r="J26" s="40"/>
      <c r="K26" s="18"/>
      <c r="L26" s="18"/>
      <c r="M26" s="18"/>
      <c r="N26" s="18"/>
      <c r="O26" s="66">
        <f t="shared" si="2"/>
        <v>852.6</v>
      </c>
      <c r="P26" s="66">
        <f t="shared" si="0"/>
        <v>9378.6</v>
      </c>
      <c r="Q26" s="70"/>
    </row>
    <row r="27" spans="1:18" ht="14.25" thickBot="1" x14ac:dyDescent="0.35">
      <c r="A27" s="21" t="s">
        <v>225</v>
      </c>
      <c r="B27" s="40"/>
      <c r="C27" s="81">
        <f>SUM(C21:C26)</f>
        <v>39748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81">
        <f>SUM(O21:O26)</f>
        <v>3974.7999999999997</v>
      </c>
      <c r="P27" s="81">
        <f>SUM(P21:P26)</f>
        <v>43722.799999999996</v>
      </c>
      <c r="Q27" s="70"/>
    </row>
    <row r="28" spans="1:18" ht="14.25" thickBot="1" x14ac:dyDescent="0.35">
      <c r="A28" s="13" t="s">
        <v>54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66">
        <f t="shared" si="0"/>
        <v>0</v>
      </c>
    </row>
    <row r="29" spans="1:18" ht="14.25" thickBot="1" x14ac:dyDescent="0.35">
      <c r="A29" s="14" t="s">
        <v>55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31"/>
      <c r="O29" s="19"/>
      <c r="P29" s="66">
        <f t="shared" si="0"/>
        <v>0</v>
      </c>
      <c r="R29" s="70"/>
    </row>
    <row r="30" spans="1:18" ht="14.25" thickBot="1" x14ac:dyDescent="0.35">
      <c r="A30" s="14" t="s">
        <v>35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31"/>
      <c r="O30" s="19"/>
      <c r="P30" s="66">
        <f t="shared" si="0"/>
        <v>0</v>
      </c>
    </row>
    <row r="31" spans="1:18" ht="27.75" thickBot="1" x14ac:dyDescent="0.35">
      <c r="A31" s="14" t="s">
        <v>36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31"/>
      <c r="O31" s="19"/>
      <c r="P31" s="66">
        <f t="shared" si="0"/>
        <v>0</v>
      </c>
    </row>
    <row r="32" spans="1:18" ht="27.75" thickBot="1" x14ac:dyDescent="0.35">
      <c r="A32" s="14" t="s">
        <v>37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31"/>
      <c r="O32" s="19"/>
      <c r="P32" s="66">
        <f t="shared" si="0"/>
        <v>0</v>
      </c>
    </row>
    <row r="33" spans="1:17" ht="14.25" thickBot="1" x14ac:dyDescent="0.35">
      <c r="A33" s="14" t="s">
        <v>38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31"/>
      <c r="O33" s="19"/>
      <c r="P33" s="66">
        <f t="shared" si="0"/>
        <v>0</v>
      </c>
      <c r="Q33" s="70"/>
    </row>
    <row r="34" spans="1:17" ht="14.25" thickBot="1" x14ac:dyDescent="0.35">
      <c r="A34" s="24" t="s">
        <v>56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38"/>
      <c r="P34" s="66">
        <f t="shared" si="0"/>
        <v>0</v>
      </c>
    </row>
    <row r="35" spans="1:17" ht="14.25" thickBot="1" x14ac:dyDescent="0.35">
      <c r="A35" s="21" t="s">
        <v>120</v>
      </c>
      <c r="B35" s="45"/>
      <c r="C35" s="40"/>
      <c r="D35" s="40"/>
      <c r="E35" s="40"/>
      <c r="F35" s="51"/>
      <c r="G35" s="40"/>
      <c r="H35" s="40"/>
      <c r="I35" s="40"/>
      <c r="J35" s="40"/>
      <c r="K35" s="40"/>
      <c r="L35" s="40"/>
      <c r="M35" s="40"/>
      <c r="N35" s="40"/>
      <c r="O35" s="38"/>
      <c r="P35" s="66">
        <f t="shared" si="0"/>
        <v>0</v>
      </c>
    </row>
    <row r="36" spans="1:17" ht="14.25" thickBot="1" x14ac:dyDescent="0.35">
      <c r="A36" s="21" t="s">
        <v>99</v>
      </c>
      <c r="B36" s="44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38"/>
      <c r="P36" s="66">
        <f t="shared" si="0"/>
        <v>0</v>
      </c>
    </row>
    <row r="37" spans="1:17" ht="14.25" thickBot="1" x14ac:dyDescent="0.35">
      <c r="A37" s="21" t="s">
        <v>41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38"/>
      <c r="P37" s="66">
        <f t="shared" si="0"/>
        <v>0</v>
      </c>
      <c r="Q37" s="70"/>
    </row>
    <row r="38" spans="1:17" ht="14.25" thickBot="1" x14ac:dyDescent="0.35">
      <c r="A38" s="24" t="s">
        <v>59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38"/>
      <c r="P38" s="66">
        <f t="shared" si="0"/>
        <v>0</v>
      </c>
    </row>
    <row r="39" spans="1:17" ht="14.25" thickBot="1" x14ac:dyDescent="0.35">
      <c r="A39" s="21" t="s">
        <v>129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38"/>
      <c r="P39" s="66">
        <f t="shared" si="0"/>
        <v>0</v>
      </c>
    </row>
    <row r="40" spans="1:17" ht="14.25" thickBot="1" x14ac:dyDescent="0.35">
      <c r="A40" s="53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54"/>
      <c r="P40" s="66">
        <f t="shared" si="0"/>
        <v>0</v>
      </c>
    </row>
    <row r="41" spans="1:17" x14ac:dyDescent="0.3">
      <c r="A41" s="55" t="s">
        <v>126</v>
      </c>
      <c r="B41" s="50">
        <f>SUM(B3:B40)</f>
        <v>0</v>
      </c>
      <c r="C41" s="50">
        <f>SUM(C21:C40)</f>
        <v>79496</v>
      </c>
      <c r="D41" s="50">
        <f t="shared" ref="D41:P41" si="3">SUM(D21:D40)</f>
        <v>0</v>
      </c>
      <c r="E41" s="50">
        <f t="shared" si="3"/>
        <v>0</v>
      </c>
      <c r="F41" s="50">
        <f t="shared" si="3"/>
        <v>0</v>
      </c>
      <c r="G41" s="50">
        <f t="shared" si="3"/>
        <v>0</v>
      </c>
      <c r="H41" s="50">
        <f t="shared" si="3"/>
        <v>0</v>
      </c>
      <c r="I41" s="50">
        <f t="shared" si="3"/>
        <v>0</v>
      </c>
      <c r="J41" s="50">
        <f t="shared" si="3"/>
        <v>0</v>
      </c>
      <c r="K41" s="50">
        <f t="shared" si="3"/>
        <v>0</v>
      </c>
      <c r="L41" s="50">
        <f>SUM(L21:L40)</f>
        <v>0</v>
      </c>
      <c r="M41" s="50"/>
      <c r="N41" s="50">
        <f t="shared" si="3"/>
        <v>0</v>
      </c>
      <c r="O41" s="50">
        <f t="shared" si="3"/>
        <v>7949.5999999999995</v>
      </c>
      <c r="P41" s="50">
        <f t="shared" si="3"/>
        <v>87445.599999999991</v>
      </c>
    </row>
    <row r="42" spans="1:17" ht="14.25" thickBot="1" x14ac:dyDescent="0.35">
      <c r="P42" s="66"/>
      <c r="Q42" s="67"/>
    </row>
    <row r="43" spans="1:17" ht="41.25" thickBot="1" x14ac:dyDescent="0.35">
      <c r="A43" s="28" t="s">
        <v>176</v>
      </c>
      <c r="B43" s="25" t="s">
        <v>4</v>
      </c>
      <c r="C43" s="25" t="s">
        <v>5</v>
      </c>
      <c r="D43" s="25" t="s">
        <v>45</v>
      </c>
      <c r="E43" s="25" t="s">
        <v>7</v>
      </c>
      <c r="F43" s="25" t="s">
        <v>88</v>
      </c>
      <c r="G43" s="25" t="s">
        <v>9</v>
      </c>
      <c r="H43" s="25" t="s">
        <v>10</v>
      </c>
      <c r="I43" s="25" t="s">
        <v>11</v>
      </c>
      <c r="J43" s="25" t="s">
        <v>12</v>
      </c>
      <c r="K43" s="25" t="s">
        <v>14</v>
      </c>
      <c r="L43" s="3" t="s">
        <v>13</v>
      </c>
      <c r="M43" s="25" t="s">
        <v>222</v>
      </c>
      <c r="N43" s="25" t="s">
        <v>85</v>
      </c>
      <c r="O43" s="25" t="s">
        <v>68</v>
      </c>
      <c r="P43" s="25" t="s">
        <v>2</v>
      </c>
    </row>
    <row r="44" spans="1:17" ht="30.75" customHeight="1" thickBot="1" x14ac:dyDescent="0.35">
      <c r="A44" s="21" t="s">
        <v>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3"/>
      <c r="M44" s="19"/>
      <c r="N44" s="19"/>
      <c r="O44" s="19"/>
      <c r="P44" s="66"/>
    </row>
    <row r="45" spans="1:17" ht="15.75" hidden="1" customHeight="1" thickBot="1" x14ac:dyDescent="0.35">
      <c r="A45" s="24" t="s">
        <v>101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41"/>
      <c r="P45" s="66"/>
    </row>
    <row r="46" spans="1:17" ht="15.75" hidden="1" customHeight="1" thickBot="1" x14ac:dyDescent="0.35">
      <c r="A46" s="21" t="s">
        <v>102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41"/>
      <c r="P46" s="66"/>
    </row>
    <row r="47" spans="1:17" ht="15.75" hidden="1" customHeight="1" thickBot="1" x14ac:dyDescent="0.35">
      <c r="A47" s="21" t="s">
        <v>103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41"/>
      <c r="P47" s="66"/>
    </row>
    <row r="48" spans="1:17" ht="15.75" hidden="1" customHeight="1" thickBot="1" x14ac:dyDescent="0.35">
      <c r="A48" s="21" t="s">
        <v>104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41"/>
      <c r="P48" s="66"/>
    </row>
    <row r="49" spans="1:17" ht="15.75" hidden="1" customHeight="1" thickBot="1" x14ac:dyDescent="0.35">
      <c r="A49" s="21" t="s">
        <v>21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41"/>
      <c r="P49" s="66"/>
    </row>
    <row r="50" spans="1:17" ht="15.75" hidden="1" customHeight="1" thickBot="1" x14ac:dyDescent="0.35">
      <c r="A50" s="21" t="s">
        <v>105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41"/>
      <c r="P50" s="66"/>
    </row>
    <row r="51" spans="1:17" ht="15.75" hidden="1" customHeight="1" thickBot="1" x14ac:dyDescent="0.35">
      <c r="A51" s="21" t="s">
        <v>106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41"/>
      <c r="P51" s="66"/>
    </row>
    <row r="52" spans="1:17" ht="15.75" hidden="1" customHeight="1" thickBot="1" x14ac:dyDescent="0.35">
      <c r="A52" s="21" t="s">
        <v>107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41"/>
      <c r="P52" s="66"/>
    </row>
    <row r="53" spans="1:17" ht="15.75" hidden="1" customHeight="1" thickBot="1" x14ac:dyDescent="0.35">
      <c r="A53" s="24" t="s">
        <v>96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41"/>
      <c r="P53" s="66"/>
    </row>
    <row r="54" spans="1:17" ht="15.75" hidden="1" customHeight="1" thickBot="1" x14ac:dyDescent="0.35">
      <c r="A54" s="21" t="s">
        <v>97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41"/>
      <c r="P54" s="66"/>
    </row>
    <row r="55" spans="1:17" ht="15.75" hidden="1" customHeight="1" thickBot="1" x14ac:dyDescent="0.35">
      <c r="A55" s="21" t="s">
        <v>25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41"/>
      <c r="P55" s="66"/>
    </row>
    <row r="56" spans="1:17" ht="15.75" hidden="1" customHeight="1" thickBot="1" x14ac:dyDescent="0.35">
      <c r="A56" s="21" t="s">
        <v>26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41"/>
      <c r="P56" s="66"/>
    </row>
    <row r="57" spans="1:17" ht="15.75" customHeight="1" thickBot="1" x14ac:dyDescent="0.35">
      <c r="A57" s="24" t="s">
        <v>135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38"/>
      <c r="P57" s="66">
        <f t="shared" ref="P57:P63" si="4">SUM(B57:O57)</f>
        <v>0</v>
      </c>
    </row>
    <row r="58" spans="1:17" ht="14.25" thickBot="1" x14ac:dyDescent="0.35">
      <c r="A58" s="24" t="s">
        <v>136</v>
      </c>
      <c r="B58" s="72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38"/>
      <c r="P58" s="66">
        <f t="shared" si="4"/>
        <v>0</v>
      </c>
    </row>
    <row r="59" spans="1:17" ht="14.25" thickBot="1" x14ac:dyDescent="0.35">
      <c r="A59" s="21" t="s">
        <v>20</v>
      </c>
      <c r="B59" s="45"/>
      <c r="C59" s="45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38"/>
      <c r="P59" s="66">
        <f t="shared" si="4"/>
        <v>0</v>
      </c>
      <c r="Q59" s="70"/>
    </row>
    <row r="60" spans="1:17" ht="14.25" thickBot="1" x14ac:dyDescent="0.35">
      <c r="A60" s="14" t="s">
        <v>21</v>
      </c>
      <c r="B60" s="39"/>
      <c r="C60" s="22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41"/>
      <c r="P60" s="66">
        <f t="shared" si="4"/>
        <v>0</v>
      </c>
    </row>
    <row r="61" spans="1:17" ht="14.25" thickBot="1" x14ac:dyDescent="0.35">
      <c r="A61" s="14" t="s">
        <v>193</v>
      </c>
      <c r="B61" s="39"/>
      <c r="C61" s="22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1"/>
      <c r="P61" s="66">
        <f t="shared" si="4"/>
        <v>0</v>
      </c>
    </row>
    <row r="62" spans="1:17" ht="14.25" thickBot="1" x14ac:dyDescent="0.35">
      <c r="A62" s="14" t="s">
        <v>194</v>
      </c>
      <c r="B62" s="39"/>
      <c r="C62" s="22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41"/>
      <c r="P62" s="66">
        <f t="shared" si="4"/>
        <v>0</v>
      </c>
    </row>
    <row r="63" spans="1:17" ht="14.25" thickBot="1" x14ac:dyDescent="0.35">
      <c r="A63" s="14" t="s">
        <v>195</v>
      </c>
      <c r="B63" s="39"/>
      <c r="C63" s="22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41"/>
      <c r="P63" s="66">
        <f t="shared" si="4"/>
        <v>0</v>
      </c>
    </row>
    <row r="64" spans="1:17" ht="14.25" thickBot="1" x14ac:dyDescent="0.35">
      <c r="A64" s="14" t="s">
        <v>196</v>
      </c>
      <c r="B64" s="39"/>
      <c r="C64" s="22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41"/>
      <c r="P64" s="66"/>
    </row>
    <row r="65" spans="1:17" ht="14.25" thickBot="1" x14ac:dyDescent="0.35">
      <c r="A65" s="14" t="s">
        <v>197</v>
      </c>
      <c r="B65" s="39"/>
      <c r="C65" s="22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41"/>
      <c r="P65" s="66"/>
    </row>
    <row r="66" spans="1:17" ht="14.25" thickBot="1" x14ac:dyDescent="0.35">
      <c r="A66" s="24" t="s">
        <v>50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38"/>
      <c r="P66" s="66">
        <f t="shared" ref="P66:P72" si="5">SUM(B66:O66)</f>
        <v>0</v>
      </c>
    </row>
    <row r="67" spans="1:17" ht="14.25" thickBot="1" x14ac:dyDescent="0.35">
      <c r="A67" s="14" t="s">
        <v>29</v>
      </c>
      <c r="B67" s="84"/>
      <c r="C67" s="84"/>
      <c r="D67" s="84"/>
      <c r="E67" s="84"/>
      <c r="F67" s="84"/>
      <c r="G67" s="84"/>
      <c r="H67" s="85">
        <v>5530</v>
      </c>
      <c r="I67" s="84"/>
      <c r="J67" s="84"/>
      <c r="K67" s="84"/>
      <c r="L67" s="85"/>
      <c r="M67" s="84"/>
      <c r="N67" s="84"/>
      <c r="O67" s="86"/>
      <c r="P67" s="66">
        <f t="shared" si="5"/>
        <v>5530</v>
      </c>
    </row>
    <row r="68" spans="1:17" ht="14.25" thickBot="1" x14ac:dyDescent="0.35">
      <c r="A68" s="14" t="s">
        <v>156</v>
      </c>
      <c r="B68" s="84"/>
      <c r="C68" s="84"/>
      <c r="D68" s="84"/>
      <c r="E68" s="84"/>
      <c r="F68" s="85"/>
      <c r="G68" s="84"/>
      <c r="H68" s="85">
        <f>934+2202</f>
        <v>3136</v>
      </c>
      <c r="I68" s="84"/>
      <c r="J68" s="84"/>
      <c r="K68" s="84"/>
      <c r="L68" s="84"/>
      <c r="M68" s="84"/>
      <c r="N68" s="84"/>
      <c r="O68" s="86"/>
      <c r="P68" s="66">
        <f t="shared" si="5"/>
        <v>3136</v>
      </c>
    </row>
    <row r="69" spans="1:17" ht="14.25" thickBot="1" x14ac:dyDescent="0.35">
      <c r="A69" s="14" t="s">
        <v>151</v>
      </c>
      <c r="B69" s="84"/>
      <c r="C69" s="84"/>
      <c r="D69" s="84"/>
      <c r="E69" s="84"/>
      <c r="F69" s="85">
        <f>1310+14814</f>
        <v>16124</v>
      </c>
      <c r="G69" s="84"/>
      <c r="H69" s="84"/>
      <c r="I69" s="84"/>
      <c r="J69" s="84"/>
      <c r="K69" s="84"/>
      <c r="L69" s="84"/>
      <c r="M69" s="84"/>
      <c r="N69" s="84"/>
      <c r="O69" s="86"/>
      <c r="P69" s="66">
        <f t="shared" si="5"/>
        <v>16124</v>
      </c>
    </row>
    <row r="70" spans="1:17" ht="14.25" thickBot="1" x14ac:dyDescent="0.35">
      <c r="A70" s="14" t="s">
        <v>152</v>
      </c>
      <c r="B70" s="84"/>
      <c r="C70" s="89"/>
      <c r="D70" s="89"/>
      <c r="E70" s="89"/>
      <c r="F70" s="90"/>
      <c r="G70" s="90"/>
      <c r="H70" s="90"/>
      <c r="I70" s="89"/>
      <c r="J70" s="89"/>
      <c r="K70" s="84">
        <f>983+3397</f>
        <v>4380</v>
      </c>
      <c r="L70" s="90"/>
      <c r="M70" s="84"/>
      <c r="N70" s="90"/>
      <c r="O70" s="86"/>
      <c r="P70" s="66">
        <f t="shared" si="5"/>
        <v>4380</v>
      </c>
    </row>
    <row r="71" spans="1:17" ht="14.25" thickBot="1" x14ac:dyDescent="0.35">
      <c r="A71" s="14" t="s">
        <v>153</v>
      </c>
      <c r="B71" s="84"/>
      <c r="C71" s="90"/>
      <c r="D71" s="89"/>
      <c r="E71" s="90"/>
      <c r="F71" s="89"/>
      <c r="G71" s="90">
        <f>397+1654</f>
        <v>2051</v>
      </c>
      <c r="H71" s="90"/>
      <c r="I71" s="90"/>
      <c r="J71" s="89"/>
      <c r="K71" s="90"/>
      <c r="L71" s="90"/>
      <c r="M71" s="90"/>
      <c r="N71" s="89"/>
      <c r="O71" s="86"/>
      <c r="P71" s="66">
        <f t="shared" si="5"/>
        <v>2051</v>
      </c>
    </row>
    <row r="72" spans="1:17" ht="14.25" thickBot="1" x14ac:dyDescent="0.35">
      <c r="A72" s="14" t="s">
        <v>154</v>
      </c>
      <c r="B72" s="84"/>
      <c r="C72" s="89"/>
      <c r="D72" s="89"/>
      <c r="E72" s="89"/>
      <c r="F72" s="90"/>
      <c r="G72" s="90"/>
      <c r="H72" s="89"/>
      <c r="I72" s="90">
        <v>8526</v>
      </c>
      <c r="J72" s="89"/>
      <c r="K72" s="90"/>
      <c r="L72" s="90"/>
      <c r="M72" s="90"/>
      <c r="N72" s="89"/>
      <c r="O72" s="86"/>
      <c r="P72" s="66">
        <f t="shared" si="5"/>
        <v>8526</v>
      </c>
      <c r="Q72" s="70"/>
    </row>
    <row r="73" spans="1:17" ht="14.25" thickBot="1" x14ac:dyDescent="0.35">
      <c r="A73" s="14" t="s">
        <v>167</v>
      </c>
      <c r="B73" s="87">
        <f>SUM(B67:B72)</f>
        <v>0</v>
      </c>
      <c r="C73" s="87">
        <f t="shared" ref="C73:P73" si="6">SUM(C67:C72)</f>
        <v>0</v>
      </c>
      <c r="D73" s="87">
        <f t="shared" si="6"/>
        <v>0</v>
      </c>
      <c r="E73" s="87">
        <f t="shared" si="6"/>
        <v>0</v>
      </c>
      <c r="F73" s="87">
        <f t="shared" si="6"/>
        <v>16124</v>
      </c>
      <c r="G73" s="87">
        <f t="shared" si="6"/>
        <v>2051</v>
      </c>
      <c r="H73" s="87">
        <f t="shared" si="6"/>
        <v>8666</v>
      </c>
      <c r="I73" s="87">
        <f t="shared" si="6"/>
        <v>8526</v>
      </c>
      <c r="J73" s="87">
        <f t="shared" si="6"/>
        <v>0</v>
      </c>
      <c r="K73" s="87">
        <f t="shared" si="6"/>
        <v>4380</v>
      </c>
      <c r="L73" s="87">
        <f>SUM(L67:L72)</f>
        <v>0</v>
      </c>
      <c r="M73" s="87"/>
      <c r="N73" s="87">
        <f t="shared" si="6"/>
        <v>0</v>
      </c>
      <c r="O73" s="87">
        <f t="shared" si="6"/>
        <v>0</v>
      </c>
      <c r="P73" s="87">
        <f t="shared" si="6"/>
        <v>39747</v>
      </c>
      <c r="Q73" s="70"/>
    </row>
    <row r="74" spans="1:17" ht="14.25" thickBot="1" x14ac:dyDescent="0.35">
      <c r="A74" s="13" t="s">
        <v>54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9"/>
      <c r="P74" s="66">
        <f t="shared" ref="P74:P88" si="7">SUM(B74:O74)</f>
        <v>0</v>
      </c>
    </row>
    <row r="75" spans="1:17" ht="14.25" thickBot="1" x14ac:dyDescent="0.35">
      <c r="A75" s="14" t="s">
        <v>159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31"/>
      <c r="O75" s="19"/>
      <c r="P75" s="66">
        <f t="shared" si="7"/>
        <v>0</v>
      </c>
    </row>
    <row r="76" spans="1:17" ht="14.25" thickBot="1" x14ac:dyDescent="0.35">
      <c r="A76" s="14" t="s">
        <v>160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31"/>
      <c r="O76" s="19"/>
      <c r="P76" s="66">
        <f t="shared" si="7"/>
        <v>0</v>
      </c>
    </row>
    <row r="77" spans="1:17" ht="27.75" thickBot="1" x14ac:dyDescent="0.35">
      <c r="A77" s="14" t="s">
        <v>161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31"/>
      <c r="O77" s="19"/>
      <c r="P77" s="66">
        <f t="shared" si="7"/>
        <v>0</v>
      </c>
    </row>
    <row r="78" spans="1:17" ht="27.75" thickBot="1" x14ac:dyDescent="0.35">
      <c r="A78" s="14" t="s">
        <v>162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31"/>
      <c r="O78" s="19"/>
      <c r="P78" s="66">
        <f t="shared" si="7"/>
        <v>0</v>
      </c>
    </row>
    <row r="79" spans="1:17" ht="27.75" thickBot="1" x14ac:dyDescent="0.35">
      <c r="A79" s="14" t="s">
        <v>163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31"/>
      <c r="O79" s="19"/>
      <c r="P79" s="66">
        <f t="shared" si="7"/>
        <v>0</v>
      </c>
      <c r="Q79" s="70"/>
    </row>
    <row r="80" spans="1:17" ht="14.25" thickBot="1" x14ac:dyDescent="0.35">
      <c r="A80" s="21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9"/>
      <c r="P80" s="66">
        <f t="shared" si="7"/>
        <v>0</v>
      </c>
    </row>
    <row r="81" spans="1:17" ht="14.25" thickBot="1" x14ac:dyDescent="0.35">
      <c r="A81" s="24" t="s">
        <v>56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38"/>
      <c r="P81" s="66">
        <f t="shared" si="7"/>
        <v>0</v>
      </c>
    </row>
    <row r="82" spans="1:17" ht="14.25" thickBot="1" x14ac:dyDescent="0.35">
      <c r="A82" s="21" t="s">
        <v>40</v>
      </c>
      <c r="B82" s="40"/>
      <c r="C82" s="40"/>
      <c r="D82" s="40"/>
      <c r="E82" s="40"/>
      <c r="F82" s="45"/>
      <c r="G82" s="45"/>
      <c r="H82" s="40"/>
      <c r="I82" s="40"/>
      <c r="J82" s="40"/>
      <c r="K82" s="40"/>
      <c r="L82" s="40"/>
      <c r="M82" s="40"/>
      <c r="N82" s="40"/>
      <c r="O82" s="38"/>
      <c r="P82" s="66">
        <f t="shared" si="7"/>
        <v>0</v>
      </c>
    </row>
    <row r="83" spans="1:17" ht="14.25" thickBot="1" x14ac:dyDescent="0.35">
      <c r="A83" s="21" t="s">
        <v>99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7"/>
      <c r="O83" s="38"/>
      <c r="P83" s="66">
        <f t="shared" si="7"/>
        <v>0</v>
      </c>
    </row>
    <row r="84" spans="1:17" ht="14.25" thickBot="1" x14ac:dyDescent="0.35">
      <c r="A84" s="21" t="s">
        <v>41</v>
      </c>
      <c r="B84" s="40"/>
      <c r="C84" s="40"/>
      <c r="D84" s="40"/>
      <c r="E84" s="40"/>
      <c r="F84" s="69"/>
      <c r="G84" s="40"/>
      <c r="H84" s="40"/>
      <c r="I84" s="40"/>
      <c r="J84" s="40"/>
      <c r="K84" s="40"/>
      <c r="L84" s="40"/>
      <c r="M84" s="40"/>
      <c r="N84" s="45"/>
      <c r="O84" s="38"/>
      <c r="P84" s="66">
        <f t="shared" si="7"/>
        <v>0</v>
      </c>
    </row>
    <row r="85" spans="1:17" ht="14.25" thickBot="1" x14ac:dyDescent="0.35">
      <c r="A85" s="52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38"/>
      <c r="P85" s="66">
        <f t="shared" si="7"/>
        <v>0</v>
      </c>
      <c r="Q85" s="70"/>
    </row>
    <row r="86" spans="1:17" ht="14.25" thickBot="1" x14ac:dyDescent="0.35">
      <c r="A86" s="24" t="s">
        <v>59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38"/>
      <c r="P86" s="66">
        <f t="shared" si="7"/>
        <v>0</v>
      </c>
    </row>
    <row r="87" spans="1:17" ht="14.25" thickBot="1" x14ac:dyDescent="0.35">
      <c r="A87" s="21" t="s">
        <v>80</v>
      </c>
      <c r="B87" s="119">
        <f>0.1*SUM(B73:B86)</f>
        <v>0</v>
      </c>
      <c r="C87" s="119">
        <f t="shared" ref="C87:O87" si="8">0.1*SUM(C73:C86)</f>
        <v>0</v>
      </c>
      <c r="D87" s="119">
        <f t="shared" si="8"/>
        <v>0</v>
      </c>
      <c r="E87" s="119">
        <f t="shared" si="8"/>
        <v>0</v>
      </c>
      <c r="F87" s="119">
        <f t="shared" si="8"/>
        <v>1612.4</v>
      </c>
      <c r="G87" s="119">
        <f t="shared" si="8"/>
        <v>205.10000000000002</v>
      </c>
      <c r="H87" s="119">
        <f t="shared" si="8"/>
        <v>866.6</v>
      </c>
      <c r="I87" s="119">
        <f t="shared" si="8"/>
        <v>852.6</v>
      </c>
      <c r="J87" s="119">
        <f t="shared" si="8"/>
        <v>0</v>
      </c>
      <c r="K87" s="119">
        <f t="shared" si="8"/>
        <v>438</v>
      </c>
      <c r="L87" s="119">
        <f>0.1*SUM(L73:L86)</f>
        <v>0</v>
      </c>
      <c r="M87" s="119"/>
      <c r="N87" s="119">
        <f t="shared" si="8"/>
        <v>0</v>
      </c>
      <c r="O87" s="119">
        <f t="shared" si="8"/>
        <v>0</v>
      </c>
      <c r="P87" s="66">
        <f t="shared" si="7"/>
        <v>3974.7</v>
      </c>
    </row>
    <row r="88" spans="1:17" ht="14.25" thickBot="1" x14ac:dyDescent="0.35">
      <c r="A88" s="52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54"/>
      <c r="P88" s="100">
        <f t="shared" si="7"/>
        <v>0</v>
      </c>
    </row>
    <row r="89" spans="1:17" ht="14.25" thickBot="1" x14ac:dyDescent="0.35">
      <c r="A89" s="52" t="s">
        <v>127</v>
      </c>
      <c r="B89" s="50">
        <f>SUM(B73:B88)</f>
        <v>0</v>
      </c>
      <c r="C89" s="50">
        <f t="shared" ref="C89:P89" si="9">SUM(C73:C88)</f>
        <v>0</v>
      </c>
      <c r="D89" s="50">
        <f t="shared" si="9"/>
        <v>0</v>
      </c>
      <c r="E89" s="50">
        <f t="shared" si="9"/>
        <v>0</v>
      </c>
      <c r="F89" s="50">
        <f t="shared" si="9"/>
        <v>17736.400000000001</v>
      </c>
      <c r="G89" s="50">
        <f t="shared" si="9"/>
        <v>2256.1</v>
      </c>
      <c r="H89" s="50">
        <f t="shared" si="9"/>
        <v>9532.6</v>
      </c>
      <c r="I89" s="50">
        <f t="shared" si="9"/>
        <v>9378.6</v>
      </c>
      <c r="J89" s="50">
        <f t="shared" si="9"/>
        <v>0</v>
      </c>
      <c r="K89" s="50">
        <f t="shared" si="9"/>
        <v>4818</v>
      </c>
      <c r="L89" s="50">
        <f>SUM(L73:L88)</f>
        <v>0</v>
      </c>
      <c r="M89" s="50"/>
      <c r="N89" s="50">
        <f t="shared" si="9"/>
        <v>0</v>
      </c>
      <c r="O89" s="50">
        <f t="shared" si="9"/>
        <v>0</v>
      </c>
      <c r="P89" s="50">
        <f t="shared" si="9"/>
        <v>43721.7</v>
      </c>
    </row>
    <row r="90" spans="1:17" x14ac:dyDescent="0.3">
      <c r="P90" s="101"/>
    </row>
    <row r="91" spans="1:17" x14ac:dyDescent="0.3">
      <c r="P91" s="101"/>
    </row>
    <row r="92" spans="1:17" x14ac:dyDescent="0.3">
      <c r="P92" s="101"/>
    </row>
    <row r="93" spans="1:17" x14ac:dyDescent="0.3">
      <c r="P93" s="101"/>
    </row>
    <row r="94" spans="1:17" x14ac:dyDescent="0.3">
      <c r="P94" s="101"/>
    </row>
    <row r="95" spans="1:17" x14ac:dyDescent="0.3">
      <c r="P95" s="101"/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87"/>
  <sheetViews>
    <sheetView topLeftCell="A4" zoomScaleNormal="100" workbookViewId="0">
      <selection activeCell="C24" sqref="C24"/>
    </sheetView>
  </sheetViews>
  <sheetFormatPr defaultColWidth="9.140625" defaultRowHeight="13.5" x14ac:dyDescent="0.3"/>
  <cols>
    <col min="1" max="1" width="42.28515625" style="42" customWidth="1"/>
    <col min="2" max="2" width="12.42578125" style="5" bestFit="1" customWidth="1"/>
    <col min="3" max="3" width="9.5703125" style="5" bestFit="1" customWidth="1"/>
    <col min="4" max="5" width="9.42578125" style="5" bestFit="1" customWidth="1"/>
    <col min="6" max="6" width="10.7109375" style="5" bestFit="1" customWidth="1"/>
    <col min="7" max="8" width="9.7109375" style="5" bestFit="1" customWidth="1"/>
    <col min="9" max="11" width="9.42578125" style="5" bestFit="1" customWidth="1"/>
    <col min="12" max="12" width="9.7109375" style="5" bestFit="1" customWidth="1"/>
    <col min="13" max="13" width="9.42578125" style="5" customWidth="1"/>
    <col min="14" max="14" width="12.42578125" style="5" bestFit="1" customWidth="1"/>
    <col min="15" max="15" width="9.42578125" style="5" bestFit="1" customWidth="1"/>
    <col min="16" max="16" width="11.28515625" style="5" customWidth="1"/>
    <col min="17" max="17" width="9.140625" style="5"/>
    <col min="18" max="18" width="9.5703125" style="5" bestFit="1" customWidth="1"/>
    <col min="19" max="16384" width="9.140625" style="5"/>
  </cols>
  <sheetData>
    <row r="1" spans="1:16" ht="14.25" thickBot="1" x14ac:dyDescent="0.35">
      <c r="A1" s="36" t="s">
        <v>177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43"/>
      <c r="P1" s="43"/>
    </row>
    <row r="2" spans="1:16" ht="41.25" thickBot="1" x14ac:dyDescent="0.35">
      <c r="A2" s="24" t="s">
        <v>3</v>
      </c>
      <c r="B2" s="32" t="s">
        <v>4</v>
      </c>
      <c r="C2" s="32" t="s">
        <v>5</v>
      </c>
      <c r="D2" s="32" t="s">
        <v>45</v>
      </c>
      <c r="E2" s="32" t="s">
        <v>7</v>
      </c>
      <c r="F2" s="32" t="s">
        <v>88</v>
      </c>
      <c r="G2" s="32" t="s">
        <v>9</v>
      </c>
      <c r="H2" s="32" t="s">
        <v>10</v>
      </c>
      <c r="I2" s="32" t="s">
        <v>11</v>
      </c>
      <c r="J2" s="32" t="s">
        <v>12</v>
      </c>
      <c r="K2" s="25" t="s">
        <v>14</v>
      </c>
      <c r="L2" s="3" t="s">
        <v>227</v>
      </c>
      <c r="M2" s="25" t="s">
        <v>221</v>
      </c>
      <c r="N2" s="25" t="s">
        <v>67</v>
      </c>
      <c r="O2" s="25" t="s">
        <v>68</v>
      </c>
      <c r="P2" s="25" t="s">
        <v>2</v>
      </c>
    </row>
    <row r="3" spans="1:16" ht="14.25" thickBot="1" x14ac:dyDescent="0.35">
      <c r="A3" s="24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66">
        <f t="shared" ref="P3:P16" si="0">SUM(B3:O3)</f>
        <v>0</v>
      </c>
    </row>
    <row r="4" spans="1:16" ht="14.25" thickBot="1" x14ac:dyDescent="0.35">
      <c r="A4" s="21" t="s">
        <v>90</v>
      </c>
      <c r="B4" s="39"/>
      <c r="C4" s="22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1"/>
      <c r="P4" s="66">
        <f t="shared" si="0"/>
        <v>0</v>
      </c>
    </row>
    <row r="5" spans="1:16" ht="14.25" thickBot="1" x14ac:dyDescent="0.35">
      <c r="A5" s="21" t="s">
        <v>91</v>
      </c>
      <c r="B5" s="39"/>
      <c r="C5" s="22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1"/>
      <c r="P5" s="66">
        <f t="shared" si="0"/>
        <v>0</v>
      </c>
    </row>
    <row r="6" spans="1:16" ht="14.25" thickBot="1" x14ac:dyDescent="0.35">
      <c r="A6" s="21" t="s">
        <v>92</v>
      </c>
      <c r="B6" s="39"/>
      <c r="C6" s="22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41"/>
      <c r="P6" s="66">
        <f t="shared" si="0"/>
        <v>0</v>
      </c>
    </row>
    <row r="7" spans="1:16" ht="14.25" thickBot="1" x14ac:dyDescent="0.35">
      <c r="A7" s="14" t="s">
        <v>21</v>
      </c>
      <c r="B7" s="39"/>
      <c r="C7" s="22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1"/>
      <c r="P7" s="66">
        <f t="shared" si="0"/>
        <v>0</v>
      </c>
    </row>
    <row r="8" spans="1:16" ht="14.25" thickBot="1" x14ac:dyDescent="0.35">
      <c r="A8" s="14" t="s">
        <v>193</v>
      </c>
      <c r="B8" s="39"/>
      <c r="C8" s="22">
        <f>[2]Sheet2!$U$11</f>
        <v>22754.99897747242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1"/>
      <c r="P8" s="66">
        <f t="shared" si="0"/>
        <v>22754.99897747242</v>
      </c>
    </row>
    <row r="9" spans="1:16" ht="14.25" thickBot="1" x14ac:dyDescent="0.35">
      <c r="A9" s="14" t="s">
        <v>194</v>
      </c>
      <c r="B9" s="39"/>
      <c r="C9" s="22">
        <f>[2]Sheet2!$V$11</f>
        <v>40821.626467667804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41"/>
      <c r="P9" s="66">
        <f t="shared" si="0"/>
        <v>40821.626467667804</v>
      </c>
    </row>
    <row r="10" spans="1:16" ht="14.25" thickBot="1" x14ac:dyDescent="0.35">
      <c r="A10" s="14" t="s">
        <v>195</v>
      </c>
      <c r="B10" s="39"/>
      <c r="C10" s="22">
        <f>[2]Sheet2!$X$11</f>
        <v>1204008.0087277084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1"/>
      <c r="P10" s="66">
        <f t="shared" si="0"/>
        <v>1204008.0087277084</v>
      </c>
    </row>
    <row r="11" spans="1:16" ht="14.25" thickBot="1" x14ac:dyDescent="0.35">
      <c r="A11" s="14" t="s">
        <v>196</v>
      </c>
      <c r="B11" s="39"/>
      <c r="C11" s="22">
        <f>[2]Sheet2!$Y$11</f>
        <v>158011.16374880451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1"/>
      <c r="P11" s="66">
        <f t="shared" si="0"/>
        <v>158011.16374880451</v>
      </c>
    </row>
    <row r="12" spans="1:16" ht="14.25" thickBot="1" x14ac:dyDescent="0.35">
      <c r="A12" s="14" t="s">
        <v>197</v>
      </c>
      <c r="B12" s="39"/>
      <c r="C12" s="22">
        <f>[2]Sheet2!$Z$11</f>
        <v>404908.37791623664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41"/>
      <c r="P12" s="66">
        <f t="shared" si="0"/>
        <v>404908.37791623664</v>
      </c>
    </row>
    <row r="13" spans="1:16" ht="14.25" thickBot="1" x14ac:dyDescent="0.35">
      <c r="A13" s="24" t="s">
        <v>96</v>
      </c>
      <c r="B13" s="39"/>
      <c r="C13" s="40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1"/>
      <c r="P13" s="66">
        <f t="shared" si="0"/>
        <v>0</v>
      </c>
    </row>
    <row r="14" spans="1:16" ht="14.25" thickBot="1" x14ac:dyDescent="0.35">
      <c r="A14" s="21" t="s">
        <v>97</v>
      </c>
      <c r="B14" s="39"/>
      <c r="C14" s="40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1"/>
      <c r="P14" s="66">
        <f t="shared" si="0"/>
        <v>0</v>
      </c>
    </row>
    <row r="15" spans="1:16" ht="14.25" thickBot="1" x14ac:dyDescent="0.35">
      <c r="A15" s="21" t="s">
        <v>25</v>
      </c>
      <c r="B15" s="39"/>
      <c r="C15" s="40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1"/>
      <c r="P15" s="66">
        <f t="shared" si="0"/>
        <v>0</v>
      </c>
    </row>
    <row r="16" spans="1:16" ht="14.25" thickBot="1" x14ac:dyDescent="0.35">
      <c r="A16" s="21" t="s">
        <v>26</v>
      </c>
      <c r="B16" s="39"/>
      <c r="C16" s="40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1"/>
      <c r="P16" s="66">
        <f t="shared" si="0"/>
        <v>0</v>
      </c>
    </row>
    <row r="17" spans="1:18" s="79" customFormat="1" ht="14.25" thickBot="1" x14ac:dyDescent="0.35">
      <c r="A17" s="76" t="s">
        <v>157</v>
      </c>
      <c r="B17" s="40"/>
      <c r="C17" s="81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38"/>
      <c r="P17" s="66"/>
    </row>
    <row r="18" spans="1:18" ht="14.25" thickBot="1" x14ac:dyDescent="0.35">
      <c r="A18" s="21" t="s">
        <v>155</v>
      </c>
      <c r="B18" s="40"/>
      <c r="C18" s="83">
        <v>23180</v>
      </c>
      <c r="D18" s="18"/>
      <c r="E18" s="18"/>
      <c r="F18" s="18"/>
      <c r="G18" s="18"/>
      <c r="H18" s="40"/>
      <c r="I18" s="40"/>
      <c r="J18" s="40"/>
      <c r="K18" s="18"/>
      <c r="L18" s="18"/>
      <c r="M18" s="18"/>
      <c r="N18" s="22"/>
      <c r="O18" s="66">
        <f t="shared" ref="O18:O23" si="1">0.05*SUM(B18:N18)</f>
        <v>1159</v>
      </c>
      <c r="P18" s="66">
        <f t="shared" ref="P18:P23" si="2">SUM(B18:O18)</f>
        <v>24339</v>
      </c>
    </row>
    <row r="19" spans="1:18" ht="14.25" thickBot="1" x14ac:dyDescent="0.35">
      <c r="A19" s="21" t="s">
        <v>156</v>
      </c>
      <c r="B19" s="40"/>
      <c r="C19" s="83">
        <v>11564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66">
        <f t="shared" si="1"/>
        <v>578.20000000000005</v>
      </c>
      <c r="P19" s="66">
        <f t="shared" si="2"/>
        <v>12142.2</v>
      </c>
    </row>
    <row r="20" spans="1:18" ht="14.25" thickBot="1" x14ac:dyDescent="0.35">
      <c r="A20" s="21" t="s">
        <v>151</v>
      </c>
      <c r="B20" s="40"/>
      <c r="C20" s="83">
        <v>55383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66">
        <f t="shared" si="1"/>
        <v>2769.15</v>
      </c>
      <c r="P20" s="66">
        <f t="shared" si="2"/>
        <v>58152.15</v>
      </c>
    </row>
    <row r="21" spans="1:18" ht="14.25" thickBot="1" x14ac:dyDescent="0.35">
      <c r="A21" s="21" t="s">
        <v>152</v>
      </c>
      <c r="B21" s="40"/>
      <c r="C21" s="83">
        <v>15822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66">
        <f t="shared" si="1"/>
        <v>791.1</v>
      </c>
      <c r="P21" s="66">
        <f t="shared" si="2"/>
        <v>16613.099999999999</v>
      </c>
    </row>
    <row r="22" spans="1:18" ht="14.25" thickBot="1" x14ac:dyDescent="0.35">
      <c r="A22" s="21" t="s">
        <v>153</v>
      </c>
      <c r="B22" s="40"/>
      <c r="C22" s="83">
        <v>10902</v>
      </c>
      <c r="D22" s="18"/>
      <c r="E22" s="18"/>
      <c r="F22" s="18"/>
      <c r="G22" s="18"/>
      <c r="H22" s="40"/>
      <c r="I22" s="40"/>
      <c r="J22" s="40"/>
      <c r="K22" s="18"/>
      <c r="L22" s="18"/>
      <c r="M22" s="18"/>
      <c r="N22" s="18"/>
      <c r="O22" s="66">
        <f t="shared" si="1"/>
        <v>545.1</v>
      </c>
      <c r="P22" s="66">
        <f t="shared" si="2"/>
        <v>11447.1</v>
      </c>
    </row>
    <row r="23" spans="1:18" ht="14.25" thickBot="1" x14ac:dyDescent="0.35">
      <c r="A23" s="21" t="s">
        <v>154</v>
      </c>
      <c r="B23" s="40"/>
      <c r="C23" s="83">
        <f>34070</f>
        <v>34070</v>
      </c>
      <c r="D23" s="18"/>
      <c r="E23" s="18"/>
      <c r="F23" s="18"/>
      <c r="G23" s="22"/>
      <c r="H23" s="40"/>
      <c r="I23" s="40"/>
      <c r="J23" s="40"/>
      <c r="K23" s="18"/>
      <c r="L23" s="18"/>
      <c r="M23" s="18"/>
      <c r="N23" s="18"/>
      <c r="O23" s="66">
        <f t="shared" si="1"/>
        <v>1703.5</v>
      </c>
      <c r="P23" s="66">
        <f t="shared" si="2"/>
        <v>35773.5</v>
      </c>
      <c r="Q23" s="70"/>
    </row>
    <row r="24" spans="1:18" s="62" customFormat="1" ht="14.25" thickBot="1" x14ac:dyDescent="0.35">
      <c r="A24" s="24" t="s">
        <v>224</v>
      </c>
      <c r="B24" s="124">
        <f>SUM(B18:B23)</f>
        <v>0</v>
      </c>
      <c r="C24" s="124">
        <f t="shared" ref="C24:P24" si="3">SUM(C18:C23)</f>
        <v>150921</v>
      </c>
      <c r="D24" s="124">
        <f t="shared" si="3"/>
        <v>0</v>
      </c>
      <c r="E24" s="124">
        <f t="shared" si="3"/>
        <v>0</v>
      </c>
      <c r="F24" s="124">
        <f t="shared" si="3"/>
        <v>0</v>
      </c>
      <c r="G24" s="124"/>
      <c r="H24" s="124">
        <f t="shared" si="3"/>
        <v>0</v>
      </c>
      <c r="I24" s="124">
        <f t="shared" si="3"/>
        <v>0</v>
      </c>
      <c r="J24" s="124">
        <f t="shared" si="3"/>
        <v>0</v>
      </c>
      <c r="K24" s="124">
        <f t="shared" si="3"/>
        <v>0</v>
      </c>
      <c r="L24" s="124">
        <f>SUM(L18:L23)</f>
        <v>0</v>
      </c>
      <c r="M24" s="124">
        <f t="shared" si="3"/>
        <v>0</v>
      </c>
      <c r="N24" s="124">
        <f t="shared" si="3"/>
        <v>0</v>
      </c>
      <c r="O24" s="124">
        <f t="shared" si="3"/>
        <v>7546.0500000000011</v>
      </c>
      <c r="P24" s="124">
        <f t="shared" si="3"/>
        <v>158467.05000000002</v>
      </c>
      <c r="Q24" s="123"/>
    </row>
    <row r="25" spans="1:18" ht="14.25" thickBot="1" x14ac:dyDescent="0.35">
      <c r="A25" s="13" t="s">
        <v>54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66">
        <f t="shared" ref="O25:O30" si="4">0.05*SUM(B25:N25)</f>
        <v>0</v>
      </c>
      <c r="P25" s="66">
        <f t="shared" ref="P25:P35" si="5">SUM(B25:O25)</f>
        <v>0</v>
      </c>
      <c r="R25" s="5">
        <v>208668.60000000003</v>
      </c>
    </row>
    <row r="26" spans="1:18" ht="14.25" thickBot="1" x14ac:dyDescent="0.35">
      <c r="A26" s="14" t="s">
        <v>55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31">
        <f>[4]Sheet1!$G$21/1000000</f>
        <v>10594.091622</v>
      </c>
      <c r="O26" s="66">
        <f t="shared" si="4"/>
        <v>529.70458110000004</v>
      </c>
      <c r="P26" s="66">
        <f t="shared" si="5"/>
        <v>11123.796203100001</v>
      </c>
      <c r="R26" s="70">
        <v>150925</v>
      </c>
    </row>
    <row r="27" spans="1:18" ht="14.25" thickBot="1" x14ac:dyDescent="0.35">
      <c r="A27" s="14" t="s">
        <v>35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31">
        <f>[4]Sheet2!$G$21/1000000</f>
        <v>9976.9283489999998</v>
      </c>
      <c r="O27" s="66">
        <f t="shared" si="4"/>
        <v>498.84641744999999</v>
      </c>
      <c r="P27" s="66">
        <f t="shared" si="5"/>
        <v>10475.77476645</v>
      </c>
    </row>
    <row r="28" spans="1:18" ht="27.75" thickBot="1" x14ac:dyDescent="0.35">
      <c r="A28" s="14" t="s">
        <v>36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31">
        <f>[4]Sheet3!$G$21/1000000</f>
        <v>6135.8527029999996</v>
      </c>
      <c r="O28" s="66">
        <f t="shared" si="4"/>
        <v>306.79263514999997</v>
      </c>
      <c r="P28" s="66">
        <f t="shared" si="5"/>
        <v>6442.6453381499996</v>
      </c>
      <c r="R28" s="70">
        <f>R25-R26</f>
        <v>57743.600000000035</v>
      </c>
    </row>
    <row r="29" spans="1:18" ht="27.75" thickBot="1" x14ac:dyDescent="0.35">
      <c r="A29" s="14" t="s">
        <v>37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31">
        <f>[4]Sheet4!$G$21/1000000</f>
        <v>191.52192199999999</v>
      </c>
      <c r="O29" s="66">
        <f t="shared" si="4"/>
        <v>9.5760960999999991</v>
      </c>
      <c r="P29" s="66">
        <f t="shared" si="5"/>
        <v>201.09801809999999</v>
      </c>
    </row>
    <row r="30" spans="1:18" ht="14.25" thickBot="1" x14ac:dyDescent="0.35">
      <c r="A30" s="14" t="s">
        <v>38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31">
        <f>[4]Sheet5!$G$21/1000000</f>
        <v>34303.549395000002</v>
      </c>
      <c r="O30" s="66">
        <f t="shared" si="4"/>
        <v>1715.1774697500002</v>
      </c>
      <c r="P30" s="66">
        <f t="shared" si="5"/>
        <v>36018.726864750002</v>
      </c>
      <c r="Q30" s="70"/>
      <c r="R30" s="5">
        <v>866137.01300000004</v>
      </c>
    </row>
    <row r="31" spans="1:18" s="62" customFormat="1" ht="14.25" thickBot="1" x14ac:dyDescent="0.35">
      <c r="A31" s="13" t="s">
        <v>198</v>
      </c>
      <c r="B31" s="126">
        <f>SUM(B26:B30)</f>
        <v>0</v>
      </c>
      <c r="C31" s="126">
        <f t="shared" ref="C31:O31" si="6">SUM(C26:C30)</f>
        <v>0</v>
      </c>
      <c r="D31" s="126">
        <f t="shared" si="6"/>
        <v>0</v>
      </c>
      <c r="E31" s="126">
        <f t="shared" si="6"/>
        <v>0</v>
      </c>
      <c r="F31" s="126">
        <f t="shared" si="6"/>
        <v>0</v>
      </c>
      <c r="G31" s="126">
        <f t="shared" si="6"/>
        <v>0</v>
      </c>
      <c r="H31" s="126">
        <f t="shared" si="6"/>
        <v>0</v>
      </c>
      <c r="I31" s="126">
        <f t="shared" si="6"/>
        <v>0</v>
      </c>
      <c r="J31" s="126">
        <f t="shared" si="6"/>
        <v>0</v>
      </c>
      <c r="K31" s="126">
        <f t="shared" si="6"/>
        <v>0</v>
      </c>
      <c r="L31" s="126">
        <f>SUM(L26:L30)</f>
        <v>0</v>
      </c>
      <c r="M31" s="126"/>
      <c r="N31" s="126">
        <f t="shared" si="6"/>
        <v>61201.943991000007</v>
      </c>
      <c r="O31" s="126">
        <f t="shared" si="6"/>
        <v>3060.0971995500004</v>
      </c>
      <c r="P31" s="126">
        <f t="shared" si="5"/>
        <v>64262.041190550008</v>
      </c>
      <c r="Q31" s="123"/>
    </row>
    <row r="32" spans="1:18" ht="14.25" thickBot="1" x14ac:dyDescent="0.35">
      <c r="A32" s="24" t="s">
        <v>56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66">
        <f>0.05*SUM(B32:N32)</f>
        <v>0</v>
      </c>
      <c r="P32" s="66">
        <f t="shared" si="5"/>
        <v>0</v>
      </c>
      <c r="R32" s="5">
        <v>61201.943991000007</v>
      </c>
    </row>
    <row r="33" spans="1:18" ht="14.25" thickBot="1" x14ac:dyDescent="0.35">
      <c r="A33" s="21" t="s">
        <v>120</v>
      </c>
      <c r="B33" s="45"/>
      <c r="C33" s="40"/>
      <c r="D33" s="40"/>
      <c r="E33" s="40"/>
      <c r="F33" s="51"/>
      <c r="G33" s="40"/>
      <c r="H33" s="40"/>
      <c r="I33" s="40"/>
      <c r="J33" s="40"/>
      <c r="K33" s="40"/>
      <c r="L33" s="40"/>
      <c r="M33" s="40"/>
      <c r="N33" s="40"/>
      <c r="O33" s="66">
        <f>0.05*SUM(B33:N33)</f>
        <v>0</v>
      </c>
      <c r="P33" s="66">
        <f t="shared" si="5"/>
        <v>0</v>
      </c>
    </row>
    <row r="34" spans="1:18" ht="14.25" thickBot="1" x14ac:dyDescent="0.35">
      <c r="A34" s="21" t="s">
        <v>99</v>
      </c>
      <c r="B34" s="44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66">
        <f>0.05*SUM(B34:N34)</f>
        <v>0</v>
      </c>
      <c r="P34" s="66">
        <f t="shared" si="5"/>
        <v>0</v>
      </c>
      <c r="R34" s="116">
        <f>R30-R32</f>
        <v>804935.06900899997</v>
      </c>
    </row>
    <row r="35" spans="1:18" ht="14.25" thickBot="1" x14ac:dyDescent="0.35">
      <c r="A35" s="21" t="s">
        <v>41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66">
        <f>0.05*SUM(B35:N35)</f>
        <v>0</v>
      </c>
      <c r="P35" s="66">
        <f t="shared" si="5"/>
        <v>0</v>
      </c>
      <c r="Q35" s="70"/>
    </row>
    <row r="36" spans="1:18" s="62" customFormat="1" ht="14.25" thickBot="1" x14ac:dyDescent="0.35">
      <c r="A36" s="24" t="s">
        <v>198</v>
      </c>
      <c r="B36" s="127">
        <f>SUM(B33:B35)</f>
        <v>0</v>
      </c>
      <c r="C36" s="127">
        <f t="shared" ref="C36:P36" si="7">SUM(C33:C35)</f>
        <v>0</v>
      </c>
      <c r="D36" s="127">
        <f t="shared" si="7"/>
        <v>0</v>
      </c>
      <c r="E36" s="127">
        <f t="shared" si="7"/>
        <v>0</v>
      </c>
      <c r="F36" s="127">
        <f t="shared" si="7"/>
        <v>0</v>
      </c>
      <c r="G36" s="127">
        <f t="shared" si="7"/>
        <v>0</v>
      </c>
      <c r="H36" s="127">
        <f t="shared" si="7"/>
        <v>0</v>
      </c>
      <c r="I36" s="127">
        <f t="shared" si="7"/>
        <v>0</v>
      </c>
      <c r="J36" s="127">
        <f t="shared" si="7"/>
        <v>0</v>
      </c>
      <c r="K36" s="127">
        <f t="shared" si="7"/>
        <v>0</v>
      </c>
      <c r="L36" s="127">
        <f>SUM(L33:L35)</f>
        <v>0</v>
      </c>
      <c r="M36" s="127">
        <f t="shared" si="7"/>
        <v>0</v>
      </c>
      <c r="N36" s="127">
        <f t="shared" si="7"/>
        <v>0</v>
      </c>
      <c r="O36" s="127">
        <f t="shared" si="7"/>
        <v>0</v>
      </c>
      <c r="P36" s="127">
        <f t="shared" si="7"/>
        <v>0</v>
      </c>
      <c r="Q36" s="123"/>
    </row>
    <row r="37" spans="1:18" ht="14.25" thickBot="1" x14ac:dyDescent="0.35">
      <c r="A37" s="24" t="s">
        <v>59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66"/>
      <c r="P37" s="66">
        <f>SUM(B37:O37)</f>
        <v>0</v>
      </c>
      <c r="R37" s="5">
        <v>1118768.2143000001</v>
      </c>
    </row>
    <row r="38" spans="1:18" ht="14.25" thickBot="1" x14ac:dyDescent="0.35">
      <c r="A38" s="21" t="s">
        <v>129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38"/>
      <c r="P38" s="66">
        <f>SUM(B38:O38)</f>
        <v>0</v>
      </c>
      <c r="R38" s="5">
        <v>1077865.71019955</v>
      </c>
    </row>
    <row r="39" spans="1:18" ht="14.25" thickBot="1" x14ac:dyDescent="0.35">
      <c r="A39" s="53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54"/>
      <c r="P39" s="66">
        <f>SUM(B39:O39)</f>
        <v>0</v>
      </c>
    </row>
    <row r="40" spans="1:18" x14ac:dyDescent="0.3">
      <c r="A40" s="55" t="s">
        <v>126</v>
      </c>
      <c r="B40" s="50">
        <f>SUM(B17:B39)</f>
        <v>0</v>
      </c>
      <c r="C40" s="50">
        <f t="shared" ref="C40:O40" si="8">SUM(C17:C39)</f>
        <v>301842</v>
      </c>
      <c r="D40" s="50">
        <f t="shared" si="8"/>
        <v>0</v>
      </c>
      <c r="E40" s="50">
        <f t="shared" si="8"/>
        <v>0</v>
      </c>
      <c r="F40" s="50">
        <f t="shared" si="8"/>
        <v>0</v>
      </c>
      <c r="G40" s="50">
        <f t="shared" si="8"/>
        <v>0</v>
      </c>
      <c r="H40" s="50">
        <f t="shared" si="8"/>
        <v>0</v>
      </c>
      <c r="I40" s="50">
        <f t="shared" si="8"/>
        <v>0</v>
      </c>
      <c r="J40" s="50">
        <f t="shared" si="8"/>
        <v>0</v>
      </c>
      <c r="K40" s="50">
        <f t="shared" si="8"/>
        <v>0</v>
      </c>
      <c r="L40" s="50">
        <f>SUM(L17:L39)</f>
        <v>0</v>
      </c>
      <c r="M40" s="50"/>
      <c r="N40" s="50" t="s">
        <v>226</v>
      </c>
      <c r="O40" s="50">
        <f t="shared" si="8"/>
        <v>21212.294399100007</v>
      </c>
      <c r="P40" s="50">
        <f>P38+P36+P31+P24</f>
        <v>222729.09119055001</v>
      </c>
    </row>
    <row r="41" spans="1:18" ht="14.25" thickBot="1" x14ac:dyDescent="0.35">
      <c r="P41" s="66"/>
      <c r="Q41" s="67"/>
      <c r="R41" s="116">
        <f>R37-R38</f>
        <v>40902.504100450082</v>
      </c>
    </row>
    <row r="42" spans="1:18" ht="41.25" thickBot="1" x14ac:dyDescent="0.35">
      <c r="A42" s="28" t="s">
        <v>178</v>
      </c>
      <c r="B42" s="25" t="s">
        <v>4</v>
      </c>
      <c r="C42" s="25" t="s">
        <v>5</v>
      </c>
      <c r="D42" s="25" t="s">
        <v>45</v>
      </c>
      <c r="E42" s="25" t="s">
        <v>7</v>
      </c>
      <c r="F42" s="25" t="s">
        <v>88</v>
      </c>
      <c r="G42" s="25" t="s">
        <v>9</v>
      </c>
      <c r="H42" s="25" t="s">
        <v>10</v>
      </c>
      <c r="I42" s="25" t="s">
        <v>11</v>
      </c>
      <c r="J42" s="25" t="s">
        <v>12</v>
      </c>
      <c r="K42" s="25" t="s">
        <v>14</v>
      </c>
      <c r="L42" s="3" t="s">
        <v>13</v>
      </c>
      <c r="M42" s="25" t="s">
        <v>221</v>
      </c>
      <c r="N42" s="25" t="s">
        <v>85</v>
      </c>
      <c r="O42" s="25" t="s">
        <v>68</v>
      </c>
      <c r="P42" s="25" t="s">
        <v>2</v>
      </c>
    </row>
    <row r="43" spans="1:18" ht="30.75" customHeight="1" thickBot="1" x14ac:dyDescent="0.35">
      <c r="A43" s="21" t="s">
        <v>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3"/>
      <c r="M43" s="19"/>
      <c r="N43" s="19"/>
      <c r="O43" s="19"/>
      <c r="P43" s="66">
        <f t="shared" ref="P43:P60" si="9">SUM(B43:O43)</f>
        <v>0</v>
      </c>
    </row>
    <row r="44" spans="1:18" ht="15.75" hidden="1" customHeight="1" thickBot="1" x14ac:dyDescent="0.35">
      <c r="A44" s="24" t="s">
        <v>101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41"/>
      <c r="P44" s="66">
        <f t="shared" si="9"/>
        <v>0</v>
      </c>
    </row>
    <row r="45" spans="1:18" ht="15.75" hidden="1" customHeight="1" thickBot="1" x14ac:dyDescent="0.35">
      <c r="A45" s="21" t="s">
        <v>102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41"/>
      <c r="P45" s="66">
        <f t="shared" si="9"/>
        <v>0</v>
      </c>
    </row>
    <row r="46" spans="1:18" ht="15.75" hidden="1" customHeight="1" thickBot="1" x14ac:dyDescent="0.35">
      <c r="A46" s="21" t="s">
        <v>103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41"/>
      <c r="P46" s="66">
        <f t="shared" si="9"/>
        <v>0</v>
      </c>
    </row>
    <row r="47" spans="1:18" ht="15.75" hidden="1" customHeight="1" thickBot="1" x14ac:dyDescent="0.35">
      <c r="A47" s="21" t="s">
        <v>104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41"/>
      <c r="P47" s="66">
        <f t="shared" si="9"/>
        <v>0</v>
      </c>
    </row>
    <row r="48" spans="1:18" ht="15.75" hidden="1" customHeight="1" thickBot="1" x14ac:dyDescent="0.35">
      <c r="A48" s="21" t="s">
        <v>21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41"/>
      <c r="P48" s="66">
        <f t="shared" si="9"/>
        <v>0</v>
      </c>
    </row>
    <row r="49" spans="1:17" ht="15.75" hidden="1" customHeight="1" thickBot="1" x14ac:dyDescent="0.35">
      <c r="A49" s="21" t="s">
        <v>105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41"/>
      <c r="P49" s="66">
        <f t="shared" si="9"/>
        <v>0</v>
      </c>
    </row>
    <row r="50" spans="1:17" ht="15.75" hidden="1" customHeight="1" thickBot="1" x14ac:dyDescent="0.35">
      <c r="A50" s="21" t="s">
        <v>106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41"/>
      <c r="P50" s="66">
        <f t="shared" si="9"/>
        <v>0</v>
      </c>
    </row>
    <row r="51" spans="1:17" ht="15.75" hidden="1" customHeight="1" thickBot="1" x14ac:dyDescent="0.35">
      <c r="A51" s="21" t="s">
        <v>107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41"/>
      <c r="P51" s="66">
        <f t="shared" si="9"/>
        <v>0</v>
      </c>
    </row>
    <row r="52" spans="1:17" ht="15.75" hidden="1" customHeight="1" thickBot="1" x14ac:dyDescent="0.35">
      <c r="A52" s="24" t="s">
        <v>96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41"/>
      <c r="P52" s="66">
        <f t="shared" si="9"/>
        <v>0</v>
      </c>
    </row>
    <row r="53" spans="1:17" ht="15.75" customHeight="1" thickBot="1" x14ac:dyDescent="0.35">
      <c r="A53" s="24" t="s">
        <v>101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41"/>
      <c r="P53" s="66">
        <f t="shared" si="9"/>
        <v>0</v>
      </c>
    </row>
    <row r="54" spans="1:17" ht="15.75" customHeight="1" thickBot="1" x14ac:dyDescent="0.35">
      <c r="A54" s="21" t="s">
        <v>102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41"/>
      <c r="P54" s="66">
        <f t="shared" si="9"/>
        <v>0</v>
      </c>
    </row>
    <row r="55" spans="1:17" ht="15.75" customHeight="1" thickBot="1" x14ac:dyDescent="0.35">
      <c r="A55" s="21" t="s">
        <v>103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41"/>
      <c r="P55" s="66">
        <f t="shared" si="9"/>
        <v>0</v>
      </c>
    </row>
    <row r="56" spans="1:17" ht="15.75" customHeight="1" thickBot="1" x14ac:dyDescent="0.35">
      <c r="A56" s="21" t="s">
        <v>104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41"/>
      <c r="P56" s="66">
        <f t="shared" si="9"/>
        <v>0</v>
      </c>
    </row>
    <row r="57" spans="1:17" ht="14.25" thickBot="1" x14ac:dyDescent="0.35">
      <c r="A57" s="14" t="s">
        <v>21</v>
      </c>
      <c r="B57" s="39"/>
      <c r="C57" s="22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41"/>
      <c r="P57" s="66">
        <f t="shared" si="9"/>
        <v>0</v>
      </c>
    </row>
    <row r="58" spans="1:17" ht="14.25" thickBot="1" x14ac:dyDescent="0.35">
      <c r="A58" s="14" t="s">
        <v>193</v>
      </c>
      <c r="B58" s="39"/>
      <c r="C58" s="22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41"/>
      <c r="P58" s="66">
        <f t="shared" si="9"/>
        <v>0</v>
      </c>
    </row>
    <row r="59" spans="1:17" ht="14.25" thickBot="1" x14ac:dyDescent="0.35">
      <c r="A59" s="14" t="s">
        <v>194</v>
      </c>
      <c r="B59" s="39"/>
      <c r="C59" s="22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41"/>
      <c r="P59" s="66">
        <f t="shared" si="9"/>
        <v>0</v>
      </c>
    </row>
    <row r="60" spans="1:17" ht="14.25" thickBot="1" x14ac:dyDescent="0.35">
      <c r="A60" s="14" t="s">
        <v>195</v>
      </c>
      <c r="B60" s="39"/>
      <c r="C60" s="22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41"/>
      <c r="P60" s="66">
        <f t="shared" si="9"/>
        <v>0</v>
      </c>
    </row>
    <row r="61" spans="1:17" ht="14.25" thickBot="1" x14ac:dyDescent="0.35">
      <c r="A61" s="14" t="s">
        <v>196</v>
      </c>
      <c r="B61" s="39"/>
      <c r="C61" s="22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1"/>
      <c r="P61" s="66"/>
    </row>
    <row r="62" spans="1:17" ht="14.25" thickBot="1" x14ac:dyDescent="0.35">
      <c r="A62" s="14" t="s">
        <v>197</v>
      </c>
      <c r="B62" s="39"/>
      <c r="C62" s="22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41"/>
      <c r="P62" s="66"/>
    </row>
    <row r="63" spans="1:17" ht="14.25" thickBot="1" x14ac:dyDescent="0.35">
      <c r="A63" s="21" t="s">
        <v>20</v>
      </c>
      <c r="B63" s="45"/>
      <c r="C63" s="45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38"/>
      <c r="P63" s="66">
        <f t="shared" ref="P63:P70" si="10">SUM(B63:O63)</f>
        <v>0</v>
      </c>
      <c r="Q63" s="70"/>
    </row>
    <row r="64" spans="1:17" ht="14.25" thickBot="1" x14ac:dyDescent="0.35">
      <c r="A64" s="24" t="s">
        <v>50</v>
      </c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38"/>
      <c r="P64" s="66">
        <f t="shared" si="10"/>
        <v>0</v>
      </c>
    </row>
    <row r="65" spans="1:18" ht="14.25" thickBot="1" x14ac:dyDescent="0.35">
      <c r="A65" s="14" t="s">
        <v>29</v>
      </c>
      <c r="B65" s="84"/>
      <c r="C65" s="84"/>
      <c r="D65" s="84"/>
      <c r="E65" s="84"/>
      <c r="F65" s="84"/>
      <c r="G65" s="84"/>
      <c r="H65" s="85">
        <v>23180</v>
      </c>
      <c r="I65" s="84"/>
      <c r="J65" s="84"/>
      <c r="K65" s="84"/>
      <c r="L65" s="85"/>
      <c r="M65" s="84"/>
      <c r="N65" s="84"/>
      <c r="O65" s="86"/>
      <c r="P65" s="66">
        <f t="shared" si="10"/>
        <v>23180</v>
      </c>
    </row>
    <row r="66" spans="1:18" ht="14.25" thickBot="1" x14ac:dyDescent="0.35">
      <c r="A66" s="14" t="s">
        <v>156</v>
      </c>
      <c r="B66" s="84"/>
      <c r="C66" s="84"/>
      <c r="D66" s="84"/>
      <c r="E66" s="84"/>
      <c r="F66" s="85">
        <v>7723</v>
      </c>
      <c r="G66" s="84"/>
      <c r="H66" s="85">
        <v>3842</v>
      </c>
      <c r="I66" s="84"/>
      <c r="J66" s="84"/>
      <c r="K66" s="84"/>
      <c r="L66" s="84"/>
      <c r="M66" s="84"/>
      <c r="N66" s="84"/>
      <c r="O66" s="86"/>
      <c r="P66" s="66">
        <f t="shared" si="10"/>
        <v>11565</v>
      </c>
    </row>
    <row r="67" spans="1:18" ht="14.25" thickBot="1" x14ac:dyDescent="0.35">
      <c r="A67" s="14" t="s">
        <v>151</v>
      </c>
      <c r="B67" s="84"/>
      <c r="C67" s="84"/>
      <c r="D67" s="84"/>
      <c r="E67" s="84"/>
      <c r="F67" s="85">
        <f>5073+50311</f>
        <v>55384</v>
      </c>
      <c r="G67" s="84"/>
      <c r="H67" s="84"/>
      <c r="I67" s="84"/>
      <c r="J67" s="84"/>
      <c r="K67" s="84"/>
      <c r="L67" s="84"/>
      <c r="M67" s="84"/>
      <c r="N67" s="84"/>
      <c r="O67" s="86"/>
      <c r="P67" s="66">
        <f t="shared" si="10"/>
        <v>55384</v>
      </c>
    </row>
    <row r="68" spans="1:18" ht="14.25" thickBot="1" x14ac:dyDescent="0.35">
      <c r="A68" s="14" t="s">
        <v>152</v>
      </c>
      <c r="B68" s="84"/>
      <c r="C68" s="89"/>
      <c r="D68" s="89"/>
      <c r="E68" s="89"/>
      <c r="F68" s="90"/>
      <c r="G68" s="90"/>
      <c r="H68" s="90"/>
      <c r="I68" s="89"/>
      <c r="J68" s="89"/>
      <c r="K68" s="89">
        <f>4293+11530</f>
        <v>15823</v>
      </c>
      <c r="L68" s="90"/>
      <c r="M68" s="89"/>
      <c r="N68" s="90"/>
      <c r="O68" s="86"/>
      <c r="P68" s="66">
        <f t="shared" si="10"/>
        <v>15823</v>
      </c>
    </row>
    <row r="69" spans="1:18" ht="14.25" thickBot="1" x14ac:dyDescent="0.35">
      <c r="A69" s="14" t="s">
        <v>153</v>
      </c>
      <c r="B69" s="84"/>
      <c r="C69" s="90"/>
      <c r="D69" s="89"/>
      <c r="E69" s="90"/>
      <c r="F69" s="89"/>
      <c r="G69" s="90">
        <f>9544+1359</f>
        <v>10903</v>
      </c>
      <c r="H69" s="90"/>
      <c r="I69" s="90"/>
      <c r="J69" s="89"/>
      <c r="K69" s="90"/>
      <c r="L69" s="90"/>
      <c r="M69" s="90"/>
      <c r="N69" s="89"/>
      <c r="O69" s="86"/>
      <c r="P69" s="66">
        <f t="shared" si="10"/>
        <v>10903</v>
      </c>
    </row>
    <row r="70" spans="1:18" ht="14.25" thickBot="1" x14ac:dyDescent="0.35">
      <c r="A70" s="14" t="s">
        <v>154</v>
      </c>
      <c r="B70" s="84"/>
      <c r="C70" s="89"/>
      <c r="D70" s="89"/>
      <c r="E70" s="89"/>
      <c r="F70" s="89"/>
      <c r="G70" s="90"/>
      <c r="H70" s="89"/>
      <c r="I70" s="90">
        <v>34070</v>
      </c>
      <c r="J70" s="89"/>
      <c r="K70" s="90"/>
      <c r="L70" s="90"/>
      <c r="M70" s="90"/>
      <c r="N70" s="89"/>
      <c r="O70" s="86"/>
      <c r="P70" s="66">
        <f t="shared" si="10"/>
        <v>34070</v>
      </c>
      <c r="Q70" s="70"/>
    </row>
    <row r="71" spans="1:18" s="62" customFormat="1" ht="14.25" thickBot="1" x14ac:dyDescent="0.35">
      <c r="A71" s="13" t="s">
        <v>198</v>
      </c>
      <c r="B71" s="120">
        <f>SUM(B65:B70)</f>
        <v>0</v>
      </c>
      <c r="C71" s="120">
        <f t="shared" ref="C71:P71" si="11">SUM(C65:C70)</f>
        <v>0</v>
      </c>
      <c r="D71" s="120">
        <f t="shared" si="11"/>
        <v>0</v>
      </c>
      <c r="E71" s="120">
        <f t="shared" si="11"/>
        <v>0</v>
      </c>
      <c r="F71" s="120">
        <f t="shared" si="11"/>
        <v>63107</v>
      </c>
      <c r="G71" s="120">
        <f t="shared" si="11"/>
        <v>10903</v>
      </c>
      <c r="H71" s="120">
        <f t="shared" si="11"/>
        <v>27022</v>
      </c>
      <c r="I71" s="120">
        <f t="shared" si="11"/>
        <v>34070</v>
      </c>
      <c r="J71" s="120">
        <f t="shared" si="11"/>
        <v>0</v>
      </c>
      <c r="K71" s="120">
        <f t="shared" si="11"/>
        <v>15823</v>
      </c>
      <c r="L71" s="120">
        <f>SUM(L65:L70)</f>
        <v>0</v>
      </c>
      <c r="M71" s="120">
        <f>R28</f>
        <v>57743.600000000035</v>
      </c>
      <c r="N71" s="120">
        <f t="shared" si="11"/>
        <v>0</v>
      </c>
      <c r="O71" s="120">
        <f t="shared" si="11"/>
        <v>0</v>
      </c>
      <c r="P71" s="120">
        <f t="shared" si="11"/>
        <v>150925</v>
      </c>
      <c r="Q71" s="123"/>
    </row>
    <row r="72" spans="1:18" ht="14.25" thickBot="1" x14ac:dyDescent="0.35">
      <c r="A72" s="13" t="s">
        <v>54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9"/>
      <c r="P72" s="66">
        <f t="shared" ref="P72:P77" si="12">SUM(B72:O72)</f>
        <v>0</v>
      </c>
    </row>
    <row r="73" spans="1:18" ht="14.25" thickBot="1" x14ac:dyDescent="0.35">
      <c r="A73" s="14" t="s">
        <v>183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31">
        <f>[5]Sheet2!$G$222/1000000</f>
        <v>70.173350999999997</v>
      </c>
      <c r="O73" s="66">
        <f t="shared" ref="O73:O77" si="13">0.05*SUM(B73:N73)</f>
        <v>3.5086675500000002</v>
      </c>
      <c r="P73" s="66">
        <f t="shared" si="12"/>
        <v>73.682018549999995</v>
      </c>
    </row>
    <row r="74" spans="1:18" ht="14.25" thickBot="1" x14ac:dyDescent="0.35">
      <c r="A74" s="14" t="s">
        <v>184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31"/>
      <c r="O74" s="66">
        <f t="shared" si="13"/>
        <v>0</v>
      </c>
      <c r="P74" s="66">
        <f t="shared" si="12"/>
        <v>0</v>
      </c>
    </row>
    <row r="75" spans="1:18" ht="27.75" thickBot="1" x14ac:dyDescent="0.35">
      <c r="A75" s="14" t="s">
        <v>185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31">
        <f>[5]Sheet4!$G$149/1000000</f>
        <v>2.0000149999999999</v>
      </c>
      <c r="O75" s="66">
        <f t="shared" si="13"/>
        <v>0.10000075</v>
      </c>
      <c r="P75" s="66">
        <f t="shared" si="12"/>
        <v>2.1000157499999998</v>
      </c>
    </row>
    <row r="76" spans="1:18" ht="27.75" thickBot="1" x14ac:dyDescent="0.35">
      <c r="A76" s="14" t="s">
        <v>186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31"/>
      <c r="O76" s="66">
        <f t="shared" si="13"/>
        <v>0</v>
      </c>
      <c r="P76" s="66">
        <f t="shared" si="12"/>
        <v>0</v>
      </c>
    </row>
    <row r="77" spans="1:18" ht="27.75" thickBot="1" x14ac:dyDescent="0.35">
      <c r="A77" s="14" t="s">
        <v>187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31">
        <f>[5]Sheet6!$G$208/1000000</f>
        <v>793.96364700000004</v>
      </c>
      <c r="O77" s="66">
        <f t="shared" si="13"/>
        <v>39.698182350000003</v>
      </c>
      <c r="P77" s="66">
        <f t="shared" si="12"/>
        <v>833.66182935000006</v>
      </c>
      <c r="Q77" s="70"/>
    </row>
    <row r="78" spans="1:18" ht="14.25" thickBot="1" x14ac:dyDescent="0.35">
      <c r="A78" s="21" t="s">
        <v>225</v>
      </c>
      <c r="B78" s="133">
        <f>SUM(B73:B77)</f>
        <v>0</v>
      </c>
      <c r="C78" s="133">
        <f t="shared" ref="C78:N78" si="14">SUM(C73:C77)</f>
        <v>0</v>
      </c>
      <c r="D78" s="133">
        <f t="shared" si="14"/>
        <v>0</v>
      </c>
      <c r="E78" s="133">
        <f t="shared" si="14"/>
        <v>0</v>
      </c>
      <c r="F78" s="133">
        <f t="shared" si="14"/>
        <v>0</v>
      </c>
      <c r="G78" s="133">
        <f t="shared" si="14"/>
        <v>0</v>
      </c>
      <c r="H78" s="133">
        <f t="shared" si="14"/>
        <v>0</v>
      </c>
      <c r="I78" s="133">
        <f t="shared" si="14"/>
        <v>0</v>
      </c>
      <c r="J78" s="133">
        <f t="shared" si="14"/>
        <v>0</v>
      </c>
      <c r="K78" s="133">
        <f t="shared" si="14"/>
        <v>0</v>
      </c>
      <c r="L78" s="133">
        <f>SUM(L73:L77)</f>
        <v>0</v>
      </c>
      <c r="M78" s="133">
        <v>63352.59732690001</v>
      </c>
      <c r="N78" s="133">
        <f t="shared" si="14"/>
        <v>866.13701300000002</v>
      </c>
      <c r="O78" s="126">
        <f t="shared" ref="O78" si="15">SUM(O73:O77)</f>
        <v>43.306850650000001</v>
      </c>
      <c r="P78" s="133">
        <f>SUM(B78:O78)</f>
        <v>64262.041190550008</v>
      </c>
      <c r="R78" s="70">
        <f>P31-P78</f>
        <v>0</v>
      </c>
    </row>
    <row r="79" spans="1:18" ht="14.25" thickBot="1" x14ac:dyDescent="0.35">
      <c r="A79" s="24" t="s">
        <v>56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38"/>
      <c r="P79" s="66">
        <f>SUM(B79:O79)</f>
        <v>0</v>
      </c>
    </row>
    <row r="80" spans="1:18" ht="14.25" thickBot="1" x14ac:dyDescent="0.35">
      <c r="A80" s="21" t="s">
        <v>40</v>
      </c>
      <c r="B80" s="40"/>
      <c r="C80" s="40"/>
      <c r="D80" s="40"/>
      <c r="E80" s="40"/>
      <c r="F80" s="45"/>
      <c r="G80" s="45"/>
      <c r="H80" s="40"/>
      <c r="I80" s="40"/>
      <c r="J80" s="40"/>
      <c r="K80" s="40"/>
      <c r="L80" s="40"/>
      <c r="M80" s="40"/>
      <c r="N80" s="40"/>
      <c r="O80" s="38"/>
      <c r="P80" s="66">
        <f>SUM(B80:O80)</f>
        <v>0</v>
      </c>
    </row>
    <row r="81" spans="1:18" ht="14.25" thickBot="1" x14ac:dyDescent="0.35">
      <c r="A81" s="21" t="s">
        <v>99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7"/>
      <c r="O81" s="38"/>
      <c r="P81" s="66">
        <f>SUM(B81:O81)</f>
        <v>0</v>
      </c>
    </row>
    <row r="82" spans="1:18" ht="14.25" thickBot="1" x14ac:dyDescent="0.35">
      <c r="A82" s="21" t="s">
        <v>41</v>
      </c>
      <c r="B82" s="40"/>
      <c r="C82" s="40"/>
      <c r="D82" s="40"/>
      <c r="E82" s="40"/>
      <c r="F82" s="69"/>
      <c r="G82" s="40"/>
      <c r="H82" s="40"/>
      <c r="I82" s="40"/>
      <c r="J82" s="40"/>
      <c r="K82" s="40"/>
      <c r="L82" s="40"/>
      <c r="M82" s="40"/>
      <c r="N82" s="45"/>
      <c r="O82" s="38"/>
      <c r="P82" s="66"/>
    </row>
    <row r="83" spans="1:18" s="62" customFormat="1" ht="14.25" thickBot="1" x14ac:dyDescent="0.35">
      <c r="A83" s="125" t="s">
        <v>225</v>
      </c>
      <c r="B83" s="131">
        <f>SUM(B80:B82)</f>
        <v>0</v>
      </c>
      <c r="C83" s="131">
        <f t="shared" ref="C83:P83" si="16">SUM(C80:C82)</f>
        <v>0</v>
      </c>
      <c r="D83" s="131">
        <f t="shared" si="16"/>
        <v>0</v>
      </c>
      <c r="E83" s="131">
        <f t="shared" si="16"/>
        <v>0</v>
      </c>
      <c r="F83" s="131">
        <f t="shared" si="16"/>
        <v>0</v>
      </c>
      <c r="G83" s="131">
        <f t="shared" si="16"/>
        <v>0</v>
      </c>
      <c r="H83" s="131">
        <f t="shared" si="16"/>
        <v>0</v>
      </c>
      <c r="I83" s="131">
        <f t="shared" si="16"/>
        <v>0</v>
      </c>
      <c r="J83" s="131">
        <f t="shared" si="16"/>
        <v>0</v>
      </c>
      <c r="K83" s="131">
        <f t="shared" si="16"/>
        <v>0</v>
      </c>
      <c r="L83" s="131">
        <f>SUM(L80:L82)</f>
        <v>0</v>
      </c>
      <c r="M83" s="131">
        <f t="shared" si="16"/>
        <v>0</v>
      </c>
      <c r="N83" s="131">
        <f t="shared" si="16"/>
        <v>0</v>
      </c>
      <c r="O83" s="131">
        <f t="shared" si="16"/>
        <v>0</v>
      </c>
      <c r="P83" s="131">
        <f t="shared" si="16"/>
        <v>0</v>
      </c>
      <c r="Q83" s="123"/>
    </row>
    <row r="84" spans="1:18" ht="14.25" thickBot="1" x14ac:dyDescent="0.35">
      <c r="A84" s="24" t="s">
        <v>59</v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38"/>
      <c r="P84" s="66"/>
      <c r="R84" s="70">
        <f>P40-P87</f>
        <v>-50201.48205952748</v>
      </c>
    </row>
    <row r="85" spans="1:18" ht="14.25" thickBot="1" x14ac:dyDescent="0.35">
      <c r="A85" s="21" t="s">
        <v>80</v>
      </c>
      <c r="B85" s="44">
        <f>0.05*(B84+B83+B78+B71)</f>
        <v>0</v>
      </c>
      <c r="C85" s="44">
        <f t="shared" ref="C85:O85" si="17">0.05*(C84+C83+C78+C71)</f>
        <v>0</v>
      </c>
      <c r="D85" s="44">
        <f t="shared" si="17"/>
        <v>0</v>
      </c>
      <c r="E85" s="44">
        <f t="shared" si="17"/>
        <v>0</v>
      </c>
      <c r="F85" s="44">
        <f t="shared" si="17"/>
        <v>3155.3500000000004</v>
      </c>
      <c r="G85" s="44">
        <f t="shared" si="17"/>
        <v>545.15</v>
      </c>
      <c r="H85" s="44">
        <f t="shared" si="17"/>
        <v>1351.1000000000001</v>
      </c>
      <c r="I85" s="44">
        <f t="shared" si="17"/>
        <v>1703.5</v>
      </c>
      <c r="J85" s="44">
        <f t="shared" si="17"/>
        <v>0</v>
      </c>
      <c r="K85" s="44">
        <f t="shared" si="17"/>
        <v>791.15000000000009</v>
      </c>
      <c r="L85" s="44">
        <f t="shared" si="17"/>
        <v>0</v>
      </c>
      <c r="M85" s="44">
        <f>(0.05*(M84+M83+M78+M71))+44097</f>
        <v>50151.809866345</v>
      </c>
      <c r="N85" s="44">
        <f t="shared" si="17"/>
        <v>43.306850650000001</v>
      </c>
      <c r="O85" s="44">
        <f t="shared" si="17"/>
        <v>2.1653425325</v>
      </c>
      <c r="P85" s="66">
        <f>SUM(B85:O85)</f>
        <v>57743.532059527497</v>
      </c>
    </row>
    <row r="86" spans="1:18" ht="14.25" thickBot="1" x14ac:dyDescent="0.35">
      <c r="A86" s="52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38"/>
      <c r="P86" s="66"/>
    </row>
    <row r="87" spans="1:18" x14ac:dyDescent="0.3">
      <c r="A87" s="55" t="s">
        <v>126</v>
      </c>
      <c r="B87" s="50">
        <f>SUM(B65:B86)</f>
        <v>0</v>
      </c>
      <c r="C87" s="50">
        <f t="shared" ref="C87:O87" si="18">SUM(C65:C86)</f>
        <v>0</v>
      </c>
      <c r="D87" s="50">
        <f t="shared" si="18"/>
        <v>0</v>
      </c>
      <c r="E87" s="50">
        <f t="shared" si="18"/>
        <v>0</v>
      </c>
      <c r="F87" s="50">
        <f t="shared" si="18"/>
        <v>129369.35</v>
      </c>
      <c r="G87" s="50">
        <f t="shared" si="18"/>
        <v>22351.15</v>
      </c>
      <c r="H87" s="50">
        <f t="shared" si="18"/>
        <v>55395.1</v>
      </c>
      <c r="I87" s="50">
        <f t="shared" si="18"/>
        <v>69843.5</v>
      </c>
      <c r="J87" s="50">
        <f t="shared" si="18"/>
        <v>0</v>
      </c>
      <c r="K87" s="50">
        <f t="shared" si="18"/>
        <v>32437.15</v>
      </c>
      <c r="L87" s="50">
        <f>SUM(L65:L86)</f>
        <v>0</v>
      </c>
      <c r="M87" s="50"/>
      <c r="N87" s="50">
        <f t="shared" si="18"/>
        <v>1775.5808766499999</v>
      </c>
      <c r="O87" s="50">
        <f t="shared" si="18"/>
        <v>88.779043832500008</v>
      </c>
      <c r="P87" s="50">
        <f>P85+P78+P83+P71</f>
        <v>272930.57325007749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92"/>
  <sheetViews>
    <sheetView topLeftCell="A8" zoomScaleNormal="100" workbookViewId="0">
      <selection activeCell="C27" sqref="C27"/>
    </sheetView>
  </sheetViews>
  <sheetFormatPr defaultColWidth="9.140625" defaultRowHeight="13.5" x14ac:dyDescent="0.3"/>
  <cols>
    <col min="1" max="1" width="42.28515625" style="42" customWidth="1"/>
    <col min="2" max="2" width="12.42578125" style="5" bestFit="1" customWidth="1"/>
    <col min="3" max="3" width="9.5703125" style="5" bestFit="1" customWidth="1"/>
    <col min="4" max="5" width="9.42578125" style="5" bestFit="1" customWidth="1"/>
    <col min="6" max="6" width="10.7109375" style="5" bestFit="1" customWidth="1"/>
    <col min="7" max="8" width="9.7109375" style="5" bestFit="1" customWidth="1"/>
    <col min="9" max="11" width="9.42578125" style="5" bestFit="1" customWidth="1"/>
    <col min="12" max="12" width="9.7109375" style="5" bestFit="1" customWidth="1"/>
    <col min="13" max="13" width="9.42578125" style="5" customWidth="1"/>
    <col min="14" max="14" width="12.42578125" style="5" bestFit="1" customWidth="1"/>
    <col min="15" max="15" width="10.42578125" style="5" bestFit="1" customWidth="1"/>
    <col min="16" max="16" width="11.28515625" style="5" customWidth="1"/>
    <col min="17" max="16384" width="9.140625" style="5"/>
  </cols>
  <sheetData>
    <row r="1" spans="1:16" ht="14.25" thickBot="1" x14ac:dyDescent="0.35">
      <c r="A1" s="36" t="s">
        <v>174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43"/>
      <c r="P1" s="43"/>
    </row>
    <row r="2" spans="1:16" ht="41.25" thickBot="1" x14ac:dyDescent="0.35">
      <c r="A2" s="24" t="s">
        <v>3</v>
      </c>
      <c r="B2" s="32" t="s">
        <v>4</v>
      </c>
      <c r="C2" s="32" t="s">
        <v>5</v>
      </c>
      <c r="D2" s="32" t="s">
        <v>45</v>
      </c>
      <c r="E2" s="32" t="s">
        <v>7</v>
      </c>
      <c r="F2" s="32" t="s">
        <v>88</v>
      </c>
      <c r="G2" s="32" t="s">
        <v>9</v>
      </c>
      <c r="H2" s="32" t="s">
        <v>10</v>
      </c>
      <c r="I2" s="32" t="s">
        <v>11</v>
      </c>
      <c r="J2" s="32" t="s">
        <v>12</v>
      </c>
      <c r="K2" s="25" t="s">
        <v>14</v>
      </c>
      <c r="L2" s="3" t="s">
        <v>89</v>
      </c>
      <c r="M2" s="25" t="s">
        <v>222</v>
      </c>
      <c r="N2" s="25" t="s">
        <v>67</v>
      </c>
      <c r="O2" s="25" t="s">
        <v>68</v>
      </c>
      <c r="P2" s="25" t="s">
        <v>2</v>
      </c>
    </row>
    <row r="3" spans="1:16" ht="14.25" thickBot="1" x14ac:dyDescent="0.35">
      <c r="A3" s="24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66">
        <f t="shared" ref="P3:P10" si="0">SUM(B3:O3)</f>
        <v>0</v>
      </c>
    </row>
    <row r="4" spans="1:16" ht="14.25" thickBot="1" x14ac:dyDescent="0.35">
      <c r="A4" s="21" t="s">
        <v>90</v>
      </c>
      <c r="B4" s="39"/>
      <c r="C4" s="22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1"/>
      <c r="P4" s="66">
        <f t="shared" si="0"/>
        <v>0</v>
      </c>
    </row>
    <row r="5" spans="1:16" ht="14.25" thickBot="1" x14ac:dyDescent="0.35">
      <c r="A5" s="21" t="s">
        <v>91</v>
      </c>
      <c r="B5" s="39"/>
      <c r="C5" s="22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1"/>
      <c r="P5" s="66">
        <f t="shared" si="0"/>
        <v>0</v>
      </c>
    </row>
    <row r="6" spans="1:16" ht="14.25" thickBot="1" x14ac:dyDescent="0.35">
      <c r="A6" s="21" t="s">
        <v>92</v>
      </c>
      <c r="B6" s="39"/>
      <c r="C6" s="22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41"/>
      <c r="P6" s="66">
        <f t="shared" si="0"/>
        <v>0</v>
      </c>
    </row>
    <row r="7" spans="1:16" ht="14.25" thickBot="1" x14ac:dyDescent="0.35">
      <c r="A7" s="14" t="s">
        <v>21</v>
      </c>
      <c r="B7" s="39"/>
      <c r="C7" s="22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1"/>
      <c r="P7" s="66">
        <f t="shared" si="0"/>
        <v>0</v>
      </c>
    </row>
    <row r="8" spans="1:16" ht="14.25" thickBot="1" x14ac:dyDescent="0.35">
      <c r="A8" s="14" t="s">
        <v>193</v>
      </c>
      <c r="B8" s="39"/>
      <c r="C8" s="22">
        <f>[2]Sheet2!$U$17</f>
        <v>42463.87747017842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1"/>
      <c r="P8" s="66">
        <f t="shared" si="0"/>
        <v>42463.87747017842</v>
      </c>
    </row>
    <row r="9" spans="1:16" ht="14.25" thickBot="1" x14ac:dyDescent="0.35">
      <c r="A9" s="14" t="s">
        <v>194</v>
      </c>
      <c r="B9" s="39"/>
      <c r="C9" s="22">
        <f>[2]Sheet2!$V$17</f>
        <v>60397.893425103888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41"/>
      <c r="P9" s="66">
        <f t="shared" si="0"/>
        <v>60397.893425103888</v>
      </c>
    </row>
    <row r="10" spans="1:16" ht="14.25" thickBot="1" x14ac:dyDescent="0.35">
      <c r="A10" s="14" t="s">
        <v>195</v>
      </c>
      <c r="B10" s="39"/>
      <c r="C10" s="22">
        <f>[2]Sheet2!$X$17</f>
        <v>1215550.8687776523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1"/>
      <c r="P10" s="66">
        <f t="shared" si="0"/>
        <v>1215550.8687776523</v>
      </c>
    </row>
    <row r="11" spans="1:16" ht="14.25" thickBot="1" x14ac:dyDescent="0.35">
      <c r="A11" s="14" t="s">
        <v>196</v>
      </c>
      <c r="B11" s="39"/>
      <c r="C11" s="22">
        <f>[2]Sheet2!$Y$17</f>
        <v>143895.63672589359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1"/>
      <c r="P11" s="66"/>
    </row>
    <row r="12" spans="1:16" ht="14.25" thickBot="1" x14ac:dyDescent="0.35">
      <c r="A12" s="14" t="s">
        <v>197</v>
      </c>
      <c r="B12" s="39"/>
      <c r="C12" s="22">
        <f>[2]Sheet2!$Z$17</f>
        <v>229785.41533887907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41"/>
      <c r="P12" s="66"/>
    </row>
    <row r="13" spans="1:16" ht="14.25" thickBot="1" x14ac:dyDescent="0.35">
      <c r="A13" s="14" t="s">
        <v>225</v>
      </c>
      <c r="B13" s="39"/>
      <c r="C13" s="22">
        <f>SUM(C8:C12)</f>
        <v>1692093.6917377072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1"/>
      <c r="P13" s="66"/>
    </row>
    <row r="14" spans="1:16" ht="14.25" thickBot="1" x14ac:dyDescent="0.35">
      <c r="A14" s="14" t="s">
        <v>236</v>
      </c>
      <c r="B14" s="39"/>
      <c r="C14" s="22">
        <f>'PSUT 2005'!C15*[2]Sheet2!$AH$11/1000</f>
        <v>0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1"/>
      <c r="P14" s="66"/>
    </row>
    <row r="15" spans="1:16" ht="14.25" thickBot="1" x14ac:dyDescent="0.35">
      <c r="A15" s="24" t="s">
        <v>96</v>
      </c>
      <c r="B15" s="39"/>
      <c r="C15" s="47">
        <f>C14+C13</f>
        <v>1692093.6917377072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1"/>
      <c r="P15" s="66">
        <f t="shared" ref="P15:P27" si="1">SUM(B15:O15)</f>
        <v>1692093.6917377072</v>
      </c>
    </row>
    <row r="16" spans="1:16" ht="14.25" thickBot="1" x14ac:dyDescent="0.35">
      <c r="A16" s="21" t="s">
        <v>97</v>
      </c>
      <c r="B16" s="39"/>
      <c r="C16" s="40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1"/>
      <c r="P16" s="66">
        <f t="shared" si="1"/>
        <v>0</v>
      </c>
    </row>
    <row r="17" spans="1:18" ht="14.25" thickBot="1" x14ac:dyDescent="0.35">
      <c r="A17" s="21" t="s">
        <v>25</v>
      </c>
      <c r="B17" s="39"/>
      <c r="C17" s="40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1"/>
      <c r="P17" s="66">
        <f t="shared" si="1"/>
        <v>0</v>
      </c>
    </row>
    <row r="18" spans="1:18" ht="14.25" thickBot="1" x14ac:dyDescent="0.35">
      <c r="A18" s="21" t="s">
        <v>26</v>
      </c>
      <c r="B18" s="39"/>
      <c r="C18" s="40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1"/>
      <c r="P18" s="66">
        <f t="shared" si="1"/>
        <v>0</v>
      </c>
    </row>
    <row r="19" spans="1:18" ht="14.25" thickBot="1" x14ac:dyDescent="0.35">
      <c r="A19" s="21" t="s">
        <v>27</v>
      </c>
      <c r="B19" s="39"/>
      <c r="C19" s="40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1"/>
      <c r="P19" s="66">
        <f t="shared" si="1"/>
        <v>0</v>
      </c>
    </row>
    <row r="20" spans="1:18" ht="14.25" thickBot="1" x14ac:dyDescent="0.35">
      <c r="A20" s="21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38"/>
      <c r="P20" s="66">
        <f t="shared" si="1"/>
        <v>0</v>
      </c>
    </row>
    <row r="21" spans="1:18" s="79" customFormat="1" ht="14.25" thickBot="1" x14ac:dyDescent="0.35">
      <c r="A21" s="76" t="s">
        <v>157</v>
      </c>
      <c r="B21" s="40"/>
      <c r="C21" s="81">
        <v>235202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66">
        <f>0.05*SUM(B21:N21)</f>
        <v>11760.1</v>
      </c>
      <c r="P21" s="66">
        <f t="shared" si="1"/>
        <v>246962.1</v>
      </c>
    </row>
    <row r="22" spans="1:18" ht="14.25" thickBot="1" x14ac:dyDescent="0.35">
      <c r="A22" s="21" t="s">
        <v>155</v>
      </c>
      <c r="B22" s="40"/>
      <c r="C22" s="83">
        <v>37648</v>
      </c>
      <c r="D22" s="18"/>
      <c r="E22" s="18"/>
      <c r="F22" s="18"/>
      <c r="G22" s="18"/>
      <c r="H22" s="40"/>
      <c r="I22" s="40"/>
      <c r="J22" s="40"/>
      <c r="K22" s="18"/>
      <c r="L22" s="18"/>
      <c r="M22" s="18"/>
      <c r="N22" s="22"/>
      <c r="O22" s="66">
        <f t="shared" ref="O22:O34" si="2">0.05*SUM(B22:N22)</f>
        <v>1882.4</v>
      </c>
      <c r="P22" s="66">
        <f t="shared" si="1"/>
        <v>39530.400000000001</v>
      </c>
    </row>
    <row r="23" spans="1:18" ht="14.25" thickBot="1" x14ac:dyDescent="0.35">
      <c r="A23" s="21" t="s">
        <v>156</v>
      </c>
      <c r="B23" s="40"/>
      <c r="C23" s="83">
        <v>15177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66">
        <f t="shared" si="2"/>
        <v>758.85</v>
      </c>
      <c r="P23" s="66">
        <f t="shared" si="1"/>
        <v>15935.85</v>
      </c>
    </row>
    <row r="24" spans="1:18" ht="14.25" thickBot="1" x14ac:dyDescent="0.35">
      <c r="A24" s="21" t="s">
        <v>151</v>
      </c>
      <c r="B24" s="40"/>
      <c r="C24" s="83">
        <v>111117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66">
        <f t="shared" si="2"/>
        <v>5555.85</v>
      </c>
      <c r="P24" s="66">
        <f t="shared" si="1"/>
        <v>116672.85</v>
      </c>
    </row>
    <row r="25" spans="1:18" ht="14.25" thickBot="1" x14ac:dyDescent="0.35">
      <c r="A25" s="21" t="s">
        <v>152</v>
      </c>
      <c r="B25" s="40"/>
      <c r="C25" s="83">
        <v>20926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66">
        <f t="shared" si="2"/>
        <v>1046.3</v>
      </c>
      <c r="P25" s="66">
        <f t="shared" si="1"/>
        <v>21972.3</v>
      </c>
    </row>
    <row r="26" spans="1:18" ht="14.25" thickBot="1" x14ac:dyDescent="0.35">
      <c r="A26" s="21" t="s">
        <v>153</v>
      </c>
      <c r="B26" s="40"/>
      <c r="C26" s="83">
        <v>13789</v>
      </c>
      <c r="D26" s="18"/>
      <c r="E26" s="18"/>
      <c r="F26" s="18"/>
      <c r="G26" s="18"/>
      <c r="H26" s="40"/>
      <c r="I26" s="40"/>
      <c r="J26" s="40"/>
      <c r="K26" s="18"/>
      <c r="L26" s="18"/>
      <c r="M26" s="18"/>
      <c r="N26" s="18"/>
      <c r="O26" s="66">
        <f t="shared" si="2"/>
        <v>689.45</v>
      </c>
      <c r="P26" s="66">
        <f t="shared" si="1"/>
        <v>14478.45</v>
      </c>
    </row>
    <row r="27" spans="1:18" ht="14.25" thickBot="1" x14ac:dyDescent="0.35">
      <c r="A27" s="21" t="s">
        <v>154</v>
      </c>
      <c r="B27" s="40"/>
      <c r="C27" s="83">
        <v>36545</v>
      </c>
      <c r="D27" s="18"/>
      <c r="E27" s="18"/>
      <c r="F27" s="18"/>
      <c r="G27" s="18"/>
      <c r="H27" s="40"/>
      <c r="I27" s="40"/>
      <c r="J27" s="40"/>
      <c r="K27" s="18"/>
      <c r="L27" s="18"/>
      <c r="M27" s="18"/>
      <c r="N27" s="18"/>
      <c r="O27" s="66">
        <f t="shared" si="2"/>
        <v>1827.25</v>
      </c>
      <c r="P27" s="66">
        <f t="shared" si="1"/>
        <v>38372.25</v>
      </c>
      <c r="Q27" s="70"/>
    </row>
    <row r="28" spans="1:18" s="62" customFormat="1" ht="14.25" thickBot="1" x14ac:dyDescent="0.35">
      <c r="A28" s="24" t="s">
        <v>198</v>
      </c>
      <c r="B28" s="124">
        <f>SUM(B22:B27)</f>
        <v>0</v>
      </c>
      <c r="C28" s="124">
        <f t="shared" ref="C28:P28" si="3">SUM(C22:C27)</f>
        <v>235202</v>
      </c>
      <c r="D28" s="124">
        <f t="shared" si="3"/>
        <v>0</v>
      </c>
      <c r="E28" s="124">
        <f t="shared" si="3"/>
        <v>0</v>
      </c>
      <c r="F28" s="124">
        <f t="shared" si="3"/>
        <v>0</v>
      </c>
      <c r="G28" s="124">
        <f t="shared" si="3"/>
        <v>0</v>
      </c>
      <c r="H28" s="124">
        <f t="shared" si="3"/>
        <v>0</v>
      </c>
      <c r="I28" s="124">
        <f t="shared" si="3"/>
        <v>0</v>
      </c>
      <c r="J28" s="124">
        <f t="shared" si="3"/>
        <v>0</v>
      </c>
      <c r="K28" s="124">
        <f t="shared" si="3"/>
        <v>0</v>
      </c>
      <c r="L28" s="124">
        <f>SUM(L22:L27)</f>
        <v>0</v>
      </c>
      <c r="M28" s="124">
        <f t="shared" si="3"/>
        <v>0</v>
      </c>
      <c r="N28" s="124">
        <f t="shared" si="3"/>
        <v>0</v>
      </c>
      <c r="O28" s="66">
        <f t="shared" si="2"/>
        <v>11760.1</v>
      </c>
      <c r="P28" s="124">
        <f t="shared" si="3"/>
        <v>246962.1</v>
      </c>
      <c r="Q28" s="123"/>
    </row>
    <row r="29" spans="1:18" ht="14.25" thickBot="1" x14ac:dyDescent="0.35">
      <c r="A29" s="13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66">
        <f t="shared" si="2"/>
        <v>0</v>
      </c>
      <c r="P29" s="66">
        <f t="shared" ref="P29:P34" si="4">SUM(B29:O29)</f>
        <v>0</v>
      </c>
    </row>
    <row r="30" spans="1:18" ht="14.25" thickBot="1" x14ac:dyDescent="0.35">
      <c r="A30" s="14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31">
        <f>[4]Sheet1!$G$16/1000000</f>
        <v>1918.649019</v>
      </c>
      <c r="O30" s="66">
        <f t="shared" si="2"/>
        <v>95.932450950000003</v>
      </c>
      <c r="P30" s="66">
        <f t="shared" si="4"/>
        <v>2014.5814699499999</v>
      </c>
      <c r="R30" s="70"/>
    </row>
    <row r="31" spans="1:18" ht="14.25" thickBot="1" x14ac:dyDescent="0.35">
      <c r="A31" s="14" t="s">
        <v>35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31">
        <f>[4]Sheet2!$G$16/1000000</f>
        <v>1872.682881</v>
      </c>
      <c r="O31" s="66">
        <f t="shared" si="2"/>
        <v>93.634144050000003</v>
      </c>
      <c r="P31" s="66">
        <f t="shared" si="4"/>
        <v>1966.31702505</v>
      </c>
    </row>
    <row r="32" spans="1:18" ht="27.75" thickBot="1" x14ac:dyDescent="0.35">
      <c r="A32" s="14" t="s">
        <v>36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31">
        <f>[4]Sheet3!$G$16/1000000</f>
        <v>1578.914802</v>
      </c>
      <c r="O32" s="66">
        <f t="shared" si="2"/>
        <v>78.945740100000009</v>
      </c>
      <c r="P32" s="66">
        <f t="shared" si="4"/>
        <v>1657.8605421</v>
      </c>
    </row>
    <row r="33" spans="1:17" ht="27.75" thickBot="1" x14ac:dyDescent="0.35">
      <c r="A33" s="14" t="s">
        <v>37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31">
        <f>[4]Sheet4!$G$16/1000000</f>
        <v>136.98336399999999</v>
      </c>
      <c r="O33" s="66">
        <f t="shared" si="2"/>
        <v>6.8491682000000003</v>
      </c>
      <c r="P33" s="66">
        <f t="shared" si="4"/>
        <v>143.8325322</v>
      </c>
    </row>
    <row r="34" spans="1:17" ht="14.25" thickBot="1" x14ac:dyDescent="0.35">
      <c r="A34" s="14" t="s">
        <v>38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31">
        <f>[4]Sheet5!$G$16/1000000</f>
        <v>296519.32686500001</v>
      </c>
      <c r="O34" s="66">
        <f t="shared" si="2"/>
        <v>14825.966343250002</v>
      </c>
      <c r="P34" s="66">
        <f t="shared" si="4"/>
        <v>311345.29320825002</v>
      </c>
      <c r="Q34" s="70"/>
    </row>
    <row r="35" spans="1:17" s="62" customFormat="1" ht="14.25" thickBot="1" x14ac:dyDescent="0.35">
      <c r="A35" s="13" t="s">
        <v>198</v>
      </c>
      <c r="B35" s="126">
        <f>SUM(B30:B34)</f>
        <v>0</v>
      </c>
      <c r="C35" s="126">
        <f t="shared" ref="C35:P35" si="5">SUM(C30:C34)</f>
        <v>0</v>
      </c>
      <c r="D35" s="126">
        <f t="shared" si="5"/>
        <v>0</v>
      </c>
      <c r="E35" s="126">
        <f t="shared" si="5"/>
        <v>0</v>
      </c>
      <c r="F35" s="126">
        <f t="shared" si="5"/>
        <v>0</v>
      </c>
      <c r="G35" s="126">
        <f t="shared" si="5"/>
        <v>0</v>
      </c>
      <c r="H35" s="126">
        <f t="shared" si="5"/>
        <v>0</v>
      </c>
      <c r="I35" s="126">
        <f t="shared" si="5"/>
        <v>0</v>
      </c>
      <c r="J35" s="126">
        <f t="shared" si="5"/>
        <v>0</v>
      </c>
      <c r="K35" s="126">
        <f t="shared" si="5"/>
        <v>0</v>
      </c>
      <c r="L35" s="126">
        <f>SUM(L30:L34)</f>
        <v>0</v>
      </c>
      <c r="M35" s="126">
        <f t="shared" si="5"/>
        <v>0</v>
      </c>
      <c r="N35" s="126">
        <f t="shared" si="5"/>
        <v>302026.55693100003</v>
      </c>
      <c r="O35" s="126">
        <f t="shared" si="5"/>
        <v>15101.327846550003</v>
      </c>
      <c r="P35" s="126">
        <f t="shared" si="5"/>
        <v>317127.88477755</v>
      </c>
      <c r="Q35" s="123"/>
    </row>
    <row r="36" spans="1:17" ht="14.25" thickBot="1" x14ac:dyDescent="0.35">
      <c r="A36" s="24" t="s">
        <v>56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38"/>
      <c r="P36" s="66">
        <f>SUM(B36:O36)</f>
        <v>0</v>
      </c>
    </row>
    <row r="37" spans="1:17" ht="14.25" thickBot="1" x14ac:dyDescent="0.35">
      <c r="A37" s="21" t="s">
        <v>120</v>
      </c>
      <c r="B37" s="45"/>
      <c r="C37" s="40"/>
      <c r="D37" s="40"/>
      <c r="E37" s="40"/>
      <c r="F37" s="51"/>
      <c r="G37" s="40"/>
      <c r="H37" s="40"/>
      <c r="I37" s="40"/>
      <c r="J37" s="40"/>
      <c r="K37" s="40"/>
      <c r="L37" s="40"/>
      <c r="M37" s="40"/>
      <c r="N37" s="40"/>
      <c r="O37" s="38"/>
      <c r="P37" s="66">
        <f>SUM(B37:O37)</f>
        <v>0</v>
      </c>
    </row>
    <row r="38" spans="1:17" ht="14.25" thickBot="1" x14ac:dyDescent="0.35">
      <c r="A38" s="21" t="s">
        <v>99</v>
      </c>
      <c r="B38" s="44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38"/>
      <c r="P38" s="66">
        <f>SUM(B38:O38)</f>
        <v>0</v>
      </c>
    </row>
    <row r="39" spans="1:17" ht="14.25" thickBot="1" x14ac:dyDescent="0.35">
      <c r="A39" s="21" t="s">
        <v>41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38"/>
      <c r="P39" s="66">
        <f>SUM(B39:O39)</f>
        <v>0</v>
      </c>
      <c r="Q39" s="70"/>
    </row>
    <row r="40" spans="1:17" s="62" customFormat="1" ht="14.25" thickBot="1" x14ac:dyDescent="0.35">
      <c r="A40" s="24" t="s">
        <v>198</v>
      </c>
      <c r="B40" s="131">
        <f>SUM(B37:B39)</f>
        <v>0</v>
      </c>
      <c r="C40" s="131">
        <f t="shared" ref="C40:P40" si="6">SUM(C37:C39)</f>
        <v>0</v>
      </c>
      <c r="D40" s="131">
        <f t="shared" si="6"/>
        <v>0</v>
      </c>
      <c r="E40" s="131">
        <f t="shared" si="6"/>
        <v>0</v>
      </c>
      <c r="F40" s="131">
        <f t="shared" si="6"/>
        <v>0</v>
      </c>
      <c r="G40" s="131">
        <f t="shared" si="6"/>
        <v>0</v>
      </c>
      <c r="H40" s="131">
        <f t="shared" si="6"/>
        <v>0</v>
      </c>
      <c r="I40" s="131">
        <f t="shared" si="6"/>
        <v>0</v>
      </c>
      <c r="J40" s="131">
        <f t="shared" si="6"/>
        <v>0</v>
      </c>
      <c r="K40" s="131">
        <f t="shared" si="6"/>
        <v>0</v>
      </c>
      <c r="L40" s="131">
        <f>SUM(L37:L39)</f>
        <v>0</v>
      </c>
      <c r="M40" s="131">
        <f t="shared" si="6"/>
        <v>0</v>
      </c>
      <c r="N40" s="131">
        <f t="shared" si="6"/>
        <v>0</v>
      </c>
      <c r="O40" s="131">
        <f t="shared" si="6"/>
        <v>0</v>
      </c>
      <c r="P40" s="131">
        <f t="shared" si="6"/>
        <v>0</v>
      </c>
      <c r="Q40" s="123"/>
    </row>
    <row r="41" spans="1:17" ht="14.25" thickBot="1" x14ac:dyDescent="0.35">
      <c r="A41" s="24" t="s">
        <v>59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38"/>
      <c r="P41" s="66">
        <f>SUM(B41:O41)</f>
        <v>0</v>
      </c>
    </row>
    <row r="42" spans="1:17" ht="14.25" thickBot="1" x14ac:dyDescent="0.35">
      <c r="A42" s="21" t="s">
        <v>129</v>
      </c>
      <c r="B42" s="45">
        <f>0.05*(B40+B35+B28)</f>
        <v>0</v>
      </c>
      <c r="C42" s="45">
        <f t="shared" ref="C42:O42" si="7">0.05*(C40+C35+C28)</f>
        <v>11760.1</v>
      </c>
      <c r="D42" s="45">
        <f t="shared" si="7"/>
        <v>0</v>
      </c>
      <c r="E42" s="45">
        <f t="shared" si="7"/>
        <v>0</v>
      </c>
      <c r="F42" s="45">
        <f t="shared" si="7"/>
        <v>0</v>
      </c>
      <c r="G42" s="45">
        <f t="shared" si="7"/>
        <v>0</v>
      </c>
      <c r="H42" s="45">
        <f t="shared" si="7"/>
        <v>0</v>
      </c>
      <c r="I42" s="45">
        <f t="shared" si="7"/>
        <v>0</v>
      </c>
      <c r="J42" s="45">
        <f t="shared" si="7"/>
        <v>0</v>
      </c>
      <c r="K42" s="45">
        <f t="shared" si="7"/>
        <v>0</v>
      </c>
      <c r="L42" s="45">
        <f t="shared" si="7"/>
        <v>0</v>
      </c>
      <c r="M42" s="45">
        <f t="shared" si="7"/>
        <v>0</v>
      </c>
      <c r="N42" s="45">
        <f t="shared" si="7"/>
        <v>15101.327846550003</v>
      </c>
      <c r="O42" s="45">
        <f t="shared" si="7"/>
        <v>1343.0713923275002</v>
      </c>
      <c r="P42" s="66">
        <f>SUM(B42:O42)</f>
        <v>28204.499238877503</v>
      </c>
    </row>
    <row r="43" spans="1:17" x14ac:dyDescent="0.3">
      <c r="A43" s="55" t="s">
        <v>126</v>
      </c>
      <c r="B43" s="50">
        <f>SUM(B22:B42)</f>
        <v>0</v>
      </c>
      <c r="C43" s="50">
        <f t="shared" ref="C43:P43" si="8">C42+C40+C35+C28</f>
        <v>246962.1</v>
      </c>
      <c r="D43" s="50">
        <f t="shared" si="8"/>
        <v>0</v>
      </c>
      <c r="E43" s="50">
        <f t="shared" si="8"/>
        <v>0</v>
      </c>
      <c r="F43" s="50">
        <f t="shared" si="8"/>
        <v>0</v>
      </c>
      <c r="G43" s="50">
        <f t="shared" si="8"/>
        <v>0</v>
      </c>
      <c r="H43" s="50">
        <f t="shared" si="8"/>
        <v>0</v>
      </c>
      <c r="I43" s="50">
        <f t="shared" si="8"/>
        <v>0</v>
      </c>
      <c r="J43" s="50">
        <f t="shared" si="8"/>
        <v>0</v>
      </c>
      <c r="K43" s="50">
        <f t="shared" si="8"/>
        <v>0</v>
      </c>
      <c r="L43" s="50">
        <f t="shared" si="8"/>
        <v>0</v>
      </c>
      <c r="M43" s="50">
        <f t="shared" si="8"/>
        <v>0</v>
      </c>
      <c r="N43" s="50">
        <f t="shared" si="8"/>
        <v>317127.88477755</v>
      </c>
      <c r="O43" s="50">
        <f t="shared" si="8"/>
        <v>28204.499238877506</v>
      </c>
      <c r="P43" s="50">
        <f t="shared" si="8"/>
        <v>592294.48401642754</v>
      </c>
    </row>
    <row r="44" spans="1:17" ht="14.25" thickBot="1" x14ac:dyDescent="0.35">
      <c r="P44" s="66"/>
      <c r="Q44" s="67"/>
    </row>
    <row r="45" spans="1:17" ht="41.25" thickBot="1" x14ac:dyDescent="0.35">
      <c r="A45" s="28" t="s">
        <v>172</v>
      </c>
      <c r="B45" s="25" t="s">
        <v>4</v>
      </c>
      <c r="C45" s="25" t="s">
        <v>5</v>
      </c>
      <c r="D45" s="25" t="s">
        <v>45</v>
      </c>
      <c r="E45" s="25" t="s">
        <v>7</v>
      </c>
      <c r="F45" s="25" t="s">
        <v>88</v>
      </c>
      <c r="G45" s="25" t="s">
        <v>9</v>
      </c>
      <c r="H45" s="25" t="s">
        <v>10</v>
      </c>
      <c r="I45" s="25" t="s">
        <v>11</v>
      </c>
      <c r="J45" s="25" t="s">
        <v>12</v>
      </c>
      <c r="K45" s="25" t="s">
        <v>14</v>
      </c>
      <c r="L45" s="3" t="s">
        <v>89</v>
      </c>
      <c r="M45" s="25" t="s">
        <v>222</v>
      </c>
      <c r="N45" s="25" t="s">
        <v>85</v>
      </c>
      <c r="O45" s="25" t="s">
        <v>68</v>
      </c>
      <c r="P45" s="25" t="s">
        <v>2</v>
      </c>
    </row>
    <row r="46" spans="1:17" ht="30.75" customHeight="1" thickBot="1" x14ac:dyDescent="0.35">
      <c r="A46" s="21" t="s">
        <v>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3"/>
      <c r="M46" s="19"/>
      <c r="N46" s="19"/>
      <c r="O46" s="19"/>
      <c r="P46" s="66">
        <f t="shared" ref="P46:P66" si="9">SUM(B46:O46)</f>
        <v>0</v>
      </c>
    </row>
    <row r="47" spans="1:17" ht="15.75" hidden="1" customHeight="1" thickBot="1" x14ac:dyDescent="0.35">
      <c r="A47" s="24" t="s">
        <v>101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41"/>
      <c r="P47" s="66">
        <f t="shared" si="9"/>
        <v>0</v>
      </c>
    </row>
    <row r="48" spans="1:17" ht="15.75" hidden="1" customHeight="1" thickBot="1" x14ac:dyDescent="0.35">
      <c r="A48" s="21" t="s">
        <v>102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41"/>
      <c r="P48" s="66">
        <f t="shared" si="9"/>
        <v>0</v>
      </c>
    </row>
    <row r="49" spans="1:17" ht="15.75" hidden="1" customHeight="1" thickBot="1" x14ac:dyDescent="0.35">
      <c r="A49" s="21" t="s">
        <v>103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41"/>
      <c r="P49" s="66">
        <f t="shared" si="9"/>
        <v>0</v>
      </c>
    </row>
    <row r="50" spans="1:17" ht="15.75" hidden="1" customHeight="1" thickBot="1" x14ac:dyDescent="0.35">
      <c r="A50" s="21" t="s">
        <v>104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41"/>
      <c r="P50" s="66">
        <f t="shared" si="9"/>
        <v>0</v>
      </c>
    </row>
    <row r="51" spans="1:17" ht="15.75" hidden="1" customHeight="1" thickBot="1" x14ac:dyDescent="0.35">
      <c r="A51" s="21" t="s">
        <v>21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41"/>
      <c r="P51" s="66">
        <f t="shared" si="9"/>
        <v>0</v>
      </c>
    </row>
    <row r="52" spans="1:17" ht="15.75" hidden="1" customHeight="1" thickBot="1" x14ac:dyDescent="0.35">
      <c r="A52" s="21" t="s">
        <v>105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41"/>
      <c r="P52" s="66">
        <f t="shared" si="9"/>
        <v>0</v>
      </c>
    </row>
    <row r="53" spans="1:17" ht="15.75" hidden="1" customHeight="1" thickBot="1" x14ac:dyDescent="0.35">
      <c r="A53" s="21" t="s">
        <v>106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41"/>
      <c r="P53" s="66">
        <f t="shared" si="9"/>
        <v>0</v>
      </c>
    </row>
    <row r="54" spans="1:17" ht="15.75" hidden="1" customHeight="1" thickBot="1" x14ac:dyDescent="0.35">
      <c r="A54" s="21" t="s">
        <v>107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41"/>
      <c r="P54" s="66">
        <f t="shared" si="9"/>
        <v>0</v>
      </c>
    </row>
    <row r="55" spans="1:17" ht="15.75" hidden="1" customHeight="1" thickBot="1" x14ac:dyDescent="0.35">
      <c r="A55" s="24" t="s">
        <v>96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41"/>
      <c r="P55" s="66">
        <f t="shared" si="9"/>
        <v>0</v>
      </c>
    </row>
    <row r="56" spans="1:17" ht="15.75" hidden="1" customHeight="1" thickBot="1" x14ac:dyDescent="0.35">
      <c r="A56" s="21" t="s">
        <v>97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41"/>
      <c r="P56" s="66">
        <f t="shared" si="9"/>
        <v>0</v>
      </c>
    </row>
    <row r="57" spans="1:17" ht="15.75" hidden="1" customHeight="1" thickBot="1" x14ac:dyDescent="0.35">
      <c r="A57" s="21" t="s">
        <v>25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41"/>
      <c r="P57" s="66">
        <f t="shared" si="9"/>
        <v>0</v>
      </c>
    </row>
    <row r="58" spans="1:17" ht="15.75" hidden="1" customHeight="1" thickBot="1" x14ac:dyDescent="0.35">
      <c r="A58" s="21" t="s">
        <v>26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41"/>
      <c r="P58" s="66">
        <f t="shared" si="9"/>
        <v>0</v>
      </c>
    </row>
    <row r="59" spans="1:17" ht="15.75" customHeight="1" thickBot="1" x14ac:dyDescent="0.35">
      <c r="A59" s="24" t="s">
        <v>135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38"/>
      <c r="P59" s="66">
        <f t="shared" si="9"/>
        <v>0</v>
      </c>
    </row>
    <row r="60" spans="1:17" ht="14.25" thickBot="1" x14ac:dyDescent="0.35">
      <c r="A60" s="21" t="s">
        <v>137</v>
      </c>
      <c r="B60" s="40"/>
      <c r="C60" s="40"/>
      <c r="D60" s="40"/>
      <c r="E60" s="40"/>
      <c r="F60" s="40"/>
      <c r="G60" s="40"/>
      <c r="H60" s="47"/>
      <c r="I60" s="40"/>
      <c r="J60" s="40"/>
      <c r="K60" s="40"/>
      <c r="L60" s="40"/>
      <c r="M60" s="40"/>
      <c r="N60" s="40"/>
      <c r="O60" s="38"/>
      <c r="P60" s="66">
        <f t="shared" si="9"/>
        <v>0</v>
      </c>
    </row>
    <row r="61" spans="1:17" ht="14.25" thickBot="1" x14ac:dyDescent="0.35">
      <c r="A61" s="24" t="s">
        <v>136</v>
      </c>
      <c r="B61" s="72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38"/>
      <c r="P61" s="66">
        <f t="shared" si="9"/>
        <v>0</v>
      </c>
    </row>
    <row r="62" spans="1:17" ht="14.25" thickBot="1" x14ac:dyDescent="0.35">
      <c r="A62" s="21" t="s">
        <v>20</v>
      </c>
      <c r="B62" s="45"/>
      <c r="C62" s="45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38"/>
      <c r="P62" s="66">
        <f t="shared" si="9"/>
        <v>0</v>
      </c>
      <c r="Q62" s="70"/>
    </row>
    <row r="63" spans="1:17" ht="14.25" thickBot="1" x14ac:dyDescent="0.35">
      <c r="A63" s="14" t="s">
        <v>21</v>
      </c>
      <c r="B63" s="39"/>
      <c r="C63" s="22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41"/>
      <c r="P63" s="66">
        <f t="shared" si="9"/>
        <v>0</v>
      </c>
    </row>
    <row r="64" spans="1:17" ht="14.25" thickBot="1" x14ac:dyDescent="0.35">
      <c r="A64" s="14" t="s">
        <v>193</v>
      </c>
      <c r="B64" s="39"/>
      <c r="C64" s="22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41"/>
      <c r="P64" s="66">
        <f t="shared" si="9"/>
        <v>0</v>
      </c>
    </row>
    <row r="65" spans="1:19" ht="14.25" thickBot="1" x14ac:dyDescent="0.35">
      <c r="A65" s="14" t="s">
        <v>194</v>
      </c>
      <c r="B65" s="39"/>
      <c r="C65" s="22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41"/>
      <c r="P65" s="66">
        <f t="shared" si="9"/>
        <v>0</v>
      </c>
    </row>
    <row r="66" spans="1:19" ht="14.25" thickBot="1" x14ac:dyDescent="0.35">
      <c r="A66" s="14" t="s">
        <v>195</v>
      </c>
      <c r="B66" s="39"/>
      <c r="C66" s="22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41"/>
      <c r="P66" s="66">
        <f t="shared" si="9"/>
        <v>0</v>
      </c>
    </row>
    <row r="67" spans="1:19" ht="14.25" thickBot="1" x14ac:dyDescent="0.35">
      <c r="A67" s="14" t="s">
        <v>196</v>
      </c>
      <c r="B67" s="39"/>
      <c r="C67" s="22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41"/>
      <c r="P67" s="66"/>
    </row>
    <row r="68" spans="1:19" ht="14.25" thickBot="1" x14ac:dyDescent="0.35">
      <c r="A68" s="14" t="s">
        <v>197</v>
      </c>
      <c r="B68" s="39"/>
      <c r="C68" s="22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41"/>
      <c r="P68" s="66"/>
    </row>
    <row r="69" spans="1:19" ht="14.25" thickBot="1" x14ac:dyDescent="0.35">
      <c r="A69" s="24" t="s">
        <v>50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38"/>
      <c r="P69" s="66">
        <f t="shared" ref="P69:P75" si="10">SUM(B69:O69)</f>
        <v>0</v>
      </c>
    </row>
    <row r="70" spans="1:19" ht="14.25" thickBot="1" x14ac:dyDescent="0.35">
      <c r="A70" s="14" t="s">
        <v>29</v>
      </c>
      <c r="B70" s="84"/>
      <c r="C70" s="84"/>
      <c r="D70" s="84"/>
      <c r="E70" s="84"/>
      <c r="F70" s="84"/>
      <c r="G70" s="84"/>
      <c r="H70" s="85">
        <v>37648</v>
      </c>
      <c r="I70" s="84"/>
      <c r="J70" s="84"/>
      <c r="K70" s="84"/>
      <c r="L70" s="85"/>
      <c r="M70" s="84"/>
      <c r="N70" s="84"/>
      <c r="O70" s="86">
        <f>SUM(B70:N70)*0.05</f>
        <v>1882.4</v>
      </c>
      <c r="P70" s="66">
        <f t="shared" si="10"/>
        <v>39530.400000000001</v>
      </c>
    </row>
    <row r="71" spans="1:19" ht="14.25" thickBot="1" x14ac:dyDescent="0.35">
      <c r="A71" s="14" t="s">
        <v>156</v>
      </c>
      <c r="B71" s="84"/>
      <c r="C71" s="84"/>
      <c r="D71" s="84"/>
      <c r="E71" s="84"/>
      <c r="F71" s="85">
        <v>10419</v>
      </c>
      <c r="G71" s="84"/>
      <c r="H71" s="85">
        <v>4758</v>
      </c>
      <c r="I71" s="84"/>
      <c r="J71" s="84"/>
      <c r="K71" s="84"/>
      <c r="L71" s="84"/>
      <c r="M71" s="84"/>
      <c r="N71" s="84"/>
      <c r="O71" s="86">
        <f t="shared" ref="O71:O75" si="11">SUM(B71:N71)*0.05</f>
        <v>758.85</v>
      </c>
      <c r="P71" s="66">
        <f t="shared" si="10"/>
        <v>15935.85</v>
      </c>
    </row>
    <row r="72" spans="1:19" ht="14.25" thickBot="1" x14ac:dyDescent="0.35">
      <c r="A72" s="14" t="s">
        <v>151</v>
      </c>
      <c r="B72" s="84"/>
      <c r="C72" s="84"/>
      <c r="D72" s="84"/>
      <c r="E72" s="84"/>
      <c r="F72" s="85">
        <v>105323</v>
      </c>
      <c r="G72" s="84"/>
      <c r="H72" s="85">
        <v>5794</v>
      </c>
      <c r="I72" s="84"/>
      <c r="J72" s="84"/>
      <c r="K72" s="84"/>
      <c r="L72" s="84"/>
      <c r="M72" s="84"/>
      <c r="N72" s="84"/>
      <c r="O72" s="86">
        <f t="shared" si="11"/>
        <v>5555.85</v>
      </c>
      <c r="P72" s="66">
        <f t="shared" si="10"/>
        <v>116672.85</v>
      </c>
    </row>
    <row r="73" spans="1:19" ht="14.25" thickBot="1" x14ac:dyDescent="0.35">
      <c r="A73" s="14" t="s">
        <v>152</v>
      </c>
      <c r="B73" s="84"/>
      <c r="C73" s="89"/>
      <c r="D73" s="89"/>
      <c r="E73" s="89"/>
      <c r="F73" s="90"/>
      <c r="G73" s="90"/>
      <c r="H73" s="90"/>
      <c r="I73" s="89"/>
      <c r="J73" s="89"/>
      <c r="K73" s="89">
        <f>4884+16041</f>
        <v>20925</v>
      </c>
      <c r="L73" s="90"/>
      <c r="M73" s="89"/>
      <c r="N73" s="90"/>
      <c r="O73" s="86">
        <f t="shared" si="11"/>
        <v>1046.25</v>
      </c>
      <c r="P73" s="66">
        <f t="shared" si="10"/>
        <v>21971.25</v>
      </c>
    </row>
    <row r="74" spans="1:19" ht="14.25" thickBot="1" x14ac:dyDescent="0.35">
      <c r="A74" s="14" t="s">
        <v>153</v>
      </c>
      <c r="B74" s="84"/>
      <c r="C74" s="90"/>
      <c r="D74" s="89"/>
      <c r="E74" s="90"/>
      <c r="F74" s="89"/>
      <c r="G74" s="90">
        <f>11290+2499</f>
        <v>13789</v>
      </c>
      <c r="H74" s="90"/>
      <c r="I74" s="90"/>
      <c r="J74" s="89"/>
      <c r="K74" s="90"/>
      <c r="L74" s="90"/>
      <c r="M74" s="90"/>
      <c r="N74" s="89"/>
      <c r="O74" s="86">
        <f t="shared" si="11"/>
        <v>689.45</v>
      </c>
      <c r="P74" s="66">
        <f t="shared" si="10"/>
        <v>14478.45</v>
      </c>
    </row>
    <row r="75" spans="1:19" ht="14.25" thickBot="1" x14ac:dyDescent="0.35">
      <c r="A75" s="14" t="s">
        <v>154</v>
      </c>
      <c r="B75" s="84"/>
      <c r="C75" s="89"/>
      <c r="D75" s="89"/>
      <c r="E75" s="89"/>
      <c r="F75" s="89"/>
      <c r="G75" s="90"/>
      <c r="H75" s="89"/>
      <c r="I75" s="90">
        <v>36545</v>
      </c>
      <c r="J75" s="89"/>
      <c r="K75" s="90"/>
      <c r="L75" s="90"/>
      <c r="M75" s="90"/>
      <c r="N75" s="89"/>
      <c r="O75" s="86">
        <f t="shared" si="11"/>
        <v>1827.25</v>
      </c>
      <c r="P75" s="66">
        <f t="shared" si="10"/>
        <v>38372.25</v>
      </c>
      <c r="Q75" s="70"/>
    </row>
    <row r="76" spans="1:19" s="62" customFormat="1" ht="14.25" thickBot="1" x14ac:dyDescent="0.35">
      <c r="A76" s="13" t="s">
        <v>198</v>
      </c>
      <c r="B76" s="120">
        <f>SUM(B70:B75)</f>
        <v>0</v>
      </c>
      <c r="C76" s="120">
        <f t="shared" ref="C76:P76" si="12">SUM(C70:C75)</f>
        <v>0</v>
      </c>
      <c r="D76" s="120">
        <f t="shared" si="12"/>
        <v>0</v>
      </c>
      <c r="E76" s="120">
        <f t="shared" si="12"/>
        <v>0</v>
      </c>
      <c r="F76" s="120">
        <f t="shared" si="12"/>
        <v>115742</v>
      </c>
      <c r="G76" s="120">
        <f t="shared" si="12"/>
        <v>13789</v>
      </c>
      <c r="H76" s="120">
        <f t="shared" si="12"/>
        <v>48200</v>
      </c>
      <c r="I76" s="120">
        <f t="shared" si="12"/>
        <v>36545</v>
      </c>
      <c r="J76" s="120">
        <f t="shared" si="12"/>
        <v>0</v>
      </c>
      <c r="K76" s="120">
        <f t="shared" si="12"/>
        <v>20925</v>
      </c>
      <c r="L76" s="120">
        <f>SUM(L70:L75)</f>
        <v>0</v>
      </c>
      <c r="M76" s="120"/>
      <c r="N76" s="120">
        <f t="shared" si="12"/>
        <v>0</v>
      </c>
      <c r="O76" s="120">
        <f t="shared" si="12"/>
        <v>11760.050000000001</v>
      </c>
      <c r="P76" s="120">
        <f t="shared" si="12"/>
        <v>246961.05000000002</v>
      </c>
      <c r="Q76" s="123"/>
      <c r="S76" s="123"/>
    </row>
    <row r="77" spans="1:19" ht="14.25" thickBot="1" x14ac:dyDescent="0.35">
      <c r="A77" s="13" t="s">
        <v>54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9"/>
      <c r="P77" s="66">
        <f t="shared" ref="P77:P89" si="13">SUM(B77:O77)</f>
        <v>0</v>
      </c>
    </row>
    <row r="78" spans="1:19" ht="14.25" thickBot="1" x14ac:dyDescent="0.35">
      <c r="A78" s="14" t="s">
        <v>183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31">
        <f>[5]Sheet2!$G$170/1000000</f>
        <v>3506.3753729999999</v>
      </c>
      <c r="O78" s="157">
        <f>0.05*SUM(B78:N78)</f>
        <v>175.31876865000001</v>
      </c>
      <c r="P78" s="66">
        <f t="shared" si="13"/>
        <v>3681.6941416499999</v>
      </c>
    </row>
    <row r="79" spans="1:19" ht="14.25" thickBot="1" x14ac:dyDescent="0.35">
      <c r="A79" s="14" t="s">
        <v>184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31"/>
      <c r="O79" s="157">
        <f t="shared" ref="O79:O82" si="14">0.05*SUM(B79:N79)</f>
        <v>0</v>
      </c>
      <c r="P79" s="66">
        <f t="shared" si="13"/>
        <v>0</v>
      </c>
    </row>
    <row r="80" spans="1:19" ht="27.75" thickBot="1" x14ac:dyDescent="0.35">
      <c r="A80" s="14" t="s">
        <v>185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31">
        <f>[5]Sheet4!$G$119/1000000</f>
        <v>12.00009</v>
      </c>
      <c r="O80" s="157">
        <f t="shared" si="14"/>
        <v>0.60000450000000005</v>
      </c>
      <c r="P80" s="66">
        <f t="shared" si="13"/>
        <v>12.600094500000001</v>
      </c>
    </row>
    <row r="81" spans="1:18" ht="27.75" thickBot="1" x14ac:dyDescent="0.35">
      <c r="A81" s="14" t="s">
        <v>186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31">
        <f>[5]Sheet5!$G$118/1000000</f>
        <v>48.881799000000001</v>
      </c>
      <c r="O81" s="157">
        <f t="shared" si="14"/>
        <v>2.4440899500000004</v>
      </c>
      <c r="P81" s="66">
        <f t="shared" si="13"/>
        <v>51.32588895</v>
      </c>
    </row>
    <row r="82" spans="1:18" ht="27.75" thickBot="1" x14ac:dyDescent="0.35">
      <c r="A82" s="14" t="s">
        <v>187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31">
        <f>[5]Sheet6!$G$148/1000000</f>
        <v>5304.2744240000002</v>
      </c>
      <c r="O82" s="157">
        <f t="shared" si="14"/>
        <v>265.21372120000001</v>
      </c>
      <c r="P82" s="66">
        <f t="shared" si="13"/>
        <v>5569.4881452</v>
      </c>
      <c r="Q82" s="70"/>
    </row>
    <row r="83" spans="1:18" s="62" customFormat="1" ht="14.25" thickBot="1" x14ac:dyDescent="0.35">
      <c r="A83" s="24" t="s">
        <v>223</v>
      </c>
      <c r="B83" s="131">
        <f>SUM(B78:B82)</f>
        <v>0</v>
      </c>
      <c r="C83" s="131">
        <f t="shared" ref="C83:O83" si="15">SUM(C78:C82)</f>
        <v>0</v>
      </c>
      <c r="D83" s="131">
        <f t="shared" si="15"/>
        <v>0</v>
      </c>
      <c r="E83" s="131">
        <f t="shared" si="15"/>
        <v>0</v>
      </c>
      <c r="F83" s="131">
        <f t="shared" si="15"/>
        <v>0</v>
      </c>
      <c r="G83" s="131">
        <f t="shared" si="15"/>
        <v>0</v>
      </c>
      <c r="H83" s="131">
        <f t="shared" si="15"/>
        <v>0</v>
      </c>
      <c r="I83" s="131">
        <f t="shared" si="15"/>
        <v>0</v>
      </c>
      <c r="J83" s="131">
        <f t="shared" si="15"/>
        <v>0</v>
      </c>
      <c r="K83" s="131">
        <f t="shared" si="15"/>
        <v>0</v>
      </c>
      <c r="L83" s="131">
        <f>SUM(L78:L82)</f>
        <v>0</v>
      </c>
      <c r="M83" s="131">
        <f>N35-N83-R84</f>
        <v>293155.02524500003</v>
      </c>
      <c r="N83" s="131">
        <f t="shared" si="15"/>
        <v>8871.5316860000003</v>
      </c>
      <c r="O83" s="131">
        <f t="shared" si="15"/>
        <v>443.57658430000004</v>
      </c>
      <c r="P83" s="131">
        <f t="shared" si="13"/>
        <v>302470.13351530005</v>
      </c>
    </row>
    <row r="84" spans="1:18" ht="14.25" thickBot="1" x14ac:dyDescent="0.35">
      <c r="A84" s="24" t="s">
        <v>56</v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38"/>
      <c r="P84" s="131">
        <f t="shared" si="13"/>
        <v>0</v>
      </c>
    </row>
    <row r="85" spans="1:18" ht="14.25" thickBot="1" x14ac:dyDescent="0.35">
      <c r="A85" s="21" t="s">
        <v>40</v>
      </c>
      <c r="B85" s="40"/>
      <c r="C85" s="40"/>
      <c r="D85" s="40"/>
      <c r="E85" s="40"/>
      <c r="F85" s="45"/>
      <c r="G85" s="45"/>
      <c r="H85" s="40"/>
      <c r="I85" s="40"/>
      <c r="J85" s="40"/>
      <c r="K85" s="40"/>
      <c r="L85" s="40"/>
      <c r="M85" s="40"/>
      <c r="N85" s="40"/>
      <c r="O85" s="38"/>
      <c r="P85" s="131">
        <f t="shared" si="13"/>
        <v>0</v>
      </c>
    </row>
    <row r="86" spans="1:18" ht="14.25" thickBot="1" x14ac:dyDescent="0.35">
      <c r="A86" s="21" t="s">
        <v>99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7"/>
      <c r="O86" s="38"/>
      <c r="P86" s="131">
        <f t="shared" si="13"/>
        <v>0</v>
      </c>
    </row>
    <row r="87" spans="1:18" ht="14.25" thickBot="1" x14ac:dyDescent="0.35">
      <c r="A87" s="21" t="s">
        <v>41</v>
      </c>
      <c r="B87" s="40"/>
      <c r="C87" s="40"/>
      <c r="D87" s="40"/>
      <c r="E87" s="40"/>
      <c r="F87" s="69"/>
      <c r="G87" s="40"/>
      <c r="H87" s="40"/>
      <c r="I87" s="40"/>
      <c r="J87" s="40"/>
      <c r="K87" s="40"/>
      <c r="L87" s="40"/>
      <c r="M87" s="40"/>
      <c r="N87" s="45"/>
      <c r="O87" s="38"/>
      <c r="P87" s="131">
        <f t="shared" si="13"/>
        <v>0</v>
      </c>
      <c r="R87" s="70"/>
    </row>
    <row r="88" spans="1:18" s="62" customFormat="1" ht="14.25" thickBot="1" x14ac:dyDescent="0.35">
      <c r="A88" s="125" t="s">
        <v>198</v>
      </c>
      <c r="B88" s="131">
        <f>SUM(B85:B87)</f>
        <v>0</v>
      </c>
      <c r="C88" s="131">
        <f t="shared" ref="C88:O88" si="16">SUM(C85:C87)</f>
        <v>0</v>
      </c>
      <c r="D88" s="131">
        <f t="shared" si="16"/>
        <v>0</v>
      </c>
      <c r="E88" s="131">
        <f t="shared" si="16"/>
        <v>0</v>
      </c>
      <c r="F88" s="131">
        <f t="shared" si="16"/>
        <v>0</v>
      </c>
      <c r="G88" s="131">
        <f t="shared" si="16"/>
        <v>0</v>
      </c>
      <c r="H88" s="131">
        <f t="shared" si="16"/>
        <v>0</v>
      </c>
      <c r="I88" s="131">
        <f t="shared" si="16"/>
        <v>0</v>
      </c>
      <c r="J88" s="131">
        <f t="shared" si="16"/>
        <v>0</v>
      </c>
      <c r="K88" s="131">
        <f t="shared" si="16"/>
        <v>0</v>
      </c>
      <c r="L88" s="131">
        <f>SUM(L85:L87)</f>
        <v>0</v>
      </c>
      <c r="M88" s="131">
        <f t="shared" si="16"/>
        <v>0</v>
      </c>
      <c r="N88" s="131">
        <f t="shared" si="16"/>
        <v>0</v>
      </c>
      <c r="O88" s="131">
        <f t="shared" si="16"/>
        <v>0</v>
      </c>
      <c r="P88" s="131">
        <f t="shared" si="13"/>
        <v>0</v>
      </c>
      <c r="Q88" s="123"/>
    </row>
    <row r="89" spans="1:18" ht="14.25" thickBot="1" x14ac:dyDescent="0.35">
      <c r="A89" s="24" t="s">
        <v>59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38"/>
      <c r="P89" s="131">
        <f t="shared" si="13"/>
        <v>0</v>
      </c>
      <c r="R89" s="70"/>
    </row>
    <row r="90" spans="1:18" ht="14.25" thickBot="1" x14ac:dyDescent="0.35">
      <c r="A90" s="21" t="s">
        <v>80</v>
      </c>
      <c r="B90" s="69">
        <f>0.05*SUM(B76:B89)</f>
        <v>0</v>
      </c>
      <c r="C90" s="69">
        <f t="shared" ref="C90:O90" si="17">0.05*SUM(C76:C89)</f>
        <v>0</v>
      </c>
      <c r="D90" s="69">
        <f t="shared" si="17"/>
        <v>0</v>
      </c>
      <c r="E90" s="69">
        <f t="shared" si="17"/>
        <v>0</v>
      </c>
      <c r="F90" s="69">
        <f t="shared" si="17"/>
        <v>5787.1</v>
      </c>
      <c r="G90" s="69">
        <f t="shared" si="17"/>
        <v>689.45</v>
      </c>
      <c r="H90" s="69">
        <f t="shared" si="17"/>
        <v>2410</v>
      </c>
      <c r="I90" s="69">
        <f t="shared" si="17"/>
        <v>1827.25</v>
      </c>
      <c r="J90" s="69">
        <f t="shared" si="17"/>
        <v>0</v>
      </c>
      <c r="K90" s="69">
        <f t="shared" si="17"/>
        <v>1046.25</v>
      </c>
      <c r="L90" s="69">
        <f t="shared" si="17"/>
        <v>0</v>
      </c>
      <c r="M90" s="69">
        <f>0.05*SUM(M76:M89)+14926</f>
        <v>29583.75126225</v>
      </c>
      <c r="N90" s="69">
        <f t="shared" si="17"/>
        <v>887.15316860000007</v>
      </c>
      <c r="O90" s="69">
        <f t="shared" si="17"/>
        <v>632.36015843000018</v>
      </c>
      <c r="P90" s="69">
        <f>SUM(B90:O90)</f>
        <v>42863.314589279995</v>
      </c>
    </row>
    <row r="91" spans="1:18" ht="14.25" thickBot="1" x14ac:dyDescent="0.35">
      <c r="A91" s="52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38"/>
      <c r="P91" s="66"/>
      <c r="R91" s="45"/>
    </row>
    <row r="92" spans="1:18" ht="14.25" thickBot="1" x14ac:dyDescent="0.35">
      <c r="A92" s="52" t="s">
        <v>127</v>
      </c>
      <c r="B92" s="50">
        <f>B90+B88+B83+B76</f>
        <v>0</v>
      </c>
      <c r="C92" s="50">
        <f t="shared" ref="C92:P92" si="18">C90+C88+C83+C76</f>
        <v>0</v>
      </c>
      <c r="D92" s="50">
        <f t="shared" si="18"/>
        <v>0</v>
      </c>
      <c r="E92" s="50">
        <f t="shared" si="18"/>
        <v>0</v>
      </c>
      <c r="F92" s="50">
        <f t="shared" si="18"/>
        <v>121529.1</v>
      </c>
      <c r="G92" s="50">
        <f t="shared" si="18"/>
        <v>14478.45</v>
      </c>
      <c r="H92" s="50">
        <f t="shared" si="18"/>
        <v>50610</v>
      </c>
      <c r="I92" s="50">
        <f t="shared" si="18"/>
        <v>38372.25</v>
      </c>
      <c r="J92" s="50">
        <f t="shared" si="18"/>
        <v>0</v>
      </c>
      <c r="K92" s="50">
        <f t="shared" si="18"/>
        <v>21971.25</v>
      </c>
      <c r="L92" s="50">
        <f t="shared" si="18"/>
        <v>0</v>
      </c>
      <c r="M92" s="50">
        <f>R91+M88+M83+M76</f>
        <v>293155.02524500003</v>
      </c>
      <c r="N92" s="50">
        <f t="shared" si="18"/>
        <v>9758.6848546000001</v>
      </c>
      <c r="O92" s="50">
        <f t="shared" si="18"/>
        <v>12835.986742730001</v>
      </c>
      <c r="P92" s="50">
        <f t="shared" si="18"/>
        <v>592294.4981045801</v>
      </c>
      <c r="R92" s="70">
        <f>P43-P92</f>
        <v>-1.4088152558542788E-2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87"/>
  <sheetViews>
    <sheetView zoomScaleNormal="100" workbookViewId="0">
      <selection activeCell="O36" sqref="O36"/>
    </sheetView>
  </sheetViews>
  <sheetFormatPr defaultColWidth="9.140625" defaultRowHeight="13.5" x14ac:dyDescent="0.3"/>
  <cols>
    <col min="1" max="1" width="42.28515625" style="42" customWidth="1"/>
    <col min="2" max="2" width="12.5703125" style="5" bestFit="1" customWidth="1"/>
    <col min="3" max="3" width="11" style="5" bestFit="1" customWidth="1"/>
    <col min="4" max="5" width="9.5703125" style="5" bestFit="1" customWidth="1"/>
    <col min="6" max="6" width="10.85546875" style="5" bestFit="1" customWidth="1"/>
    <col min="7" max="8" width="9.85546875" style="5" bestFit="1" customWidth="1"/>
    <col min="9" max="11" width="9.5703125" style="5" bestFit="1" customWidth="1"/>
    <col min="12" max="12" width="9.85546875" style="5" bestFit="1" customWidth="1"/>
    <col min="13" max="13" width="9.42578125" style="5" customWidth="1"/>
    <col min="14" max="14" width="12.5703125" style="5" bestFit="1" customWidth="1"/>
    <col min="15" max="15" width="10.7109375" style="5" bestFit="1" customWidth="1"/>
    <col min="16" max="16" width="11.28515625" style="5" customWidth="1"/>
    <col min="17" max="16384" width="9.140625" style="5"/>
  </cols>
  <sheetData>
    <row r="1" spans="1:16" ht="14.25" thickBot="1" x14ac:dyDescent="0.35">
      <c r="A1" s="36" t="s">
        <v>147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43"/>
      <c r="P1" s="43"/>
    </row>
    <row r="2" spans="1:16" ht="41.25" thickBot="1" x14ac:dyDescent="0.35">
      <c r="A2" s="24" t="s">
        <v>3</v>
      </c>
      <c r="B2" s="32" t="s">
        <v>4</v>
      </c>
      <c r="C2" s="32" t="s">
        <v>5</v>
      </c>
      <c r="D2" s="32" t="s">
        <v>45</v>
      </c>
      <c r="E2" s="32" t="s">
        <v>7</v>
      </c>
      <c r="F2" s="32" t="s">
        <v>88</v>
      </c>
      <c r="G2" s="32" t="s">
        <v>9</v>
      </c>
      <c r="H2" s="32" t="s">
        <v>10</v>
      </c>
      <c r="I2" s="32" t="s">
        <v>11</v>
      </c>
      <c r="J2" s="32" t="s">
        <v>12</v>
      </c>
      <c r="K2" s="25" t="s">
        <v>14</v>
      </c>
      <c r="L2" s="3" t="s">
        <v>89</v>
      </c>
      <c r="M2" s="25" t="s">
        <v>221</v>
      </c>
      <c r="N2" s="25" t="s">
        <v>67</v>
      </c>
      <c r="O2" s="25" t="s">
        <v>68</v>
      </c>
      <c r="P2" s="25" t="s">
        <v>2</v>
      </c>
    </row>
    <row r="3" spans="1:16" ht="14.25" thickBot="1" x14ac:dyDescent="0.35">
      <c r="A3" s="24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66">
        <f t="shared" ref="P3:P9" si="0">SUM(B3:O3)</f>
        <v>0</v>
      </c>
    </row>
    <row r="4" spans="1:16" ht="14.25" thickBot="1" x14ac:dyDescent="0.35">
      <c r="A4" s="21" t="s">
        <v>91</v>
      </c>
      <c r="B4" s="39"/>
      <c r="C4" s="22">
        <f>Sheet2!C5</f>
        <v>505.71428571428572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1"/>
      <c r="P4" s="66">
        <f t="shared" si="0"/>
        <v>505.71428571428572</v>
      </c>
    </row>
    <row r="5" spans="1:16" ht="14.25" thickBot="1" x14ac:dyDescent="0.35">
      <c r="A5" s="21" t="s">
        <v>92</v>
      </c>
      <c r="B5" s="39"/>
      <c r="C5" s="22">
        <f>Sheet2!C6</f>
        <v>3640000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1"/>
      <c r="P5" s="66">
        <f t="shared" si="0"/>
        <v>3640000</v>
      </c>
    </row>
    <row r="6" spans="1:16" ht="14.25" thickBot="1" x14ac:dyDescent="0.35">
      <c r="A6" s="14" t="s">
        <v>21</v>
      </c>
      <c r="B6" s="39"/>
      <c r="C6" s="22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41"/>
      <c r="P6" s="66">
        <f t="shared" si="0"/>
        <v>0</v>
      </c>
    </row>
    <row r="7" spans="1:16" ht="14.25" thickBot="1" x14ac:dyDescent="0.35">
      <c r="A7" s="14" t="s">
        <v>193</v>
      </c>
      <c r="B7" s="39"/>
      <c r="C7" s="22">
        <f>[2]Sheet2!$U$23</f>
        <v>168002.984274605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1"/>
      <c r="P7" s="66">
        <f t="shared" si="0"/>
        <v>168002.984274605</v>
      </c>
    </row>
    <row r="8" spans="1:16" ht="14.25" thickBot="1" x14ac:dyDescent="0.35">
      <c r="A8" s="14" t="s">
        <v>194</v>
      </c>
      <c r="B8" s="39"/>
      <c r="C8" s="22">
        <f>[2]Sheet2!$V$23</f>
        <v>407837.7650982081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1"/>
      <c r="P8" s="66">
        <f t="shared" si="0"/>
        <v>407837.7650982081</v>
      </c>
    </row>
    <row r="9" spans="1:16" ht="14.25" thickBot="1" x14ac:dyDescent="0.35">
      <c r="A9" s="14" t="s">
        <v>195</v>
      </c>
      <c r="B9" s="39"/>
      <c r="C9" s="22">
        <f>[2]Sheet2!$X$23</f>
        <v>1545470.6209171987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41"/>
      <c r="P9" s="66">
        <f t="shared" si="0"/>
        <v>1545470.6209171987</v>
      </c>
    </row>
    <row r="10" spans="1:16" ht="14.25" thickBot="1" x14ac:dyDescent="0.35">
      <c r="A10" s="14" t="s">
        <v>196</v>
      </c>
      <c r="B10" s="39"/>
      <c r="C10" s="22">
        <f>[2]Sheet2!$Y$23</f>
        <v>99431.642107142092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1"/>
      <c r="P10" s="66"/>
    </row>
    <row r="11" spans="1:16" ht="14.25" thickBot="1" x14ac:dyDescent="0.35">
      <c r="A11" s="14" t="s">
        <v>197</v>
      </c>
      <c r="B11" s="39"/>
      <c r="C11" s="22">
        <f>[2]Sheet2!$Z$23</f>
        <v>254494.66026463482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1"/>
      <c r="P11" s="66"/>
    </row>
    <row r="12" spans="1:16" ht="14.25" thickBot="1" x14ac:dyDescent="0.35">
      <c r="A12" s="14" t="s">
        <v>225</v>
      </c>
      <c r="B12" s="39"/>
      <c r="C12" s="22">
        <f>SUM(C7:C11)</f>
        <v>2475237.6726617892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41"/>
      <c r="P12" s="66"/>
    </row>
    <row r="13" spans="1:16" ht="14.25" thickBot="1" x14ac:dyDescent="0.35">
      <c r="A13" s="14" t="s">
        <v>236</v>
      </c>
      <c r="B13" s="39"/>
      <c r="C13" s="22">
        <f>'PSUT 2010'!C15*[2]Sheet2!$AH$11/1000</f>
        <v>0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1"/>
      <c r="P13" s="66"/>
    </row>
    <row r="14" spans="1:16" ht="14.25" thickBot="1" x14ac:dyDescent="0.35">
      <c r="A14" s="24" t="s">
        <v>96</v>
      </c>
      <c r="B14" s="39"/>
      <c r="C14" s="47">
        <f>C13+C12</f>
        <v>2475237.6726617892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1"/>
      <c r="P14" s="66">
        <f>SUM(B14:O14)</f>
        <v>2475237.6726617892</v>
      </c>
    </row>
    <row r="15" spans="1:16" ht="14.25" thickBot="1" x14ac:dyDescent="0.35">
      <c r="A15" s="21" t="s">
        <v>97</v>
      </c>
      <c r="B15" s="39"/>
      <c r="C15" s="40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1"/>
      <c r="P15" s="66">
        <f>SUM(B15:O15)</f>
        <v>0</v>
      </c>
    </row>
    <row r="16" spans="1:16" ht="14.25" thickBot="1" x14ac:dyDescent="0.35">
      <c r="A16" s="21" t="s">
        <v>25</v>
      </c>
      <c r="B16" s="39"/>
      <c r="C16" s="40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1"/>
      <c r="P16" s="66">
        <f>SUM(B16:O16)</f>
        <v>0</v>
      </c>
    </row>
    <row r="17" spans="1:18" ht="14.25" thickBot="1" x14ac:dyDescent="0.35">
      <c r="A17" s="21" t="s">
        <v>26</v>
      </c>
      <c r="B17" s="39"/>
      <c r="C17" s="40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1"/>
      <c r="P17" s="66">
        <f>SUM(B17:O17)</f>
        <v>0</v>
      </c>
    </row>
    <row r="18" spans="1:18" ht="14.25" thickBot="1" x14ac:dyDescent="0.35">
      <c r="A18" s="21" t="s">
        <v>27</v>
      </c>
      <c r="B18" s="39"/>
      <c r="C18" s="40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1"/>
      <c r="P18" s="66">
        <f>SUM(B18:O18)</f>
        <v>0</v>
      </c>
    </row>
    <row r="19" spans="1:18" s="62" customFormat="1" ht="14.25" thickBot="1" x14ac:dyDescent="0.35">
      <c r="A19" s="24" t="s">
        <v>198</v>
      </c>
      <c r="B19" s="124">
        <f>SUM(B4:B18)</f>
        <v>0</v>
      </c>
      <c r="C19" s="124">
        <f t="shared" ref="C19:P19" si="1">SUM(C4:C18)</f>
        <v>11066218.732271081</v>
      </c>
      <c r="D19" s="124">
        <f t="shared" si="1"/>
        <v>0</v>
      </c>
      <c r="E19" s="124">
        <f t="shared" si="1"/>
        <v>0</v>
      </c>
      <c r="F19" s="124">
        <f t="shared" si="1"/>
        <v>0</v>
      </c>
      <c r="G19" s="124">
        <f t="shared" si="1"/>
        <v>0</v>
      </c>
      <c r="H19" s="124">
        <f t="shared" si="1"/>
        <v>0</v>
      </c>
      <c r="I19" s="124">
        <f t="shared" si="1"/>
        <v>0</v>
      </c>
      <c r="J19" s="124">
        <f t="shared" si="1"/>
        <v>0</v>
      </c>
      <c r="K19" s="124">
        <f t="shared" si="1"/>
        <v>0</v>
      </c>
      <c r="L19" s="124">
        <f>SUM(L4:L18)</f>
        <v>0</v>
      </c>
      <c r="M19" s="124">
        <f t="shared" si="1"/>
        <v>0</v>
      </c>
      <c r="N19" s="124">
        <f t="shared" si="1"/>
        <v>0</v>
      </c>
      <c r="O19" s="124">
        <f t="shared" si="1"/>
        <v>0</v>
      </c>
      <c r="P19" s="124">
        <f t="shared" si="1"/>
        <v>8237054.7572375145</v>
      </c>
    </row>
    <row r="20" spans="1:18" s="79" customFormat="1" ht="14.25" thickBot="1" x14ac:dyDescent="0.35">
      <c r="A20" s="76" t="s">
        <v>157</v>
      </c>
      <c r="B20" s="40"/>
      <c r="C20" s="81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66"/>
      <c r="P20" s="66"/>
    </row>
    <row r="21" spans="1:18" ht="14.25" thickBot="1" x14ac:dyDescent="0.35">
      <c r="A21" s="21" t="s">
        <v>155</v>
      </c>
      <c r="B21" s="40"/>
      <c r="C21" s="83">
        <v>132677</v>
      </c>
      <c r="D21" s="18"/>
      <c r="E21" s="18"/>
      <c r="F21" s="18"/>
      <c r="G21" s="18"/>
      <c r="H21" s="40"/>
      <c r="I21" s="40"/>
      <c r="J21" s="40"/>
      <c r="K21" s="18"/>
      <c r="L21" s="18"/>
      <c r="M21" s="18"/>
      <c r="N21" s="22"/>
      <c r="O21" s="66">
        <f t="shared" ref="O21:O26" si="2">0.05*SUM(B21:N21)</f>
        <v>6633.85</v>
      </c>
      <c r="P21" s="66">
        <f t="shared" ref="P21:P26" si="3">SUM(B21:O21)</f>
        <v>139310.85</v>
      </c>
    </row>
    <row r="22" spans="1:18" ht="14.25" thickBot="1" x14ac:dyDescent="0.35">
      <c r="A22" s="21" t="s">
        <v>156</v>
      </c>
      <c r="B22" s="40"/>
      <c r="C22" s="83">
        <v>41438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66">
        <f t="shared" si="2"/>
        <v>2071.9</v>
      </c>
      <c r="P22" s="66">
        <f t="shared" si="3"/>
        <v>43509.9</v>
      </c>
    </row>
    <row r="23" spans="1:18" ht="14.25" thickBot="1" x14ac:dyDescent="0.35">
      <c r="A23" s="21" t="s">
        <v>151</v>
      </c>
      <c r="B23" s="40"/>
      <c r="C23" s="83">
        <v>128916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66">
        <f t="shared" si="2"/>
        <v>6445.8</v>
      </c>
      <c r="P23" s="66">
        <f t="shared" si="3"/>
        <v>135361.79999999999</v>
      </c>
    </row>
    <row r="24" spans="1:18" ht="14.25" thickBot="1" x14ac:dyDescent="0.35">
      <c r="A24" s="21" t="s">
        <v>152</v>
      </c>
      <c r="B24" s="40"/>
      <c r="C24" s="83">
        <v>25228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66">
        <f t="shared" si="2"/>
        <v>1261.4000000000001</v>
      </c>
      <c r="P24" s="66">
        <f t="shared" si="3"/>
        <v>26489.4</v>
      </c>
    </row>
    <row r="25" spans="1:18" ht="14.25" thickBot="1" x14ac:dyDescent="0.35">
      <c r="A25" s="21" t="s">
        <v>153</v>
      </c>
      <c r="B25" s="40"/>
      <c r="C25" s="83">
        <v>20130</v>
      </c>
      <c r="D25" s="18"/>
      <c r="E25" s="18"/>
      <c r="F25" s="18"/>
      <c r="G25" s="18"/>
      <c r="H25" s="40"/>
      <c r="I25" s="40"/>
      <c r="J25" s="40"/>
      <c r="K25" s="18"/>
      <c r="L25" s="18"/>
      <c r="M25" s="18"/>
      <c r="N25" s="18"/>
      <c r="O25" s="66">
        <f t="shared" si="2"/>
        <v>1006.5</v>
      </c>
      <c r="P25" s="66">
        <f t="shared" si="3"/>
        <v>21136.5</v>
      </c>
    </row>
    <row r="26" spans="1:18" ht="14.25" thickBot="1" x14ac:dyDescent="0.35">
      <c r="A26" s="21" t="s">
        <v>154</v>
      </c>
      <c r="B26" s="40"/>
      <c r="C26" s="83">
        <v>51210</v>
      </c>
      <c r="D26" s="18"/>
      <c r="E26" s="18"/>
      <c r="F26" s="18"/>
      <c r="G26" s="18"/>
      <c r="H26" s="40"/>
      <c r="I26" s="40"/>
      <c r="J26" s="40"/>
      <c r="K26" s="18"/>
      <c r="L26" s="18"/>
      <c r="M26" s="18"/>
      <c r="N26" s="18"/>
      <c r="O26" s="66">
        <f t="shared" si="2"/>
        <v>2560.5</v>
      </c>
      <c r="P26" s="66">
        <f t="shared" si="3"/>
        <v>53770.5</v>
      </c>
      <c r="Q26" s="70"/>
    </row>
    <row r="27" spans="1:18" s="62" customFormat="1" ht="14.25" thickBot="1" x14ac:dyDescent="0.35">
      <c r="A27" s="24" t="s">
        <v>198</v>
      </c>
      <c r="B27" s="124">
        <f>SUM(B20:B26)</f>
        <v>0</v>
      </c>
      <c r="C27" s="124">
        <f t="shared" ref="C27:P27" si="4">SUM(C20:C26)</f>
        <v>399599</v>
      </c>
      <c r="D27" s="124">
        <f t="shared" si="4"/>
        <v>0</v>
      </c>
      <c r="E27" s="124">
        <f t="shared" si="4"/>
        <v>0</v>
      </c>
      <c r="F27" s="124">
        <f t="shared" si="4"/>
        <v>0</v>
      </c>
      <c r="G27" s="124">
        <f t="shared" si="4"/>
        <v>0</v>
      </c>
      <c r="H27" s="124">
        <f t="shared" si="4"/>
        <v>0</v>
      </c>
      <c r="I27" s="124">
        <f t="shared" si="4"/>
        <v>0</v>
      </c>
      <c r="J27" s="124">
        <f t="shared" si="4"/>
        <v>0</v>
      </c>
      <c r="K27" s="124">
        <f t="shared" si="4"/>
        <v>0</v>
      </c>
      <c r="L27" s="124">
        <f>SUM(L20:L26)</f>
        <v>0</v>
      </c>
      <c r="M27" s="124">
        <f t="shared" si="4"/>
        <v>0</v>
      </c>
      <c r="N27" s="124">
        <f t="shared" si="4"/>
        <v>0</v>
      </c>
      <c r="O27" s="124">
        <f t="shared" si="4"/>
        <v>19979.95</v>
      </c>
      <c r="P27" s="124">
        <f t="shared" si="4"/>
        <v>419578.95</v>
      </c>
      <c r="Q27" s="123"/>
    </row>
    <row r="28" spans="1:18" ht="14.25" thickBot="1" x14ac:dyDescent="0.35">
      <c r="A28" s="13" t="s">
        <v>54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66">
        <f t="shared" ref="O28:O33" si="5">0.05*SUM(B28:N28)</f>
        <v>0</v>
      </c>
      <c r="P28" s="66">
        <f t="shared" ref="P28:P33" si="6">SUM(B28:O28)</f>
        <v>0</v>
      </c>
    </row>
    <row r="29" spans="1:18" ht="14.25" thickBot="1" x14ac:dyDescent="0.35">
      <c r="A29" s="14" t="s">
        <v>55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31">
        <f>5129245/1000</f>
        <v>5129.2449999999999</v>
      </c>
      <c r="O29" s="66">
        <f t="shared" si="5"/>
        <v>256.46224999999998</v>
      </c>
      <c r="P29" s="66">
        <f t="shared" si="6"/>
        <v>5385.7072499999995</v>
      </c>
      <c r="R29" s="70"/>
    </row>
    <row r="30" spans="1:18" ht="14.25" thickBot="1" x14ac:dyDescent="0.35">
      <c r="A30" s="14" t="s">
        <v>35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31">
        <f>61472392/1000</f>
        <v>61472.392</v>
      </c>
      <c r="O30" s="66">
        <f t="shared" si="5"/>
        <v>3073.6196</v>
      </c>
      <c r="P30" s="66">
        <f t="shared" si="6"/>
        <v>64546.011599999998</v>
      </c>
    </row>
    <row r="31" spans="1:18" ht="27.75" thickBot="1" x14ac:dyDescent="0.35">
      <c r="A31" s="14" t="s">
        <v>36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31">
        <f>28958069/1000</f>
        <v>28958.069</v>
      </c>
      <c r="O31" s="66">
        <f t="shared" si="5"/>
        <v>1447.90345</v>
      </c>
      <c r="P31" s="66">
        <f t="shared" si="6"/>
        <v>30405.972450000001</v>
      </c>
    </row>
    <row r="32" spans="1:18" ht="27.75" thickBot="1" x14ac:dyDescent="0.35">
      <c r="A32" s="14" t="s">
        <v>37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31">
        <f>38806461/1000</f>
        <v>38806.461000000003</v>
      </c>
      <c r="O32" s="66">
        <f t="shared" si="5"/>
        <v>1940.3230500000002</v>
      </c>
      <c r="P32" s="66">
        <f t="shared" si="6"/>
        <v>40746.784050000002</v>
      </c>
    </row>
    <row r="33" spans="1:17" ht="14.25" thickBot="1" x14ac:dyDescent="0.35">
      <c r="A33" s="14" t="s">
        <v>38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31">
        <f>192766264/1000</f>
        <v>192766.264</v>
      </c>
      <c r="O33" s="66">
        <f t="shared" si="5"/>
        <v>9638.3132000000005</v>
      </c>
      <c r="P33" s="66">
        <f t="shared" si="6"/>
        <v>202404.5772</v>
      </c>
      <c r="Q33" s="70"/>
    </row>
    <row r="34" spans="1:17" s="62" customFormat="1" ht="14.25" thickBot="1" x14ac:dyDescent="0.35">
      <c r="A34" s="13" t="s">
        <v>198</v>
      </c>
      <c r="B34" s="126">
        <f>SUM(B29:B33)</f>
        <v>0</v>
      </c>
      <c r="C34" s="126">
        <f t="shared" ref="C34:P34" si="7">SUM(C29:C33)</f>
        <v>0</v>
      </c>
      <c r="D34" s="126">
        <f t="shared" si="7"/>
        <v>0</v>
      </c>
      <c r="E34" s="126">
        <f t="shared" si="7"/>
        <v>0</v>
      </c>
      <c r="F34" s="126">
        <f t="shared" si="7"/>
        <v>0</v>
      </c>
      <c r="G34" s="126">
        <f t="shared" si="7"/>
        <v>0</v>
      </c>
      <c r="H34" s="126">
        <f t="shared" si="7"/>
        <v>0</v>
      </c>
      <c r="I34" s="126">
        <f t="shared" si="7"/>
        <v>0</v>
      </c>
      <c r="J34" s="126">
        <f t="shared" si="7"/>
        <v>0</v>
      </c>
      <c r="K34" s="126">
        <f t="shared" si="7"/>
        <v>0</v>
      </c>
      <c r="L34" s="126">
        <f>SUM(L29:L33)</f>
        <v>0</v>
      </c>
      <c r="M34" s="126">
        <f t="shared" si="7"/>
        <v>0</v>
      </c>
      <c r="N34" s="126">
        <f t="shared" si="7"/>
        <v>327132.43099999998</v>
      </c>
      <c r="O34" s="126">
        <f t="shared" si="7"/>
        <v>16356.62155</v>
      </c>
      <c r="P34" s="126">
        <f t="shared" si="7"/>
        <v>343489.05255000002</v>
      </c>
      <c r="Q34" s="123"/>
    </row>
    <row r="35" spans="1:17" ht="14.25" thickBot="1" x14ac:dyDescent="0.35">
      <c r="A35" s="24" t="s">
        <v>56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66">
        <f>0.05*SUM(B35:N35)</f>
        <v>0</v>
      </c>
      <c r="P35" s="66">
        <f>SUM(B35:O35)</f>
        <v>0</v>
      </c>
    </row>
    <row r="36" spans="1:17" ht="14.25" thickBot="1" x14ac:dyDescent="0.35">
      <c r="A36" s="21" t="s">
        <v>120</v>
      </c>
      <c r="B36" s="45">
        <f>[6]Sheet1!$Y$14*3700/1000000</f>
        <v>14553.436994999998</v>
      </c>
      <c r="C36" s="40"/>
      <c r="D36" s="40"/>
      <c r="E36" s="40"/>
      <c r="F36" s="51"/>
      <c r="G36" s="40"/>
      <c r="H36" s="40"/>
      <c r="I36" s="40"/>
      <c r="J36" s="40"/>
      <c r="K36" s="40"/>
      <c r="L36" s="40"/>
      <c r="M36" s="40"/>
      <c r="N36" s="40"/>
      <c r="O36" s="66">
        <f>0.05*SUM(B36:N36)</f>
        <v>727.67184974999998</v>
      </c>
      <c r="P36" s="66">
        <f>SUM(B36:O36)</f>
        <v>15281.108844749999</v>
      </c>
    </row>
    <row r="37" spans="1:17" ht="14.25" thickBot="1" x14ac:dyDescent="0.35">
      <c r="A37" s="21" t="s">
        <v>99</v>
      </c>
      <c r="B37" s="172">
        <f>Sheet2!C30/1000000</f>
        <v>0.25256699999999999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66">
        <f>0.05*SUM(B37:N37)</f>
        <v>1.262835E-2</v>
      </c>
      <c r="P37" s="66">
        <f>SUM(B37:O37)</f>
        <v>0.26519535</v>
      </c>
    </row>
    <row r="38" spans="1:17" ht="14.25" thickBot="1" x14ac:dyDescent="0.35">
      <c r="A38" s="21" t="s">
        <v>41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66">
        <f>0.05*SUM(B38:N38)</f>
        <v>0</v>
      </c>
      <c r="P38" s="66">
        <f>SUM(B38:O38)</f>
        <v>0</v>
      </c>
      <c r="Q38" s="70"/>
    </row>
    <row r="39" spans="1:17" s="62" customFormat="1" ht="14.25" thickBot="1" x14ac:dyDescent="0.35">
      <c r="A39" s="24" t="s">
        <v>198</v>
      </c>
      <c r="B39" s="127">
        <f>SUM(B36:B38)</f>
        <v>14553.689561999998</v>
      </c>
      <c r="C39" s="127">
        <f t="shared" ref="C39:P39" si="8">SUM(C36:C38)</f>
        <v>0</v>
      </c>
      <c r="D39" s="127">
        <f t="shared" si="8"/>
        <v>0</v>
      </c>
      <c r="E39" s="127">
        <f t="shared" si="8"/>
        <v>0</v>
      </c>
      <c r="F39" s="127">
        <f t="shared" si="8"/>
        <v>0</v>
      </c>
      <c r="G39" s="127">
        <f t="shared" si="8"/>
        <v>0</v>
      </c>
      <c r="H39" s="127">
        <f t="shared" si="8"/>
        <v>0</v>
      </c>
      <c r="I39" s="127">
        <f t="shared" si="8"/>
        <v>0</v>
      </c>
      <c r="J39" s="127">
        <f t="shared" si="8"/>
        <v>0</v>
      </c>
      <c r="K39" s="127">
        <f t="shared" si="8"/>
        <v>0</v>
      </c>
      <c r="L39" s="127">
        <f>SUM(L36:L38)</f>
        <v>0</v>
      </c>
      <c r="M39" s="127">
        <f t="shared" si="8"/>
        <v>0</v>
      </c>
      <c r="N39" s="127">
        <f t="shared" si="8"/>
        <v>0</v>
      </c>
      <c r="O39" s="127">
        <f t="shared" si="8"/>
        <v>727.68447809999998</v>
      </c>
      <c r="P39" s="127">
        <f t="shared" si="8"/>
        <v>15281.3740401</v>
      </c>
      <c r="Q39" s="123"/>
    </row>
    <row r="40" spans="1:17" ht="14.25" thickBot="1" x14ac:dyDescent="0.35">
      <c r="A40" s="24" t="s">
        <v>59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66">
        <f>0.05*SUM(B40:N40)</f>
        <v>0</v>
      </c>
      <c r="P40" s="66">
        <f>SUM(B40:O40)</f>
        <v>0</v>
      </c>
    </row>
    <row r="41" spans="1:17" ht="14.25" thickBot="1" x14ac:dyDescent="0.35">
      <c r="A41" s="21" t="s">
        <v>129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66">
        <f>0.05*SUM(B41:N41)</f>
        <v>0</v>
      </c>
      <c r="P41" s="66">
        <f>SUM(B41:O41)</f>
        <v>0</v>
      </c>
    </row>
    <row r="42" spans="1:17" ht="14.25" thickBot="1" x14ac:dyDescent="0.35">
      <c r="A42" s="53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54"/>
      <c r="P42" s="66">
        <f>SUM(B42:O42)</f>
        <v>0</v>
      </c>
    </row>
    <row r="43" spans="1:17" ht="14.25" thickBot="1" x14ac:dyDescent="0.35">
      <c r="A43" s="55" t="s">
        <v>126</v>
      </c>
      <c r="B43" s="50">
        <f>SUM(B21:B42)</f>
        <v>29107.379123999995</v>
      </c>
      <c r="C43" s="50">
        <f t="shared" ref="C43:O43" si="9">SUM(C21:C42)</f>
        <v>799198</v>
      </c>
      <c r="D43" s="50">
        <f t="shared" si="9"/>
        <v>0</v>
      </c>
      <c r="E43" s="50">
        <f t="shared" si="9"/>
        <v>0</v>
      </c>
      <c r="F43" s="50">
        <f t="shared" si="9"/>
        <v>0</v>
      </c>
      <c r="G43" s="50">
        <f t="shared" si="9"/>
        <v>0</v>
      </c>
      <c r="H43" s="50">
        <f t="shared" si="9"/>
        <v>0</v>
      </c>
      <c r="I43" s="50">
        <f t="shared" si="9"/>
        <v>0</v>
      </c>
      <c r="J43" s="50">
        <f t="shared" si="9"/>
        <v>0</v>
      </c>
      <c r="K43" s="50">
        <f t="shared" si="9"/>
        <v>0</v>
      </c>
      <c r="L43" s="50">
        <f>SUM(L21:L42)</f>
        <v>0</v>
      </c>
      <c r="M43" s="50"/>
      <c r="N43" s="50">
        <f t="shared" si="9"/>
        <v>654264.86199999996</v>
      </c>
      <c r="O43" s="50">
        <f t="shared" si="9"/>
        <v>74128.512056199979</v>
      </c>
      <c r="P43" s="66">
        <f>P41+P39+P34+P27</f>
        <v>778349.37659010012</v>
      </c>
    </row>
    <row r="44" spans="1:17" ht="14.25" thickBot="1" x14ac:dyDescent="0.35">
      <c r="P44" s="66">
        <f t="shared" ref="P44:P54" si="10">SUM(B44:O44)</f>
        <v>0</v>
      </c>
      <c r="Q44" s="67"/>
    </row>
    <row r="45" spans="1:17" ht="14.25" thickBot="1" x14ac:dyDescent="0.35">
      <c r="A45" s="28" t="s">
        <v>179</v>
      </c>
      <c r="B45" s="37"/>
      <c r="C45" s="33" t="s">
        <v>18</v>
      </c>
      <c r="D45" s="33" t="s">
        <v>18</v>
      </c>
      <c r="E45" s="33" t="s">
        <v>18</v>
      </c>
      <c r="F45" s="37"/>
      <c r="G45" s="37"/>
      <c r="H45" s="37"/>
      <c r="I45" s="37"/>
      <c r="J45" s="37"/>
      <c r="K45" s="33" t="s">
        <v>18</v>
      </c>
      <c r="L45" s="33" t="s">
        <v>18</v>
      </c>
      <c r="M45" s="33"/>
      <c r="N45" s="37"/>
      <c r="O45" s="43"/>
      <c r="P45" s="66">
        <f t="shared" si="10"/>
        <v>0</v>
      </c>
    </row>
    <row r="46" spans="1:17" ht="30.75" customHeight="1" thickBot="1" x14ac:dyDescent="0.35">
      <c r="A46" s="21" t="s">
        <v>3</v>
      </c>
      <c r="B46" s="19" t="s">
        <v>4</v>
      </c>
      <c r="C46" s="19" t="s">
        <v>44</v>
      </c>
      <c r="D46" s="19" t="s">
        <v>45</v>
      </c>
      <c r="E46" s="19" t="s">
        <v>7</v>
      </c>
      <c r="F46" s="19" t="s">
        <v>88</v>
      </c>
      <c r="G46" s="19" t="s">
        <v>100</v>
      </c>
      <c r="H46" s="19" t="s">
        <v>10</v>
      </c>
      <c r="I46" s="19" t="s">
        <v>11</v>
      </c>
      <c r="J46" s="19" t="s">
        <v>12</v>
      </c>
      <c r="K46" s="19" t="s">
        <v>14</v>
      </c>
      <c r="L46" s="3" t="s">
        <v>89</v>
      </c>
      <c r="M46" s="25" t="s">
        <v>221</v>
      </c>
      <c r="N46" s="19" t="s">
        <v>49</v>
      </c>
      <c r="O46" s="19" t="s">
        <v>68</v>
      </c>
      <c r="P46" s="66">
        <f t="shared" si="10"/>
        <v>0</v>
      </c>
    </row>
    <row r="47" spans="1:17" ht="15.75" customHeight="1" thickBot="1" x14ac:dyDescent="0.35">
      <c r="A47" s="24" t="s">
        <v>101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41"/>
      <c r="P47" s="66">
        <f t="shared" si="10"/>
        <v>0</v>
      </c>
    </row>
    <row r="48" spans="1:17" ht="15.75" customHeight="1" thickBot="1" x14ac:dyDescent="0.35">
      <c r="A48" s="21" t="s">
        <v>102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41"/>
      <c r="P48" s="66">
        <f t="shared" si="10"/>
        <v>0</v>
      </c>
    </row>
    <row r="49" spans="1:17" ht="15.75" customHeight="1" thickBot="1" x14ac:dyDescent="0.35">
      <c r="A49" s="21" t="s">
        <v>103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41"/>
      <c r="P49" s="66">
        <f t="shared" si="10"/>
        <v>0</v>
      </c>
    </row>
    <row r="50" spans="1:17" ht="15.75" customHeight="1" thickBot="1" x14ac:dyDescent="0.35">
      <c r="A50" s="21" t="s">
        <v>104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41"/>
      <c r="P50" s="66">
        <f t="shared" si="10"/>
        <v>0</v>
      </c>
    </row>
    <row r="51" spans="1:17" ht="14.25" thickBot="1" x14ac:dyDescent="0.35">
      <c r="A51" s="14" t="s">
        <v>21</v>
      </c>
      <c r="B51" s="39"/>
      <c r="C51" s="22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41"/>
      <c r="P51" s="66">
        <f t="shared" si="10"/>
        <v>0</v>
      </c>
    </row>
    <row r="52" spans="1:17" ht="14.25" thickBot="1" x14ac:dyDescent="0.35">
      <c r="A52" s="14" t="s">
        <v>193</v>
      </c>
      <c r="B52" s="39"/>
      <c r="C52" s="22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41"/>
      <c r="P52" s="66">
        <f t="shared" si="10"/>
        <v>0</v>
      </c>
    </row>
    <row r="53" spans="1:17" ht="14.25" thickBot="1" x14ac:dyDescent="0.35">
      <c r="A53" s="14" t="s">
        <v>194</v>
      </c>
      <c r="B53" s="39"/>
      <c r="C53" s="22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41"/>
      <c r="P53" s="66">
        <f t="shared" si="10"/>
        <v>0</v>
      </c>
    </row>
    <row r="54" spans="1:17" ht="14.25" thickBot="1" x14ac:dyDescent="0.35">
      <c r="A54" s="14" t="s">
        <v>195</v>
      </c>
      <c r="B54" s="39"/>
      <c r="C54" s="22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41"/>
      <c r="P54" s="66">
        <f t="shared" si="10"/>
        <v>0</v>
      </c>
    </row>
    <row r="55" spans="1:17" ht="14.25" thickBot="1" x14ac:dyDescent="0.35">
      <c r="A55" s="14" t="s">
        <v>196</v>
      </c>
      <c r="B55" s="39"/>
      <c r="C55" s="22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41"/>
      <c r="P55" s="66"/>
    </row>
    <row r="56" spans="1:17" ht="14.25" thickBot="1" x14ac:dyDescent="0.35">
      <c r="A56" s="14" t="s">
        <v>197</v>
      </c>
      <c r="B56" s="39"/>
      <c r="C56" s="22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41"/>
      <c r="P56" s="66"/>
    </row>
    <row r="57" spans="1:17" ht="15.75" customHeight="1" thickBot="1" x14ac:dyDescent="0.35">
      <c r="A57" s="21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41"/>
      <c r="P57" s="66"/>
    </row>
    <row r="58" spans="1:17" ht="15.75" customHeight="1" thickBot="1" x14ac:dyDescent="0.35">
      <c r="A58" s="24" t="s">
        <v>96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41"/>
      <c r="P58" s="66">
        <f t="shared" ref="P58:P70" si="11">SUM(B58:O58)</f>
        <v>0</v>
      </c>
    </row>
    <row r="59" spans="1:17" ht="15.75" customHeight="1" thickBot="1" x14ac:dyDescent="0.35">
      <c r="A59" s="21" t="s">
        <v>97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41"/>
      <c r="P59" s="66">
        <f t="shared" si="11"/>
        <v>0</v>
      </c>
    </row>
    <row r="60" spans="1:17" ht="15.75" customHeight="1" thickBot="1" x14ac:dyDescent="0.35">
      <c r="A60" s="21" t="s">
        <v>25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41"/>
      <c r="P60" s="66">
        <f t="shared" si="11"/>
        <v>0</v>
      </c>
    </row>
    <row r="61" spans="1:17" ht="15.75" customHeight="1" thickBot="1" x14ac:dyDescent="0.35">
      <c r="A61" s="21" t="s">
        <v>26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1"/>
      <c r="P61" s="66">
        <f t="shared" si="11"/>
        <v>0</v>
      </c>
    </row>
    <row r="62" spans="1:17" ht="15.75" customHeight="1" thickBot="1" x14ac:dyDescent="0.35">
      <c r="A62" s="24" t="s">
        <v>50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38"/>
      <c r="P62" s="66">
        <f t="shared" si="11"/>
        <v>0</v>
      </c>
    </row>
    <row r="63" spans="1:17" ht="14.25" thickBot="1" x14ac:dyDescent="0.35">
      <c r="A63" s="24" t="s">
        <v>136</v>
      </c>
      <c r="B63" s="72">
        <v>505.71428571428572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66">
        <f>0.05*SUM(B63:N63)</f>
        <v>25.285714285714288</v>
      </c>
      <c r="P63" s="66">
        <f t="shared" si="11"/>
        <v>531</v>
      </c>
    </row>
    <row r="64" spans="1:17" ht="14.25" thickBot="1" x14ac:dyDescent="0.35">
      <c r="A64" s="21" t="s">
        <v>20</v>
      </c>
      <c r="B64" s="45">
        <f>2730000/1000</f>
        <v>2730</v>
      </c>
      <c r="C64" s="45">
        <f>910000/1000</f>
        <v>910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66">
        <f t="shared" ref="O64:O70" si="12">0.05*SUM(B64:N64)</f>
        <v>182</v>
      </c>
      <c r="P64" s="66">
        <f t="shared" si="11"/>
        <v>3822</v>
      </c>
      <c r="Q64" s="70"/>
    </row>
    <row r="65" spans="1:18" ht="14.25" thickBot="1" x14ac:dyDescent="0.35">
      <c r="A65" s="14" t="s">
        <v>29</v>
      </c>
      <c r="B65" s="84"/>
      <c r="C65" s="84"/>
      <c r="D65" s="84"/>
      <c r="E65" s="84"/>
      <c r="F65" s="84"/>
      <c r="G65" s="84"/>
      <c r="H65" s="85">
        <v>132677</v>
      </c>
      <c r="I65" s="84"/>
      <c r="J65" s="84"/>
      <c r="K65" s="84"/>
      <c r="L65" s="85">
        <v>1817</v>
      </c>
      <c r="M65" s="84"/>
      <c r="N65" s="84"/>
      <c r="O65" s="66">
        <f t="shared" si="12"/>
        <v>6724.7000000000007</v>
      </c>
      <c r="P65" s="66">
        <f t="shared" si="11"/>
        <v>141218.70000000001</v>
      </c>
    </row>
    <row r="66" spans="1:18" ht="14.25" thickBot="1" x14ac:dyDescent="0.35">
      <c r="A66" s="14" t="s">
        <v>156</v>
      </c>
      <c r="B66" s="84"/>
      <c r="C66" s="84"/>
      <c r="D66" s="84"/>
      <c r="E66" s="84"/>
      <c r="F66" s="85">
        <f>12188</f>
        <v>12188</v>
      </c>
      <c r="G66" s="84"/>
      <c r="H66" s="85">
        <v>27433</v>
      </c>
      <c r="I66" s="84"/>
      <c r="J66" s="84"/>
      <c r="K66" s="84"/>
      <c r="L66" s="84"/>
      <c r="M66" s="84"/>
      <c r="N66" s="84"/>
      <c r="O66" s="66">
        <f t="shared" si="12"/>
        <v>1981.0500000000002</v>
      </c>
      <c r="P66" s="66">
        <f t="shared" si="11"/>
        <v>41602.050000000003</v>
      </c>
    </row>
    <row r="67" spans="1:18" ht="14.25" thickBot="1" x14ac:dyDescent="0.35">
      <c r="A67" s="14" t="s">
        <v>151</v>
      </c>
      <c r="B67" s="84"/>
      <c r="C67" s="84"/>
      <c r="D67" s="84"/>
      <c r="E67" s="84"/>
      <c r="F67" s="85">
        <f>7587+121329</f>
        <v>128916</v>
      </c>
      <c r="G67" s="84"/>
      <c r="H67" s="84"/>
      <c r="I67" s="84"/>
      <c r="J67" s="84"/>
      <c r="K67" s="84"/>
      <c r="L67" s="84"/>
      <c r="M67" s="84"/>
      <c r="N67" s="84"/>
      <c r="O67" s="66">
        <f t="shared" si="12"/>
        <v>6445.8</v>
      </c>
      <c r="P67" s="66">
        <f t="shared" si="11"/>
        <v>135361.79999999999</v>
      </c>
    </row>
    <row r="68" spans="1:18" ht="14.25" thickBot="1" x14ac:dyDescent="0.35">
      <c r="A68" s="14" t="s">
        <v>152</v>
      </c>
      <c r="B68" s="84"/>
      <c r="C68" s="89"/>
      <c r="D68" s="89"/>
      <c r="E68" s="89"/>
      <c r="F68" s="90"/>
      <c r="G68" s="90"/>
      <c r="H68" s="90"/>
      <c r="I68" s="89"/>
      <c r="J68" s="89"/>
      <c r="K68" s="89">
        <f>7604+17624</f>
        <v>25228</v>
      </c>
      <c r="L68" s="90"/>
      <c r="M68" s="89"/>
      <c r="N68" s="90"/>
      <c r="O68" s="66">
        <f t="shared" si="12"/>
        <v>1261.4000000000001</v>
      </c>
      <c r="P68" s="66">
        <f t="shared" si="11"/>
        <v>26489.4</v>
      </c>
    </row>
    <row r="69" spans="1:18" ht="14.25" thickBot="1" x14ac:dyDescent="0.35">
      <c r="A69" s="14" t="s">
        <v>153</v>
      </c>
      <c r="B69" s="84"/>
      <c r="C69" s="90"/>
      <c r="D69" s="89"/>
      <c r="E69" s="90"/>
      <c r="F69" s="89"/>
      <c r="G69" s="90">
        <f>17405+2725</f>
        <v>20130</v>
      </c>
      <c r="H69" s="90"/>
      <c r="I69" s="90"/>
      <c r="J69" s="89"/>
      <c r="K69" s="90"/>
      <c r="L69" s="90"/>
      <c r="M69" s="90"/>
      <c r="N69" s="89"/>
      <c r="O69" s="66">
        <f t="shared" si="12"/>
        <v>1006.5</v>
      </c>
      <c r="P69" s="66">
        <f t="shared" si="11"/>
        <v>21136.5</v>
      </c>
    </row>
    <row r="70" spans="1:18" ht="14.25" thickBot="1" x14ac:dyDescent="0.35">
      <c r="A70" s="14" t="s">
        <v>154</v>
      </c>
      <c r="B70" s="84"/>
      <c r="C70" s="89"/>
      <c r="D70" s="89"/>
      <c r="E70" s="89"/>
      <c r="F70" s="89"/>
      <c r="G70" s="90"/>
      <c r="H70" s="89"/>
      <c r="I70" s="90">
        <v>51210</v>
      </c>
      <c r="J70" s="89"/>
      <c r="K70" s="90"/>
      <c r="L70" s="90"/>
      <c r="M70" s="90"/>
      <c r="N70" s="89"/>
      <c r="O70" s="66">
        <f t="shared" si="12"/>
        <v>2560.5</v>
      </c>
      <c r="P70" s="66">
        <f t="shared" si="11"/>
        <v>53770.5</v>
      </c>
      <c r="Q70" s="70"/>
    </row>
    <row r="71" spans="1:18" ht="14.25" thickBot="1" x14ac:dyDescent="0.35">
      <c r="A71" s="14" t="s">
        <v>198</v>
      </c>
      <c r="B71" s="87">
        <f>SUM(B63:B70)</f>
        <v>3235.7142857142858</v>
      </c>
      <c r="C71" s="87">
        <f t="shared" ref="C71:P71" si="13">SUM(C63:C70)</f>
        <v>910</v>
      </c>
      <c r="D71" s="87">
        <f t="shared" si="13"/>
        <v>0</v>
      </c>
      <c r="E71" s="87">
        <f t="shared" si="13"/>
        <v>0</v>
      </c>
      <c r="F71" s="87">
        <f t="shared" si="13"/>
        <v>141104</v>
      </c>
      <c r="G71" s="87">
        <f t="shared" si="13"/>
        <v>20130</v>
      </c>
      <c r="H71" s="87">
        <f t="shared" si="13"/>
        <v>160110</v>
      </c>
      <c r="I71" s="87">
        <f t="shared" si="13"/>
        <v>51210</v>
      </c>
      <c r="J71" s="87">
        <f t="shared" si="13"/>
        <v>0</v>
      </c>
      <c r="K71" s="87">
        <f t="shared" si="13"/>
        <v>25228</v>
      </c>
      <c r="L71" s="87">
        <f>SUM(L63:L70)</f>
        <v>1817</v>
      </c>
      <c r="M71" s="87">
        <f>P27-P71</f>
        <v>-4353</v>
      </c>
      <c r="N71" s="87">
        <f t="shared" si="13"/>
        <v>0</v>
      </c>
      <c r="O71" s="87">
        <f t="shared" si="13"/>
        <v>20187.235714285718</v>
      </c>
      <c r="P71" s="87">
        <f t="shared" si="13"/>
        <v>423931.95</v>
      </c>
      <c r="Q71" s="70"/>
    </row>
    <row r="72" spans="1:18" ht="14.25" thickBot="1" x14ac:dyDescent="0.35">
      <c r="A72" s="13" t="s">
        <v>54</v>
      </c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9"/>
      <c r="P72" s="66">
        <f t="shared" ref="P72:P82" si="14">SUM(B72:O72)</f>
        <v>0</v>
      </c>
    </row>
    <row r="73" spans="1:18" ht="14.25" thickBot="1" x14ac:dyDescent="0.35">
      <c r="A73" s="14" t="s">
        <v>159</v>
      </c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30">
        <f>16786341/1000</f>
        <v>16786.341</v>
      </c>
      <c r="O73" s="129">
        <f>0.05*SUM(B73:N73)</f>
        <v>839.31705000000011</v>
      </c>
      <c r="P73" s="66">
        <f t="shared" si="14"/>
        <v>17625.658050000002</v>
      </c>
    </row>
    <row r="74" spans="1:18" ht="14.25" thickBot="1" x14ac:dyDescent="0.35">
      <c r="A74" s="14" t="s">
        <v>160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30">
        <f>80230/1000</f>
        <v>80.23</v>
      </c>
      <c r="O74" s="129">
        <f t="shared" ref="O74:O77" si="15">0.05*SUM(B74:N74)</f>
        <v>4.0115000000000007</v>
      </c>
      <c r="P74" s="66">
        <f t="shared" si="14"/>
        <v>84.241500000000002</v>
      </c>
    </row>
    <row r="75" spans="1:18" ht="27.75" thickBot="1" x14ac:dyDescent="0.35">
      <c r="A75" s="14" t="s">
        <v>161</v>
      </c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30">
        <f>28143/1000</f>
        <v>28.143000000000001</v>
      </c>
      <c r="O75" s="129">
        <f t="shared" si="15"/>
        <v>1.4071500000000001</v>
      </c>
      <c r="P75" s="66">
        <f t="shared" si="14"/>
        <v>29.550150000000002</v>
      </c>
    </row>
    <row r="76" spans="1:18" ht="27.75" thickBot="1" x14ac:dyDescent="0.35">
      <c r="A76" s="14" t="s">
        <v>162</v>
      </c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30">
        <f>664860/1000</f>
        <v>664.86</v>
      </c>
      <c r="O76" s="129">
        <f t="shared" si="15"/>
        <v>33.243000000000002</v>
      </c>
      <c r="P76" s="66">
        <f t="shared" si="14"/>
        <v>698.10300000000007</v>
      </c>
    </row>
    <row r="77" spans="1:18" ht="27.75" thickBot="1" x14ac:dyDescent="0.35">
      <c r="A77" s="14" t="s">
        <v>163</v>
      </c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30">
        <f>23236495/1000</f>
        <v>23236.494999999999</v>
      </c>
      <c r="O77" s="129">
        <f t="shared" si="15"/>
        <v>1161.82475</v>
      </c>
      <c r="P77" s="66">
        <f t="shared" si="14"/>
        <v>24398.319749999999</v>
      </c>
      <c r="Q77" s="70"/>
      <c r="R77" s="132">
        <f>1069164-1043544</f>
        <v>25620</v>
      </c>
    </row>
    <row r="78" spans="1:18" s="62" customFormat="1" ht="14.25" thickBot="1" x14ac:dyDescent="0.35">
      <c r="A78" s="13" t="s">
        <v>198</v>
      </c>
      <c r="B78" s="126">
        <f>SUM(B73:B77)</f>
        <v>0</v>
      </c>
      <c r="C78" s="126">
        <f t="shared" ref="C78:O78" si="16">SUM(C73:C77)</f>
        <v>0</v>
      </c>
      <c r="D78" s="126">
        <f t="shared" si="16"/>
        <v>0</v>
      </c>
      <c r="E78" s="126">
        <f t="shared" si="16"/>
        <v>0</v>
      </c>
      <c r="F78" s="126">
        <f t="shared" si="16"/>
        <v>0</v>
      </c>
      <c r="G78" s="126">
        <f t="shared" si="16"/>
        <v>0</v>
      </c>
      <c r="H78" s="126">
        <f t="shared" si="16"/>
        <v>0</v>
      </c>
      <c r="I78" s="126">
        <f t="shared" si="16"/>
        <v>0</v>
      </c>
      <c r="J78" s="126">
        <f t="shared" si="16"/>
        <v>0</v>
      </c>
      <c r="K78" s="126">
        <f t="shared" si="16"/>
        <v>0</v>
      </c>
      <c r="L78" s="126">
        <f>SUM(L73:L77)</f>
        <v>0</v>
      </c>
      <c r="M78" s="126">
        <f>N34-N78-R77</f>
        <v>260716.36199999996</v>
      </c>
      <c r="N78" s="126">
        <f t="shared" si="16"/>
        <v>40796.069000000003</v>
      </c>
      <c r="O78" s="126">
        <f t="shared" si="16"/>
        <v>2039.8034500000001</v>
      </c>
      <c r="P78" s="126">
        <f t="shared" si="14"/>
        <v>303552.23444999999</v>
      </c>
      <c r="Q78" s="123"/>
    </row>
    <row r="79" spans="1:18" ht="14.25" thickBot="1" x14ac:dyDescent="0.35">
      <c r="A79" s="24" t="s">
        <v>56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65"/>
      <c r="P79" s="66">
        <f t="shared" si="14"/>
        <v>0</v>
      </c>
    </row>
    <row r="80" spans="1:18" ht="14.25" thickBot="1" x14ac:dyDescent="0.35">
      <c r="A80" s="21" t="s">
        <v>40</v>
      </c>
      <c r="B80" s="45"/>
      <c r="C80" s="45"/>
      <c r="D80" s="45"/>
      <c r="E80" s="45"/>
      <c r="F80" s="45">
        <f>0.8*B36</f>
        <v>11642.749596</v>
      </c>
      <c r="G80" s="45">
        <f>0.2*B36</f>
        <v>2910.6873989999999</v>
      </c>
      <c r="H80" s="45"/>
      <c r="I80" s="45"/>
      <c r="J80" s="45"/>
      <c r="K80" s="45"/>
      <c r="L80" s="45"/>
      <c r="M80" s="45"/>
      <c r="N80" s="45"/>
      <c r="O80" s="65"/>
      <c r="P80" s="66">
        <f t="shared" si="14"/>
        <v>14553.436995</v>
      </c>
    </row>
    <row r="81" spans="1:17" ht="14.25" thickBot="1" x14ac:dyDescent="0.35">
      <c r="A81" s="21" t="s">
        <v>99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>
        <f>B37</f>
        <v>0.25256699999999999</v>
      </c>
      <c r="O81" s="129">
        <f>0.05*SUM(B81:N81)</f>
        <v>1.262835E-2</v>
      </c>
      <c r="P81" s="66">
        <f t="shared" si="14"/>
        <v>0.26519535</v>
      </c>
    </row>
    <row r="82" spans="1:17" ht="14.25" thickBot="1" x14ac:dyDescent="0.35">
      <c r="A82" s="21" t="s">
        <v>41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65"/>
      <c r="P82" s="66">
        <f t="shared" si="14"/>
        <v>0</v>
      </c>
    </row>
    <row r="83" spans="1:17" s="62" customFormat="1" ht="14.25" thickBot="1" x14ac:dyDescent="0.35">
      <c r="A83" s="125" t="s">
        <v>198</v>
      </c>
      <c r="B83" s="131">
        <f>SUM(B80:B82)</f>
        <v>0</v>
      </c>
      <c r="C83" s="131">
        <f t="shared" ref="C83:P83" si="17">SUM(C80:C82)</f>
        <v>0</v>
      </c>
      <c r="D83" s="131">
        <f t="shared" si="17"/>
        <v>0</v>
      </c>
      <c r="E83" s="131">
        <f t="shared" si="17"/>
        <v>0</v>
      </c>
      <c r="F83" s="131">
        <f t="shared" si="17"/>
        <v>11642.749596</v>
      </c>
      <c r="G83" s="131">
        <f t="shared" si="17"/>
        <v>2910.6873989999999</v>
      </c>
      <c r="H83" s="131">
        <f t="shared" si="17"/>
        <v>0</v>
      </c>
      <c r="I83" s="131">
        <f t="shared" si="17"/>
        <v>0</v>
      </c>
      <c r="J83" s="131">
        <f t="shared" si="17"/>
        <v>0</v>
      </c>
      <c r="K83" s="131">
        <f t="shared" si="17"/>
        <v>0</v>
      </c>
      <c r="L83" s="131">
        <f>SUM(L80:L82)</f>
        <v>0</v>
      </c>
      <c r="M83" s="131">
        <f t="shared" si="17"/>
        <v>0</v>
      </c>
      <c r="N83" s="131">
        <f t="shared" si="17"/>
        <v>0.25256699999999999</v>
      </c>
      <c r="O83" s="131">
        <f t="shared" si="17"/>
        <v>1.262835E-2</v>
      </c>
      <c r="P83" s="131">
        <f t="shared" si="17"/>
        <v>14553.702190350001</v>
      </c>
      <c r="Q83" s="123"/>
    </row>
    <row r="84" spans="1:17" ht="14.25" thickBot="1" x14ac:dyDescent="0.35">
      <c r="A84" s="24" t="s">
        <v>59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65"/>
      <c r="P84" s="66">
        <f>SUM(B84:O84)</f>
        <v>0</v>
      </c>
    </row>
    <row r="85" spans="1:17" ht="14.25" thickBot="1" x14ac:dyDescent="0.35">
      <c r="A85" s="21" t="s">
        <v>80</v>
      </c>
      <c r="B85" s="51">
        <f>0.05*(B83+B78+B71)</f>
        <v>161.78571428571431</v>
      </c>
      <c r="C85" s="51">
        <f t="shared" ref="C85:E85" si="18">0.05*(C83+C78+C71)</f>
        <v>45.5</v>
      </c>
      <c r="D85" s="51">
        <f t="shared" si="18"/>
        <v>0</v>
      </c>
      <c r="E85" s="51">
        <f t="shared" si="18"/>
        <v>0</v>
      </c>
      <c r="F85" s="51">
        <f>0.05*(F78+F71+F83)</f>
        <v>7637.3374798000004</v>
      </c>
      <c r="G85" s="51">
        <f>0.05*(G78+G71+G83)</f>
        <v>1152.0343699499999</v>
      </c>
      <c r="H85" s="51">
        <f t="shared" ref="H85:N85" si="19">0.05*(H78+H71)</f>
        <v>8005.5</v>
      </c>
      <c r="I85" s="51">
        <f t="shared" si="19"/>
        <v>2560.5</v>
      </c>
      <c r="J85" s="51">
        <f t="shared" si="19"/>
        <v>0</v>
      </c>
      <c r="K85" s="51">
        <f t="shared" si="19"/>
        <v>1261.4000000000001</v>
      </c>
      <c r="L85" s="51">
        <f t="shared" si="19"/>
        <v>90.850000000000009</v>
      </c>
      <c r="M85" s="51">
        <f t="shared" si="19"/>
        <v>12818.168099999999</v>
      </c>
      <c r="N85" s="51">
        <f t="shared" si="19"/>
        <v>2039.8034500000003</v>
      </c>
      <c r="O85" s="51">
        <f>0.05*(O78+O71+O83)</f>
        <v>1111.3525896317858</v>
      </c>
      <c r="P85" s="66">
        <f>SUM(B85:O85)</f>
        <v>36884.231703667501</v>
      </c>
    </row>
    <row r="86" spans="1:17" ht="14.25" thickBot="1" x14ac:dyDescent="0.35">
      <c r="A86" s="52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65"/>
      <c r="P86" s="66">
        <f>SUM(B86:O86)</f>
        <v>0</v>
      </c>
    </row>
    <row r="87" spans="1:17" ht="14.25" thickBot="1" x14ac:dyDescent="0.35">
      <c r="A87" s="55" t="s">
        <v>126</v>
      </c>
      <c r="B87" s="50">
        <f>B85+B83+B78+B71</f>
        <v>3397.5</v>
      </c>
      <c r="C87" s="50">
        <f t="shared" ref="C87:O87" si="20">C85+C83+C78+C71</f>
        <v>955.5</v>
      </c>
      <c r="D87" s="50">
        <f t="shared" si="20"/>
        <v>0</v>
      </c>
      <c r="E87" s="50">
        <f t="shared" si="20"/>
        <v>0</v>
      </c>
      <c r="F87" s="50">
        <f t="shared" si="20"/>
        <v>160384.08707579999</v>
      </c>
      <c r="G87" s="50">
        <f t="shared" si="20"/>
        <v>24192.721768949999</v>
      </c>
      <c r="H87" s="50">
        <f t="shared" si="20"/>
        <v>168115.5</v>
      </c>
      <c r="I87" s="50">
        <f t="shared" si="20"/>
        <v>53770.5</v>
      </c>
      <c r="J87" s="50">
        <f t="shared" si="20"/>
        <v>0</v>
      </c>
      <c r="K87" s="50">
        <f t="shared" si="20"/>
        <v>26489.4</v>
      </c>
      <c r="L87" s="50">
        <f t="shared" si="20"/>
        <v>1907.85</v>
      </c>
      <c r="M87" s="50">
        <f t="shared" si="20"/>
        <v>269181.53009999997</v>
      </c>
      <c r="N87" s="50">
        <f t="shared" si="20"/>
        <v>42836.125017000006</v>
      </c>
      <c r="O87" s="50">
        <f t="shared" si="20"/>
        <v>23338.404382267505</v>
      </c>
      <c r="P87" s="66">
        <f>SUM(B87:O87)</f>
        <v>774569.11834401742</v>
      </c>
      <c r="Q87" s="70"/>
    </row>
  </sheetData>
  <pageMargins left="0.7" right="0.7" top="0.75" bottom="0.75" header="0.3" footer="0.3"/>
  <pageSetup orientation="portrait" horizontalDpi="4294967293" verticalDpi="0" r:id="rId1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90"/>
  <sheetViews>
    <sheetView zoomScaleNormal="100" workbookViewId="0">
      <selection activeCell="H2" sqref="H2"/>
    </sheetView>
  </sheetViews>
  <sheetFormatPr defaultColWidth="9.140625" defaultRowHeight="13.5" x14ac:dyDescent="0.3"/>
  <cols>
    <col min="1" max="1" width="42.28515625" style="42" customWidth="1"/>
    <col min="2" max="2" width="12.42578125" style="5" bestFit="1" customWidth="1"/>
    <col min="3" max="3" width="9.5703125" style="5" bestFit="1" customWidth="1"/>
    <col min="4" max="5" width="9.42578125" style="5" bestFit="1" customWidth="1"/>
    <col min="6" max="6" width="10.7109375" style="5" bestFit="1" customWidth="1"/>
    <col min="7" max="8" width="9.7109375" style="5" bestFit="1" customWidth="1"/>
    <col min="9" max="11" width="9.42578125" style="5" bestFit="1" customWidth="1"/>
    <col min="12" max="12" width="9.7109375" style="5" bestFit="1" customWidth="1"/>
    <col min="13" max="13" width="9.42578125" style="5" customWidth="1"/>
    <col min="14" max="14" width="13.42578125" style="5" bestFit="1" customWidth="1"/>
    <col min="15" max="15" width="9.42578125" style="5" bestFit="1" customWidth="1"/>
    <col min="16" max="16" width="11.28515625" style="5" customWidth="1"/>
    <col min="17" max="16384" width="9.140625" style="5"/>
  </cols>
  <sheetData>
    <row r="1" spans="1:16" ht="14.25" thickBot="1" x14ac:dyDescent="0.35">
      <c r="A1" s="36" t="s">
        <v>170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43"/>
      <c r="P1" s="43"/>
    </row>
    <row r="2" spans="1:16" ht="41.25" thickBot="1" x14ac:dyDescent="0.35">
      <c r="A2" s="24" t="s">
        <v>3</v>
      </c>
      <c r="B2" s="32" t="s">
        <v>4</v>
      </c>
      <c r="C2" s="32" t="s">
        <v>5</v>
      </c>
      <c r="D2" s="32" t="s">
        <v>45</v>
      </c>
      <c r="E2" s="32" t="s">
        <v>7</v>
      </c>
      <c r="F2" s="32" t="s">
        <v>88</v>
      </c>
      <c r="G2" s="32" t="s">
        <v>9</v>
      </c>
      <c r="H2" s="32" t="s">
        <v>10</v>
      </c>
      <c r="I2" s="32" t="s">
        <v>11</v>
      </c>
      <c r="J2" s="32" t="s">
        <v>12</v>
      </c>
      <c r="K2" s="25" t="s">
        <v>14</v>
      </c>
      <c r="L2" s="3" t="s">
        <v>89</v>
      </c>
      <c r="M2" s="25" t="s">
        <v>222</v>
      </c>
      <c r="N2" s="25" t="s">
        <v>67</v>
      </c>
      <c r="O2" s="25" t="s">
        <v>68</v>
      </c>
      <c r="P2" s="25" t="s">
        <v>2</v>
      </c>
    </row>
    <row r="3" spans="1:16" ht="14.25" thickBot="1" x14ac:dyDescent="0.35">
      <c r="A3" s="24" t="s">
        <v>16</v>
      </c>
      <c r="B3" s="39"/>
      <c r="C3" s="40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66"/>
    </row>
    <row r="4" spans="1:16" ht="14.25" thickBot="1" x14ac:dyDescent="0.35">
      <c r="A4" s="21" t="s">
        <v>91</v>
      </c>
      <c r="B4" s="39"/>
      <c r="C4" s="22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1"/>
      <c r="P4" s="66"/>
    </row>
    <row r="5" spans="1:16" ht="14.25" thickBot="1" x14ac:dyDescent="0.35">
      <c r="A5" s="21" t="s">
        <v>92</v>
      </c>
      <c r="B5" s="39"/>
      <c r="C5" s="22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1"/>
      <c r="P5" s="66"/>
    </row>
    <row r="6" spans="1:16" ht="14.25" thickBot="1" x14ac:dyDescent="0.35">
      <c r="A6" s="14" t="s">
        <v>21</v>
      </c>
      <c r="B6" s="39"/>
      <c r="C6" s="22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41"/>
      <c r="P6" s="66">
        <f t="shared" ref="P6:P26" si="0">SUM(B6:O6)</f>
        <v>0</v>
      </c>
    </row>
    <row r="7" spans="1:16" ht="14.25" thickBot="1" x14ac:dyDescent="0.35">
      <c r="A7" s="14" t="s">
        <v>193</v>
      </c>
      <c r="B7" s="39"/>
      <c r="C7" s="22">
        <f>[2]Sheet2!$U$28</f>
        <v>219779.4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1"/>
      <c r="P7" s="66">
        <f t="shared" si="0"/>
        <v>219779.4</v>
      </c>
    </row>
    <row r="8" spans="1:16" ht="14.25" thickBot="1" x14ac:dyDescent="0.35">
      <c r="A8" s="14" t="s">
        <v>194</v>
      </c>
      <c r="B8" s="39"/>
      <c r="C8" s="22">
        <f>[2]Sheet2!$V$28</f>
        <v>223704.15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1"/>
      <c r="P8" s="66">
        <f t="shared" si="0"/>
        <v>223704.15</v>
      </c>
    </row>
    <row r="9" spans="1:16" ht="14.25" thickBot="1" x14ac:dyDescent="0.35">
      <c r="A9" s="14" t="s">
        <v>195</v>
      </c>
      <c r="B9" s="39"/>
      <c r="C9" s="22">
        <f>[2]Sheet2!$X$28</f>
        <v>1348336.7632857142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41"/>
      <c r="P9" s="66">
        <f t="shared" si="0"/>
        <v>1348336.7632857142</v>
      </c>
    </row>
    <row r="10" spans="1:16" ht="14.25" thickBot="1" x14ac:dyDescent="0.35">
      <c r="A10" s="14" t="s">
        <v>196</v>
      </c>
      <c r="B10" s="39"/>
      <c r="C10" s="22">
        <f>[2]Sheet2!$Y$28</f>
        <v>182888.90485714286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1"/>
      <c r="P10" s="66">
        <f t="shared" si="0"/>
        <v>182888.90485714286</v>
      </c>
    </row>
    <row r="11" spans="1:16" ht="14.25" thickBot="1" x14ac:dyDescent="0.35">
      <c r="A11" s="14" t="s">
        <v>197</v>
      </c>
      <c r="B11" s="39"/>
      <c r="C11" s="22">
        <f>[2]Sheet2!$Z$28</f>
        <v>268068.34285714285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1"/>
      <c r="P11" s="66">
        <f t="shared" si="0"/>
        <v>268068.34285714285</v>
      </c>
    </row>
    <row r="12" spans="1:16" ht="14.25" thickBot="1" x14ac:dyDescent="0.35">
      <c r="A12" s="14" t="s">
        <v>225</v>
      </c>
      <c r="B12" s="39"/>
      <c r="C12" s="22">
        <f>SUM(C7:C11)</f>
        <v>2242777.5609999998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41"/>
      <c r="P12" s="66"/>
    </row>
    <row r="13" spans="1:16" ht="14.25" thickBot="1" x14ac:dyDescent="0.35">
      <c r="A13" s="14" t="s">
        <v>236</v>
      </c>
      <c r="B13" s="39"/>
      <c r="C13" s="22">
        <f>'PSUT 2015'!C15*[2]Sheet2!$AH$11/1000</f>
        <v>0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41"/>
      <c r="P13" s="66"/>
    </row>
    <row r="14" spans="1:16" ht="14.25" thickBot="1" x14ac:dyDescent="0.35">
      <c r="A14" s="24" t="s">
        <v>96</v>
      </c>
      <c r="B14" s="39"/>
      <c r="C14" s="47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1"/>
      <c r="P14" s="66">
        <f t="shared" si="0"/>
        <v>0</v>
      </c>
    </row>
    <row r="15" spans="1:16" ht="14.25" thickBot="1" x14ac:dyDescent="0.35">
      <c r="A15" s="21" t="s">
        <v>97</v>
      </c>
      <c r="B15" s="39"/>
      <c r="C15" s="40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1"/>
      <c r="P15" s="66">
        <f t="shared" si="0"/>
        <v>0</v>
      </c>
    </row>
    <row r="16" spans="1:16" ht="14.25" thickBot="1" x14ac:dyDescent="0.35">
      <c r="A16" s="21" t="s">
        <v>25</v>
      </c>
      <c r="B16" s="39"/>
      <c r="C16" s="40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1"/>
      <c r="P16" s="66">
        <f t="shared" si="0"/>
        <v>0</v>
      </c>
    </row>
    <row r="17" spans="1:18" ht="14.25" thickBot="1" x14ac:dyDescent="0.35">
      <c r="A17" s="21" t="s">
        <v>26</v>
      </c>
      <c r="B17" s="39"/>
      <c r="C17" s="40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1"/>
      <c r="P17" s="66">
        <f t="shared" si="0"/>
        <v>0</v>
      </c>
    </row>
    <row r="18" spans="1:18" ht="14.25" thickBot="1" x14ac:dyDescent="0.35">
      <c r="A18" s="21" t="s">
        <v>27</v>
      </c>
      <c r="B18" s="39"/>
      <c r="C18" s="40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1"/>
      <c r="P18" s="66">
        <f t="shared" si="0"/>
        <v>0</v>
      </c>
    </row>
    <row r="19" spans="1:18" ht="14.25" thickBot="1" x14ac:dyDescent="0.35">
      <c r="A19" s="21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8"/>
      <c r="P19" s="66">
        <f t="shared" si="0"/>
        <v>0</v>
      </c>
    </row>
    <row r="20" spans="1:18" s="79" customFormat="1" ht="14.25" thickBot="1" x14ac:dyDescent="0.35">
      <c r="A20" s="76" t="s">
        <v>157</v>
      </c>
      <c r="B20" s="40"/>
      <c r="C20" s="81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8"/>
      <c r="P20" s="66">
        <f t="shared" si="0"/>
        <v>0</v>
      </c>
    </row>
    <row r="21" spans="1:18" ht="14.25" thickBot="1" x14ac:dyDescent="0.35">
      <c r="A21" s="21" t="s">
        <v>155</v>
      </c>
      <c r="B21" s="40"/>
      <c r="C21" s="83">
        <v>361976</v>
      </c>
      <c r="D21" s="18"/>
      <c r="E21" s="18"/>
      <c r="F21" s="18"/>
      <c r="G21" s="18"/>
      <c r="H21" s="40"/>
      <c r="I21" s="40"/>
      <c r="J21" s="40"/>
      <c r="K21" s="18"/>
      <c r="L21" s="18"/>
      <c r="M21" s="18"/>
      <c r="N21" s="22"/>
      <c r="O21" s="66">
        <f t="shared" ref="O21:O26" si="1">0.05*SUM(B21:N21)</f>
        <v>18098.8</v>
      </c>
      <c r="P21" s="66">
        <f t="shared" si="0"/>
        <v>380074.8</v>
      </c>
    </row>
    <row r="22" spans="1:18" ht="14.25" thickBot="1" x14ac:dyDescent="0.35">
      <c r="A22" s="21" t="s">
        <v>156</v>
      </c>
      <c r="B22" s="40"/>
      <c r="C22" s="83">
        <f>F69+H69</f>
        <v>251793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66">
        <f t="shared" si="1"/>
        <v>12589.650000000001</v>
      </c>
      <c r="P22" s="66">
        <f t="shared" si="0"/>
        <v>264382.65000000002</v>
      </c>
    </row>
    <row r="23" spans="1:18" ht="14.25" thickBot="1" x14ac:dyDescent="0.35">
      <c r="A23" s="21" t="s">
        <v>151</v>
      </c>
      <c r="B23" s="40"/>
      <c r="C23" s="83">
        <f>F70</f>
        <v>146752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66">
        <f t="shared" si="1"/>
        <v>7337.6</v>
      </c>
      <c r="P23" s="66">
        <f t="shared" si="0"/>
        <v>154089.60000000001</v>
      </c>
    </row>
    <row r="24" spans="1:18" ht="14.25" thickBot="1" x14ac:dyDescent="0.35">
      <c r="A24" s="21" t="s">
        <v>152</v>
      </c>
      <c r="B24" s="40"/>
      <c r="C24" s="83">
        <f>K71</f>
        <v>27523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66">
        <f t="shared" si="1"/>
        <v>1376.15</v>
      </c>
      <c r="P24" s="66">
        <f t="shared" si="0"/>
        <v>28899.15</v>
      </c>
    </row>
    <row r="25" spans="1:18" ht="14.25" thickBot="1" x14ac:dyDescent="0.35">
      <c r="A25" s="21" t="s">
        <v>153</v>
      </c>
      <c r="B25" s="40"/>
      <c r="C25" s="83">
        <f>G72</f>
        <v>21867</v>
      </c>
      <c r="D25" s="18"/>
      <c r="E25" s="18"/>
      <c r="F25" s="18"/>
      <c r="G25" s="18"/>
      <c r="H25" s="40"/>
      <c r="I25" s="40"/>
      <c r="J25" s="40"/>
      <c r="K25" s="18"/>
      <c r="L25" s="18"/>
      <c r="M25" s="18"/>
      <c r="N25" s="18"/>
      <c r="O25" s="66">
        <f t="shared" si="1"/>
        <v>1093.3500000000001</v>
      </c>
      <c r="P25" s="66">
        <f t="shared" si="0"/>
        <v>22960.35</v>
      </c>
    </row>
    <row r="26" spans="1:18" ht="14.25" thickBot="1" x14ac:dyDescent="0.35">
      <c r="A26" s="21" t="s">
        <v>154</v>
      </c>
      <c r="B26" s="40"/>
      <c r="C26" s="83">
        <v>66894</v>
      </c>
      <c r="D26" s="18"/>
      <c r="E26" s="18"/>
      <c r="F26" s="18"/>
      <c r="G26" s="18"/>
      <c r="H26" s="40"/>
      <c r="I26" s="40"/>
      <c r="J26" s="40"/>
      <c r="K26" s="18"/>
      <c r="L26" s="18"/>
      <c r="M26" s="18"/>
      <c r="N26" s="18"/>
      <c r="O26" s="66">
        <f t="shared" si="1"/>
        <v>3344.7000000000003</v>
      </c>
      <c r="P26" s="66">
        <f t="shared" si="0"/>
        <v>70238.7</v>
      </c>
      <c r="Q26" s="70"/>
    </row>
    <row r="27" spans="1:18" s="62" customFormat="1" ht="14.25" thickBot="1" x14ac:dyDescent="0.35">
      <c r="A27" s="24" t="s">
        <v>225</v>
      </c>
      <c r="B27" s="124">
        <f>SUM(B21:B26)</f>
        <v>0</v>
      </c>
      <c r="C27" s="124">
        <f t="shared" ref="C27:P27" si="2">SUM(C21:C26)</f>
        <v>876805</v>
      </c>
      <c r="D27" s="124">
        <f t="shared" si="2"/>
        <v>0</v>
      </c>
      <c r="E27" s="124">
        <f t="shared" si="2"/>
        <v>0</v>
      </c>
      <c r="F27" s="124">
        <f t="shared" si="2"/>
        <v>0</v>
      </c>
      <c r="G27" s="124">
        <f t="shared" si="2"/>
        <v>0</v>
      </c>
      <c r="H27" s="124">
        <f t="shared" si="2"/>
        <v>0</v>
      </c>
      <c r="I27" s="124">
        <f t="shared" si="2"/>
        <v>0</v>
      </c>
      <c r="J27" s="124">
        <f t="shared" si="2"/>
        <v>0</v>
      </c>
      <c r="K27" s="124">
        <f t="shared" si="2"/>
        <v>0</v>
      </c>
      <c r="L27" s="124">
        <f t="shared" si="2"/>
        <v>0</v>
      </c>
      <c r="M27" s="124">
        <f t="shared" si="2"/>
        <v>0</v>
      </c>
      <c r="N27" s="124">
        <f t="shared" si="2"/>
        <v>0</v>
      </c>
      <c r="O27" s="124">
        <f t="shared" si="2"/>
        <v>43840.25</v>
      </c>
      <c r="P27" s="124">
        <f t="shared" si="2"/>
        <v>920645.24999999988</v>
      </c>
      <c r="Q27" s="123"/>
    </row>
    <row r="28" spans="1:18" ht="14.25" thickBot="1" x14ac:dyDescent="0.35">
      <c r="A28" s="13" t="s">
        <v>54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66">
        <f t="shared" ref="O28:O33" si="3">0.05*SUM(B28:N28)</f>
        <v>0</v>
      </c>
      <c r="P28" s="66">
        <f t="shared" ref="P28:P33" si="4">SUM(B28:O28)</f>
        <v>0</v>
      </c>
    </row>
    <row r="29" spans="1:18" ht="14.25" thickBot="1" x14ac:dyDescent="0.35">
      <c r="A29" s="14" t="s">
        <v>183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31">
        <f>[4]Sheet1!$G$6/1000000</f>
        <v>1815.283275</v>
      </c>
      <c r="O29" s="66">
        <f t="shared" si="3"/>
        <v>90.764163750000009</v>
      </c>
      <c r="P29" s="66">
        <f t="shared" si="4"/>
        <v>1906.0474387500001</v>
      </c>
      <c r="R29" s="70"/>
    </row>
    <row r="30" spans="1:18" ht="14.25" thickBot="1" x14ac:dyDescent="0.35">
      <c r="A30" s="14" t="s">
        <v>184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31">
        <f>[4]Sheet2!$G$6/1000000</f>
        <v>55.173963000000001</v>
      </c>
      <c r="O30" s="66">
        <f t="shared" si="3"/>
        <v>2.7586981500000003</v>
      </c>
      <c r="P30" s="66">
        <f t="shared" si="4"/>
        <v>57.932661150000001</v>
      </c>
    </row>
    <row r="31" spans="1:18" ht="27.75" thickBot="1" x14ac:dyDescent="0.35">
      <c r="A31" s="14" t="s">
        <v>185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31">
        <f>[4]Sheet3!$G$6/1000000</f>
        <v>140.25601700000001</v>
      </c>
      <c r="O31" s="66">
        <f t="shared" si="3"/>
        <v>7.0128008500000014</v>
      </c>
      <c r="P31" s="66">
        <f t="shared" si="4"/>
        <v>147.26881785</v>
      </c>
    </row>
    <row r="32" spans="1:18" ht="27.75" thickBot="1" x14ac:dyDescent="0.35">
      <c r="A32" s="14" t="s">
        <v>186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31">
        <f>[4]Sheet4!$G$6/1000000</f>
        <v>87817.386356000003</v>
      </c>
      <c r="O32" s="66">
        <f t="shared" si="3"/>
        <v>4390.8693178000003</v>
      </c>
      <c r="P32" s="66">
        <f t="shared" si="4"/>
        <v>92208.255673799998</v>
      </c>
    </row>
    <row r="33" spans="1:17" ht="27.75" thickBot="1" x14ac:dyDescent="0.35">
      <c r="A33" s="14" t="s">
        <v>187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31">
        <f>[4]Sheet5!$G$6/1000000</f>
        <v>57008.649135</v>
      </c>
      <c r="O33" s="66">
        <f t="shared" si="3"/>
        <v>2850.4324567500003</v>
      </c>
      <c r="P33" s="66">
        <f t="shared" si="4"/>
        <v>59859.08159175</v>
      </c>
      <c r="Q33" s="70"/>
    </row>
    <row r="34" spans="1:17" s="62" customFormat="1" ht="14.25" thickBot="1" x14ac:dyDescent="0.35">
      <c r="A34" s="13" t="s">
        <v>225</v>
      </c>
      <c r="B34" s="126">
        <f>SUM(B29:B33)</f>
        <v>0</v>
      </c>
      <c r="C34" s="126">
        <f t="shared" ref="C34:O34" si="5">SUM(C29:C33)</f>
        <v>0</v>
      </c>
      <c r="D34" s="126">
        <f t="shared" si="5"/>
        <v>0</v>
      </c>
      <c r="E34" s="126">
        <f t="shared" si="5"/>
        <v>0</v>
      </c>
      <c r="F34" s="126">
        <f t="shared" si="5"/>
        <v>0</v>
      </c>
      <c r="G34" s="126">
        <f t="shared" si="5"/>
        <v>0</v>
      </c>
      <c r="H34" s="126">
        <f t="shared" si="5"/>
        <v>0</v>
      </c>
      <c r="I34" s="126">
        <f t="shared" si="5"/>
        <v>0</v>
      </c>
      <c r="J34" s="126">
        <f t="shared" si="5"/>
        <v>0</v>
      </c>
      <c r="K34" s="126">
        <f t="shared" si="5"/>
        <v>0</v>
      </c>
      <c r="L34" s="126">
        <f t="shared" si="5"/>
        <v>0</v>
      </c>
      <c r="M34" s="126">
        <v>33982.436582800001</v>
      </c>
      <c r="N34" s="126">
        <f t="shared" si="5"/>
        <v>146836.748746</v>
      </c>
      <c r="O34" s="126">
        <f t="shared" si="5"/>
        <v>7341.8374373000006</v>
      </c>
      <c r="P34" s="126">
        <f>SUM(B34:O34)</f>
        <v>188161.02276610001</v>
      </c>
      <c r="Q34" s="123"/>
    </row>
    <row r="35" spans="1:17" ht="14.25" thickBot="1" x14ac:dyDescent="0.35">
      <c r="A35" s="13" t="s">
        <v>39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38">
        <f>0.05*SUM(B35:N35)</f>
        <v>0</v>
      </c>
      <c r="P35" s="66">
        <f t="shared" ref="P35:P41" si="6">SUM(B35:O35)</f>
        <v>0</v>
      </c>
    </row>
    <row r="36" spans="1:17" ht="14.25" thickBot="1" x14ac:dyDescent="0.35">
      <c r="A36" s="14" t="s">
        <v>40</v>
      </c>
      <c r="B36" s="44">
        <f>F84+N83</f>
        <v>0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121">
        <f>0.05*SUM(B36:N36)</f>
        <v>0</v>
      </c>
      <c r="P36" s="66">
        <f t="shared" si="6"/>
        <v>0</v>
      </c>
    </row>
    <row r="37" spans="1:17" ht="14.25" thickBot="1" x14ac:dyDescent="0.35">
      <c r="A37" s="14" t="s">
        <v>111</v>
      </c>
      <c r="B37" s="45">
        <f>N85</f>
        <v>0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121">
        <f>0.05*SUM(B37:N37)</f>
        <v>0</v>
      </c>
      <c r="P37" s="66">
        <f t="shared" si="6"/>
        <v>0</v>
      </c>
    </row>
    <row r="38" spans="1:17" ht="14.25" thickBot="1" x14ac:dyDescent="0.35">
      <c r="A38" s="14" t="s">
        <v>41</v>
      </c>
      <c r="B38" s="40"/>
      <c r="C38" s="40"/>
      <c r="D38" s="40"/>
      <c r="E38" s="40"/>
      <c r="F38" s="40"/>
      <c r="G38" s="47">
        <f>N87</f>
        <v>927.30899999999997</v>
      </c>
      <c r="H38" s="40"/>
      <c r="I38" s="40"/>
      <c r="J38" s="40"/>
      <c r="K38" s="40"/>
      <c r="L38" s="40"/>
      <c r="M38" s="40"/>
      <c r="N38" s="40"/>
      <c r="O38" s="121">
        <f>0.05*SUM(B38:N38)</f>
        <v>46.365450000000003</v>
      </c>
      <c r="P38" s="66">
        <f t="shared" si="6"/>
        <v>973.67444999999998</v>
      </c>
      <c r="Q38" s="70"/>
    </row>
    <row r="39" spans="1:17" s="62" customFormat="1" ht="14.25" thickBot="1" x14ac:dyDescent="0.35">
      <c r="A39" s="13" t="s">
        <v>225</v>
      </c>
      <c r="B39" s="127">
        <f>SUM(B36:B38)</f>
        <v>0</v>
      </c>
      <c r="C39" s="127">
        <f t="shared" ref="C39:O39" si="7">SUM(C36:C38)</f>
        <v>0</v>
      </c>
      <c r="D39" s="127">
        <f t="shared" si="7"/>
        <v>0</v>
      </c>
      <c r="E39" s="127">
        <f t="shared" si="7"/>
        <v>0</v>
      </c>
      <c r="F39" s="127">
        <f t="shared" si="7"/>
        <v>0</v>
      </c>
      <c r="G39" s="127">
        <f t="shared" si="7"/>
        <v>927.30899999999997</v>
      </c>
      <c r="H39" s="127">
        <f t="shared" si="7"/>
        <v>0</v>
      </c>
      <c r="I39" s="127">
        <f t="shared" si="7"/>
        <v>0</v>
      </c>
      <c r="J39" s="127">
        <f t="shared" si="7"/>
        <v>0</v>
      </c>
      <c r="K39" s="127">
        <f t="shared" si="7"/>
        <v>0</v>
      </c>
      <c r="L39" s="127">
        <f t="shared" si="7"/>
        <v>0</v>
      </c>
      <c r="M39" s="127">
        <f t="shared" si="7"/>
        <v>0</v>
      </c>
      <c r="N39" s="127">
        <f t="shared" si="7"/>
        <v>0</v>
      </c>
      <c r="O39" s="127">
        <f t="shared" si="7"/>
        <v>46.365450000000003</v>
      </c>
      <c r="P39" s="66">
        <f t="shared" si="6"/>
        <v>973.67444999999998</v>
      </c>
      <c r="Q39" s="123"/>
    </row>
    <row r="40" spans="1:17" ht="14.25" thickBot="1" x14ac:dyDescent="0.35">
      <c r="A40" s="13" t="s">
        <v>79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38"/>
      <c r="P40" s="66">
        <f t="shared" si="6"/>
        <v>0</v>
      </c>
    </row>
    <row r="41" spans="1:17" ht="14.25" thickBot="1" x14ac:dyDescent="0.35">
      <c r="A41" s="14" t="s">
        <v>117</v>
      </c>
      <c r="B41" s="40"/>
      <c r="C41" s="6">
        <v>1620</v>
      </c>
      <c r="D41" s="40"/>
      <c r="E41" s="40"/>
      <c r="F41" s="40"/>
      <c r="G41" s="8">
        <v>162</v>
      </c>
      <c r="H41" s="40"/>
      <c r="I41" s="40"/>
      <c r="J41" s="40"/>
      <c r="K41" s="40"/>
      <c r="L41" s="40"/>
      <c r="M41" s="40"/>
      <c r="N41" s="40"/>
      <c r="O41" s="66"/>
      <c r="P41" s="66">
        <f t="shared" si="6"/>
        <v>1782</v>
      </c>
    </row>
    <row r="42" spans="1:17" ht="14.25" thickBot="1" x14ac:dyDescent="0.35">
      <c r="A42" s="14" t="s">
        <v>128</v>
      </c>
      <c r="B42" s="44">
        <f t="shared" ref="B42:L42" si="8">SUM(B18:B41)</f>
        <v>0</v>
      </c>
      <c r="C42" s="44">
        <f t="shared" si="8"/>
        <v>1755230</v>
      </c>
      <c r="D42" s="44">
        <f t="shared" si="8"/>
        <v>0</v>
      </c>
      <c r="E42" s="44">
        <f t="shared" si="8"/>
        <v>0</v>
      </c>
      <c r="F42" s="44">
        <f t="shared" si="8"/>
        <v>0</v>
      </c>
      <c r="G42" s="44">
        <f t="shared" si="8"/>
        <v>2016.6179999999999</v>
      </c>
      <c r="H42" s="44">
        <f t="shared" si="8"/>
        <v>0</v>
      </c>
      <c r="I42" s="44">
        <f t="shared" si="8"/>
        <v>0</v>
      </c>
      <c r="J42" s="44">
        <f t="shared" si="8"/>
        <v>0</v>
      </c>
      <c r="K42" s="44">
        <f t="shared" si="8"/>
        <v>0</v>
      </c>
      <c r="L42" s="44">
        <f t="shared" si="8"/>
        <v>0</v>
      </c>
      <c r="M42" s="44"/>
      <c r="N42" s="44">
        <f>SUM(N18:N41)</f>
        <v>293673.49749199999</v>
      </c>
      <c r="O42" s="44">
        <f>SUM(O18:O41)</f>
        <v>102456.9057746</v>
      </c>
      <c r="P42" s="66">
        <f>P41+P39+P34+P27</f>
        <v>1111561.9472160998</v>
      </c>
    </row>
    <row r="43" spans="1:17" ht="14.25" thickBot="1" x14ac:dyDescent="0.35">
      <c r="P43" s="66"/>
      <c r="Q43" s="67"/>
    </row>
    <row r="44" spans="1:17" ht="41.25" thickBot="1" x14ac:dyDescent="0.35">
      <c r="A44" s="28" t="s">
        <v>169</v>
      </c>
      <c r="B44" s="3" t="s">
        <v>4</v>
      </c>
      <c r="C44" s="3" t="s">
        <v>5</v>
      </c>
      <c r="D44" s="3" t="s">
        <v>6</v>
      </c>
      <c r="E44" s="3" t="s">
        <v>7</v>
      </c>
      <c r="F44" s="3" t="s">
        <v>8</v>
      </c>
      <c r="G44" s="3" t="s">
        <v>9</v>
      </c>
      <c r="H44" s="3" t="s">
        <v>10</v>
      </c>
      <c r="I44" s="3" t="s">
        <v>11</v>
      </c>
      <c r="J44" s="3" t="s">
        <v>12</v>
      </c>
      <c r="K44" s="3" t="s">
        <v>14</v>
      </c>
      <c r="L44" s="3" t="s">
        <v>89</v>
      </c>
      <c r="M44" s="3" t="s">
        <v>222</v>
      </c>
      <c r="N44" s="3" t="s">
        <v>49</v>
      </c>
      <c r="O44" s="1" t="s">
        <v>1</v>
      </c>
      <c r="P44" s="1" t="s">
        <v>2</v>
      </c>
    </row>
    <row r="45" spans="1:17" ht="30.75" customHeight="1" thickBot="1" x14ac:dyDescent="0.35">
      <c r="A45" s="21" t="s">
        <v>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3"/>
      <c r="M45" s="19"/>
      <c r="N45" s="19"/>
      <c r="O45" s="19"/>
      <c r="P45" s="66"/>
    </row>
    <row r="46" spans="1:17" ht="14.25" hidden="1" thickBot="1" x14ac:dyDescent="0.35">
      <c r="A46" s="24" t="s">
        <v>101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41"/>
      <c r="P46" s="66"/>
    </row>
    <row r="47" spans="1:17" ht="14.25" hidden="1" thickBot="1" x14ac:dyDescent="0.35">
      <c r="A47" s="21" t="s">
        <v>102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41"/>
      <c r="P47" s="66"/>
    </row>
    <row r="48" spans="1:17" ht="14.25" hidden="1" thickBot="1" x14ac:dyDescent="0.35">
      <c r="A48" s="21" t="s">
        <v>103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41"/>
      <c r="P48" s="66"/>
    </row>
    <row r="49" spans="1:17" ht="14.25" hidden="1" thickBot="1" x14ac:dyDescent="0.35">
      <c r="A49" s="21" t="s">
        <v>104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41"/>
      <c r="P49" s="66"/>
    </row>
    <row r="50" spans="1:17" ht="14.25" hidden="1" thickBot="1" x14ac:dyDescent="0.35">
      <c r="A50" s="21" t="s">
        <v>21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41"/>
      <c r="P50" s="66"/>
    </row>
    <row r="51" spans="1:17" ht="14.25" hidden="1" thickBot="1" x14ac:dyDescent="0.35">
      <c r="A51" s="21" t="s">
        <v>105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41"/>
      <c r="P51" s="66"/>
    </row>
    <row r="52" spans="1:17" ht="14.25" hidden="1" thickBot="1" x14ac:dyDescent="0.35">
      <c r="A52" s="21" t="s">
        <v>106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41"/>
      <c r="P52" s="66"/>
    </row>
    <row r="53" spans="1:17" ht="14.25" hidden="1" thickBot="1" x14ac:dyDescent="0.35">
      <c r="A53" s="21" t="s">
        <v>107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41"/>
      <c r="P53" s="66"/>
    </row>
    <row r="54" spans="1:17" ht="14.25" hidden="1" thickBot="1" x14ac:dyDescent="0.35">
      <c r="A54" s="24" t="s">
        <v>96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41"/>
      <c r="P54" s="66"/>
    </row>
    <row r="55" spans="1:17" ht="14.25" hidden="1" thickBot="1" x14ac:dyDescent="0.35">
      <c r="A55" s="21" t="s">
        <v>97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41"/>
      <c r="P55" s="66"/>
    </row>
    <row r="56" spans="1:17" ht="14.25" hidden="1" thickBot="1" x14ac:dyDescent="0.35">
      <c r="A56" s="21" t="s">
        <v>25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41"/>
      <c r="P56" s="66"/>
    </row>
    <row r="57" spans="1:17" ht="14.25" hidden="1" thickBot="1" x14ac:dyDescent="0.35">
      <c r="A57" s="21" t="s">
        <v>26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41"/>
      <c r="P57" s="66"/>
    </row>
    <row r="58" spans="1:17" ht="15.75" customHeight="1" thickBot="1" x14ac:dyDescent="0.35">
      <c r="A58" s="24" t="s">
        <v>135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38"/>
      <c r="P58" s="66"/>
    </row>
    <row r="59" spans="1:17" ht="14.25" thickBot="1" x14ac:dyDescent="0.35">
      <c r="A59" s="24" t="s">
        <v>91</v>
      </c>
      <c r="B59" s="72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38"/>
      <c r="P59" s="66"/>
    </row>
    <row r="60" spans="1:17" ht="14.25" thickBot="1" x14ac:dyDescent="0.35">
      <c r="A60" s="21" t="s">
        <v>92</v>
      </c>
      <c r="B60" s="45"/>
      <c r="C60" s="45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38"/>
      <c r="P60" s="66"/>
      <c r="Q60" s="70"/>
    </row>
    <row r="61" spans="1:17" ht="14.25" thickBot="1" x14ac:dyDescent="0.35">
      <c r="A61" s="14" t="s">
        <v>21</v>
      </c>
      <c r="B61" s="39"/>
      <c r="C61" s="22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1"/>
      <c r="P61" s="66">
        <f t="shared" ref="P61:P73" si="9">SUM(B61:O61)</f>
        <v>0</v>
      </c>
    </row>
    <row r="62" spans="1:17" ht="14.25" thickBot="1" x14ac:dyDescent="0.35">
      <c r="A62" s="14" t="s">
        <v>193</v>
      </c>
      <c r="B62" s="39"/>
      <c r="C62" s="22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41"/>
      <c r="P62" s="66">
        <f t="shared" si="9"/>
        <v>0</v>
      </c>
    </row>
    <row r="63" spans="1:17" ht="14.25" thickBot="1" x14ac:dyDescent="0.35">
      <c r="A63" s="14" t="s">
        <v>194</v>
      </c>
      <c r="B63" s="39"/>
      <c r="C63" s="22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41"/>
      <c r="P63" s="66">
        <f t="shared" si="9"/>
        <v>0</v>
      </c>
    </row>
    <row r="64" spans="1:17" ht="14.25" thickBot="1" x14ac:dyDescent="0.35">
      <c r="A64" s="14" t="s">
        <v>195</v>
      </c>
      <c r="B64" s="39"/>
      <c r="C64" s="22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41"/>
      <c r="P64" s="66">
        <f t="shared" si="9"/>
        <v>0</v>
      </c>
    </row>
    <row r="65" spans="1:17" ht="14.25" thickBot="1" x14ac:dyDescent="0.35">
      <c r="A65" s="14" t="s">
        <v>196</v>
      </c>
      <c r="B65" s="39"/>
      <c r="C65" s="22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41"/>
      <c r="P65" s="66">
        <f t="shared" si="9"/>
        <v>0</v>
      </c>
    </row>
    <row r="66" spans="1:17" ht="14.25" thickBot="1" x14ac:dyDescent="0.35">
      <c r="A66" s="14" t="s">
        <v>197</v>
      </c>
      <c r="B66" s="39"/>
      <c r="C66" s="22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41"/>
      <c r="P66" s="66">
        <f t="shared" si="9"/>
        <v>0</v>
      </c>
    </row>
    <row r="67" spans="1:17" ht="14.25" thickBot="1" x14ac:dyDescent="0.35">
      <c r="A67" s="24" t="s">
        <v>50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38"/>
      <c r="P67" s="66">
        <f t="shared" si="9"/>
        <v>0</v>
      </c>
    </row>
    <row r="68" spans="1:17" ht="14.25" thickBot="1" x14ac:dyDescent="0.35">
      <c r="A68" s="14" t="s">
        <v>29</v>
      </c>
      <c r="B68" s="84"/>
      <c r="C68" s="84"/>
      <c r="D68" s="84"/>
      <c r="E68" s="84"/>
      <c r="F68" s="84"/>
      <c r="G68" s="84"/>
      <c r="H68" s="85">
        <v>361976</v>
      </c>
      <c r="I68" s="84"/>
      <c r="J68" s="84"/>
      <c r="K68" s="84"/>
      <c r="L68" s="85"/>
      <c r="M68" s="84"/>
      <c r="N68" s="84"/>
      <c r="O68" s="66">
        <f t="shared" ref="O68:O73" si="10">0.05*SUM(B68:N68)</f>
        <v>18098.8</v>
      </c>
      <c r="P68" s="66">
        <f t="shared" si="9"/>
        <v>380074.8</v>
      </c>
    </row>
    <row r="69" spans="1:17" ht="14.25" thickBot="1" x14ac:dyDescent="0.35">
      <c r="A69" s="14" t="s">
        <v>156</v>
      </c>
      <c r="B69" s="84"/>
      <c r="C69" s="84"/>
      <c r="D69" s="84"/>
      <c r="E69" s="84"/>
      <c r="F69" s="85">
        <v>14075</v>
      </c>
      <c r="G69" s="84"/>
      <c r="H69" s="85">
        <v>237718</v>
      </c>
      <c r="I69" s="84"/>
      <c r="J69" s="84"/>
      <c r="K69" s="84"/>
      <c r="L69" s="84"/>
      <c r="M69" s="84"/>
      <c r="N69" s="84"/>
      <c r="O69" s="66">
        <f t="shared" si="10"/>
        <v>12589.650000000001</v>
      </c>
      <c r="P69" s="66">
        <f t="shared" si="9"/>
        <v>264382.65000000002</v>
      </c>
    </row>
    <row r="70" spans="1:17" ht="14.25" thickBot="1" x14ac:dyDescent="0.35">
      <c r="A70" s="14" t="s">
        <v>151</v>
      </c>
      <c r="B70" s="84"/>
      <c r="C70" s="84"/>
      <c r="D70" s="84"/>
      <c r="E70" s="84"/>
      <c r="F70" s="85">
        <f>8643+138109</f>
        <v>146752</v>
      </c>
      <c r="G70" s="84"/>
      <c r="H70" s="84"/>
      <c r="I70" s="84"/>
      <c r="J70" s="84"/>
      <c r="K70" s="84"/>
      <c r="L70" s="84"/>
      <c r="M70" s="84"/>
      <c r="N70" s="84"/>
      <c r="O70" s="66">
        <f t="shared" si="10"/>
        <v>7337.6</v>
      </c>
      <c r="P70" s="66">
        <f t="shared" si="9"/>
        <v>154089.60000000001</v>
      </c>
    </row>
    <row r="71" spans="1:17" ht="14.25" thickBot="1" x14ac:dyDescent="0.35">
      <c r="A71" s="14" t="s">
        <v>152</v>
      </c>
      <c r="B71" s="84"/>
      <c r="C71" s="89"/>
      <c r="D71" s="89"/>
      <c r="E71" s="89"/>
      <c r="F71" s="90"/>
      <c r="G71" s="90"/>
      <c r="H71" s="90"/>
      <c r="I71" s="89"/>
      <c r="J71" s="89"/>
      <c r="K71" s="89">
        <f>8329+19194</f>
        <v>27523</v>
      </c>
      <c r="L71" s="90"/>
      <c r="M71" s="89"/>
      <c r="N71" s="90"/>
      <c r="O71" s="66">
        <f t="shared" si="10"/>
        <v>1376.15</v>
      </c>
      <c r="P71" s="66">
        <f t="shared" si="9"/>
        <v>28899.15</v>
      </c>
    </row>
    <row r="72" spans="1:17" ht="14.25" thickBot="1" x14ac:dyDescent="0.35">
      <c r="A72" s="14" t="s">
        <v>153</v>
      </c>
      <c r="B72" s="84"/>
      <c r="C72" s="90"/>
      <c r="D72" s="89"/>
      <c r="E72" s="90"/>
      <c r="F72" s="89"/>
      <c r="G72" s="90">
        <f>18920+2947</f>
        <v>21867</v>
      </c>
      <c r="H72" s="90"/>
      <c r="I72" s="90"/>
      <c r="J72" s="89"/>
      <c r="K72" s="90"/>
      <c r="L72" s="90"/>
      <c r="M72" s="90"/>
      <c r="N72" s="89"/>
      <c r="O72" s="66">
        <f t="shared" si="10"/>
        <v>1093.3500000000001</v>
      </c>
      <c r="P72" s="66">
        <f t="shared" si="9"/>
        <v>22960.35</v>
      </c>
    </row>
    <row r="73" spans="1:17" ht="14.25" thickBot="1" x14ac:dyDescent="0.35">
      <c r="A73" s="14" t="s">
        <v>154</v>
      </c>
      <c r="B73" s="84"/>
      <c r="C73" s="89"/>
      <c r="D73" s="89"/>
      <c r="E73" s="89"/>
      <c r="F73" s="89"/>
      <c r="G73" s="90"/>
      <c r="H73" s="89"/>
      <c r="I73" s="90">
        <v>66894</v>
      </c>
      <c r="J73" s="89"/>
      <c r="K73" s="90"/>
      <c r="L73" s="90"/>
      <c r="M73" s="90"/>
      <c r="N73" s="89"/>
      <c r="O73" s="66">
        <f t="shared" si="10"/>
        <v>3344.7000000000003</v>
      </c>
      <c r="P73" s="66">
        <f t="shared" si="9"/>
        <v>70238.7</v>
      </c>
      <c r="Q73" s="70"/>
    </row>
    <row r="74" spans="1:17" s="62" customFormat="1" ht="14.25" thickBot="1" x14ac:dyDescent="0.35">
      <c r="A74" s="13" t="s">
        <v>225</v>
      </c>
      <c r="B74" s="120">
        <f>SUM(B68:B73)</f>
        <v>0</v>
      </c>
      <c r="C74" s="120">
        <f t="shared" ref="C74:P74" si="11">SUM(C68:C73)</f>
        <v>0</v>
      </c>
      <c r="D74" s="120">
        <f t="shared" si="11"/>
        <v>0</v>
      </c>
      <c r="E74" s="120">
        <f t="shared" si="11"/>
        <v>0</v>
      </c>
      <c r="F74" s="120">
        <f t="shared" si="11"/>
        <v>160827</v>
      </c>
      <c r="G74" s="120">
        <f t="shared" si="11"/>
        <v>21867</v>
      </c>
      <c r="H74" s="120">
        <f t="shared" si="11"/>
        <v>599694</v>
      </c>
      <c r="I74" s="120">
        <f t="shared" si="11"/>
        <v>66894</v>
      </c>
      <c r="J74" s="120">
        <f t="shared" si="11"/>
        <v>0</v>
      </c>
      <c r="K74" s="120">
        <f t="shared" si="11"/>
        <v>27523</v>
      </c>
      <c r="L74" s="120">
        <f t="shared" si="11"/>
        <v>0</v>
      </c>
      <c r="M74" s="120">
        <f t="shared" si="11"/>
        <v>0</v>
      </c>
      <c r="N74" s="120">
        <f t="shared" si="11"/>
        <v>0</v>
      </c>
      <c r="O74" s="120">
        <f t="shared" si="11"/>
        <v>43840.25</v>
      </c>
      <c r="P74" s="120">
        <f t="shared" si="11"/>
        <v>920645.24999999988</v>
      </c>
      <c r="Q74" s="123"/>
    </row>
    <row r="75" spans="1:17" ht="14.25" thickBot="1" x14ac:dyDescent="0.35">
      <c r="A75" s="13" t="s">
        <v>54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9"/>
      <c r="P75" s="66">
        <f t="shared" ref="P75:P86" si="12">SUM(B75:O75)</f>
        <v>0</v>
      </c>
    </row>
    <row r="76" spans="1:17" ht="14.25" thickBot="1" x14ac:dyDescent="0.35">
      <c r="A76" s="14" t="s">
        <v>183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31">
        <f>[5]Sheet2!$G$50/1000000</f>
        <v>47805.348698000002</v>
      </c>
      <c r="O76" s="66">
        <f>0.025*SUM(B76:N76)</f>
        <v>1195.1337174500002</v>
      </c>
      <c r="P76" s="66">
        <f t="shared" si="12"/>
        <v>49000.482415450002</v>
      </c>
      <c r="Q76" s="5">
        <v>1079171.3106332999</v>
      </c>
    </row>
    <row r="77" spans="1:17" ht="14.25" thickBot="1" x14ac:dyDescent="0.35">
      <c r="A77" s="14" t="s">
        <v>184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31">
        <f>[5]Sheet3!$G$14/1000000</f>
        <v>21.326284000000001</v>
      </c>
      <c r="O77" s="66">
        <f t="shared" ref="O77:O81" si="13">0.05*SUM(B77:N77)</f>
        <v>1.0663142000000001</v>
      </c>
      <c r="P77" s="66">
        <f t="shared" si="12"/>
        <v>22.392598200000002</v>
      </c>
      <c r="Q77" s="5">
        <v>1018474.059682</v>
      </c>
    </row>
    <row r="78" spans="1:17" ht="27.75" thickBot="1" x14ac:dyDescent="0.35">
      <c r="A78" s="14" t="s">
        <v>185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31">
        <f>[5]Sheet4!$G$44/1000000</f>
        <v>351.21760399999999</v>
      </c>
      <c r="O78" s="66">
        <f t="shared" si="13"/>
        <v>17.5608802</v>
      </c>
      <c r="P78" s="66">
        <f t="shared" si="12"/>
        <v>368.77848419999998</v>
      </c>
      <c r="Q78" s="116">
        <f>Q76-Q77</f>
        <v>60697.25095129991</v>
      </c>
    </row>
    <row r="79" spans="1:17" ht="27.75" thickBot="1" x14ac:dyDescent="0.35">
      <c r="A79" s="14" t="s">
        <v>186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31">
        <f>[5]Sheet5!$G$31/1000000</f>
        <v>62.216650000000001</v>
      </c>
      <c r="O79" s="66">
        <f t="shared" si="13"/>
        <v>3.1108325000000003</v>
      </c>
      <c r="P79" s="66">
        <f t="shared" si="12"/>
        <v>65.327482500000002</v>
      </c>
    </row>
    <row r="80" spans="1:17" ht="27.75" thickBot="1" x14ac:dyDescent="0.35">
      <c r="A80" s="14" t="s">
        <v>187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31">
        <f>[5]Sheet6!$G$28/1000000</f>
        <v>91743.641445999994</v>
      </c>
      <c r="O80" s="66">
        <f t="shared" si="13"/>
        <v>4587.1820723000001</v>
      </c>
      <c r="P80" s="66">
        <f t="shared" si="12"/>
        <v>96330.823518299992</v>
      </c>
      <c r="Q80" s="70"/>
    </row>
    <row r="81" spans="1:17" s="62" customFormat="1" ht="14.25" thickBot="1" x14ac:dyDescent="0.35">
      <c r="A81" s="24" t="s">
        <v>225</v>
      </c>
      <c r="B81" s="126">
        <f>SUM(B76:B80)</f>
        <v>0</v>
      </c>
      <c r="C81" s="126">
        <f t="shared" ref="C81:N81" si="14">SUM(C76:C80)</f>
        <v>0</v>
      </c>
      <c r="D81" s="126">
        <f t="shared" si="14"/>
        <v>0</v>
      </c>
      <c r="E81" s="126">
        <f t="shared" si="14"/>
        <v>0</v>
      </c>
      <c r="F81" s="126">
        <f t="shared" si="14"/>
        <v>0</v>
      </c>
      <c r="G81" s="126">
        <f t="shared" si="14"/>
        <v>0</v>
      </c>
      <c r="H81" s="126">
        <f t="shared" si="14"/>
        <v>0</v>
      </c>
      <c r="I81" s="126">
        <f t="shared" si="14"/>
        <v>0</v>
      </c>
      <c r="J81" s="126">
        <f t="shared" si="14"/>
        <v>0</v>
      </c>
      <c r="K81" s="126">
        <f t="shared" si="14"/>
        <v>0</v>
      </c>
      <c r="L81" s="126">
        <f t="shared" si="14"/>
        <v>0</v>
      </c>
      <c r="M81" s="126"/>
      <c r="N81" s="126">
        <f t="shared" si="14"/>
        <v>139983.75068200001</v>
      </c>
      <c r="O81" s="66">
        <f t="shared" si="13"/>
        <v>6999.1875341000014</v>
      </c>
      <c r="P81" s="126">
        <f t="shared" si="12"/>
        <v>146982.93821610001</v>
      </c>
    </row>
    <row r="82" spans="1:17" ht="14.25" thickBot="1" x14ac:dyDescent="0.35">
      <c r="A82" s="13" t="s">
        <v>39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38"/>
      <c r="P82" s="66">
        <f t="shared" si="12"/>
        <v>0</v>
      </c>
    </row>
    <row r="83" spans="1:17" ht="14.25" thickBot="1" x14ac:dyDescent="0.35">
      <c r="A83" s="14" t="s">
        <v>120</v>
      </c>
      <c r="B83" s="44"/>
      <c r="C83" s="44"/>
      <c r="D83" s="44"/>
      <c r="E83" s="44"/>
      <c r="F83" s="44">
        <f>MSUT2010!F80</f>
        <v>11642.749596</v>
      </c>
      <c r="G83" s="44">
        <f>MSUT2010!G80</f>
        <v>2910.6873989999999</v>
      </c>
      <c r="H83" s="44"/>
      <c r="I83" s="44"/>
      <c r="J83" s="44"/>
      <c r="K83" s="44"/>
      <c r="L83" s="44"/>
      <c r="M83" s="44"/>
      <c r="N83" s="115"/>
      <c r="O83" s="38"/>
      <c r="P83" s="66">
        <f t="shared" si="12"/>
        <v>14553.436995</v>
      </c>
    </row>
    <row r="84" spans="1:17" ht="14.25" thickBot="1" x14ac:dyDescent="0.35">
      <c r="A84" s="14" t="s">
        <v>121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173"/>
      <c r="N84" s="175"/>
      <c r="O84" s="38"/>
      <c r="P84" s="66">
        <f t="shared" si="12"/>
        <v>0</v>
      </c>
    </row>
    <row r="85" spans="1:17" ht="14.25" thickBot="1" x14ac:dyDescent="0.35">
      <c r="A85" s="14" t="s">
        <v>58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174"/>
      <c r="N85" s="176"/>
      <c r="O85" s="38"/>
      <c r="P85" s="66">
        <f t="shared" si="12"/>
        <v>0</v>
      </c>
    </row>
    <row r="86" spans="1:17" ht="14.25" thickBot="1" x14ac:dyDescent="0.35">
      <c r="A86" s="14" t="s">
        <v>130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6">
        <v>927.30899999999997</v>
      </c>
      <c r="O86" s="38"/>
      <c r="P86" s="66">
        <f t="shared" si="12"/>
        <v>927.30899999999997</v>
      </c>
      <c r="Q86" s="70"/>
    </row>
    <row r="87" spans="1:17" s="62" customFormat="1" ht="14.25" thickBot="1" x14ac:dyDescent="0.35">
      <c r="A87" s="13" t="s">
        <v>225</v>
      </c>
      <c r="B87" s="127">
        <f>SUM(B83:B86)</f>
        <v>0</v>
      </c>
      <c r="C87" s="127">
        <f t="shared" ref="C87:P87" si="15">SUM(C83:C86)</f>
        <v>0</v>
      </c>
      <c r="D87" s="127">
        <f t="shared" si="15"/>
        <v>0</v>
      </c>
      <c r="E87" s="127">
        <f t="shared" si="15"/>
        <v>0</v>
      </c>
      <c r="F87" s="127">
        <f t="shared" si="15"/>
        <v>11642.749596</v>
      </c>
      <c r="G87" s="127">
        <f t="shared" si="15"/>
        <v>2910.6873989999999</v>
      </c>
      <c r="H87" s="127">
        <f t="shared" si="15"/>
        <v>0</v>
      </c>
      <c r="I87" s="127">
        <f t="shared" si="15"/>
        <v>0</v>
      </c>
      <c r="J87" s="127">
        <f t="shared" si="15"/>
        <v>0</v>
      </c>
      <c r="K87" s="127">
        <f t="shared" si="15"/>
        <v>0</v>
      </c>
      <c r="L87" s="127">
        <f t="shared" si="15"/>
        <v>0</v>
      </c>
      <c r="M87" s="127">
        <f t="shared" si="15"/>
        <v>0</v>
      </c>
      <c r="N87" s="127">
        <f>SUM(N83:N86)</f>
        <v>927.30899999999997</v>
      </c>
      <c r="O87" s="127">
        <f t="shared" si="15"/>
        <v>0</v>
      </c>
      <c r="P87" s="127">
        <f t="shared" si="15"/>
        <v>15480.745994999999</v>
      </c>
      <c r="Q87" s="127"/>
    </row>
    <row r="88" spans="1:17" ht="14.25" thickBot="1" x14ac:dyDescent="0.35">
      <c r="A88" s="13" t="s">
        <v>79</v>
      </c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38"/>
      <c r="P88" s="66">
        <f>SUM(B88:O88)</f>
        <v>0</v>
      </c>
    </row>
    <row r="89" spans="1:17" ht="14.25" thickBot="1" x14ac:dyDescent="0.35">
      <c r="A89" s="14" t="s">
        <v>146</v>
      </c>
      <c r="B89" s="45">
        <f>0.05*(B87+B81+B74)</f>
        <v>0</v>
      </c>
      <c r="C89" s="45">
        <f t="shared" ref="C89:M89" si="16">0.05*(C87+C81+C74)</f>
        <v>0</v>
      </c>
      <c r="D89" s="45">
        <f t="shared" si="16"/>
        <v>0</v>
      </c>
      <c r="E89" s="45">
        <f t="shared" si="16"/>
        <v>0</v>
      </c>
      <c r="F89" s="45">
        <f t="shared" si="16"/>
        <v>8623.4874798000001</v>
      </c>
      <c r="G89" s="45">
        <f t="shared" si="16"/>
        <v>1238.8843699500001</v>
      </c>
      <c r="H89" s="45">
        <f t="shared" si="16"/>
        <v>29984.7</v>
      </c>
      <c r="I89" s="45">
        <f t="shared" si="16"/>
        <v>3344.7000000000003</v>
      </c>
      <c r="J89" s="45">
        <f t="shared" si="16"/>
        <v>0</v>
      </c>
      <c r="K89" s="45">
        <f t="shared" si="16"/>
        <v>1376.15</v>
      </c>
      <c r="L89" s="45">
        <f t="shared" si="16"/>
        <v>0</v>
      </c>
      <c r="M89" s="45">
        <f t="shared" si="16"/>
        <v>0</v>
      </c>
      <c r="N89" s="45"/>
      <c r="O89" s="45"/>
      <c r="P89" s="66">
        <f>SUM(B89:O89)</f>
        <v>44567.921849749997</v>
      </c>
    </row>
    <row r="90" spans="1:17" ht="14.25" thickBot="1" x14ac:dyDescent="0.35">
      <c r="A90" s="14" t="s">
        <v>128</v>
      </c>
      <c r="B90" s="44">
        <f t="shared" ref="B90:L90" si="17">SUM(B47:B89)</f>
        <v>0</v>
      </c>
      <c r="C90" s="44">
        <f t="shared" si="17"/>
        <v>0</v>
      </c>
      <c r="D90" s="44">
        <f t="shared" si="17"/>
        <v>0</v>
      </c>
      <c r="E90" s="44">
        <f t="shared" si="17"/>
        <v>0</v>
      </c>
      <c r="F90" s="44">
        <f t="shared" si="17"/>
        <v>353562.98667180003</v>
      </c>
      <c r="G90" s="44">
        <f t="shared" si="17"/>
        <v>50794.259167950004</v>
      </c>
      <c r="H90" s="44">
        <f t="shared" si="17"/>
        <v>1229372.7</v>
      </c>
      <c r="I90" s="44">
        <f t="shared" si="17"/>
        <v>137132.70000000001</v>
      </c>
      <c r="J90" s="44">
        <f t="shared" si="17"/>
        <v>0</v>
      </c>
      <c r="K90" s="44">
        <f t="shared" si="17"/>
        <v>56422.15</v>
      </c>
      <c r="L90" s="44">
        <f t="shared" si="17"/>
        <v>0</v>
      </c>
      <c r="M90" s="44"/>
      <c r="N90" s="44">
        <f>SUM(N47:N89)</f>
        <v>281822.11936400004</v>
      </c>
      <c r="O90" s="44">
        <f>SUM(O47:O89)</f>
        <v>100483.74135074999</v>
      </c>
      <c r="P90" s="66">
        <f>P89+P87+P81+P74</f>
        <v>1127676.85606085</v>
      </c>
      <c r="Q90" s="70">
        <f>P90-P42</f>
        <v>16114.908844750142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2:AC14"/>
  <sheetViews>
    <sheetView workbookViewId="0">
      <selection activeCell="C9" sqref="C9"/>
    </sheetView>
  </sheetViews>
  <sheetFormatPr defaultColWidth="9.140625" defaultRowHeight="11.25" x14ac:dyDescent="0.2"/>
  <cols>
    <col min="1" max="2" width="9.140625" style="177"/>
    <col min="3" max="3" width="15.28515625" style="177" customWidth="1"/>
    <col min="4" max="7" width="9.28515625" style="177" bestFit="1" customWidth="1"/>
    <col min="8" max="8" width="9.5703125" style="177" bestFit="1" customWidth="1"/>
    <col min="9" max="16384" width="9.140625" style="177"/>
  </cols>
  <sheetData>
    <row r="2" spans="3:29" ht="22.5" x14ac:dyDescent="0.2">
      <c r="C2" s="178" t="s">
        <v>260</v>
      </c>
      <c r="D2" s="179"/>
      <c r="E2" s="179"/>
      <c r="F2" s="179"/>
      <c r="G2" s="179"/>
      <c r="H2" s="179"/>
      <c r="K2" s="178" t="s">
        <v>260</v>
      </c>
      <c r="L2" s="179"/>
      <c r="M2" s="179"/>
      <c r="N2" s="179"/>
      <c r="O2" s="179"/>
      <c r="P2" s="179"/>
      <c r="X2" s="178" t="s">
        <v>260</v>
      </c>
      <c r="Y2" s="179"/>
      <c r="Z2" s="179"/>
      <c r="AA2" s="179"/>
      <c r="AB2" s="179"/>
      <c r="AC2" s="179"/>
    </row>
    <row r="3" spans="3:29" ht="13.5" x14ac:dyDescent="0.2">
      <c r="C3" s="178"/>
      <c r="D3" s="179">
        <v>1990</v>
      </c>
      <c r="E3" s="179">
        <v>2000</v>
      </c>
      <c r="F3" s="179">
        <v>2005</v>
      </c>
      <c r="G3" s="179">
        <v>2010</v>
      </c>
      <c r="H3" s="179">
        <v>2015</v>
      </c>
      <c r="K3" s="178"/>
      <c r="L3" s="179">
        <v>1990</v>
      </c>
      <c r="M3" s="179">
        <v>2000</v>
      </c>
      <c r="N3" s="179">
        <v>2005</v>
      </c>
      <c r="O3" s="179">
        <v>2010</v>
      </c>
      <c r="P3" s="179">
        <v>2015</v>
      </c>
      <c r="R3" s="168">
        <v>1990</v>
      </c>
      <c r="S3" s="168">
        <v>2000</v>
      </c>
      <c r="T3" s="168">
        <v>2005</v>
      </c>
      <c r="U3" s="168">
        <v>2010</v>
      </c>
      <c r="V3" s="168">
        <v>2015</v>
      </c>
      <c r="X3" s="178"/>
      <c r="Y3" s="179">
        <v>1990</v>
      </c>
      <c r="Z3" s="179">
        <v>2000</v>
      </c>
      <c r="AA3" s="179">
        <v>2005</v>
      </c>
      <c r="AB3" s="179">
        <v>2010</v>
      </c>
      <c r="AC3" s="179">
        <v>2015</v>
      </c>
    </row>
    <row r="4" spans="3:29" ht="33.75" x14ac:dyDescent="0.2">
      <c r="C4" s="178" t="str">
        <f>'PSUT 1990'!A22</f>
        <v>Sawn wood ('000 t)</v>
      </c>
      <c r="D4" s="92">
        <f>'PSUT 1990'!C22</f>
        <v>324</v>
      </c>
      <c r="E4" s="92">
        <f>'PSUT 2000'!C21</f>
        <v>652</v>
      </c>
      <c r="F4" s="92">
        <f>'PSUT 2005'!C21</f>
        <v>902</v>
      </c>
      <c r="G4" s="92">
        <f>'PSUT 2010'!C22</f>
        <v>1847</v>
      </c>
      <c r="H4" s="92">
        <f>'PSUT 2015'!C22</f>
        <v>2453</v>
      </c>
      <c r="K4" s="178" t="str">
        <f>'MSUT 1990'!A21</f>
        <v>Sawn wood (Timber) (UGX mill)</v>
      </c>
      <c r="L4" s="180">
        <f>'MSUT 1990'!C21</f>
        <v>5530</v>
      </c>
      <c r="M4" s="180">
        <f>'MSUT 2000'!C18</f>
        <v>23180</v>
      </c>
      <c r="N4" s="180">
        <f>'MSUT 2005'!C22</f>
        <v>37648</v>
      </c>
      <c r="O4" s="180">
        <f>MSUT2010!C21</f>
        <v>132677</v>
      </c>
      <c r="P4" s="180">
        <f>'MSUT 2015'!C21</f>
        <v>361976</v>
      </c>
      <c r="R4" s="169">
        <v>428.85500000000002</v>
      </c>
      <c r="S4" s="169">
        <v>1644.4749999999999</v>
      </c>
      <c r="T4" s="169">
        <v>1780.54</v>
      </c>
      <c r="U4" s="169">
        <v>2177.558</v>
      </c>
      <c r="V4" s="169">
        <v>3240.645</v>
      </c>
      <c r="X4" s="178" t="s">
        <v>263</v>
      </c>
      <c r="Y4" s="180">
        <f>L4/$R$4</f>
        <v>12.894801273157594</v>
      </c>
      <c r="Z4" s="180">
        <f>M4/$S$4</f>
        <v>14.095684032898038</v>
      </c>
      <c r="AA4" s="180">
        <f>N4/$T$4</f>
        <v>21.144147281161896</v>
      </c>
      <c r="AB4" s="180">
        <f>O4/$U$4</f>
        <v>60.929261126454499</v>
      </c>
      <c r="AC4" s="180">
        <f>P4/$V$4</f>
        <v>111.69875132882497</v>
      </c>
    </row>
    <row r="5" spans="3:29" ht="22.5" x14ac:dyDescent="0.2">
      <c r="C5" s="178" t="str">
        <f>'PSUT 1990'!A23</f>
        <v>Poles ('000 t)</v>
      </c>
      <c r="D5" s="92">
        <f>'PSUT 1990'!C23</f>
        <v>431</v>
      </c>
      <c r="E5" s="92">
        <f>'PSUT 2000'!C22</f>
        <v>659</v>
      </c>
      <c r="F5" s="92">
        <f>'PSUT 2005'!C22</f>
        <v>808</v>
      </c>
      <c r="G5" s="92">
        <f>'PSUT 2010'!C23</f>
        <v>1013</v>
      </c>
      <c r="H5" s="92">
        <f>'PSUT 2015'!C23</f>
        <v>1247</v>
      </c>
      <c r="K5" s="178" t="str">
        <f>'MSUT 1990'!A22</f>
        <v>Poles (UGX mill)</v>
      </c>
      <c r="L5" s="180">
        <f>'MSUT 1990'!C22</f>
        <v>3136</v>
      </c>
      <c r="M5" s="180">
        <f>'MSUT 2000'!C19</f>
        <v>11564</v>
      </c>
      <c r="N5" s="180">
        <f>'MSUT 2005'!C23</f>
        <v>15177</v>
      </c>
      <c r="O5" s="180">
        <f>MSUT2010!C22</f>
        <v>41438</v>
      </c>
      <c r="P5" s="180">
        <f>'MSUT 2015'!C22</f>
        <v>251793</v>
      </c>
      <c r="X5" s="178" t="s">
        <v>249</v>
      </c>
      <c r="Y5" s="180">
        <f t="shared" ref="Y5:Y10" si="0">L5/$R$4</f>
        <v>7.3124948992083567</v>
      </c>
      <c r="Z5" s="180">
        <f t="shared" ref="Z5:Z10" si="1">M5/$S$4</f>
        <v>7.0320314994147068</v>
      </c>
      <c r="AA5" s="180">
        <f t="shared" ref="AA5:AA10" si="2">N5/$T$4</f>
        <v>8.5238186168241104</v>
      </c>
      <c r="AB5" s="180">
        <f t="shared" ref="AB5:AB10" si="3">O5/$U$4</f>
        <v>19.029573494712885</v>
      </c>
      <c r="AC5" s="180">
        <f t="shared" ref="AC5:AC10" si="4">P5/$V$4</f>
        <v>77.698421147641909</v>
      </c>
    </row>
    <row r="6" spans="3:29" ht="33.75" x14ac:dyDescent="0.2">
      <c r="C6" s="178" t="str">
        <f>'PSUT 1990'!A24</f>
        <v>Firewood Household ('000 ts)</v>
      </c>
      <c r="D6" s="92">
        <f>'PSUT 1990'!C24</f>
        <v>11654</v>
      </c>
      <c r="E6" s="92">
        <f>'PSUT 2000'!C23</f>
        <v>16100</v>
      </c>
      <c r="F6" s="92">
        <f>'PSUT 2005'!C23</f>
        <v>19021</v>
      </c>
      <c r="G6" s="92">
        <f>'PSUT 2010'!C24</f>
        <v>22692</v>
      </c>
      <c r="H6" s="92">
        <f>'PSUT 2015'!C24</f>
        <v>27024</v>
      </c>
      <c r="K6" s="178" t="str">
        <f>'MSUT 1990'!A23</f>
        <v>Firewood Household (UGX mill)</v>
      </c>
      <c r="L6" s="180">
        <f>'MSUT 1990'!C23</f>
        <v>16125</v>
      </c>
      <c r="M6" s="180">
        <f>'MSUT 2000'!C20</f>
        <v>55383</v>
      </c>
      <c r="N6" s="180">
        <f>'MSUT 2005'!C24</f>
        <v>111117</v>
      </c>
      <c r="O6" s="180">
        <f>MSUT2010!C23</f>
        <v>128916</v>
      </c>
      <c r="P6" s="180">
        <f>'MSUT 2015'!C23</f>
        <v>146752</v>
      </c>
      <c r="X6" s="178" t="s">
        <v>250</v>
      </c>
      <c r="Y6" s="180">
        <f t="shared" si="0"/>
        <v>37.600121253104192</v>
      </c>
      <c r="Z6" s="180">
        <f t="shared" si="1"/>
        <v>33.678225573511305</v>
      </c>
      <c r="AA6" s="180">
        <f t="shared" si="2"/>
        <v>62.406348635807113</v>
      </c>
      <c r="AB6" s="180">
        <f t="shared" si="3"/>
        <v>59.202097027955169</v>
      </c>
      <c r="AC6" s="180">
        <f t="shared" si="4"/>
        <v>45.284812128449737</v>
      </c>
    </row>
    <row r="7" spans="3:29" ht="33.75" x14ac:dyDescent="0.2">
      <c r="C7" s="178" t="str">
        <f>'PSUT 1990'!A25</f>
        <v>Firewood Commecial ('000 t)</v>
      </c>
      <c r="D7" s="92">
        <f>'PSUT 1990'!C25</f>
        <v>1534</v>
      </c>
      <c r="E7" s="92">
        <f>'PSUT 2000'!C24</f>
        <v>2550</v>
      </c>
      <c r="F7" s="92">
        <f>'PSUT 2005'!C24</f>
        <v>2993</v>
      </c>
      <c r="G7" s="92">
        <f>'PSUT 2010'!C25</f>
        <v>3256</v>
      </c>
      <c r="H7" s="92">
        <f>'PSUT 2015'!C25</f>
        <v>3656</v>
      </c>
      <c r="K7" s="178" t="str">
        <f>'MSUT 1990'!A24</f>
        <v>Firewood Commecial (UGX mill)</v>
      </c>
      <c r="L7" s="180">
        <f>'MSUT 1990'!C24</f>
        <v>4380</v>
      </c>
      <c r="M7" s="180">
        <f>'MSUT 2000'!C21</f>
        <v>15822</v>
      </c>
      <c r="N7" s="180">
        <f>'MSUT 2005'!C25</f>
        <v>20926</v>
      </c>
      <c r="O7" s="180">
        <f>MSUT2010!C24</f>
        <v>25228</v>
      </c>
      <c r="P7" s="180">
        <f>'MSUT 2015'!C24</f>
        <v>27523</v>
      </c>
      <c r="X7" s="178" t="s">
        <v>251</v>
      </c>
      <c r="Y7" s="180">
        <f t="shared" si="0"/>
        <v>10.213242238052489</v>
      </c>
      <c r="Z7" s="180">
        <f t="shared" si="1"/>
        <v>9.6213077121877806</v>
      </c>
      <c r="AA7" s="180">
        <f t="shared" si="2"/>
        <v>11.752614375414201</v>
      </c>
      <c r="AB7" s="180">
        <f t="shared" si="3"/>
        <v>11.585454899479142</v>
      </c>
      <c r="AC7" s="180">
        <f t="shared" si="4"/>
        <v>8.4930623378987828</v>
      </c>
    </row>
    <row r="8" spans="3:29" ht="33.75" x14ac:dyDescent="0.2">
      <c r="C8" s="178" t="str">
        <f>'PSUT 1990'!A26</f>
        <v>Firewood Industrial ('000 t)</v>
      </c>
      <c r="D8" s="92">
        <f>'PSUT 1990'!C26</f>
        <v>253</v>
      </c>
      <c r="E8" s="92">
        <f>'PSUT 2000'!C25</f>
        <v>1569</v>
      </c>
      <c r="F8" s="92">
        <f>'PSUT 2005'!C25</f>
        <v>1949</v>
      </c>
      <c r="G8" s="92">
        <f>'PSUT 2010'!C26</f>
        <v>2126</v>
      </c>
      <c r="H8" s="92">
        <f>'PSUT 2015'!C26</f>
        <v>2364</v>
      </c>
      <c r="K8" s="178" t="str">
        <f>'MSUT 1990'!A25</f>
        <v>Firewood Industrial (UGX mill)</v>
      </c>
      <c r="L8" s="180">
        <f>'MSUT 1990'!C25</f>
        <v>2051</v>
      </c>
      <c r="M8" s="180">
        <f>'MSUT 2000'!C22</f>
        <v>10902</v>
      </c>
      <c r="N8" s="180">
        <f>'MSUT 2005'!C26</f>
        <v>13789</v>
      </c>
      <c r="O8" s="180">
        <f>MSUT2010!C25</f>
        <v>20130</v>
      </c>
      <c r="P8" s="180">
        <f>'MSUT 2015'!C25</f>
        <v>21867</v>
      </c>
      <c r="X8" s="178" t="s">
        <v>252</v>
      </c>
      <c r="Y8" s="180">
        <f t="shared" si="0"/>
        <v>4.7825022443483229</v>
      </c>
      <c r="Z8" s="180">
        <f t="shared" si="1"/>
        <v>6.6294714118487663</v>
      </c>
      <c r="AA8" s="180">
        <f t="shared" si="2"/>
        <v>7.7442798252215619</v>
      </c>
      <c r="AB8" s="180">
        <f t="shared" si="3"/>
        <v>9.2443002666289491</v>
      </c>
      <c r="AC8" s="180">
        <f t="shared" si="4"/>
        <v>6.7477307758177769</v>
      </c>
    </row>
    <row r="9" spans="3:29" ht="33.75" x14ac:dyDescent="0.2">
      <c r="C9" s="178" t="s">
        <v>32</v>
      </c>
      <c r="D9" s="92">
        <f>'PSUT 1990'!C27</f>
        <v>2396</v>
      </c>
      <c r="E9" s="92">
        <f>'PSUT 2000'!C26</f>
        <v>4880</v>
      </c>
      <c r="F9" s="92">
        <f>'PSUT 2005'!C26</f>
        <v>6506</v>
      </c>
      <c r="G9" s="92">
        <f>'PSUT 2010'!C27</f>
        <v>8535</v>
      </c>
      <c r="H9" s="92">
        <f>'PSUT 2015'!C27</f>
        <v>11962</v>
      </c>
      <c r="K9" s="178" t="s">
        <v>262</v>
      </c>
      <c r="L9" s="180">
        <f>'MSUT 1990'!C26</f>
        <v>8526</v>
      </c>
      <c r="M9" s="180">
        <f>'MSUT 2000'!C23</f>
        <v>34070</v>
      </c>
      <c r="N9" s="180">
        <f>'MSUT 2005'!C27</f>
        <v>36545</v>
      </c>
      <c r="O9" s="180">
        <f>MSUT2010!C26</f>
        <v>51210</v>
      </c>
      <c r="P9" s="180">
        <f>'MSUT 2015'!C26</f>
        <v>66894</v>
      </c>
      <c r="X9" s="178" t="s">
        <v>264</v>
      </c>
      <c r="Y9" s="180">
        <f t="shared" si="0"/>
        <v>19.88084550722272</v>
      </c>
      <c r="Z9" s="180">
        <f t="shared" si="1"/>
        <v>20.717858283038662</v>
      </c>
      <c r="AA9" s="180">
        <f t="shared" si="2"/>
        <v>20.524672290428747</v>
      </c>
      <c r="AB9" s="180">
        <f t="shared" si="3"/>
        <v>23.517169232690932</v>
      </c>
      <c r="AC9" s="180">
        <f t="shared" si="4"/>
        <v>20.642186972037972</v>
      </c>
    </row>
    <row r="10" spans="3:29" ht="22.5" x14ac:dyDescent="0.2">
      <c r="C10" s="178" t="s">
        <v>273</v>
      </c>
      <c r="D10" s="92">
        <f>'PSUT 1990'!C28</f>
        <v>16592</v>
      </c>
      <c r="E10" s="92">
        <f>'PSUT 2000'!C27</f>
        <v>26410</v>
      </c>
      <c r="F10" s="92">
        <f>'PSUT 2005'!C27</f>
        <v>32179</v>
      </c>
      <c r="G10" s="92">
        <f>'PSUT 2010'!C28</f>
        <v>39469</v>
      </c>
      <c r="H10" s="92">
        <f>'PSUT 2015'!C28</f>
        <v>48706</v>
      </c>
      <c r="K10" s="178" t="str">
        <f>'MSUT 1990'!A27</f>
        <v>Sub-total (UGX mill)</v>
      </c>
      <c r="L10" s="180">
        <f>'MSUT 1990'!C27</f>
        <v>39748</v>
      </c>
      <c r="M10" s="180">
        <f>'MSUT 2000'!C24</f>
        <v>150921</v>
      </c>
      <c r="N10" s="180">
        <f>'MSUT 2005'!C28</f>
        <v>235202</v>
      </c>
      <c r="O10" s="180">
        <f>MSUT2010!C27</f>
        <v>399599</v>
      </c>
      <c r="P10" s="180">
        <f>'MSUT 2015'!C27</f>
        <v>876805</v>
      </c>
      <c r="X10" s="178" t="s">
        <v>265</v>
      </c>
      <c r="Y10" s="180">
        <f t="shared" si="0"/>
        <v>92.684007415093674</v>
      </c>
      <c r="Z10" s="180">
        <f t="shared" si="1"/>
        <v>91.774578512899254</v>
      </c>
      <c r="AA10" s="180">
        <f t="shared" si="2"/>
        <v>132.09588102485762</v>
      </c>
      <c r="AB10" s="180">
        <f t="shared" si="3"/>
        <v>183.50785604792156</v>
      </c>
      <c r="AC10" s="180">
        <f t="shared" si="4"/>
        <v>270.56496469067116</v>
      </c>
    </row>
    <row r="12" spans="3:29" ht="12" thickBot="1" x14ac:dyDescent="0.25">
      <c r="D12" s="177" t="s">
        <v>261</v>
      </c>
    </row>
    <row r="13" spans="3:29" ht="41.25" thickBot="1" x14ac:dyDescent="0.25">
      <c r="D13" s="181" t="s">
        <v>8</v>
      </c>
      <c r="E13" s="182" t="s">
        <v>9</v>
      </c>
      <c r="F13" s="182" t="s">
        <v>10</v>
      </c>
      <c r="G13" s="182" t="s">
        <v>11</v>
      </c>
      <c r="H13" s="182" t="s">
        <v>12</v>
      </c>
      <c r="I13" s="182" t="s">
        <v>14</v>
      </c>
    </row>
    <row r="14" spans="3:29" x14ac:dyDescent="0.2">
      <c r="C14" s="177" t="str">
        <f>C4</f>
        <v>Sawn wood ('000 t)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3:AA22"/>
  <sheetViews>
    <sheetView workbookViewId="0">
      <selection activeCell="B11" sqref="B11"/>
    </sheetView>
  </sheetViews>
  <sheetFormatPr defaultColWidth="9.140625" defaultRowHeight="12" x14ac:dyDescent="0.2"/>
  <cols>
    <col min="1" max="1" width="3.7109375" style="164" customWidth="1"/>
    <col min="2" max="2" width="16.85546875" style="164" customWidth="1"/>
    <col min="3" max="4" width="5.7109375" style="164" bestFit="1" customWidth="1"/>
    <col min="5" max="6" width="6.5703125" style="164" bestFit="1" customWidth="1"/>
    <col min="7" max="7" width="9.140625" style="164"/>
    <col min="8" max="8" width="1.5703125" style="164" customWidth="1"/>
    <col min="9" max="13" width="9.140625" style="164"/>
    <col min="14" max="14" width="6.85546875" style="164" customWidth="1"/>
    <col min="15" max="15" width="21.140625" style="164" customWidth="1"/>
    <col min="16" max="21" width="9.140625" style="164"/>
    <col min="22" max="22" width="18.28515625" style="164" customWidth="1"/>
    <col min="23" max="16384" width="9.140625" style="164"/>
  </cols>
  <sheetData>
    <row r="3" spans="2:27" x14ac:dyDescent="0.2">
      <c r="B3" s="165"/>
      <c r="C3" s="166">
        <v>1990</v>
      </c>
      <c r="D3" s="166">
        <v>2000</v>
      </c>
      <c r="E3" s="166">
        <v>2005</v>
      </c>
      <c r="F3" s="166">
        <v>2010</v>
      </c>
      <c r="G3" s="166">
        <v>2015</v>
      </c>
      <c r="J3" s="166">
        <v>1990</v>
      </c>
      <c r="K3" s="166">
        <v>2000</v>
      </c>
      <c r="L3" s="166">
        <v>2005</v>
      </c>
      <c r="M3" s="166">
        <v>2010</v>
      </c>
      <c r="N3" s="166">
        <v>2015</v>
      </c>
    </row>
    <row r="4" spans="2:27" x14ac:dyDescent="0.2">
      <c r="B4" s="165" t="s">
        <v>270</v>
      </c>
      <c r="C4" s="166">
        <v>324</v>
      </c>
      <c r="D4" s="166">
        <v>652</v>
      </c>
      <c r="E4" s="166">
        <v>902</v>
      </c>
      <c r="F4" s="167">
        <v>1847</v>
      </c>
      <c r="G4" s="167">
        <v>2453</v>
      </c>
      <c r="J4" s="164">
        <f>C9/C4</f>
        <v>7.3950617283950617</v>
      </c>
      <c r="K4" s="164">
        <f t="shared" ref="K4:N4" si="0">D9/D4</f>
        <v>7.4846625766871169</v>
      </c>
      <c r="L4" s="164">
        <f t="shared" si="0"/>
        <v>7.2128603104212861</v>
      </c>
      <c r="M4" s="164">
        <f t="shared" si="0"/>
        <v>4.6210070384407143</v>
      </c>
      <c r="N4" s="164">
        <f t="shared" si="0"/>
        <v>4.8764777823073784</v>
      </c>
    </row>
    <row r="5" spans="2:27" x14ac:dyDescent="0.2">
      <c r="B5" s="165" t="s">
        <v>266</v>
      </c>
      <c r="C5" s="166">
        <v>431</v>
      </c>
      <c r="D5" s="166">
        <v>659</v>
      </c>
      <c r="E5" s="166">
        <v>808</v>
      </c>
      <c r="F5" s="167">
        <v>1013</v>
      </c>
      <c r="G5" s="167">
        <v>1247</v>
      </c>
      <c r="J5" s="164">
        <f>C9/C5</f>
        <v>5.5591647331786547</v>
      </c>
      <c r="K5" s="164">
        <f t="shared" ref="K5:N5" si="1">D9/D5</f>
        <v>7.4051593323216993</v>
      </c>
      <c r="L5" s="164">
        <f t="shared" si="1"/>
        <v>8.0519801980198018</v>
      </c>
      <c r="M5" s="164">
        <f t="shared" si="1"/>
        <v>8.4254689042448181</v>
      </c>
      <c r="N5" s="164">
        <f t="shared" si="1"/>
        <v>9.5926222935044105</v>
      </c>
    </row>
    <row r="6" spans="2:27" ht="24" x14ac:dyDescent="0.2">
      <c r="B6" s="165" t="s">
        <v>274</v>
      </c>
      <c r="C6" s="167">
        <v>11654</v>
      </c>
      <c r="D6" s="167">
        <v>16100</v>
      </c>
      <c r="E6" s="167">
        <v>19021</v>
      </c>
      <c r="F6" s="167">
        <v>22092</v>
      </c>
      <c r="G6" s="167">
        <v>27024</v>
      </c>
      <c r="J6" s="164">
        <f>C9/(SUM(C6:C8))</f>
        <v>0.17826054609032066</v>
      </c>
      <c r="K6" s="164">
        <f t="shared" ref="K6:N6" si="2">D9/(SUM(D6:D8))</f>
        <v>0.24135713932439784</v>
      </c>
      <c r="L6" s="164">
        <f t="shared" si="2"/>
        <v>0.27150189876058922</v>
      </c>
      <c r="M6" s="164">
        <f t="shared" si="2"/>
        <v>0.31065734876610612</v>
      </c>
      <c r="N6" s="164">
        <f t="shared" si="2"/>
        <v>0.36200217891296455</v>
      </c>
    </row>
    <row r="7" spans="2:27" ht="24" x14ac:dyDescent="0.2">
      <c r="B7" s="165" t="s">
        <v>275</v>
      </c>
      <c r="C7" s="167">
        <v>1534</v>
      </c>
      <c r="D7" s="167">
        <v>2550</v>
      </c>
      <c r="E7" s="167">
        <v>2993</v>
      </c>
      <c r="F7" s="167">
        <v>3256</v>
      </c>
      <c r="G7" s="167">
        <v>3656</v>
      </c>
    </row>
    <row r="8" spans="2:27" ht="24" x14ac:dyDescent="0.2">
      <c r="B8" s="165" t="s">
        <v>276</v>
      </c>
      <c r="C8" s="166">
        <v>253</v>
      </c>
      <c r="D8" s="167">
        <v>1569</v>
      </c>
      <c r="E8" s="167">
        <v>1949</v>
      </c>
      <c r="F8" s="167">
        <v>2126</v>
      </c>
      <c r="G8" s="167">
        <v>2364</v>
      </c>
    </row>
    <row r="9" spans="2:27" x14ac:dyDescent="0.2">
      <c r="B9" s="165" t="s">
        <v>272</v>
      </c>
      <c r="C9" s="167">
        <v>2396</v>
      </c>
      <c r="D9" s="167">
        <v>4880</v>
      </c>
      <c r="E9" s="167">
        <v>6506</v>
      </c>
      <c r="F9" s="167">
        <v>8535</v>
      </c>
      <c r="G9" s="167">
        <v>11962</v>
      </c>
    </row>
    <row r="10" spans="2:27" x14ac:dyDescent="0.2">
      <c r="B10" s="164" t="s">
        <v>273</v>
      </c>
      <c r="C10" s="164">
        <f>SUM(C4:C9)</f>
        <v>16592</v>
      </c>
      <c r="D10" s="164">
        <f t="shared" ref="D10:G10" si="3">SUM(D4:D9)</f>
        <v>26410</v>
      </c>
      <c r="E10" s="164">
        <f t="shared" si="3"/>
        <v>32179</v>
      </c>
      <c r="F10" s="164">
        <f t="shared" si="3"/>
        <v>38869</v>
      </c>
      <c r="G10" s="164">
        <f t="shared" si="3"/>
        <v>48706</v>
      </c>
    </row>
    <row r="11" spans="2:27" ht="13.5" x14ac:dyDescent="0.2">
      <c r="I11" s="168">
        <v>1990</v>
      </c>
      <c r="J11" s="168">
        <v>2000</v>
      </c>
      <c r="K11" s="168">
        <v>2005</v>
      </c>
      <c r="L11" s="168">
        <v>2010</v>
      </c>
      <c r="M11" s="168">
        <v>2015</v>
      </c>
      <c r="O11" s="165"/>
    </row>
    <row r="12" spans="2:27" ht="13.5" x14ac:dyDescent="0.2">
      <c r="B12" s="165"/>
      <c r="C12" s="166">
        <v>1990</v>
      </c>
      <c r="D12" s="166">
        <v>2000</v>
      </c>
      <c r="E12" s="166">
        <v>2005</v>
      </c>
      <c r="F12" s="166">
        <v>2010</v>
      </c>
      <c r="G12" s="166">
        <v>2015</v>
      </c>
      <c r="I12" s="169">
        <v>428.85500000000002</v>
      </c>
      <c r="J12" s="169">
        <v>1644.4749999999999</v>
      </c>
      <c r="K12" s="169">
        <v>1780.54</v>
      </c>
      <c r="L12" s="169">
        <v>2177.558</v>
      </c>
      <c r="M12" s="169">
        <v>3240.645</v>
      </c>
      <c r="O12" s="165"/>
      <c r="P12" s="166">
        <v>1990</v>
      </c>
      <c r="Q12" s="166">
        <v>2000</v>
      </c>
      <c r="R12" s="166">
        <v>2005</v>
      </c>
      <c r="S12" s="166">
        <v>2010</v>
      </c>
      <c r="T12" s="166">
        <v>2015</v>
      </c>
      <c r="V12" s="165"/>
      <c r="W12" s="166">
        <v>1990</v>
      </c>
      <c r="X12" s="166">
        <v>2000</v>
      </c>
      <c r="Y12" s="166">
        <v>2005</v>
      </c>
      <c r="Z12" s="166">
        <v>2010</v>
      </c>
      <c r="AA12" s="166">
        <v>2015</v>
      </c>
    </row>
    <row r="13" spans="2:27" ht="24" x14ac:dyDescent="0.2">
      <c r="B13" s="165" t="s">
        <v>244</v>
      </c>
      <c r="C13" s="167">
        <v>5530</v>
      </c>
      <c r="D13" s="167">
        <v>23180</v>
      </c>
      <c r="E13" s="167">
        <v>37648</v>
      </c>
      <c r="F13" s="167">
        <v>132677</v>
      </c>
      <c r="G13" s="167">
        <v>361976</v>
      </c>
      <c r="O13" s="165" t="s">
        <v>248</v>
      </c>
      <c r="P13" s="171">
        <f>C13/$I$12</f>
        <v>12.894801273157594</v>
      </c>
      <c r="Q13" s="171">
        <f>D13/$J$12</f>
        <v>14.095684032898038</v>
      </c>
      <c r="R13" s="171">
        <f>E13/$K$12</f>
        <v>21.144147281161896</v>
      </c>
      <c r="S13" s="171">
        <f>F13/$L$12</f>
        <v>60.929261126454499</v>
      </c>
      <c r="T13" s="171">
        <f>G13/$M$12</f>
        <v>111.69875132882497</v>
      </c>
      <c r="V13" s="165" t="s">
        <v>254</v>
      </c>
      <c r="W13" s="171">
        <f>(P13*1000000)/(C4*1000)</f>
        <v>39.798769361597508</v>
      </c>
      <c r="X13" s="171">
        <f t="shared" ref="X13:AA13" si="4">(Q13*1000000)/(D4*1000)</f>
        <v>21.619147289720917</v>
      </c>
      <c r="Y13" s="171">
        <f t="shared" si="4"/>
        <v>23.44140496802871</v>
      </c>
      <c r="Z13" s="171">
        <f t="shared" si="4"/>
        <v>32.98823017133433</v>
      </c>
      <c r="AA13" s="171">
        <f t="shared" si="4"/>
        <v>45.535569233112504</v>
      </c>
    </row>
    <row r="14" spans="2:27" x14ac:dyDescent="0.2">
      <c r="B14" s="165" t="s">
        <v>156</v>
      </c>
      <c r="C14" s="167">
        <v>3136</v>
      </c>
      <c r="D14" s="167">
        <v>11564</v>
      </c>
      <c r="E14" s="167">
        <v>15177</v>
      </c>
      <c r="F14" s="167">
        <v>41438</v>
      </c>
      <c r="G14" s="167">
        <v>251793</v>
      </c>
      <c r="O14" s="165" t="s">
        <v>249</v>
      </c>
      <c r="P14" s="171">
        <f t="shared" ref="P14:P17" si="5">C14/$I$12</f>
        <v>7.3124948992083567</v>
      </c>
      <c r="Q14" s="171">
        <f t="shared" ref="Q14:Q18" si="6">D14/$J$12</f>
        <v>7.0320314994147068</v>
      </c>
      <c r="R14" s="171">
        <f t="shared" ref="R14:R18" si="7">E14/$K$12</f>
        <v>8.5238186168241104</v>
      </c>
      <c r="S14" s="171">
        <f t="shared" ref="S14:S18" si="8">F14/$L$12</f>
        <v>19.029573494712885</v>
      </c>
      <c r="T14" s="171">
        <f t="shared" ref="T14:T18" si="9">G14/$M$12</f>
        <v>77.698421147641909</v>
      </c>
      <c r="V14" s="165" t="s">
        <v>255</v>
      </c>
      <c r="W14" s="171">
        <f t="shared" ref="W14:W18" si="10">(P14*1000000)/(C5*1000)</f>
        <v>16.96634547380129</v>
      </c>
      <c r="X14" s="171">
        <f t="shared" ref="X14:X18" si="11">(Q14*1000000)/(D5*1000)</f>
        <v>10.670761000629296</v>
      </c>
      <c r="Y14" s="171">
        <f t="shared" ref="Y14:Y18" si="12">(R14*1000000)/(E5*1000)</f>
        <v>10.549280466366474</v>
      </c>
      <c r="Z14" s="171">
        <f t="shared" ref="Z14:Z18" si="13">(S14*1000000)/(F5*1000)</f>
        <v>18.785363765758031</v>
      </c>
      <c r="AA14" s="171">
        <f t="shared" ref="AA14:AA18" si="14">(T14*1000000)/(G5*1000)</f>
        <v>62.308276782391268</v>
      </c>
    </row>
    <row r="15" spans="2:27" ht="24" x14ac:dyDescent="0.2">
      <c r="B15" s="165" t="s">
        <v>245</v>
      </c>
      <c r="C15" s="167">
        <v>16125</v>
      </c>
      <c r="D15" s="167">
        <v>55383</v>
      </c>
      <c r="E15" s="167">
        <v>111117</v>
      </c>
      <c r="F15" s="167">
        <v>128916</v>
      </c>
      <c r="G15" s="167">
        <v>146752</v>
      </c>
      <c r="O15" s="165" t="s">
        <v>250</v>
      </c>
      <c r="P15" s="171">
        <f t="shared" si="5"/>
        <v>37.600121253104192</v>
      </c>
      <c r="Q15" s="171">
        <f t="shared" si="6"/>
        <v>33.678225573511305</v>
      </c>
      <c r="R15" s="171">
        <f t="shared" si="7"/>
        <v>62.406348635807113</v>
      </c>
      <c r="S15" s="171">
        <f t="shared" si="8"/>
        <v>59.202097027955169</v>
      </c>
      <c r="T15" s="171">
        <f t="shared" si="9"/>
        <v>45.284812128449737</v>
      </c>
      <c r="V15" s="165" t="s">
        <v>256</v>
      </c>
      <c r="W15" s="171">
        <f t="shared" si="10"/>
        <v>3.2263704524716146</v>
      </c>
      <c r="X15" s="171">
        <f t="shared" si="11"/>
        <v>2.0918152530131242</v>
      </c>
      <c r="Y15" s="171">
        <f t="shared" si="12"/>
        <v>3.2809183868254621</v>
      </c>
      <c r="Z15" s="171">
        <f t="shared" si="13"/>
        <v>2.6797979824350517</v>
      </c>
      <c r="AA15" s="171">
        <f t="shared" si="14"/>
        <v>1.6757257300344042</v>
      </c>
    </row>
    <row r="16" spans="2:27" ht="24" x14ac:dyDescent="0.2">
      <c r="B16" s="165" t="s">
        <v>246</v>
      </c>
      <c r="C16" s="167">
        <v>4380</v>
      </c>
      <c r="D16" s="167">
        <v>15822</v>
      </c>
      <c r="E16" s="167">
        <v>20926</v>
      </c>
      <c r="F16" s="167">
        <v>25228</v>
      </c>
      <c r="G16" s="167">
        <v>27523</v>
      </c>
      <c r="O16" s="165" t="s">
        <v>251</v>
      </c>
      <c r="P16" s="171">
        <f t="shared" si="5"/>
        <v>10.213242238052489</v>
      </c>
      <c r="Q16" s="171">
        <f t="shared" si="6"/>
        <v>9.6213077121877806</v>
      </c>
      <c r="R16" s="171">
        <f t="shared" si="7"/>
        <v>11.752614375414201</v>
      </c>
      <c r="S16" s="171">
        <f t="shared" si="8"/>
        <v>11.585454899479142</v>
      </c>
      <c r="T16" s="171">
        <f t="shared" si="9"/>
        <v>8.4930623378987828</v>
      </c>
      <c r="V16" s="165" t="s">
        <v>257</v>
      </c>
      <c r="W16" s="171">
        <f t="shared" si="10"/>
        <v>6.6579154094214399</v>
      </c>
      <c r="X16" s="171">
        <f t="shared" si="11"/>
        <v>3.7730618479167766</v>
      </c>
      <c r="Y16" s="171">
        <f t="shared" si="12"/>
        <v>3.9267004261323755</v>
      </c>
      <c r="Z16" s="171">
        <f t="shared" si="13"/>
        <v>3.5581863941889256</v>
      </c>
      <c r="AA16" s="171">
        <f t="shared" si="14"/>
        <v>2.3230476854208928</v>
      </c>
    </row>
    <row r="17" spans="2:27" ht="24" x14ac:dyDescent="0.2">
      <c r="B17" s="165" t="s">
        <v>247</v>
      </c>
      <c r="C17" s="167">
        <v>2051</v>
      </c>
      <c r="D17" s="167">
        <v>10902</v>
      </c>
      <c r="E17" s="167">
        <v>13786</v>
      </c>
      <c r="F17" s="167">
        <v>20130</v>
      </c>
      <c r="G17" s="167">
        <v>21867</v>
      </c>
      <c r="O17" s="165" t="s">
        <v>252</v>
      </c>
      <c r="P17" s="171">
        <f t="shared" si="5"/>
        <v>4.7825022443483229</v>
      </c>
      <c r="Q17" s="171">
        <f t="shared" si="6"/>
        <v>6.6294714118487663</v>
      </c>
      <c r="R17" s="171">
        <f t="shared" si="7"/>
        <v>7.7425949431071475</v>
      </c>
      <c r="S17" s="171">
        <f t="shared" si="8"/>
        <v>9.2443002666289491</v>
      </c>
      <c r="T17" s="171">
        <f t="shared" si="9"/>
        <v>6.7477307758177769</v>
      </c>
      <c r="V17" s="165" t="s">
        <v>258</v>
      </c>
      <c r="W17" s="171">
        <f t="shared" si="10"/>
        <v>18.903170926277955</v>
      </c>
      <c r="X17" s="171">
        <f t="shared" si="11"/>
        <v>4.2252845199800939</v>
      </c>
      <c r="Y17" s="171">
        <f t="shared" si="12"/>
        <v>3.9725987394084905</v>
      </c>
      <c r="Z17" s="171">
        <f t="shared" si="13"/>
        <v>4.3482127312459777</v>
      </c>
      <c r="AA17" s="171">
        <f t="shared" si="14"/>
        <v>2.8543700405320545</v>
      </c>
    </row>
    <row r="18" spans="2:27" x14ac:dyDescent="0.2">
      <c r="B18" s="165" t="s">
        <v>154</v>
      </c>
      <c r="C18" s="167">
        <v>8526</v>
      </c>
      <c r="D18" s="167">
        <v>34070</v>
      </c>
      <c r="E18" s="167">
        <v>36545</v>
      </c>
      <c r="F18" s="167">
        <v>51210</v>
      </c>
      <c r="G18" s="167">
        <v>66894</v>
      </c>
      <c r="O18" s="165" t="s">
        <v>253</v>
      </c>
      <c r="P18" s="171">
        <f>C18/$I$12</f>
        <v>19.88084550722272</v>
      </c>
      <c r="Q18" s="171">
        <f t="shared" si="6"/>
        <v>20.717858283038662</v>
      </c>
      <c r="R18" s="171">
        <f t="shared" si="7"/>
        <v>20.524672290428747</v>
      </c>
      <c r="S18" s="171">
        <f t="shared" si="8"/>
        <v>23.517169232690932</v>
      </c>
      <c r="T18" s="171">
        <f t="shared" si="9"/>
        <v>20.642186972037972</v>
      </c>
      <c r="V18" s="165" t="s">
        <v>259</v>
      </c>
      <c r="W18" s="171">
        <f t="shared" si="10"/>
        <v>8.2975148193750918</v>
      </c>
      <c r="X18" s="171">
        <f t="shared" si="11"/>
        <v>4.2454627629177581</v>
      </c>
      <c r="Y18" s="171">
        <f t="shared" si="12"/>
        <v>3.1547298325282425</v>
      </c>
      <c r="Z18" s="171">
        <f t="shared" si="13"/>
        <v>2.7553801092783754</v>
      </c>
      <c r="AA18" s="171">
        <f t="shared" si="14"/>
        <v>1.7256467958567105</v>
      </c>
    </row>
    <row r="19" spans="2:27" x14ac:dyDescent="0.2">
      <c r="O19" s="164" t="s">
        <v>265</v>
      </c>
      <c r="P19" s="170">
        <f>SUM(P13:P18)</f>
        <v>92.684007415093674</v>
      </c>
      <c r="Q19" s="170">
        <f t="shared" ref="Q19:T19" si="15">SUM(Q13:Q18)</f>
        <v>91.774578512899268</v>
      </c>
      <c r="R19" s="170">
        <f t="shared" si="15"/>
        <v>132.09419614274321</v>
      </c>
      <c r="S19" s="170">
        <f t="shared" si="15"/>
        <v>183.50785604792156</v>
      </c>
      <c r="T19" s="170">
        <f t="shared" si="15"/>
        <v>270.56496469067116</v>
      </c>
    </row>
    <row r="20" spans="2:27" x14ac:dyDescent="0.2">
      <c r="P20" s="170">
        <f>P13/P18</f>
        <v>0.64860426929392445</v>
      </c>
      <c r="Q20" s="170">
        <f t="shared" ref="Q20:T20" si="16">Q13/Q18</f>
        <v>0.68036395656002346</v>
      </c>
      <c r="R20" s="170">
        <f t="shared" si="16"/>
        <v>1.030181967437406</v>
      </c>
      <c r="S20" s="170">
        <f t="shared" si="16"/>
        <v>2.5908416324936536</v>
      </c>
      <c r="T20" s="170">
        <f t="shared" si="16"/>
        <v>5.411187849433432</v>
      </c>
      <c r="W20" s="164">
        <f>W17/W18</f>
        <v>2.2781726020106832</v>
      </c>
      <c r="X20" s="164">
        <f t="shared" ref="X20:AA20" si="17">X17/X18</f>
        <v>0.99524710401091909</v>
      </c>
      <c r="Y20" s="164">
        <f t="shared" si="17"/>
        <v>1.259251647620423</v>
      </c>
      <c r="Z20" s="164">
        <f t="shared" si="17"/>
        <v>1.5780809031044214</v>
      </c>
      <c r="AA20" s="164">
        <f t="shared" si="17"/>
        <v>1.6540870631147788</v>
      </c>
    </row>
    <row r="21" spans="2:27" x14ac:dyDescent="0.2">
      <c r="P21" s="170">
        <f>P14/P18</f>
        <v>0.36781609195402298</v>
      </c>
      <c r="Q21" s="170">
        <f t="shared" ref="Q21:T21" si="18">Q14/Q18</f>
        <v>0.33941884355738183</v>
      </c>
      <c r="R21" s="170">
        <f t="shared" si="18"/>
        <v>0.41529621015186757</v>
      </c>
      <c r="S21" s="170">
        <f t="shared" si="18"/>
        <v>0.809177894942394</v>
      </c>
      <c r="T21" s="170">
        <f t="shared" si="18"/>
        <v>3.7640595569109343</v>
      </c>
    </row>
    <row r="22" spans="2:27" x14ac:dyDescent="0.2">
      <c r="P22" s="170">
        <f>SUM(P15:P17)/P18</f>
        <v>2.6455547736335912</v>
      </c>
      <c r="Q22" s="170">
        <f t="shared" ref="Q22:T22" si="19">SUM(Q15:Q17)/Q18</f>
        <v>2.4099501027296739</v>
      </c>
      <c r="R22" s="170">
        <f t="shared" si="19"/>
        <v>3.9903954029278972</v>
      </c>
      <c r="S22" s="170">
        <f t="shared" si="19"/>
        <v>3.4031243897676235</v>
      </c>
      <c r="T22" s="170">
        <f t="shared" si="19"/>
        <v>2.9321314318175027</v>
      </c>
    </row>
  </sheetData>
  <pageMargins left="0.7" right="0.7" top="0.75" bottom="0.75" header="0.3" footer="0.3"/>
  <pageSetup orientation="portrait" horizontalDpi="4294967293" verticalDpi="0" r:id="rId1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Charts</vt:lpstr>
      </vt:variant>
      <vt:variant>
        <vt:i4>5</vt:i4>
      </vt:variant>
    </vt:vector>
  </HeadingPairs>
  <TitlesOfParts>
    <vt:vector size="21" baseType="lpstr">
      <vt:lpstr>Sheet1</vt:lpstr>
      <vt:lpstr>Sheet2</vt:lpstr>
      <vt:lpstr>Sheet3</vt:lpstr>
      <vt:lpstr>Sheet4</vt:lpstr>
      <vt:lpstr>PSUT 1990</vt:lpstr>
      <vt:lpstr>PSUT 2000</vt:lpstr>
      <vt:lpstr>PSUT 2005</vt:lpstr>
      <vt:lpstr>PSUT 2010</vt:lpstr>
      <vt:lpstr>PSUT 2015</vt:lpstr>
      <vt:lpstr>MSUT 1990</vt:lpstr>
      <vt:lpstr>MSUT 2000</vt:lpstr>
      <vt:lpstr>MSUT 2005</vt:lpstr>
      <vt:lpstr>MSUT2010</vt:lpstr>
      <vt:lpstr>MSUT 2015</vt:lpstr>
      <vt:lpstr>Sheet6</vt:lpstr>
      <vt:lpstr>Sheet5</vt:lpstr>
      <vt:lpstr>Physical wood supply</vt:lpstr>
      <vt:lpstr>Monetary wood supply</vt:lpstr>
      <vt:lpstr>Wood products tons</vt:lpstr>
      <vt:lpstr>Wood products US$</vt:lpstr>
      <vt:lpstr>Product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Yurani Arias Granada</cp:lastModifiedBy>
  <dcterms:created xsi:type="dcterms:W3CDTF">2019-12-03T12:16:25Z</dcterms:created>
  <dcterms:modified xsi:type="dcterms:W3CDTF">2026-02-18T17:00:50Z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2026-02-18T17:00:50Z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397fc520-9676-43eb-b21e-e33747597857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