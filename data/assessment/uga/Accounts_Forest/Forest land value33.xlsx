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World Bank WAVES\Forest Accounts Files\"/>
    </mc:Choice>
  </mc:AlternateContent>
  <bookViews>
    <workbookView xWindow="0" yWindow="0" windowWidth="20490" windowHeight="7320" firstSheet="1" activeTab="1"/>
  </bookViews>
  <sheets>
    <sheet name="Land Prices" sheetId="3" r:id="rId1"/>
    <sheet name="Forested land versus Forest lan" sheetId="4" r:id="rId2"/>
    <sheet name="Forested Area" sheetId="5" r:id="rId3"/>
    <sheet name="Forest land valuation" sheetId="1" r:id="rId4"/>
    <sheet name="Forest land valuation 1" sheetId="6" r:id="rId5"/>
    <sheet name="Standing Wood prices" sheetId="2" r:id="rId6"/>
  </sheets>
  <externalReferences>
    <externalReference r:id="rId7"/>
  </externalReferenc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U4" i="6" l="1"/>
  <c r="U5" i="6"/>
  <c r="U6" i="6"/>
  <c r="U7" i="6"/>
  <c r="U8" i="6"/>
  <c r="U9" i="6"/>
  <c r="U10" i="6"/>
  <c r="U11" i="6"/>
  <c r="U12" i="6"/>
  <c r="U13" i="6"/>
  <c r="U14" i="6"/>
  <c r="D9" i="2" l="1"/>
  <c r="H5" i="2" l="1"/>
  <c r="H12" i="2" l="1"/>
  <c r="H11" i="2"/>
  <c r="H10" i="2"/>
  <c r="H8" i="2"/>
  <c r="H7" i="2"/>
  <c r="H6" i="2"/>
  <c r="H4" i="2"/>
  <c r="H3" i="2"/>
  <c r="I4" i="2"/>
  <c r="I6" i="2"/>
  <c r="I7" i="2"/>
  <c r="I8" i="2"/>
  <c r="I10" i="2"/>
  <c r="I11" i="2"/>
  <c r="I12" i="2"/>
  <c r="I3" i="2"/>
  <c r="S14" i="6" l="1"/>
  <c r="N14" i="6"/>
  <c r="P14" i="6" s="1"/>
  <c r="G14" i="6"/>
  <c r="T13" i="6"/>
  <c r="R13" i="6"/>
  <c r="N13" i="6" s="1"/>
  <c r="P13" i="6" s="1"/>
  <c r="O13" i="6"/>
  <c r="K12" i="6"/>
  <c r="T12" i="6"/>
  <c r="R12" i="6"/>
  <c r="N12" i="6" s="1"/>
  <c r="O12" i="6"/>
  <c r="G12" i="6"/>
  <c r="C12" i="6"/>
  <c r="D12" i="6" s="1"/>
  <c r="S11" i="6"/>
  <c r="T11" i="6" s="1"/>
  <c r="N11" i="6"/>
  <c r="P11" i="6" s="1"/>
  <c r="O10" i="6"/>
  <c r="T10" i="6"/>
  <c r="P10" i="6"/>
  <c r="N10" i="6"/>
  <c r="J10" i="6" s="1"/>
  <c r="L10" i="6" s="1"/>
  <c r="K10" i="6"/>
  <c r="G9" i="6"/>
  <c r="T9" i="6"/>
  <c r="S9" i="6"/>
  <c r="O9" i="6"/>
  <c r="N9" i="6"/>
  <c r="C9" i="6"/>
  <c r="D9" i="6" s="1"/>
  <c r="T8" i="6"/>
  <c r="P8" i="6"/>
  <c r="O8" i="6"/>
  <c r="N8" i="6"/>
  <c r="K8" i="6"/>
  <c r="J8" i="6"/>
  <c r="L8" i="6" s="1"/>
  <c r="G8" i="6"/>
  <c r="C8" i="6"/>
  <c r="D8" i="6" s="1"/>
  <c r="K7" i="6"/>
  <c r="S7" i="6"/>
  <c r="T7" i="6" s="1"/>
  <c r="N7" i="6"/>
  <c r="S6" i="6"/>
  <c r="P6" i="6"/>
  <c r="N6" i="6"/>
  <c r="K6" i="6"/>
  <c r="J6" i="6"/>
  <c r="L6" i="6" s="1"/>
  <c r="F6" i="6"/>
  <c r="H6" i="6" s="1"/>
  <c r="S5" i="6"/>
  <c r="O5" i="6" s="1"/>
  <c r="N5" i="6"/>
  <c r="G5" i="6"/>
  <c r="O4" i="6"/>
  <c r="T4" i="6"/>
  <c r="R4" i="6"/>
  <c r="N4" i="6" s="1"/>
  <c r="P4" i="6" s="1"/>
  <c r="T5" i="1"/>
  <c r="T6" i="1"/>
  <c r="T7" i="1"/>
  <c r="T8" i="1"/>
  <c r="T9" i="1"/>
  <c r="T10" i="1"/>
  <c r="T11" i="1"/>
  <c r="T12" i="1"/>
  <c r="T13" i="1"/>
  <c r="T14" i="1"/>
  <c r="T4" i="1"/>
  <c r="R13" i="1"/>
  <c r="R12" i="1"/>
  <c r="R4" i="1"/>
  <c r="J4" i="6" l="1"/>
  <c r="J11" i="6"/>
  <c r="C10" i="6"/>
  <c r="D10" i="6" s="1"/>
  <c r="G7" i="6"/>
  <c r="C5" i="6"/>
  <c r="D5" i="6" s="1"/>
  <c r="K5" i="6"/>
  <c r="C7" i="6"/>
  <c r="D7" i="6" s="1"/>
  <c r="F8" i="6"/>
  <c r="H8" i="6" s="1"/>
  <c r="G10" i="6"/>
  <c r="K14" i="6"/>
  <c r="C4" i="6"/>
  <c r="D4" i="6" s="1"/>
  <c r="G4" i="6"/>
  <c r="P5" i="6"/>
  <c r="J5" i="6"/>
  <c r="C6" i="6"/>
  <c r="D6" i="6" s="1"/>
  <c r="G6" i="6"/>
  <c r="F10" i="6"/>
  <c r="H10" i="6" s="1"/>
  <c r="L11" i="6"/>
  <c r="F11" i="6"/>
  <c r="H11" i="6" s="1"/>
  <c r="O6" i="6"/>
  <c r="P7" i="6"/>
  <c r="J7" i="6"/>
  <c r="C11" i="6"/>
  <c r="D11" i="6" s="1"/>
  <c r="G11" i="6"/>
  <c r="K11" i="6"/>
  <c r="K4" i="6"/>
  <c r="T5" i="6"/>
  <c r="O7" i="6"/>
  <c r="P9" i="6"/>
  <c r="J9" i="6"/>
  <c r="O11" i="6"/>
  <c r="P12" i="6"/>
  <c r="J12" i="6"/>
  <c r="J13" i="6"/>
  <c r="C13" i="6"/>
  <c r="D13" i="6" s="1"/>
  <c r="G13" i="6"/>
  <c r="K13" i="6"/>
  <c r="T14" i="6"/>
  <c r="C14" i="6"/>
  <c r="D14" i="6" s="1"/>
  <c r="K9" i="6"/>
  <c r="J14" i="6"/>
  <c r="O14" i="6"/>
  <c r="T6" i="6"/>
  <c r="T15" i="6" l="1"/>
  <c r="P15" i="6"/>
  <c r="L4" i="6"/>
  <c r="F4" i="6"/>
  <c r="H4" i="6" s="1"/>
  <c r="F14" i="6"/>
  <c r="H14" i="6" s="1"/>
  <c r="L14" i="6"/>
  <c r="L9" i="6"/>
  <c r="F9" i="6"/>
  <c r="H9" i="6" s="1"/>
  <c r="F7" i="6"/>
  <c r="H7" i="6" s="1"/>
  <c r="L7" i="6"/>
  <c r="L13" i="6"/>
  <c r="F13" i="6"/>
  <c r="H13" i="6" s="1"/>
  <c r="F12" i="6"/>
  <c r="H12" i="6" s="1"/>
  <c r="L12" i="6"/>
  <c r="F5" i="6"/>
  <c r="H5" i="6" s="1"/>
  <c r="L5" i="6"/>
  <c r="L15" i="6" s="1"/>
  <c r="U5" i="1"/>
  <c r="U6" i="1"/>
  <c r="U7" i="1"/>
  <c r="U8" i="1"/>
  <c r="O8" i="1" s="1"/>
  <c r="U9" i="1"/>
  <c r="U10" i="1"/>
  <c r="U11" i="1"/>
  <c r="U12" i="1"/>
  <c r="U13" i="1"/>
  <c r="U14" i="1"/>
  <c r="U4" i="1"/>
  <c r="H15" i="6" l="1"/>
  <c r="G8" i="1"/>
  <c r="C8" i="1"/>
  <c r="D8" i="1" s="1"/>
  <c r="K8" i="1"/>
  <c r="L7" i="2" l="1"/>
  <c r="L6" i="2"/>
  <c r="L5" i="2"/>
  <c r="L4" i="2"/>
  <c r="L3" i="2"/>
  <c r="E6" i="2" l="1"/>
  <c r="E5" i="2"/>
  <c r="F7" i="2"/>
  <c r="F5" i="2"/>
  <c r="G4" i="2"/>
  <c r="G5" i="2"/>
  <c r="D4" i="2"/>
  <c r="F3" i="2"/>
  <c r="D6" i="2"/>
  <c r="D12" i="2"/>
  <c r="F8" i="2"/>
  <c r="F6" i="2"/>
  <c r="D10" i="2"/>
  <c r="F12" i="2"/>
  <c r="F4" i="2"/>
  <c r="D8" i="2"/>
  <c r="F10" i="2"/>
  <c r="G3" i="2"/>
  <c r="G11" i="2"/>
  <c r="G7" i="2"/>
  <c r="D3" i="2"/>
  <c r="D11" i="2"/>
  <c r="D7" i="2"/>
  <c r="E12" i="2"/>
  <c r="E8" i="2"/>
  <c r="E4" i="2"/>
  <c r="G10" i="2"/>
  <c r="G6" i="2"/>
  <c r="E11" i="2"/>
  <c r="E7" i="2"/>
  <c r="E3" i="2"/>
  <c r="E10" i="2"/>
  <c r="F11" i="2"/>
  <c r="G12" i="2"/>
  <c r="G8" i="2"/>
  <c r="H9" i="2"/>
  <c r="E9" i="2" s="1"/>
  <c r="D5" i="2" l="1"/>
  <c r="G9" i="2"/>
  <c r="F9" i="2"/>
  <c r="K28" i="1"/>
  <c r="S14" i="1"/>
  <c r="S11" i="1"/>
  <c r="S9" i="1"/>
  <c r="S7" i="1"/>
  <c r="S6" i="1"/>
  <c r="S5" i="1"/>
  <c r="O11" i="1" l="1"/>
  <c r="G11" i="1"/>
  <c r="C11" i="1"/>
  <c r="D11" i="1" s="1"/>
  <c r="K11" i="1"/>
  <c r="O7" i="1"/>
  <c r="C7" i="1"/>
  <c r="D7" i="1" s="1"/>
  <c r="K7" i="1"/>
  <c r="G7" i="1"/>
  <c r="G12" i="1"/>
  <c r="O12" i="1"/>
  <c r="K12" i="1"/>
  <c r="C12" i="1"/>
  <c r="D12" i="1" s="1"/>
  <c r="O4" i="1"/>
  <c r="K4" i="1"/>
  <c r="C4" i="1"/>
  <c r="D4" i="1" s="1"/>
  <c r="G4" i="1"/>
  <c r="G9" i="1"/>
  <c r="C9" i="1"/>
  <c r="D9" i="1" s="1"/>
  <c r="K9" i="1"/>
  <c r="O9" i="1"/>
  <c r="G13" i="1"/>
  <c r="C13" i="1"/>
  <c r="D13" i="1" s="1"/>
  <c r="K13" i="1"/>
  <c r="O13" i="1"/>
  <c r="K6" i="1"/>
  <c r="O6" i="1"/>
  <c r="C6" i="1"/>
  <c r="D6" i="1" s="1"/>
  <c r="G6" i="1"/>
  <c r="G5" i="1"/>
  <c r="C5" i="1"/>
  <c r="D5" i="1" s="1"/>
  <c r="O5" i="1"/>
  <c r="K5" i="1"/>
  <c r="K10" i="1"/>
  <c r="O10" i="1"/>
  <c r="G10" i="1"/>
  <c r="C10" i="1"/>
  <c r="D10" i="1" s="1"/>
  <c r="K14" i="1"/>
  <c r="O14" i="1"/>
  <c r="G14" i="1"/>
  <c r="C14" i="1"/>
  <c r="D14" i="1" s="1"/>
  <c r="N5" i="1"/>
  <c r="N6" i="1"/>
  <c r="N7" i="1"/>
  <c r="N8" i="1"/>
  <c r="P8" i="1" s="1"/>
  <c r="N9" i="1"/>
  <c r="N10" i="1"/>
  <c r="J10" i="1" s="1"/>
  <c r="N11" i="1"/>
  <c r="J11" i="1" s="1"/>
  <c r="N12" i="1"/>
  <c r="N13" i="1"/>
  <c r="N14" i="1"/>
  <c r="N4" i="1"/>
  <c r="L10" i="1" l="1"/>
  <c r="K23" i="1"/>
  <c r="J14" i="1"/>
  <c r="P4" i="1"/>
  <c r="P11" i="1"/>
  <c r="P7" i="1"/>
  <c r="P6" i="1"/>
  <c r="T15" i="1"/>
  <c r="P10" i="1"/>
  <c r="F11" i="1"/>
  <c r="H11" i="1" s="1"/>
  <c r="K24" i="1"/>
  <c r="P13" i="1"/>
  <c r="S22" i="1"/>
  <c r="P5" i="1"/>
  <c r="P12" i="1"/>
  <c r="J8" i="1"/>
  <c r="J9" i="1"/>
  <c r="P9" i="1"/>
  <c r="L14" i="1"/>
  <c r="F14" i="1"/>
  <c r="J4" i="1"/>
  <c r="F9" i="1"/>
  <c r="J5" i="1"/>
  <c r="F10" i="1"/>
  <c r="J6" i="1"/>
  <c r="J12" i="1"/>
  <c r="P14" i="1"/>
  <c r="J13" i="1"/>
  <c r="L11" i="1"/>
  <c r="J7" i="1"/>
  <c r="O17" i="1" l="1"/>
  <c r="S17" i="1"/>
  <c r="L8" i="1"/>
  <c r="P15" i="1"/>
  <c r="F8" i="1"/>
  <c r="K21" i="1" s="1"/>
  <c r="L9" i="1"/>
  <c r="O19" i="1"/>
  <c r="S19" i="1"/>
  <c r="O24" i="1"/>
  <c r="S24" i="1"/>
  <c r="S27" i="1"/>
  <c r="O27" i="1"/>
  <c r="K19" i="1"/>
  <c r="O20" i="1"/>
  <c r="S20" i="1"/>
  <c r="O25" i="1"/>
  <c r="S25" i="1"/>
  <c r="O21" i="1"/>
  <c r="S21" i="1"/>
  <c r="O18" i="1"/>
  <c r="S18" i="1"/>
  <c r="O26" i="1"/>
  <c r="S26" i="1"/>
  <c r="S23" i="1"/>
  <c r="O23" i="1"/>
  <c r="K27" i="1"/>
  <c r="L6" i="1"/>
  <c r="F6" i="1"/>
  <c r="F4" i="1"/>
  <c r="L4" i="1"/>
  <c r="F12" i="1"/>
  <c r="K25" i="1" s="1"/>
  <c r="L12" i="1"/>
  <c r="H10" i="1"/>
  <c r="H14" i="1"/>
  <c r="L5" i="1"/>
  <c r="F5" i="1"/>
  <c r="K18" i="1" s="1"/>
  <c r="L13" i="1"/>
  <c r="F13" i="1"/>
  <c r="K26" i="1" s="1"/>
  <c r="L7" i="1"/>
  <c r="F7" i="1"/>
  <c r="K20" i="1" s="1"/>
  <c r="H9" i="1"/>
  <c r="H8" i="1" l="1"/>
  <c r="L15" i="1"/>
  <c r="K22" i="1"/>
  <c r="O22" i="1"/>
  <c r="H5" i="1"/>
  <c r="K17" i="1"/>
  <c r="H4" i="1"/>
  <c r="H7" i="1"/>
  <c r="H6" i="1"/>
  <c r="H13" i="1"/>
  <c r="H12" i="1"/>
  <c r="H15" i="1" l="1"/>
</calcChain>
</file>

<file path=xl/sharedStrings.xml><?xml version="1.0" encoding="utf-8"?>
<sst xmlns="http://schemas.openxmlformats.org/spreadsheetml/2006/main" count="93" uniqueCount="43">
  <si>
    <t>Total</t>
  </si>
  <si>
    <t>Type of forests</t>
  </si>
  <si>
    <t>Classes (percent)</t>
  </si>
  <si>
    <t>Coniferous forest plantations</t>
  </si>
  <si>
    <t>I (100%)</t>
  </si>
  <si>
    <t>Broad leaved plantations</t>
  </si>
  <si>
    <r>
      <t>FARM GATE PRICES UGX/M</t>
    </r>
    <r>
      <rPr>
        <sz val="12"/>
        <color theme="1"/>
        <rFont val="Calibri"/>
        <family val="2"/>
        <scheme val="minor"/>
      </rPr>
      <t>3</t>
    </r>
  </si>
  <si>
    <t>Assumptions</t>
  </si>
  <si>
    <r>
      <t xml:space="preserve">1. Based on gov valuer vales from Resettlement Assessment Plans (RAPs)- Approach No. 1, the Depreciated Replacement Cost Approach (Cost Approach), is based on the net
replacement cost of constructing similar structures in the same location. The </t>
    </r>
    <r>
      <rPr>
        <b/>
        <sz val="12"/>
        <color rgb="FF000000"/>
        <rFont val="Calibri"/>
        <family val="2"/>
        <scheme val="minor"/>
      </rPr>
      <t>net replacement cost is arrived at by calculating the present day reinstatement cost less depreciation for age,</t>
    </r>
    <r>
      <rPr>
        <sz val="12"/>
        <color rgb="FF000000"/>
        <rFont val="Calibri"/>
        <family val="2"/>
        <scheme val="minor"/>
      </rPr>
      <t xml:space="preserve"> functional
obsolescence and conditional dilapidations. The </t>
    </r>
    <r>
      <rPr>
        <b/>
        <sz val="12"/>
        <color rgb="FF000000"/>
        <rFont val="Calibri"/>
        <family val="2"/>
        <scheme val="minor"/>
      </rPr>
      <t>“As Is” M</t>
    </r>
    <r>
      <rPr>
        <sz val="12"/>
        <color rgb="FF000000"/>
        <rFont val="Calibri"/>
        <family val="2"/>
        <scheme val="minor"/>
      </rPr>
      <t>arket Value under Approach No. 1 therefore is the s</t>
    </r>
    <r>
      <rPr>
        <b/>
        <sz val="12"/>
        <color rgb="FF000000"/>
        <rFont val="Calibri"/>
        <family val="2"/>
        <scheme val="minor"/>
      </rPr>
      <t>um of the open market value for land a</t>
    </r>
    <r>
      <rPr>
        <sz val="12"/>
        <color rgb="FF000000"/>
        <rFont val="Calibri"/>
        <family val="2"/>
        <scheme val="minor"/>
      </rPr>
      <t>nd the net replacement cost of the 
developments. The compensation value payable following this approach is a sum of the “As Is” Market Value and a Disturbance Allowance of 30%.
Approach No.2, the Income Capitalisation Approach is based on capitalisation of the net annual income from the properties over the unexpired terms of their leases. The resultant figure is the “As
Is” Market Value under Approach No. 2. The compensation value payable following this approach is a sum of the “As Is” Market Value and a Disturbance Allowance of 30%.</t>
    </r>
  </si>
  <si>
    <t>2. RAPs for the sub regions in the table above were obtained and the mode for all values for the districts that form the sub region was taken as the representative price</t>
  </si>
  <si>
    <t>Cost of land per hectare-shs</t>
  </si>
  <si>
    <t>Land value per acre (UGX mill)</t>
  </si>
  <si>
    <t>Price of land per acres-shs</t>
  </si>
  <si>
    <t>Price of land per hectacre</t>
  </si>
  <si>
    <t>4. Obatin Goemean and median prices and compare the variations to help us select the best av price.</t>
  </si>
  <si>
    <t>3. Obtain at least three RAPS for each subregion for each biomass period and then get a linear mode to obtain the average price without necessary smoothening over the biomas years and across regions with growth of 87.5 % from 2015.</t>
  </si>
  <si>
    <t>Forest land valuation-17/12/2019</t>
  </si>
  <si>
    <t>Land area under forest cover-hectares</t>
  </si>
  <si>
    <t>2. Bench marck data for 2015 was obatined from NFA price list 2015 and forest revenue 2005/6-2017/18</t>
  </si>
  <si>
    <t xml:space="preserve">1. Assumed a growth rate in prices of wood resources of 10% per year. Replace this grwoth rate with the CSI timber price index based on 2016/17. Ask for the elementary index. </t>
  </si>
  <si>
    <t>I- Best standing quality (High)</t>
  </si>
  <si>
    <t>II Meduim</t>
  </si>
  <si>
    <t>III Low</t>
  </si>
  <si>
    <t>ratio of indexes</t>
  </si>
  <si>
    <t>Cost of land per acre-shs</t>
  </si>
  <si>
    <t>Land value per ha (UGX mill)</t>
  </si>
  <si>
    <t>Acholi</t>
  </si>
  <si>
    <t>Central North</t>
  </si>
  <si>
    <t>Central South</t>
  </si>
  <si>
    <t>East Central</t>
  </si>
  <si>
    <t>Elgon</t>
  </si>
  <si>
    <t>Karamoja</t>
  </si>
  <si>
    <t>Lango</t>
  </si>
  <si>
    <t>South Western</t>
  </si>
  <si>
    <t>Teso</t>
  </si>
  <si>
    <t>West Nile</t>
  </si>
  <si>
    <t>Western</t>
  </si>
  <si>
    <r>
      <t xml:space="preserve">1. Based on gov valuer vales from Resettlement Assessment Plans (RAPs)- Approach No. 1, the Depreciated Replacement Cost Approach (Cost Approach), is based on the net
replacement cost of constructing similar structures in the same location. The </t>
    </r>
    <r>
      <rPr>
        <b/>
        <sz val="10"/>
        <color rgb="FF000000"/>
        <rFont val="Calibri"/>
        <family val="2"/>
        <scheme val="minor"/>
      </rPr>
      <t>net replacement cost is arrived at by calculating the present day reinstatement cost less depreciation for age,</t>
    </r>
    <r>
      <rPr>
        <sz val="10"/>
        <color rgb="FF000000"/>
        <rFont val="Calibri"/>
        <family val="2"/>
        <scheme val="minor"/>
      </rPr>
      <t xml:space="preserve"> functional
obsolescence and conditional dilapidations. The </t>
    </r>
    <r>
      <rPr>
        <b/>
        <sz val="10"/>
        <color rgb="FF000000"/>
        <rFont val="Calibri"/>
        <family val="2"/>
        <scheme val="minor"/>
      </rPr>
      <t>“As Is” M</t>
    </r>
    <r>
      <rPr>
        <sz val="10"/>
        <color rgb="FF000000"/>
        <rFont val="Calibri"/>
        <family val="2"/>
        <scheme val="minor"/>
      </rPr>
      <t>arket Value under Approach No. 1 therefore is the s</t>
    </r>
    <r>
      <rPr>
        <b/>
        <sz val="10"/>
        <color rgb="FF000000"/>
        <rFont val="Calibri"/>
        <family val="2"/>
        <scheme val="minor"/>
      </rPr>
      <t>um of the open market value for land a</t>
    </r>
    <r>
      <rPr>
        <sz val="10"/>
        <color rgb="FF000000"/>
        <rFont val="Calibri"/>
        <family val="2"/>
        <scheme val="minor"/>
      </rPr>
      <t>nd the net replacement cost of the 
developments. The compensation value payable following this approach is a sum of the “As Is” Market Value and a Disturbance Allowance of 30%.
Approach No.2, the Income Capitalisation Approach is based on capitalisation of the net annual income from the properties over the unexpired terms of their leases. The resultant figure is the “As
Is” Market Value under Approach No. 2. The compensation value payable following this approach is a sum of the “As Is” Market Value and a Disturbance Allowance of 30%.</t>
    </r>
  </si>
  <si>
    <t>Forested area (ha)</t>
  </si>
  <si>
    <t>Price of forest land (UGX/ha)</t>
  </si>
  <si>
    <t>Forest land value (UGX mill)</t>
  </si>
  <si>
    <t>Natural forest (Woodlands) Aggregate prices</t>
  </si>
  <si>
    <t>Natural forest (THF)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</si>
</sst>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_);_(* \(#,##0.00\);_(* &quot;-&quot;??_);_(@_)"/>
    <numFmt numFmtId="164" formatCode="_(* #,##0_);_(* \(#,##0\);_(* &quot;-&quot;??_);_(@_)"/>
    <numFmt numFmtId="165" formatCode="0.0000%"/>
    <numFmt numFmtId="166" formatCode="0.000000"/>
  </numFmts>
  <fonts count="17" x14ac:knownFonts="1">
    <font>
      <sz val="11"/>
      <color theme="1"/>
      <name val="Calibri"/>
      <family val="2"/>
      <scheme val="minor"/>
    </font>
    <font>
      <sz val="11"/>
      <color theme="1"/>
      <name val="Calibri"/>
      <family val="2"/>
      <scheme val="minor"/>
    </font>
    <font>
      <sz val="11"/>
      <color theme="1"/>
      <name val="Gill Sans MT"/>
      <family val="2"/>
    </font>
    <font>
      <b/>
      <sz val="11"/>
      <color theme="1"/>
      <name val="Gill Sans MT"/>
      <family val="2"/>
    </font>
    <font>
      <sz val="12"/>
      <color theme="1"/>
      <name val="Calibri"/>
      <family val="2"/>
      <scheme val="minor"/>
    </font>
    <font>
      <b/>
      <sz val="11"/>
      <color theme="1"/>
      <name val="Calibri"/>
      <family val="2"/>
      <scheme val="minor"/>
    </font>
    <font>
      <sz val="12"/>
      <color theme="1"/>
      <name val="Times New Roman"/>
      <family val="1"/>
    </font>
    <font>
      <sz val="12"/>
      <color rgb="FF000000"/>
      <name val="Calibri"/>
      <family val="2"/>
      <scheme val="minor"/>
    </font>
    <font>
      <sz val="14"/>
      <color theme="1"/>
      <name val="Calibri"/>
      <family val="2"/>
      <scheme val="minor"/>
    </font>
    <font>
      <b/>
      <sz val="12"/>
      <color theme="1"/>
      <name val="Calibri"/>
      <family val="2"/>
      <scheme val="minor"/>
    </font>
    <font>
      <b/>
      <sz val="12"/>
      <color rgb="FF000000"/>
      <name val="Calibri"/>
      <family val="2"/>
      <scheme val="minor"/>
    </font>
    <font>
      <b/>
      <sz val="14"/>
      <color theme="1"/>
      <name val="Calibri"/>
      <family val="2"/>
      <scheme val="minor"/>
    </font>
    <font>
      <b/>
      <sz val="10"/>
      <color theme="1"/>
      <name val="Calibri"/>
      <family val="2"/>
      <scheme val="minor"/>
    </font>
    <font>
      <sz val="10"/>
      <color theme="1"/>
      <name val="Calibri"/>
      <family val="2"/>
      <scheme val="minor"/>
    </font>
    <font>
      <sz val="10"/>
      <color rgb="FF000000"/>
      <name val="Calibri"/>
      <family val="2"/>
      <scheme val="minor"/>
    </font>
    <font>
      <sz val="10"/>
      <color theme="1"/>
      <name val="Times New Roman"/>
      <family val="1"/>
    </font>
    <font>
      <b/>
      <sz val="10"/>
      <color rgb="FF000000"/>
      <name val="Calibri"/>
      <family val="2"/>
      <scheme val="minor"/>
    </font>
  </fonts>
  <fills count="3">
    <fill>
      <patternFill patternType="none"/>
    </fill>
    <fill>
      <patternFill patternType="gray125"/>
    </fill>
    <fill>
      <patternFill patternType="solid">
        <fgColor rgb="FFFFFF00"/>
        <bgColor indexed="64"/>
      </patternFill>
    </fill>
  </fills>
  <borders count="12">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61">
    <xf numFmtId="0" fontId="0" fillId="0" borderId="0" xfId="0"/>
    <xf numFmtId="0" fontId="2" fillId="0" borderId="3" xfId="0" applyFont="1" applyBorder="1" applyAlignment="1">
      <alignment horizontal="justify" vertical="center" wrapText="1"/>
    </xf>
    <xf numFmtId="0" fontId="2" fillId="0" borderId="4" xfId="0" applyFont="1" applyBorder="1" applyAlignment="1">
      <alignment horizontal="justify" vertical="center" wrapText="1"/>
    </xf>
    <xf numFmtId="164" fontId="2" fillId="0" borderId="4" xfId="1" applyNumberFormat="1" applyFont="1" applyBorder="1" applyAlignment="1">
      <alignment horizontal="center" vertical="center" wrapText="1"/>
    </xf>
    <xf numFmtId="0" fontId="3" fillId="0" borderId="1" xfId="0" applyFont="1" applyBorder="1" applyAlignment="1">
      <alignment horizontal="justify" vertical="center" wrapText="1"/>
    </xf>
    <xf numFmtId="0" fontId="3" fillId="0" borderId="2" xfId="0" applyFont="1" applyBorder="1" applyAlignment="1">
      <alignment horizontal="justify" vertical="center" wrapText="1"/>
    </xf>
    <xf numFmtId="0" fontId="3" fillId="0" borderId="2" xfId="0" applyFont="1" applyBorder="1" applyAlignment="1">
      <alignment horizontal="center" vertical="center" wrapText="1"/>
    </xf>
    <xf numFmtId="0" fontId="6" fillId="0" borderId="5" xfId="0" applyFont="1" applyBorder="1" applyAlignment="1">
      <alignment vertical="center" wrapText="1"/>
    </xf>
    <xf numFmtId="0" fontId="7" fillId="0" borderId="5" xfId="0" applyFont="1" applyBorder="1" applyAlignment="1">
      <alignment horizontal="right" vertical="center" wrapText="1"/>
    </xf>
    <xf numFmtId="0" fontId="4" fillId="0" borderId="0" xfId="0" applyFont="1"/>
    <xf numFmtId="0" fontId="7" fillId="0" borderId="5" xfId="0" applyFont="1" applyBorder="1" applyAlignment="1">
      <alignment vertical="center"/>
    </xf>
    <xf numFmtId="164" fontId="7" fillId="0" borderId="5" xfId="1" applyNumberFormat="1" applyFont="1" applyBorder="1" applyAlignment="1">
      <alignment vertical="center" wrapText="1"/>
    </xf>
    <xf numFmtId="164" fontId="7" fillId="0" borderId="5" xfId="1" applyNumberFormat="1" applyFont="1" applyBorder="1" applyAlignment="1">
      <alignment horizontal="right" vertical="center" wrapText="1"/>
    </xf>
    <xf numFmtId="164" fontId="4" fillId="0" borderId="5" xfId="1" applyNumberFormat="1" applyFont="1" applyBorder="1"/>
    <xf numFmtId="0" fontId="4" fillId="0" borderId="5" xfId="0" applyFont="1" applyBorder="1"/>
    <xf numFmtId="0" fontId="8" fillId="0" borderId="0" xfId="0" applyFont="1"/>
    <xf numFmtId="164" fontId="7" fillId="0" borderId="5" xfId="1" applyNumberFormat="1" applyFont="1" applyBorder="1" applyAlignment="1">
      <alignment horizontal="right" vertical="center"/>
    </xf>
    <xf numFmtId="0" fontId="11" fillId="0" borderId="0" xfId="0" applyFont="1"/>
    <xf numFmtId="0" fontId="9" fillId="0" borderId="0" xfId="0" applyFont="1"/>
    <xf numFmtId="9" fontId="4" fillId="0" borderId="0" xfId="2" applyFont="1"/>
    <xf numFmtId="165" fontId="4" fillId="0" borderId="0" xfId="2" applyNumberFormat="1" applyFont="1"/>
    <xf numFmtId="0" fontId="5" fillId="0" borderId="0" xfId="0" applyFont="1"/>
    <xf numFmtId="0" fontId="2" fillId="0" borderId="4" xfId="0" applyFont="1" applyBorder="1" applyAlignment="1">
      <alignment horizontal="left" vertical="center" wrapText="1" indent="2"/>
    </xf>
    <xf numFmtId="9" fontId="2" fillId="0" borderId="4" xfId="0" applyNumberFormat="1" applyFont="1" applyBorder="1" applyAlignment="1">
      <alignment horizontal="justify" vertical="center" wrapText="1"/>
    </xf>
    <xf numFmtId="0" fontId="0" fillId="0" borderId="0" xfId="0" applyAlignment="1">
      <alignment wrapText="1"/>
    </xf>
    <xf numFmtId="166" fontId="0" fillId="0" borderId="0" xfId="0" applyNumberFormat="1"/>
    <xf numFmtId="164" fontId="2" fillId="0" borderId="4" xfId="0" applyNumberFormat="1" applyFont="1" applyBorder="1" applyAlignment="1">
      <alignment horizontal="justify" vertical="center" wrapText="1"/>
    </xf>
    <xf numFmtId="0" fontId="4" fillId="0" borderId="7" xfId="0" applyFont="1" applyBorder="1" applyAlignment="1">
      <alignment vertical="center"/>
    </xf>
    <xf numFmtId="0" fontId="4" fillId="0" borderId="8" xfId="0" applyFont="1" applyBorder="1" applyAlignment="1">
      <alignment vertical="center"/>
    </xf>
    <xf numFmtId="0" fontId="12" fillId="0" borderId="0" xfId="0" applyFont="1"/>
    <xf numFmtId="0" fontId="13" fillId="0" borderId="0" xfId="0" applyFont="1"/>
    <xf numFmtId="0" fontId="13" fillId="0" borderId="7" xfId="0" applyFont="1" applyBorder="1" applyAlignment="1">
      <alignment vertical="center"/>
    </xf>
    <xf numFmtId="0" fontId="13" fillId="0" borderId="8" xfId="0" applyFont="1" applyBorder="1" applyAlignment="1">
      <alignment vertical="center"/>
    </xf>
    <xf numFmtId="0" fontId="14" fillId="0" borderId="5" xfId="0" applyFont="1" applyBorder="1" applyAlignment="1">
      <alignment horizontal="right" vertical="center" wrapText="1"/>
    </xf>
    <xf numFmtId="0" fontId="15" fillId="0" borderId="5" xfId="0" applyFont="1" applyBorder="1" applyAlignment="1">
      <alignment vertical="center" wrapText="1"/>
    </xf>
    <xf numFmtId="0" fontId="14" fillId="0" borderId="5" xfId="0" applyFont="1" applyBorder="1" applyAlignment="1">
      <alignment vertical="center"/>
    </xf>
    <xf numFmtId="164" fontId="14" fillId="0" borderId="5" xfId="1" applyNumberFormat="1" applyFont="1" applyBorder="1" applyAlignment="1">
      <alignment horizontal="right" vertical="center"/>
    </xf>
    <xf numFmtId="164" fontId="14" fillId="0" borderId="5" xfId="1" applyNumberFormat="1" applyFont="1" applyBorder="1" applyAlignment="1">
      <alignment vertical="center" wrapText="1"/>
    </xf>
    <xf numFmtId="164" fontId="14" fillId="0" borderId="5" xfId="1" applyNumberFormat="1" applyFont="1" applyBorder="1" applyAlignment="1">
      <alignment horizontal="right" vertical="center" wrapText="1"/>
    </xf>
    <xf numFmtId="164" fontId="13" fillId="0" borderId="5" xfId="1" applyNumberFormat="1" applyFont="1" applyBorder="1"/>
    <xf numFmtId="0" fontId="13" fillId="0" borderId="5" xfId="0" applyFont="1" applyBorder="1"/>
    <xf numFmtId="0" fontId="9" fillId="0" borderId="5" xfId="0" applyFont="1" applyBorder="1" applyAlignment="1">
      <alignment horizontal="center"/>
    </xf>
    <xf numFmtId="0" fontId="9" fillId="0" borderId="9" xfId="0" applyFont="1" applyBorder="1" applyAlignment="1">
      <alignment horizontal="center"/>
    </xf>
    <xf numFmtId="0" fontId="9" fillId="0" borderId="10" xfId="0" applyFont="1" applyBorder="1" applyAlignment="1">
      <alignment horizontal="center"/>
    </xf>
    <xf numFmtId="0" fontId="9" fillId="0" borderId="11" xfId="0" applyFont="1" applyBorder="1" applyAlignment="1">
      <alignment horizontal="center"/>
    </xf>
    <xf numFmtId="0" fontId="7" fillId="0" borderId="6" xfId="0" applyFont="1" applyBorder="1" applyAlignment="1">
      <alignment vertical="center" wrapText="1"/>
    </xf>
    <xf numFmtId="0" fontId="0" fillId="0" borderId="0" xfId="0" applyAlignment="1">
      <alignment wrapText="1"/>
    </xf>
    <xf numFmtId="0" fontId="7" fillId="0" borderId="6" xfId="0" applyFont="1" applyBorder="1" applyAlignment="1">
      <alignment vertical="center"/>
    </xf>
    <xf numFmtId="0" fontId="0" fillId="0" borderId="0" xfId="0" applyAlignment="1"/>
    <xf numFmtId="0" fontId="7" fillId="2" borderId="6" xfId="0" applyFont="1" applyFill="1" applyBorder="1" applyAlignment="1">
      <alignment vertical="center"/>
    </xf>
    <xf numFmtId="0" fontId="0" fillId="2" borderId="0" xfId="0" applyFill="1" applyAlignment="1"/>
    <xf numFmtId="0" fontId="14" fillId="0" borderId="6" xfId="0" applyFont="1" applyBorder="1" applyAlignment="1">
      <alignment vertical="center"/>
    </xf>
    <xf numFmtId="0" fontId="13" fillId="0" borderId="0" xfId="0" applyFont="1" applyAlignment="1"/>
    <xf numFmtId="0" fontId="14" fillId="2" borderId="6" xfId="0" applyFont="1" applyFill="1" applyBorder="1" applyAlignment="1">
      <alignment vertical="center"/>
    </xf>
    <xf numFmtId="0" fontId="13" fillId="2" borderId="0" xfId="0" applyFont="1" applyFill="1" applyAlignment="1"/>
    <xf numFmtId="0" fontId="12" fillId="0" borderId="9" xfId="0" applyFont="1" applyBorder="1" applyAlignment="1">
      <alignment horizontal="center"/>
    </xf>
    <xf numFmtId="0" fontId="12" fillId="0" borderId="10" xfId="0" applyFont="1" applyBorder="1" applyAlignment="1">
      <alignment horizontal="center"/>
    </xf>
    <xf numFmtId="0" fontId="12" fillId="0" borderId="11" xfId="0" applyFont="1" applyBorder="1" applyAlignment="1">
      <alignment horizontal="center"/>
    </xf>
    <xf numFmtId="0" fontId="12" fillId="0" borderId="5" xfId="0" applyFont="1" applyBorder="1" applyAlignment="1">
      <alignment horizontal="center"/>
    </xf>
    <xf numFmtId="0" fontId="14" fillId="0" borderId="6" xfId="0" applyFont="1" applyBorder="1" applyAlignment="1">
      <alignment vertical="center" wrapText="1"/>
    </xf>
    <xf numFmtId="0" fontId="13" fillId="0" borderId="0" xfId="0" applyFont="1" applyAlignment="1">
      <alignment wrapText="1"/>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chartsheet" Target="chartsheets/sheet3.xml"/><Relationship Id="rId7" Type="http://schemas.openxmlformats.org/officeDocument/2006/relationships/externalLink" Target="externalLinks/externalLink1.xml"/><Relationship Id="rId2" Type="http://schemas.openxmlformats.org/officeDocument/2006/relationships/chartsheet" Target="chartsheets/sheet2.xml"/><Relationship Id="rId1" Type="http://schemas.openxmlformats.org/officeDocument/2006/relationships/chartsheet" Target="chartsheets/sheet1.xml"/><Relationship Id="rId6" Type="http://schemas.openxmlformats.org/officeDocument/2006/relationships/worksheet" Target="worksheets/sheet3.xml"/><Relationship Id="rId11" Type="http://schemas.openxmlformats.org/officeDocument/2006/relationships/calcChain" Target="calcChain.xml"/><Relationship Id="rId5" Type="http://schemas.openxmlformats.org/officeDocument/2006/relationships/worksheet" Target="worksheets/sheet2.xml"/><Relationship Id="rId10"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1"/>
          <c:tx>
            <c:strRef>
              <c:f>'Forest land valuation'!$C$2:$C$3</c:f>
              <c:strCache>
                <c:ptCount val="2"/>
                <c:pt idx="0">
                  <c:v>1990</c:v>
                </c:pt>
                <c:pt idx="1">
                  <c:v>Price of forest land (UGX/ha)</c:v>
                </c:pt>
              </c:strCache>
            </c:strRef>
          </c:tx>
          <c:spPr>
            <a:solidFill>
              <a:schemeClr val="accent2"/>
            </a:solidFill>
            <a:ln>
              <a:noFill/>
            </a:ln>
            <a:effectLst/>
          </c:spPr>
          <c:invertIfNegative val="0"/>
          <c:cat>
            <c:strRef>
              <c:f>'Forest land valuation'!$A$4:$A$14</c:f>
              <c:strCache>
                <c:ptCount val="11"/>
                <c:pt idx="0">
                  <c:v>Acholi</c:v>
                </c:pt>
                <c:pt idx="1">
                  <c:v>Central North</c:v>
                </c:pt>
                <c:pt idx="2">
                  <c:v>Central South</c:v>
                </c:pt>
                <c:pt idx="3">
                  <c:v>East Central</c:v>
                </c:pt>
                <c:pt idx="4">
                  <c:v>Elgon</c:v>
                </c:pt>
                <c:pt idx="5">
                  <c:v>Karamoja</c:v>
                </c:pt>
                <c:pt idx="6">
                  <c:v>Lango</c:v>
                </c:pt>
                <c:pt idx="7">
                  <c:v>South Western</c:v>
                </c:pt>
                <c:pt idx="8">
                  <c:v>Teso</c:v>
                </c:pt>
                <c:pt idx="9">
                  <c:v>West Nile</c:v>
                </c:pt>
                <c:pt idx="10">
                  <c:v>Western</c:v>
                </c:pt>
              </c:strCache>
            </c:strRef>
          </c:cat>
          <c:val>
            <c:numRef>
              <c:f>'Forest land valuation'!$C$4:$C$14</c:f>
              <c:numCache>
                <c:formatCode>_(* #,##0_);_(* \(#,##0\);_(* "-"??_);_(@_)</c:formatCode>
                <c:ptCount val="11"/>
                <c:pt idx="0">
                  <c:v>714285.71428571513</c:v>
                </c:pt>
                <c:pt idx="1">
                  <c:v>4110741.5238095284</c:v>
                </c:pt>
                <c:pt idx="2">
                  <c:v>20019572.717333354</c:v>
                </c:pt>
                <c:pt idx="3">
                  <c:v>3357366.1917619081</c:v>
                </c:pt>
                <c:pt idx="4">
                  <c:v>1548906.5714285732</c:v>
                </c:pt>
                <c:pt idx="5">
                  <c:v>88124.855857142946</c:v>
                </c:pt>
                <c:pt idx="6">
                  <c:v>714285.71428571513</c:v>
                </c:pt>
                <c:pt idx="7">
                  <c:v>1059144.4774761917</c:v>
                </c:pt>
                <c:pt idx="8">
                  <c:v>714285.71428571513</c:v>
                </c:pt>
                <c:pt idx="9">
                  <c:v>714285.71428571513</c:v>
                </c:pt>
                <c:pt idx="10">
                  <c:v>414342.85714285763</c:v>
                </c:pt>
              </c:numCache>
            </c:numRef>
          </c:val>
          <c:extLst>
            <c:ext xmlns:c16="http://schemas.microsoft.com/office/drawing/2014/chart" uri="{C3380CC4-5D6E-409C-BE32-E72D297353CC}">
              <c16:uniqueId val="{00000001-E6D3-4F32-AD75-0C713021DE6F}"/>
            </c:ext>
          </c:extLst>
        </c:ser>
        <c:ser>
          <c:idx val="5"/>
          <c:order val="5"/>
          <c:tx>
            <c:strRef>
              <c:f>'Forest land valuation'!$G$2:$G$3</c:f>
              <c:strCache>
                <c:ptCount val="2"/>
                <c:pt idx="0">
                  <c:v>2000</c:v>
                </c:pt>
                <c:pt idx="1">
                  <c:v>Price of forest land (UGX/ha)</c:v>
                </c:pt>
              </c:strCache>
            </c:strRef>
          </c:tx>
          <c:spPr>
            <a:solidFill>
              <a:schemeClr val="accent6"/>
            </a:solidFill>
            <a:ln>
              <a:noFill/>
            </a:ln>
            <a:effectLst/>
          </c:spPr>
          <c:invertIfNegative val="0"/>
          <c:cat>
            <c:strRef>
              <c:f>'Forest land valuation'!$A$4:$A$14</c:f>
              <c:strCache>
                <c:ptCount val="11"/>
                <c:pt idx="0">
                  <c:v>Acholi</c:v>
                </c:pt>
                <c:pt idx="1">
                  <c:v>Central North</c:v>
                </c:pt>
                <c:pt idx="2">
                  <c:v>Central South</c:v>
                </c:pt>
                <c:pt idx="3">
                  <c:v>East Central</c:v>
                </c:pt>
                <c:pt idx="4">
                  <c:v>Elgon</c:v>
                </c:pt>
                <c:pt idx="5">
                  <c:v>Karamoja</c:v>
                </c:pt>
                <c:pt idx="6">
                  <c:v>Lango</c:v>
                </c:pt>
                <c:pt idx="7">
                  <c:v>South Western</c:v>
                </c:pt>
                <c:pt idx="8">
                  <c:v>Teso</c:v>
                </c:pt>
                <c:pt idx="9">
                  <c:v>West Nile</c:v>
                </c:pt>
                <c:pt idx="10">
                  <c:v>Western</c:v>
                </c:pt>
              </c:strCache>
            </c:strRef>
          </c:cat>
          <c:val>
            <c:numRef>
              <c:f>'Forest land valuation'!$G$4:$G$14</c:f>
              <c:numCache>
                <c:formatCode>_(* #,##0_);_(* \(#,##0\);_(* "-"??_);_(@_)</c:formatCode>
                <c:ptCount val="11"/>
                <c:pt idx="0">
                  <c:v>6428571.4285714291</c:v>
                </c:pt>
                <c:pt idx="1">
                  <c:v>36996673.714285716</c:v>
                </c:pt>
                <c:pt idx="2">
                  <c:v>180176154.456</c:v>
                </c:pt>
                <c:pt idx="3">
                  <c:v>30216295.725857142</c:v>
                </c:pt>
                <c:pt idx="4">
                  <c:v>13940159.142857144</c:v>
                </c:pt>
                <c:pt idx="5">
                  <c:v>793123.7027142857</c:v>
                </c:pt>
                <c:pt idx="6">
                  <c:v>6428571.4285714291</c:v>
                </c:pt>
                <c:pt idx="7">
                  <c:v>9532300.2972857151</c:v>
                </c:pt>
                <c:pt idx="8">
                  <c:v>6428571.4285714291</c:v>
                </c:pt>
                <c:pt idx="9">
                  <c:v>6428571.4285714291</c:v>
                </c:pt>
                <c:pt idx="10">
                  <c:v>3729085.7142857146</c:v>
                </c:pt>
              </c:numCache>
            </c:numRef>
          </c:val>
          <c:extLst>
            <c:ext xmlns:c16="http://schemas.microsoft.com/office/drawing/2014/chart" uri="{C3380CC4-5D6E-409C-BE32-E72D297353CC}">
              <c16:uniqueId val="{00000005-E6D3-4F32-AD75-0C713021DE6F}"/>
            </c:ext>
          </c:extLst>
        </c:ser>
        <c:ser>
          <c:idx val="9"/>
          <c:order val="9"/>
          <c:tx>
            <c:strRef>
              <c:f>'Forest land valuation'!$K$2:$K$3</c:f>
              <c:strCache>
                <c:ptCount val="2"/>
                <c:pt idx="0">
                  <c:v>2005</c:v>
                </c:pt>
                <c:pt idx="1">
                  <c:v>Price of forest land (UGX/ha)</c:v>
                </c:pt>
              </c:strCache>
            </c:strRef>
          </c:tx>
          <c:spPr>
            <a:solidFill>
              <a:schemeClr val="accent4">
                <a:lumMod val="60000"/>
              </a:schemeClr>
            </a:solidFill>
            <a:ln>
              <a:noFill/>
            </a:ln>
            <a:effectLst/>
          </c:spPr>
          <c:invertIfNegative val="0"/>
          <c:cat>
            <c:strRef>
              <c:f>'Forest land valuation'!$A$4:$A$14</c:f>
              <c:strCache>
                <c:ptCount val="11"/>
                <c:pt idx="0">
                  <c:v>Acholi</c:v>
                </c:pt>
                <c:pt idx="1">
                  <c:v>Central North</c:v>
                </c:pt>
                <c:pt idx="2">
                  <c:v>Central South</c:v>
                </c:pt>
                <c:pt idx="3">
                  <c:v>East Central</c:v>
                </c:pt>
                <c:pt idx="4">
                  <c:v>Elgon</c:v>
                </c:pt>
                <c:pt idx="5">
                  <c:v>Karamoja</c:v>
                </c:pt>
                <c:pt idx="6">
                  <c:v>Lango</c:v>
                </c:pt>
                <c:pt idx="7">
                  <c:v>South Western</c:v>
                </c:pt>
                <c:pt idx="8">
                  <c:v>Teso</c:v>
                </c:pt>
                <c:pt idx="9">
                  <c:v>West Nile</c:v>
                </c:pt>
                <c:pt idx="10">
                  <c:v>Western</c:v>
                </c:pt>
              </c:strCache>
            </c:strRef>
          </c:cat>
          <c:val>
            <c:numRef>
              <c:f>'Forest land valuation'!$K$4:$K$14</c:f>
              <c:numCache>
                <c:formatCode>_(* #,##0_);_(* \(#,##0\);_(* "-"??_);_(@_)</c:formatCode>
                <c:ptCount val="11"/>
                <c:pt idx="0">
                  <c:v>9285714.2857142854</c:v>
                </c:pt>
                <c:pt idx="1">
                  <c:v>53439639.809523813</c:v>
                </c:pt>
                <c:pt idx="2">
                  <c:v>260254445.3253333</c:v>
                </c:pt>
                <c:pt idx="3">
                  <c:v>43645760.49290476</c:v>
                </c:pt>
                <c:pt idx="4">
                  <c:v>20135785.428571429</c:v>
                </c:pt>
                <c:pt idx="5">
                  <c:v>1145623.1261428571</c:v>
                </c:pt>
                <c:pt idx="6">
                  <c:v>9285714.2857142854</c:v>
                </c:pt>
                <c:pt idx="7">
                  <c:v>13768878.207190476</c:v>
                </c:pt>
                <c:pt idx="8">
                  <c:v>9285714.2857142854</c:v>
                </c:pt>
                <c:pt idx="9">
                  <c:v>9285714.2857142854</c:v>
                </c:pt>
                <c:pt idx="10">
                  <c:v>5386457.1428571427</c:v>
                </c:pt>
              </c:numCache>
            </c:numRef>
          </c:val>
          <c:extLst>
            <c:ext xmlns:c16="http://schemas.microsoft.com/office/drawing/2014/chart" uri="{C3380CC4-5D6E-409C-BE32-E72D297353CC}">
              <c16:uniqueId val="{00000009-E6D3-4F32-AD75-0C713021DE6F}"/>
            </c:ext>
          </c:extLst>
        </c:ser>
        <c:ser>
          <c:idx val="13"/>
          <c:order val="13"/>
          <c:tx>
            <c:strRef>
              <c:f>'Forest land valuation'!$O$2:$O$3</c:f>
              <c:strCache>
                <c:ptCount val="2"/>
                <c:pt idx="0">
                  <c:v>2010</c:v>
                </c:pt>
                <c:pt idx="1">
                  <c:v>Price of forest land (UGX/ha)</c:v>
                </c:pt>
              </c:strCache>
            </c:strRef>
          </c:tx>
          <c:spPr>
            <a:solidFill>
              <a:schemeClr val="accent2">
                <a:lumMod val="80000"/>
                <a:lumOff val="20000"/>
              </a:schemeClr>
            </a:solidFill>
            <a:ln>
              <a:noFill/>
            </a:ln>
            <a:effectLst/>
          </c:spPr>
          <c:invertIfNegative val="0"/>
          <c:cat>
            <c:strRef>
              <c:f>'Forest land valuation'!$A$4:$A$14</c:f>
              <c:strCache>
                <c:ptCount val="11"/>
                <c:pt idx="0">
                  <c:v>Acholi</c:v>
                </c:pt>
                <c:pt idx="1">
                  <c:v>Central North</c:v>
                </c:pt>
                <c:pt idx="2">
                  <c:v>Central South</c:v>
                </c:pt>
                <c:pt idx="3">
                  <c:v>East Central</c:v>
                </c:pt>
                <c:pt idx="4">
                  <c:v>Elgon</c:v>
                </c:pt>
                <c:pt idx="5">
                  <c:v>Karamoja</c:v>
                </c:pt>
                <c:pt idx="6">
                  <c:v>Lango</c:v>
                </c:pt>
                <c:pt idx="7">
                  <c:v>South Western</c:v>
                </c:pt>
                <c:pt idx="8">
                  <c:v>Teso</c:v>
                </c:pt>
                <c:pt idx="9">
                  <c:v>West Nile</c:v>
                </c:pt>
                <c:pt idx="10">
                  <c:v>Western</c:v>
                </c:pt>
              </c:strCache>
            </c:strRef>
          </c:cat>
          <c:val>
            <c:numRef>
              <c:f>'Forest land valuation'!$O$4:$O$14</c:f>
              <c:numCache>
                <c:formatCode>_(* #,##0_);_(* \(#,##0\);_(* "-"??_);_(@_)</c:formatCode>
                <c:ptCount val="11"/>
                <c:pt idx="0">
                  <c:v>12142857.142857144</c:v>
                </c:pt>
                <c:pt idx="1">
                  <c:v>69882605.90476191</c:v>
                </c:pt>
                <c:pt idx="2">
                  <c:v>340332736.19466662</c:v>
                </c:pt>
                <c:pt idx="3">
                  <c:v>57075225.259952381</c:v>
                </c:pt>
                <c:pt idx="4">
                  <c:v>26331411.714285716</c:v>
                </c:pt>
                <c:pt idx="5">
                  <c:v>1498122.5495714284</c:v>
                </c:pt>
                <c:pt idx="6">
                  <c:v>12142857.142857144</c:v>
                </c:pt>
                <c:pt idx="7">
                  <c:v>18005456.117095236</c:v>
                </c:pt>
                <c:pt idx="8">
                  <c:v>12142857.142857144</c:v>
                </c:pt>
                <c:pt idx="9">
                  <c:v>12142857.142857144</c:v>
                </c:pt>
                <c:pt idx="10">
                  <c:v>7043828.5714285718</c:v>
                </c:pt>
              </c:numCache>
            </c:numRef>
          </c:val>
          <c:extLst>
            <c:ext xmlns:c16="http://schemas.microsoft.com/office/drawing/2014/chart" uri="{C3380CC4-5D6E-409C-BE32-E72D297353CC}">
              <c16:uniqueId val="{0000000D-E6D3-4F32-AD75-0C713021DE6F}"/>
            </c:ext>
          </c:extLst>
        </c:ser>
        <c:ser>
          <c:idx val="17"/>
          <c:order val="17"/>
          <c:tx>
            <c:strRef>
              <c:f>'Forest land valuation'!$S$2:$S$3</c:f>
              <c:strCache>
                <c:ptCount val="2"/>
                <c:pt idx="0">
                  <c:v>2015</c:v>
                </c:pt>
                <c:pt idx="1">
                  <c:v>Price of forest land (UGX/ha)</c:v>
                </c:pt>
              </c:strCache>
            </c:strRef>
          </c:tx>
          <c:spPr>
            <a:solidFill>
              <a:schemeClr val="accent6">
                <a:lumMod val="80000"/>
                <a:lumOff val="20000"/>
              </a:schemeClr>
            </a:solidFill>
            <a:ln>
              <a:noFill/>
            </a:ln>
            <a:effectLst/>
          </c:spPr>
          <c:invertIfNegative val="0"/>
          <c:cat>
            <c:strRef>
              <c:f>'Forest land valuation'!$A$4:$A$14</c:f>
              <c:strCache>
                <c:ptCount val="11"/>
                <c:pt idx="0">
                  <c:v>Acholi</c:v>
                </c:pt>
                <c:pt idx="1">
                  <c:v>Central North</c:v>
                </c:pt>
                <c:pt idx="2">
                  <c:v>Central South</c:v>
                </c:pt>
                <c:pt idx="3">
                  <c:v>East Central</c:v>
                </c:pt>
                <c:pt idx="4">
                  <c:v>Elgon</c:v>
                </c:pt>
                <c:pt idx="5">
                  <c:v>Karamoja</c:v>
                </c:pt>
                <c:pt idx="6">
                  <c:v>Lango</c:v>
                </c:pt>
                <c:pt idx="7">
                  <c:v>South Western</c:v>
                </c:pt>
                <c:pt idx="8">
                  <c:v>Teso</c:v>
                </c:pt>
                <c:pt idx="9">
                  <c:v>West Nile</c:v>
                </c:pt>
                <c:pt idx="10">
                  <c:v>Western</c:v>
                </c:pt>
              </c:strCache>
            </c:strRef>
          </c:cat>
          <c:val>
            <c:numRef>
              <c:f>'Forest land valuation'!$S$4:$S$14</c:f>
              <c:numCache>
                <c:formatCode>_(* #,##0_);_(* \(#,##0\);_(* "-"??_);_(@_)</c:formatCode>
                <c:ptCount val="11"/>
                <c:pt idx="0">
                  <c:v>15000000</c:v>
                </c:pt>
                <c:pt idx="1">
                  <c:v>86325572</c:v>
                </c:pt>
                <c:pt idx="2">
                  <c:v>420411027.06399995</c:v>
                </c:pt>
                <c:pt idx="3">
                  <c:v>70504690.026999995</c:v>
                </c:pt>
                <c:pt idx="4">
                  <c:v>32527038</c:v>
                </c:pt>
                <c:pt idx="5">
                  <c:v>1850621.9729999998</c:v>
                </c:pt>
                <c:pt idx="6">
                  <c:v>15000000</c:v>
                </c:pt>
                <c:pt idx="7">
                  <c:v>22242034.026999999</c:v>
                </c:pt>
                <c:pt idx="8">
                  <c:v>15000000</c:v>
                </c:pt>
                <c:pt idx="9">
                  <c:v>15000000</c:v>
                </c:pt>
                <c:pt idx="10">
                  <c:v>8701200</c:v>
                </c:pt>
              </c:numCache>
            </c:numRef>
          </c:val>
          <c:extLst>
            <c:ext xmlns:c16="http://schemas.microsoft.com/office/drawing/2014/chart" uri="{C3380CC4-5D6E-409C-BE32-E72D297353CC}">
              <c16:uniqueId val="{00000011-E6D3-4F32-AD75-0C713021DE6F}"/>
            </c:ext>
          </c:extLst>
        </c:ser>
        <c:dLbls>
          <c:showLegendKey val="0"/>
          <c:showVal val="0"/>
          <c:showCatName val="0"/>
          <c:showSerName val="0"/>
          <c:showPercent val="0"/>
          <c:showBubbleSize val="0"/>
        </c:dLbls>
        <c:gapWidth val="150"/>
        <c:axId val="990006575"/>
        <c:axId val="990003663"/>
        <c:extLst>
          <c:ext xmlns:c15="http://schemas.microsoft.com/office/drawing/2012/chart" uri="{02D57815-91ED-43cb-92C2-25804820EDAC}">
            <c15:filteredBarSeries>
              <c15:ser>
                <c:idx val="0"/>
                <c:order val="0"/>
                <c:tx>
                  <c:strRef>
                    <c:extLst>
                      <c:ext uri="{02D57815-91ED-43cb-92C2-25804820EDAC}">
                        <c15:formulaRef>
                          <c15:sqref>'Forest land valuation'!$B$2:$B$3</c15:sqref>
                        </c15:formulaRef>
                      </c:ext>
                    </c:extLst>
                    <c:strCache>
                      <c:ptCount val="2"/>
                      <c:pt idx="0">
                        <c:v>1990</c:v>
                      </c:pt>
                      <c:pt idx="1">
                        <c:v>Forested area (ha)</c:v>
                      </c:pt>
                    </c:strCache>
                  </c:strRef>
                </c:tx>
                <c:spPr>
                  <a:solidFill>
                    <a:schemeClr val="accent1"/>
                  </a:solidFill>
                  <a:ln>
                    <a:noFill/>
                  </a:ln>
                  <a:effectLst/>
                </c:spPr>
                <c:invertIfNegative val="0"/>
                <c:cat>
                  <c:strRef>
                    <c:extLst>
                      <c:ext uri="{02D57815-91ED-43cb-92C2-25804820EDAC}">
                        <c15:formulaRef>
                          <c15:sqref>'Forest land valuation'!$A$4:$A$14</c15:sqref>
                        </c15:formulaRef>
                      </c:ext>
                    </c:extLst>
                    <c:strCache>
                      <c:ptCount val="11"/>
                      <c:pt idx="0">
                        <c:v>Acholi</c:v>
                      </c:pt>
                      <c:pt idx="1">
                        <c:v>Central North</c:v>
                      </c:pt>
                      <c:pt idx="2">
                        <c:v>Central South</c:v>
                      </c:pt>
                      <c:pt idx="3">
                        <c:v>East Central</c:v>
                      </c:pt>
                      <c:pt idx="4">
                        <c:v>Elgon</c:v>
                      </c:pt>
                      <c:pt idx="5">
                        <c:v>Karamoja</c:v>
                      </c:pt>
                      <c:pt idx="6">
                        <c:v>Lango</c:v>
                      </c:pt>
                      <c:pt idx="7">
                        <c:v>South Western</c:v>
                      </c:pt>
                      <c:pt idx="8">
                        <c:v>Teso</c:v>
                      </c:pt>
                      <c:pt idx="9">
                        <c:v>West Nile</c:v>
                      </c:pt>
                      <c:pt idx="10">
                        <c:v>Western</c:v>
                      </c:pt>
                    </c:strCache>
                  </c:strRef>
                </c:cat>
                <c:val>
                  <c:numRef>
                    <c:extLst>
                      <c:ext uri="{02D57815-91ED-43cb-92C2-25804820EDAC}">
                        <c15:formulaRef>
                          <c15:sqref>'Forest land valuation'!$B$4:$B$14</c15:sqref>
                        </c15:formulaRef>
                      </c:ext>
                    </c:extLst>
                    <c:numCache>
                      <c:formatCode>_(* #,##0_);_(* \(#,##0\);_(* "-"??_);_(@_)</c:formatCode>
                      <c:ptCount val="11"/>
                      <c:pt idx="0">
                        <c:v>1197445.7</c:v>
                      </c:pt>
                      <c:pt idx="1">
                        <c:v>674196.5</c:v>
                      </c:pt>
                      <c:pt idx="2">
                        <c:v>319429.8</c:v>
                      </c:pt>
                      <c:pt idx="3">
                        <c:v>96476.800000000003</c:v>
                      </c:pt>
                      <c:pt idx="4">
                        <c:v>116974.3</c:v>
                      </c:pt>
                      <c:pt idx="5">
                        <c:v>346378.5</c:v>
                      </c:pt>
                      <c:pt idx="6">
                        <c:v>137874.70000000001</c:v>
                      </c:pt>
                      <c:pt idx="7">
                        <c:v>200582.2</c:v>
                      </c:pt>
                      <c:pt idx="8">
                        <c:v>51189.2</c:v>
                      </c:pt>
                      <c:pt idx="9">
                        <c:v>565991.4</c:v>
                      </c:pt>
                      <c:pt idx="10">
                        <c:v>1227221.6000000001</c:v>
                      </c:pt>
                    </c:numCache>
                  </c:numRef>
                </c:val>
                <c:extLst>
                  <c:ext xmlns:c16="http://schemas.microsoft.com/office/drawing/2014/chart" uri="{C3380CC4-5D6E-409C-BE32-E72D297353CC}">
                    <c16:uniqueId val="{00000000-E6D3-4F32-AD75-0C713021DE6F}"/>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'Forest land valuation'!$D$2:$D$3</c15:sqref>
                        </c15:formulaRef>
                      </c:ext>
                    </c:extLst>
                    <c:strCache>
                      <c:ptCount val="2"/>
                      <c:pt idx="0">
                        <c:v>1990</c:v>
                      </c:pt>
                      <c:pt idx="1">
                        <c:v>Forest land value (UGX mill)</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'Forest land valuation'!$A$4:$A$14</c15:sqref>
                        </c15:formulaRef>
                      </c:ext>
                    </c:extLst>
                    <c:strCache>
                      <c:ptCount val="11"/>
                      <c:pt idx="0">
                        <c:v>Acholi</c:v>
                      </c:pt>
                      <c:pt idx="1">
                        <c:v>Central North</c:v>
                      </c:pt>
                      <c:pt idx="2">
                        <c:v>Central South</c:v>
                      </c:pt>
                      <c:pt idx="3">
                        <c:v>East Central</c:v>
                      </c:pt>
                      <c:pt idx="4">
                        <c:v>Elgon</c:v>
                      </c:pt>
                      <c:pt idx="5">
                        <c:v>Karamoja</c:v>
                      </c:pt>
                      <c:pt idx="6">
                        <c:v>Lango</c:v>
                      </c:pt>
                      <c:pt idx="7">
                        <c:v>South Western</c:v>
                      </c:pt>
                      <c:pt idx="8">
                        <c:v>Teso</c:v>
                      </c:pt>
                      <c:pt idx="9">
                        <c:v>West Nile</c:v>
                      </c:pt>
                      <c:pt idx="10">
                        <c:v>Western</c:v>
                      </c:pt>
                    </c:strCache>
                  </c:strRef>
                </c:cat>
                <c:val>
                  <c:numRef>
                    <c:extLst xmlns:c15="http://schemas.microsoft.com/office/drawing/2012/chart">
                      <c:ext xmlns:c15="http://schemas.microsoft.com/office/drawing/2012/chart" uri="{02D57815-91ED-43cb-92C2-25804820EDAC}">
                        <c15:formulaRef>
                          <c15:sqref>'Forest land valuation'!$D$4:$D$14</c15:sqref>
                        </c15:formulaRef>
                      </c:ext>
                    </c:extLst>
                    <c:numCache>
                      <c:formatCode>_(* #,##0_);_(* \(#,##0\);_(* "-"??_);_(@_)</c:formatCode>
                      <c:ptCount val="11"/>
                      <c:pt idx="0">
                        <c:v>855318.35714285821</c:v>
                      </c:pt>
                      <c:pt idx="1">
                        <c:v>2771447.547757051</c:v>
                      </c:pt>
                      <c:pt idx="2">
                        <c:v>6394848.10918325</c:v>
                      </c:pt>
                      <c:pt idx="3">
                        <c:v>323907.94660937524</c:v>
                      </c:pt>
                      <c:pt idx="4">
                        <c:v>181182.26195825735</c:v>
                      </c:pt>
                      <c:pt idx="5">
                        <c:v>30524.555384513391</c:v>
                      </c:pt>
                      <c:pt idx="6">
                        <c:v>98481.928571428696</c:v>
                      </c:pt>
                      <c:pt idx="7">
                        <c:v>212445.52941002499</c:v>
                      </c:pt>
                      <c:pt idx="8">
                        <c:v>36563.714285714326</c:v>
                      </c:pt>
                      <c:pt idx="9">
                        <c:v>404279.57142857189</c:v>
                      </c:pt>
                      <c:pt idx="10">
                        <c:v>508490.50409142917</c:v>
                      </c:pt>
                    </c:numCache>
                  </c:numRef>
                </c:val>
                <c:extLst xmlns:c15="http://schemas.microsoft.com/office/drawing/2012/chart">
                  <c:ext xmlns:c16="http://schemas.microsoft.com/office/drawing/2014/chart" uri="{C3380CC4-5D6E-409C-BE32-E72D297353CC}">
                    <c16:uniqueId val="{00000002-E6D3-4F32-AD75-0C713021DE6F}"/>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'Forest land valuation'!$E$2:$E$3</c15:sqref>
                        </c15:formulaRef>
                      </c:ext>
                    </c:extLst>
                    <c:strCache>
                      <c:ptCount val="2"/>
                      <c:pt idx="0">
                        <c:v>2000</c:v>
                      </c:pt>
                      <c:pt idx="1">
                        <c:v>Forested area (ha)</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'Forest land valuation'!$A$4:$A$14</c15:sqref>
                        </c15:formulaRef>
                      </c:ext>
                    </c:extLst>
                    <c:strCache>
                      <c:ptCount val="11"/>
                      <c:pt idx="0">
                        <c:v>Acholi</c:v>
                      </c:pt>
                      <c:pt idx="1">
                        <c:v>Central North</c:v>
                      </c:pt>
                      <c:pt idx="2">
                        <c:v>Central South</c:v>
                      </c:pt>
                      <c:pt idx="3">
                        <c:v>East Central</c:v>
                      </c:pt>
                      <c:pt idx="4">
                        <c:v>Elgon</c:v>
                      </c:pt>
                      <c:pt idx="5">
                        <c:v>Karamoja</c:v>
                      </c:pt>
                      <c:pt idx="6">
                        <c:v>Lango</c:v>
                      </c:pt>
                      <c:pt idx="7">
                        <c:v>South Western</c:v>
                      </c:pt>
                      <c:pt idx="8">
                        <c:v>Teso</c:v>
                      </c:pt>
                      <c:pt idx="9">
                        <c:v>West Nile</c:v>
                      </c:pt>
                      <c:pt idx="10">
                        <c:v>Western</c:v>
                      </c:pt>
                    </c:strCache>
                  </c:strRef>
                </c:cat>
                <c:val>
                  <c:numRef>
                    <c:extLst xmlns:c15="http://schemas.microsoft.com/office/drawing/2012/chart">
                      <c:ext xmlns:c15="http://schemas.microsoft.com/office/drawing/2012/chart" uri="{02D57815-91ED-43cb-92C2-25804820EDAC}">
                        <c15:formulaRef>
                          <c15:sqref>'Forest land valuation'!$E$4:$E$14</c15:sqref>
                        </c15:formulaRef>
                      </c:ext>
                    </c:extLst>
                    <c:numCache>
                      <c:formatCode>_(* #,##0_);_(* \(#,##0\);_(* "-"??_);_(@_)</c:formatCode>
                      <c:ptCount val="11"/>
                      <c:pt idx="0">
                        <c:v>916745.6</c:v>
                      </c:pt>
                      <c:pt idx="1">
                        <c:v>464499</c:v>
                      </c:pt>
                      <c:pt idx="2">
                        <c:v>303515.5</c:v>
                      </c:pt>
                      <c:pt idx="3">
                        <c:v>29594.1</c:v>
                      </c:pt>
                      <c:pt idx="4">
                        <c:v>83302.5</c:v>
                      </c:pt>
                      <c:pt idx="5">
                        <c:v>184719.3</c:v>
                      </c:pt>
                      <c:pt idx="6">
                        <c:v>46162.2</c:v>
                      </c:pt>
                      <c:pt idx="7">
                        <c:v>240639</c:v>
                      </c:pt>
                      <c:pt idx="8">
                        <c:v>14402.6</c:v>
                      </c:pt>
                      <c:pt idx="9">
                        <c:v>470339.8</c:v>
                      </c:pt>
                      <c:pt idx="10">
                        <c:v>1032651</c:v>
                      </c:pt>
                    </c:numCache>
                  </c:numRef>
                </c:val>
                <c:extLst xmlns:c15="http://schemas.microsoft.com/office/drawing/2012/chart">
                  <c:ext xmlns:c16="http://schemas.microsoft.com/office/drawing/2014/chart" uri="{C3380CC4-5D6E-409C-BE32-E72D297353CC}">
                    <c16:uniqueId val="{00000003-E6D3-4F32-AD75-0C713021DE6F}"/>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'Forest land valuation'!$F$2:$F$3</c15:sqref>
                        </c15:formulaRef>
                      </c:ext>
                    </c:extLst>
                    <c:strCache>
                      <c:ptCount val="2"/>
                      <c:pt idx="0">
                        <c:v>2000</c:v>
                      </c:pt>
                      <c:pt idx="1">
                        <c:v>Price of land per acres-shs</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'Forest land valuation'!$A$4:$A$14</c15:sqref>
                        </c15:formulaRef>
                      </c:ext>
                    </c:extLst>
                    <c:strCache>
                      <c:ptCount val="11"/>
                      <c:pt idx="0">
                        <c:v>Acholi</c:v>
                      </c:pt>
                      <c:pt idx="1">
                        <c:v>Central North</c:v>
                      </c:pt>
                      <c:pt idx="2">
                        <c:v>Central South</c:v>
                      </c:pt>
                      <c:pt idx="3">
                        <c:v>East Central</c:v>
                      </c:pt>
                      <c:pt idx="4">
                        <c:v>Elgon</c:v>
                      </c:pt>
                      <c:pt idx="5">
                        <c:v>Karamoja</c:v>
                      </c:pt>
                      <c:pt idx="6">
                        <c:v>Lango</c:v>
                      </c:pt>
                      <c:pt idx="7">
                        <c:v>South Western</c:v>
                      </c:pt>
                      <c:pt idx="8">
                        <c:v>Teso</c:v>
                      </c:pt>
                      <c:pt idx="9">
                        <c:v>West Nile</c:v>
                      </c:pt>
                      <c:pt idx="10">
                        <c:v>Western</c:v>
                      </c:pt>
                    </c:strCache>
                  </c:strRef>
                </c:cat>
                <c:val>
                  <c:numRef>
                    <c:extLst xmlns:c15="http://schemas.microsoft.com/office/drawing/2012/chart">
                      <c:ext xmlns:c15="http://schemas.microsoft.com/office/drawing/2012/chart" uri="{02D57815-91ED-43cb-92C2-25804820EDAC}">
                        <c15:formulaRef>
                          <c15:sqref>'Forest land valuation'!$F$4:$F$14</c15:sqref>
                        </c15:formulaRef>
                      </c:ext>
                    </c:extLst>
                    <c:numCache>
                      <c:formatCode>_(* #,##0_);_(* \(#,##0\);_(* "-"??_);_(@_)</c:formatCode>
                      <c:ptCount val="11"/>
                      <c:pt idx="0">
                        <c:v>941479.33618351491</c:v>
                      </c:pt>
                      <c:pt idx="1">
                        <c:v>5418249.4814814813</c:v>
                      </c:pt>
                      <c:pt idx="2">
                        <c:v>26387219.645629629</c:v>
                      </c:pt>
                      <c:pt idx="3">
                        <c:v>4425247.2509629633</c:v>
                      </c:pt>
                      <c:pt idx="4">
                        <c:v>2900593.9294814817</c:v>
                      </c:pt>
                      <c:pt idx="5">
                        <c:v>116154.82311111111</c:v>
                      </c:pt>
                      <c:pt idx="6">
                        <c:v>2275555.5555555555</c:v>
                      </c:pt>
                      <c:pt idx="7">
                        <c:v>1396027.6954074071</c:v>
                      </c:pt>
                      <c:pt idx="8">
                        <c:v>941479.33618351491</c:v>
                      </c:pt>
                      <c:pt idx="9">
                        <c:v>941479.33618351491</c:v>
                      </c:pt>
                      <c:pt idx="10">
                        <c:v>546133.33333333337</c:v>
                      </c:pt>
                    </c:numCache>
                  </c:numRef>
                </c:val>
                <c:extLst xmlns:c15="http://schemas.microsoft.com/office/drawing/2012/chart">
                  <c:ext xmlns:c16="http://schemas.microsoft.com/office/drawing/2014/chart" uri="{C3380CC4-5D6E-409C-BE32-E72D297353CC}">
                    <c16:uniqueId val="{00000004-E6D3-4F32-AD75-0C713021DE6F}"/>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'Forest land valuation'!$H$2:$H$3</c15:sqref>
                        </c15:formulaRef>
                      </c:ext>
                    </c:extLst>
                    <c:strCache>
                      <c:ptCount val="2"/>
                      <c:pt idx="0">
                        <c:v>2000</c:v>
                      </c:pt>
                      <c:pt idx="1">
                        <c:v>Forest land value (UGX mill)</c:v>
                      </c:pt>
                    </c:strCache>
                  </c:strRef>
                </c:tx>
                <c:spPr>
                  <a:solidFill>
                    <a:schemeClr val="accent1">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'Forest land valuation'!$A$4:$A$14</c15:sqref>
                        </c15:formulaRef>
                      </c:ext>
                    </c:extLst>
                    <c:strCache>
                      <c:ptCount val="11"/>
                      <c:pt idx="0">
                        <c:v>Acholi</c:v>
                      </c:pt>
                      <c:pt idx="1">
                        <c:v>Central North</c:v>
                      </c:pt>
                      <c:pt idx="2">
                        <c:v>Central South</c:v>
                      </c:pt>
                      <c:pt idx="3">
                        <c:v>East Central</c:v>
                      </c:pt>
                      <c:pt idx="4">
                        <c:v>Elgon</c:v>
                      </c:pt>
                      <c:pt idx="5">
                        <c:v>Karamoja</c:v>
                      </c:pt>
                      <c:pt idx="6">
                        <c:v>Lango</c:v>
                      </c:pt>
                      <c:pt idx="7">
                        <c:v>South Western</c:v>
                      </c:pt>
                      <c:pt idx="8">
                        <c:v>Teso</c:v>
                      </c:pt>
                      <c:pt idx="9">
                        <c:v>West Nile</c:v>
                      </c:pt>
                      <c:pt idx="10">
                        <c:v>Western</c:v>
                      </c:pt>
                    </c:strCache>
                  </c:strRef>
                </c:cat>
                <c:val>
                  <c:numRef>
                    <c:extLst xmlns:c15="http://schemas.microsoft.com/office/drawing/2012/chart">
                      <c:ext xmlns:c15="http://schemas.microsoft.com/office/drawing/2012/chart" uri="{02D57815-91ED-43cb-92C2-25804820EDAC}">
                        <c15:formulaRef>
                          <c15:sqref>'Forest land valuation'!$H$4:$H$14</c15:sqref>
                        </c15:formulaRef>
                      </c:ext>
                    </c:extLst>
                    <c:numCache>
                      <c:formatCode>_(* #,##0_);_(* \(#,##0\);_(* "-"??_);_(@_)</c:formatCode>
                      <c:ptCount val="11"/>
                      <c:pt idx="0">
                        <c:v>2086105.5431111108</c:v>
                      </c:pt>
                      <c:pt idx="1">
                        <c:v>6083036.6330770766</c:v>
                      </c:pt>
                      <c:pt idx="2">
                        <c:v>19357584.207241442</c:v>
                      </c:pt>
                      <c:pt idx="3">
                        <c:v>316533.2437717205</c:v>
                      </c:pt>
                      <c:pt idx="4">
                        <c:v>584011.79628429539</c:v>
                      </c:pt>
                      <c:pt idx="5">
                        <c:v>51859.24291958387</c:v>
                      </c:pt>
                      <c:pt idx="6">
                        <c:v>253892.92066133328</c:v>
                      </c:pt>
                      <c:pt idx="7">
                        <c:v>811963.85867446067</c:v>
                      </c:pt>
                      <c:pt idx="8">
                        <c:v>32773.91644444444</c:v>
                      </c:pt>
                      <c:pt idx="9">
                        <c:v>1070284.3448888888</c:v>
                      </c:pt>
                      <c:pt idx="10">
                        <c:v>1363103.7259775999</c:v>
                      </c:pt>
                    </c:numCache>
                  </c:numRef>
                </c:val>
                <c:extLst xmlns:c15="http://schemas.microsoft.com/office/drawing/2012/chart">
                  <c:ext xmlns:c16="http://schemas.microsoft.com/office/drawing/2014/chart" uri="{C3380CC4-5D6E-409C-BE32-E72D297353CC}">
                    <c16:uniqueId val="{00000006-E6D3-4F32-AD75-0C713021DE6F}"/>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'Forest land valuation'!$I$2:$I$3</c15:sqref>
                        </c15:formulaRef>
                      </c:ext>
                    </c:extLst>
                    <c:strCache>
                      <c:ptCount val="2"/>
                      <c:pt idx="0">
                        <c:v>2005</c:v>
                      </c:pt>
                      <c:pt idx="1">
                        <c:v>Forested area (ha)</c:v>
                      </c:pt>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'Forest land valuation'!$A$4:$A$14</c15:sqref>
                        </c15:formulaRef>
                      </c:ext>
                    </c:extLst>
                    <c:strCache>
                      <c:ptCount val="11"/>
                      <c:pt idx="0">
                        <c:v>Acholi</c:v>
                      </c:pt>
                      <c:pt idx="1">
                        <c:v>Central North</c:v>
                      </c:pt>
                      <c:pt idx="2">
                        <c:v>Central South</c:v>
                      </c:pt>
                      <c:pt idx="3">
                        <c:v>East Central</c:v>
                      </c:pt>
                      <c:pt idx="4">
                        <c:v>Elgon</c:v>
                      </c:pt>
                      <c:pt idx="5">
                        <c:v>Karamoja</c:v>
                      </c:pt>
                      <c:pt idx="6">
                        <c:v>Lango</c:v>
                      </c:pt>
                      <c:pt idx="7">
                        <c:v>South Western</c:v>
                      </c:pt>
                      <c:pt idx="8">
                        <c:v>Teso</c:v>
                      </c:pt>
                      <c:pt idx="9">
                        <c:v>West Nile</c:v>
                      </c:pt>
                      <c:pt idx="10">
                        <c:v>Western</c:v>
                      </c:pt>
                    </c:strCache>
                  </c:strRef>
                </c:cat>
                <c:val>
                  <c:numRef>
                    <c:extLst xmlns:c15="http://schemas.microsoft.com/office/drawing/2012/chart">
                      <c:ext xmlns:c15="http://schemas.microsoft.com/office/drawing/2012/chart" uri="{02D57815-91ED-43cb-92C2-25804820EDAC}">
                        <c15:formulaRef>
                          <c15:sqref>'Forest land valuation'!$I$4:$I$14</c15:sqref>
                        </c15:formulaRef>
                      </c:ext>
                    </c:extLst>
                    <c:numCache>
                      <c:formatCode>_(* #,##0_);_(* \(#,##0\);_(* "-"??_);_(@_)</c:formatCode>
                      <c:ptCount val="11"/>
                      <c:pt idx="0">
                        <c:v>773619.1</c:v>
                      </c:pt>
                      <c:pt idx="1">
                        <c:v>394181.5</c:v>
                      </c:pt>
                      <c:pt idx="2">
                        <c:v>260545.8</c:v>
                      </c:pt>
                      <c:pt idx="3">
                        <c:v>23766.6</c:v>
                      </c:pt>
                      <c:pt idx="4">
                        <c:v>78921.600000000006</c:v>
                      </c:pt>
                      <c:pt idx="5">
                        <c:v>386995.20000000001</c:v>
                      </c:pt>
                      <c:pt idx="6">
                        <c:v>53352.7</c:v>
                      </c:pt>
                      <c:pt idx="7">
                        <c:v>239675.1</c:v>
                      </c:pt>
                      <c:pt idx="8">
                        <c:v>21039.5</c:v>
                      </c:pt>
                      <c:pt idx="9">
                        <c:v>400140.6</c:v>
                      </c:pt>
                      <c:pt idx="10">
                        <c:v>972003.8</c:v>
                      </c:pt>
                    </c:numCache>
                  </c:numRef>
                </c:val>
                <c:extLst xmlns:c15="http://schemas.microsoft.com/office/drawing/2012/chart">
                  <c:ext xmlns:c16="http://schemas.microsoft.com/office/drawing/2014/chart" uri="{C3380CC4-5D6E-409C-BE32-E72D297353CC}">
                    <c16:uniqueId val="{00000007-E6D3-4F32-AD75-0C713021DE6F}"/>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'Forest land valuation'!$J$2:$J$3</c15:sqref>
                        </c15:formulaRef>
                      </c:ext>
                    </c:extLst>
                    <c:strCache>
                      <c:ptCount val="2"/>
                      <c:pt idx="0">
                        <c:v>2005</c:v>
                      </c:pt>
                      <c:pt idx="1">
                        <c:v>Cost of land per hectare-shs</c:v>
                      </c:pt>
                    </c:strCache>
                  </c:strRef>
                </c:tx>
                <c:spPr>
                  <a:solidFill>
                    <a:schemeClr val="accent3">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'Forest land valuation'!$A$4:$A$14</c15:sqref>
                        </c15:formulaRef>
                      </c:ext>
                    </c:extLst>
                    <c:strCache>
                      <c:ptCount val="11"/>
                      <c:pt idx="0">
                        <c:v>Acholi</c:v>
                      </c:pt>
                      <c:pt idx="1">
                        <c:v>Central North</c:v>
                      </c:pt>
                      <c:pt idx="2">
                        <c:v>Central South</c:v>
                      </c:pt>
                      <c:pt idx="3">
                        <c:v>East Central</c:v>
                      </c:pt>
                      <c:pt idx="4">
                        <c:v>Elgon</c:v>
                      </c:pt>
                      <c:pt idx="5">
                        <c:v>Karamoja</c:v>
                      </c:pt>
                      <c:pt idx="6">
                        <c:v>Lango</c:v>
                      </c:pt>
                      <c:pt idx="7">
                        <c:v>South Western</c:v>
                      </c:pt>
                      <c:pt idx="8">
                        <c:v>Teso</c:v>
                      </c:pt>
                      <c:pt idx="9">
                        <c:v>West Nile</c:v>
                      </c:pt>
                      <c:pt idx="10">
                        <c:v>Western</c:v>
                      </c:pt>
                    </c:strCache>
                  </c:strRef>
                </c:cat>
                <c:val>
                  <c:numRef>
                    <c:extLst xmlns:c15="http://schemas.microsoft.com/office/drawing/2012/chart">
                      <c:ext xmlns:c15="http://schemas.microsoft.com/office/drawing/2012/chart" uri="{02D57815-91ED-43cb-92C2-25804820EDAC}">
                        <c15:formulaRef>
                          <c15:sqref>'Forest land valuation'!$J$4:$J$14</c15:sqref>
                        </c15:formulaRef>
                      </c:ext>
                    </c:extLst>
                    <c:numCache>
                      <c:formatCode>_(* #,##0_);_(* \(#,##0\);_(* "-"??_);_(@_)</c:formatCode>
                      <c:ptCount val="11"/>
                      <c:pt idx="0">
                        <c:v>1765273.7553440905</c:v>
                      </c:pt>
                      <c:pt idx="1">
                        <c:v>10159217.777777778</c:v>
                      </c:pt>
                      <c:pt idx="2">
                        <c:v>49476036.835555553</c:v>
                      </c:pt>
                      <c:pt idx="3">
                        <c:v>8297338.595555556</c:v>
                      </c:pt>
                      <c:pt idx="4">
                        <c:v>5438613.6177777778</c:v>
                      </c:pt>
                      <c:pt idx="5">
                        <c:v>217790.29333333333</c:v>
                      </c:pt>
                      <c:pt idx="6">
                        <c:v>4266666.666666667</c:v>
                      </c:pt>
                      <c:pt idx="7">
                        <c:v>2617551.9288888886</c:v>
                      </c:pt>
                      <c:pt idx="8">
                        <c:v>1765273.7553440905</c:v>
                      </c:pt>
                      <c:pt idx="9">
                        <c:v>1765273.7553440905</c:v>
                      </c:pt>
                      <c:pt idx="10">
                        <c:v>1024000</c:v>
                      </c:pt>
                    </c:numCache>
                  </c:numRef>
                </c:val>
                <c:extLst xmlns:c15="http://schemas.microsoft.com/office/drawing/2012/chart">
                  <c:ext xmlns:c16="http://schemas.microsoft.com/office/drawing/2014/chart" uri="{C3380CC4-5D6E-409C-BE32-E72D297353CC}">
                    <c16:uniqueId val="{00000008-E6D3-4F32-AD75-0C713021DE6F}"/>
                  </c:ext>
                </c:extLst>
              </c15:ser>
            </c15:filteredBarSeries>
            <c15:filteredBarSeries>
              <c15:ser>
                <c:idx val="10"/>
                <c:order val="10"/>
                <c:tx>
                  <c:strRef>
                    <c:extLst xmlns:c15="http://schemas.microsoft.com/office/drawing/2012/chart">
                      <c:ext xmlns:c15="http://schemas.microsoft.com/office/drawing/2012/chart" uri="{02D57815-91ED-43cb-92C2-25804820EDAC}">
                        <c15:formulaRef>
                          <c15:sqref>'Forest land valuation'!$L$2:$L$3</c15:sqref>
                        </c15:formulaRef>
                      </c:ext>
                    </c:extLst>
                    <c:strCache>
                      <c:ptCount val="2"/>
                      <c:pt idx="0">
                        <c:v>2005</c:v>
                      </c:pt>
                      <c:pt idx="1">
                        <c:v>Forest land value (UGX mill)</c:v>
                      </c:pt>
                    </c:strCache>
                  </c:strRef>
                </c:tx>
                <c:spPr>
                  <a:solidFill>
                    <a:schemeClr val="accent5">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'Forest land valuation'!$A$4:$A$14</c15:sqref>
                        </c15:formulaRef>
                      </c:ext>
                    </c:extLst>
                    <c:strCache>
                      <c:ptCount val="11"/>
                      <c:pt idx="0">
                        <c:v>Acholi</c:v>
                      </c:pt>
                      <c:pt idx="1">
                        <c:v>Central North</c:v>
                      </c:pt>
                      <c:pt idx="2">
                        <c:v>Central South</c:v>
                      </c:pt>
                      <c:pt idx="3">
                        <c:v>East Central</c:v>
                      </c:pt>
                      <c:pt idx="4">
                        <c:v>Elgon</c:v>
                      </c:pt>
                      <c:pt idx="5">
                        <c:v>Karamoja</c:v>
                      </c:pt>
                      <c:pt idx="6">
                        <c:v>Lango</c:v>
                      </c:pt>
                      <c:pt idx="7">
                        <c:v>South Western</c:v>
                      </c:pt>
                      <c:pt idx="8">
                        <c:v>Teso</c:v>
                      </c:pt>
                      <c:pt idx="9">
                        <c:v>West Nile</c:v>
                      </c:pt>
                      <c:pt idx="10">
                        <c:v>Western</c:v>
                      </c:pt>
                    </c:strCache>
                  </c:strRef>
                </c:cat>
                <c:val>
                  <c:numRef>
                    <c:extLst xmlns:c15="http://schemas.microsoft.com/office/drawing/2012/chart">
                      <c:ext xmlns:c15="http://schemas.microsoft.com/office/drawing/2012/chart" uri="{02D57815-91ED-43cb-92C2-25804820EDAC}">
                        <c15:formulaRef>
                          <c15:sqref>'Forest land valuation'!$L$4:$L$14</c15:sqref>
                        </c15:formulaRef>
                      </c:ext>
                    </c:extLst>
                    <c:numCache>
                      <c:formatCode>_(* #,##0_);_(* \(#,##0\);_(* "-"??_);_(@_)</c:formatCode>
                      <c:ptCount val="11"/>
                      <c:pt idx="0">
                        <c:v>3300774.8266666667</c:v>
                      </c:pt>
                      <c:pt idx="1">
                        <c:v>9679059.4728726763</c:v>
                      </c:pt>
                      <c:pt idx="2">
                        <c:v>31156999.786726829</c:v>
                      </c:pt>
                      <c:pt idx="3">
                        <c:v>476631.25788322085</c:v>
                      </c:pt>
                      <c:pt idx="4">
                        <c:v>1037434.6218967915</c:v>
                      </c:pt>
                      <c:pt idx="5">
                        <c:v>203713.94007197287</c:v>
                      </c:pt>
                      <c:pt idx="6">
                        <c:v>550201.49717333331</c:v>
                      </c:pt>
                      <c:pt idx="7">
                        <c:v>1516334.0030932273</c:v>
                      </c:pt>
                      <c:pt idx="8">
                        <c:v>89768.533333333311</c:v>
                      </c:pt>
                      <c:pt idx="9">
                        <c:v>1707266.56</c:v>
                      </c:pt>
                      <c:pt idx="10">
                        <c:v>2405717.1810304001</c:v>
                      </c:pt>
                    </c:numCache>
                  </c:numRef>
                </c:val>
                <c:extLst xmlns:c15="http://schemas.microsoft.com/office/drawing/2012/chart">
                  <c:ext xmlns:c16="http://schemas.microsoft.com/office/drawing/2014/chart" uri="{C3380CC4-5D6E-409C-BE32-E72D297353CC}">
                    <c16:uniqueId val="{0000000A-E6D3-4F32-AD75-0C713021DE6F}"/>
                  </c:ext>
                </c:extLst>
              </c15:ser>
            </c15:filteredBarSeries>
            <c15:filteredBarSeries>
              <c15:ser>
                <c:idx val="11"/>
                <c:order val="11"/>
                <c:tx>
                  <c:strRef>
                    <c:extLst xmlns:c15="http://schemas.microsoft.com/office/drawing/2012/chart">
                      <c:ext xmlns:c15="http://schemas.microsoft.com/office/drawing/2012/chart" uri="{02D57815-91ED-43cb-92C2-25804820EDAC}">
                        <c15:formulaRef>
                          <c15:sqref>'Forest land valuation'!$M$2:$M$3</c15:sqref>
                        </c15:formulaRef>
                      </c:ext>
                    </c:extLst>
                    <c:strCache>
                      <c:ptCount val="2"/>
                      <c:pt idx="0">
                        <c:v>2010</c:v>
                      </c:pt>
                      <c:pt idx="1">
                        <c:v>Forested area (ha)</c:v>
                      </c:pt>
                    </c:strCache>
                  </c:strRef>
                </c:tx>
                <c:spPr>
                  <a:solidFill>
                    <a:schemeClr val="accent6">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'Forest land valuation'!$A$4:$A$14</c15:sqref>
                        </c15:formulaRef>
                      </c:ext>
                    </c:extLst>
                    <c:strCache>
                      <c:ptCount val="11"/>
                      <c:pt idx="0">
                        <c:v>Acholi</c:v>
                      </c:pt>
                      <c:pt idx="1">
                        <c:v>Central North</c:v>
                      </c:pt>
                      <c:pt idx="2">
                        <c:v>Central South</c:v>
                      </c:pt>
                      <c:pt idx="3">
                        <c:v>East Central</c:v>
                      </c:pt>
                      <c:pt idx="4">
                        <c:v>Elgon</c:v>
                      </c:pt>
                      <c:pt idx="5">
                        <c:v>Karamoja</c:v>
                      </c:pt>
                      <c:pt idx="6">
                        <c:v>Lango</c:v>
                      </c:pt>
                      <c:pt idx="7">
                        <c:v>South Western</c:v>
                      </c:pt>
                      <c:pt idx="8">
                        <c:v>Teso</c:v>
                      </c:pt>
                      <c:pt idx="9">
                        <c:v>West Nile</c:v>
                      </c:pt>
                      <c:pt idx="10">
                        <c:v>Western</c:v>
                      </c:pt>
                    </c:strCache>
                  </c:strRef>
                </c:cat>
                <c:val>
                  <c:numRef>
                    <c:extLst xmlns:c15="http://schemas.microsoft.com/office/drawing/2012/chart">
                      <c:ext xmlns:c15="http://schemas.microsoft.com/office/drawing/2012/chart" uri="{02D57815-91ED-43cb-92C2-25804820EDAC}">
                        <c15:formulaRef>
                          <c15:sqref>'Forest land valuation'!$M$4:$M$14</c15:sqref>
                        </c15:formulaRef>
                      </c:ext>
                    </c:extLst>
                    <c:numCache>
                      <c:formatCode>_(* #,##0_);_(* \(#,##0\);_(* "-"??_);_(@_)</c:formatCode>
                      <c:ptCount val="11"/>
                      <c:pt idx="0">
                        <c:v>295569.40000000002</c:v>
                      </c:pt>
                      <c:pt idx="1">
                        <c:v>248796.79999999999</c:v>
                      </c:pt>
                      <c:pt idx="2">
                        <c:v>224669.7</c:v>
                      </c:pt>
                      <c:pt idx="3">
                        <c:v>19831.900000000001</c:v>
                      </c:pt>
                      <c:pt idx="4">
                        <c:v>81069.100000000006</c:v>
                      </c:pt>
                      <c:pt idx="5">
                        <c:v>226279.8</c:v>
                      </c:pt>
                      <c:pt idx="6">
                        <c:v>36795.1</c:v>
                      </c:pt>
                      <c:pt idx="7">
                        <c:v>188976.4</c:v>
                      </c:pt>
                      <c:pt idx="8">
                        <c:v>8030.1</c:v>
                      </c:pt>
                      <c:pt idx="9">
                        <c:v>168805.7</c:v>
                      </c:pt>
                      <c:pt idx="10">
                        <c:v>700499</c:v>
                      </c:pt>
                    </c:numCache>
                  </c:numRef>
                </c:val>
                <c:extLst xmlns:c15="http://schemas.microsoft.com/office/drawing/2012/chart">
                  <c:ext xmlns:c16="http://schemas.microsoft.com/office/drawing/2014/chart" uri="{C3380CC4-5D6E-409C-BE32-E72D297353CC}">
                    <c16:uniqueId val="{0000000B-E6D3-4F32-AD75-0C713021DE6F}"/>
                  </c:ext>
                </c:extLst>
              </c15:ser>
            </c15:filteredBarSeries>
            <c15:filteredBarSeries>
              <c15:ser>
                <c:idx val="12"/>
                <c:order val="12"/>
                <c:tx>
                  <c:strRef>
                    <c:extLst xmlns:c15="http://schemas.microsoft.com/office/drawing/2012/chart">
                      <c:ext xmlns:c15="http://schemas.microsoft.com/office/drawing/2012/chart" uri="{02D57815-91ED-43cb-92C2-25804820EDAC}">
                        <c15:formulaRef>
                          <c15:sqref>'Forest land valuation'!$N$2:$N$3</c15:sqref>
                        </c15:formulaRef>
                      </c:ext>
                    </c:extLst>
                    <c:strCache>
                      <c:ptCount val="2"/>
                      <c:pt idx="0">
                        <c:v>2010</c:v>
                      </c:pt>
                      <c:pt idx="1">
                        <c:v>Cost of land per hectare-shs</c:v>
                      </c:pt>
                    </c:strCache>
                  </c:strRef>
                </c:tx>
                <c:spPr>
                  <a:solidFill>
                    <a:schemeClr val="accent1">
                      <a:lumMod val="80000"/>
                      <a:lumOff val="20000"/>
                    </a:schemeClr>
                  </a:solidFill>
                  <a:ln>
                    <a:noFill/>
                  </a:ln>
                  <a:effectLst/>
                </c:spPr>
                <c:invertIfNegative val="0"/>
                <c:cat>
                  <c:strRef>
                    <c:extLst xmlns:c15="http://schemas.microsoft.com/office/drawing/2012/chart">
                      <c:ext xmlns:c15="http://schemas.microsoft.com/office/drawing/2012/chart" uri="{02D57815-91ED-43cb-92C2-25804820EDAC}">
                        <c15:formulaRef>
                          <c15:sqref>'Forest land valuation'!$A$4:$A$14</c15:sqref>
                        </c15:formulaRef>
                      </c:ext>
                    </c:extLst>
                    <c:strCache>
                      <c:ptCount val="11"/>
                      <c:pt idx="0">
                        <c:v>Acholi</c:v>
                      </c:pt>
                      <c:pt idx="1">
                        <c:v>Central North</c:v>
                      </c:pt>
                      <c:pt idx="2">
                        <c:v>Central South</c:v>
                      </c:pt>
                      <c:pt idx="3">
                        <c:v>East Central</c:v>
                      </c:pt>
                      <c:pt idx="4">
                        <c:v>Elgon</c:v>
                      </c:pt>
                      <c:pt idx="5">
                        <c:v>Karamoja</c:v>
                      </c:pt>
                      <c:pt idx="6">
                        <c:v>Lango</c:v>
                      </c:pt>
                      <c:pt idx="7">
                        <c:v>South Western</c:v>
                      </c:pt>
                      <c:pt idx="8">
                        <c:v>Teso</c:v>
                      </c:pt>
                      <c:pt idx="9">
                        <c:v>West Nile</c:v>
                      </c:pt>
                      <c:pt idx="10">
                        <c:v>Western</c:v>
                      </c:pt>
                    </c:strCache>
                  </c:strRef>
                </c:cat>
                <c:val>
                  <c:numRef>
                    <c:extLst xmlns:c15="http://schemas.microsoft.com/office/drawing/2012/chart">
                      <c:ext xmlns:c15="http://schemas.microsoft.com/office/drawing/2012/chart" uri="{02D57815-91ED-43cb-92C2-25804820EDAC}">
                        <c15:formulaRef>
                          <c15:sqref>'Forest land valuation'!$N$4:$N$14</c15:sqref>
                        </c15:formulaRef>
                      </c:ext>
                    </c:extLst>
                    <c:numCache>
                      <c:formatCode>_(* #,##0_);_(* \(#,##0\);_(* "-"??_);_(@_)</c:formatCode>
                      <c:ptCount val="11"/>
                      <c:pt idx="0">
                        <c:v>3309888.2912701699</c:v>
                      </c:pt>
                      <c:pt idx="1">
                        <c:v>19048533.333333332</c:v>
                      </c:pt>
                      <c:pt idx="2">
                        <c:v>92767569.066666663</c:v>
                      </c:pt>
                      <c:pt idx="3">
                        <c:v>15557509.866666667</c:v>
                      </c:pt>
                      <c:pt idx="4">
                        <c:v>10197400.533333333</c:v>
                      </c:pt>
                      <c:pt idx="5">
                        <c:v>408356.8</c:v>
                      </c:pt>
                      <c:pt idx="6">
                        <c:v>8000000</c:v>
                      </c:pt>
                      <c:pt idx="7">
                        <c:v>4907909.8666666662</c:v>
                      </c:pt>
                      <c:pt idx="8">
                        <c:v>3309888.2912701699</c:v>
                      </c:pt>
                      <c:pt idx="9">
                        <c:v>3309888.2912701699</c:v>
                      </c:pt>
                      <c:pt idx="10">
                        <c:v>1920000</c:v>
                      </c:pt>
                    </c:numCache>
                  </c:numRef>
                </c:val>
                <c:extLst xmlns:c15="http://schemas.microsoft.com/office/drawing/2012/chart">
                  <c:ext xmlns:c16="http://schemas.microsoft.com/office/drawing/2014/chart" uri="{C3380CC4-5D6E-409C-BE32-E72D297353CC}">
                    <c16:uniqueId val="{0000000C-E6D3-4F32-AD75-0C713021DE6F}"/>
                  </c:ext>
                </c:extLst>
              </c15:ser>
            </c15:filteredBarSeries>
            <c15:filteredBarSeries>
              <c15:ser>
                <c:idx val="14"/>
                <c:order val="14"/>
                <c:tx>
                  <c:strRef>
                    <c:extLst xmlns:c15="http://schemas.microsoft.com/office/drawing/2012/chart">
                      <c:ext xmlns:c15="http://schemas.microsoft.com/office/drawing/2012/chart" uri="{02D57815-91ED-43cb-92C2-25804820EDAC}">
                        <c15:formulaRef>
                          <c15:sqref>'Forest land valuation'!$P$2:$P$3</c15:sqref>
                        </c15:formulaRef>
                      </c:ext>
                    </c:extLst>
                    <c:strCache>
                      <c:ptCount val="2"/>
                      <c:pt idx="0">
                        <c:v>2010</c:v>
                      </c:pt>
                      <c:pt idx="1">
                        <c:v>Forest land value (UGX mill)</c:v>
                      </c:pt>
                    </c:strCache>
                  </c:strRef>
                </c:tx>
                <c:spPr>
                  <a:solidFill>
                    <a:schemeClr val="accent3">
                      <a:lumMod val="80000"/>
                      <a:lumOff val="20000"/>
                    </a:schemeClr>
                  </a:solidFill>
                  <a:ln>
                    <a:noFill/>
                  </a:ln>
                  <a:effectLst/>
                </c:spPr>
                <c:invertIfNegative val="0"/>
                <c:cat>
                  <c:strRef>
                    <c:extLst xmlns:c15="http://schemas.microsoft.com/office/drawing/2012/chart">
                      <c:ext xmlns:c15="http://schemas.microsoft.com/office/drawing/2012/chart" uri="{02D57815-91ED-43cb-92C2-25804820EDAC}">
                        <c15:formulaRef>
                          <c15:sqref>'Forest land valuation'!$A$4:$A$14</c15:sqref>
                        </c15:formulaRef>
                      </c:ext>
                    </c:extLst>
                    <c:strCache>
                      <c:ptCount val="11"/>
                      <c:pt idx="0">
                        <c:v>Acholi</c:v>
                      </c:pt>
                      <c:pt idx="1">
                        <c:v>Central North</c:v>
                      </c:pt>
                      <c:pt idx="2">
                        <c:v>Central South</c:v>
                      </c:pt>
                      <c:pt idx="3">
                        <c:v>East Central</c:v>
                      </c:pt>
                      <c:pt idx="4">
                        <c:v>Elgon</c:v>
                      </c:pt>
                      <c:pt idx="5">
                        <c:v>Karamoja</c:v>
                      </c:pt>
                      <c:pt idx="6">
                        <c:v>Lango</c:v>
                      </c:pt>
                      <c:pt idx="7">
                        <c:v>South Western</c:v>
                      </c:pt>
                      <c:pt idx="8">
                        <c:v>Teso</c:v>
                      </c:pt>
                      <c:pt idx="9">
                        <c:v>West Nile</c:v>
                      </c:pt>
                      <c:pt idx="10">
                        <c:v>Western</c:v>
                      </c:pt>
                    </c:strCache>
                  </c:strRef>
                </c:cat>
                <c:val>
                  <c:numRef>
                    <c:extLst xmlns:c15="http://schemas.microsoft.com/office/drawing/2012/chart">
                      <c:ext xmlns:c15="http://schemas.microsoft.com/office/drawing/2012/chart" uri="{02D57815-91ED-43cb-92C2-25804820EDAC}">
                        <c15:formulaRef>
                          <c15:sqref>'Forest land valuation'!$P$4:$P$14</c15:sqref>
                        </c15:formulaRef>
                      </c:ext>
                    </c:extLst>
                    <c:numCache>
                      <c:formatCode>_(* #,##0_);_(* \(#,##0\);_(* "-"??_);_(@_)</c:formatCode>
                      <c:ptCount val="11"/>
                      <c:pt idx="0">
                        <c:v>2364555.2000000002</c:v>
                      </c:pt>
                      <c:pt idx="1">
                        <c:v>11454680.571610451</c:v>
                      </c:pt>
                      <c:pt idx="2">
                        <c:v>50375263.641152404</c:v>
                      </c:pt>
                      <c:pt idx="3">
                        <c:v>745729.04647811269</c:v>
                      </c:pt>
                      <c:pt idx="4">
                        <c:v>1998119.6000052544</c:v>
                      </c:pt>
                      <c:pt idx="5">
                        <c:v>223337.79729389088</c:v>
                      </c:pt>
                      <c:pt idx="6">
                        <c:v>711470.05359999998</c:v>
                      </c:pt>
                      <c:pt idx="7">
                        <c:v>2241717.076853313</c:v>
                      </c:pt>
                      <c:pt idx="8">
                        <c:v>64240.800000000003</c:v>
                      </c:pt>
                      <c:pt idx="9">
                        <c:v>1350445.6</c:v>
                      </c:pt>
                      <c:pt idx="10">
                        <c:v>3250763.6793599995</c:v>
                      </c:pt>
                    </c:numCache>
                  </c:numRef>
                </c:val>
                <c:extLst xmlns:c15="http://schemas.microsoft.com/office/drawing/2012/chart">
                  <c:ext xmlns:c16="http://schemas.microsoft.com/office/drawing/2014/chart" uri="{C3380CC4-5D6E-409C-BE32-E72D297353CC}">
                    <c16:uniqueId val="{0000000E-E6D3-4F32-AD75-0C713021DE6F}"/>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'Forest land valuation'!$Q$2:$Q$3</c15:sqref>
                        </c15:formulaRef>
                      </c:ext>
                    </c:extLst>
                    <c:strCache>
                      <c:ptCount val="2"/>
                      <c:pt idx="0">
                        <c:v>2015</c:v>
                      </c:pt>
                      <c:pt idx="1">
                        <c:v>Forested area (ha)</c:v>
                      </c:pt>
                    </c:strCache>
                  </c:strRef>
                </c:tx>
                <c:spPr>
                  <a:solidFill>
                    <a:schemeClr val="accent4">
                      <a:lumMod val="80000"/>
                      <a:lumOff val="20000"/>
                    </a:schemeClr>
                  </a:solidFill>
                  <a:ln>
                    <a:noFill/>
                  </a:ln>
                  <a:effectLst/>
                </c:spPr>
                <c:invertIfNegative val="0"/>
                <c:cat>
                  <c:strRef>
                    <c:extLst xmlns:c15="http://schemas.microsoft.com/office/drawing/2012/chart">
                      <c:ext xmlns:c15="http://schemas.microsoft.com/office/drawing/2012/chart" uri="{02D57815-91ED-43cb-92C2-25804820EDAC}">
                        <c15:formulaRef>
                          <c15:sqref>'Forest land valuation'!$A$4:$A$14</c15:sqref>
                        </c15:formulaRef>
                      </c:ext>
                    </c:extLst>
                    <c:strCache>
                      <c:ptCount val="11"/>
                      <c:pt idx="0">
                        <c:v>Acholi</c:v>
                      </c:pt>
                      <c:pt idx="1">
                        <c:v>Central North</c:v>
                      </c:pt>
                      <c:pt idx="2">
                        <c:v>Central South</c:v>
                      </c:pt>
                      <c:pt idx="3">
                        <c:v>East Central</c:v>
                      </c:pt>
                      <c:pt idx="4">
                        <c:v>Elgon</c:v>
                      </c:pt>
                      <c:pt idx="5">
                        <c:v>Karamoja</c:v>
                      </c:pt>
                      <c:pt idx="6">
                        <c:v>Lango</c:v>
                      </c:pt>
                      <c:pt idx="7">
                        <c:v>South Western</c:v>
                      </c:pt>
                      <c:pt idx="8">
                        <c:v>Teso</c:v>
                      </c:pt>
                      <c:pt idx="9">
                        <c:v>West Nile</c:v>
                      </c:pt>
                      <c:pt idx="10">
                        <c:v>Western</c:v>
                      </c:pt>
                    </c:strCache>
                  </c:strRef>
                </c:cat>
                <c:val>
                  <c:numRef>
                    <c:extLst xmlns:c15="http://schemas.microsoft.com/office/drawing/2012/chart">
                      <c:ext xmlns:c15="http://schemas.microsoft.com/office/drawing/2012/chart" uri="{02D57815-91ED-43cb-92C2-25804820EDAC}">
                        <c15:formulaRef>
                          <c15:sqref>'Forest land valuation'!$Q$4:$Q$14</c15:sqref>
                        </c15:formulaRef>
                      </c:ext>
                    </c:extLst>
                    <c:numCache>
                      <c:formatCode>_(* #,##0_);_(* \(#,##0\);_(* "-"??_);_(@_)</c:formatCode>
                      <c:ptCount val="11"/>
                      <c:pt idx="0">
                        <c:v>175004.4</c:v>
                      </c:pt>
                      <c:pt idx="1">
                        <c:v>265496.09999999998</c:v>
                      </c:pt>
                      <c:pt idx="2">
                        <c:v>166615.79999999999</c:v>
                      </c:pt>
                      <c:pt idx="3">
                        <c:v>19765</c:v>
                      </c:pt>
                      <c:pt idx="4">
                        <c:v>82230.899999999994</c:v>
                      </c:pt>
                      <c:pt idx="5">
                        <c:v>191472.6</c:v>
                      </c:pt>
                      <c:pt idx="6">
                        <c:v>32490.6</c:v>
                      </c:pt>
                      <c:pt idx="7">
                        <c:v>208211.9</c:v>
                      </c:pt>
                      <c:pt idx="8">
                        <c:v>6220.7</c:v>
                      </c:pt>
                      <c:pt idx="9">
                        <c:v>147646.9</c:v>
                      </c:pt>
                      <c:pt idx="10">
                        <c:v>656507.19999999995</c:v>
                      </c:pt>
                    </c:numCache>
                  </c:numRef>
                </c:val>
                <c:extLst xmlns:c15="http://schemas.microsoft.com/office/drawing/2012/chart">
                  <c:ext xmlns:c16="http://schemas.microsoft.com/office/drawing/2014/chart" uri="{C3380CC4-5D6E-409C-BE32-E72D297353CC}">
                    <c16:uniqueId val="{0000000F-E6D3-4F32-AD75-0C713021DE6F}"/>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'Forest land valuation'!$R$2:$R$3</c15:sqref>
                        </c15:formulaRef>
                      </c:ext>
                    </c:extLst>
                    <c:strCache>
                      <c:ptCount val="2"/>
                      <c:pt idx="0">
                        <c:v>2015</c:v>
                      </c:pt>
                      <c:pt idx="1">
                        <c:v>Cost of land per acre-shs</c:v>
                      </c:pt>
                    </c:strCache>
                  </c:strRef>
                </c:tx>
                <c:spPr>
                  <a:solidFill>
                    <a:schemeClr val="accent5">
                      <a:lumMod val="80000"/>
                      <a:lumOff val="20000"/>
                    </a:schemeClr>
                  </a:solidFill>
                  <a:ln>
                    <a:noFill/>
                  </a:ln>
                  <a:effectLst/>
                </c:spPr>
                <c:invertIfNegative val="0"/>
                <c:cat>
                  <c:strRef>
                    <c:extLst xmlns:c15="http://schemas.microsoft.com/office/drawing/2012/chart">
                      <c:ext xmlns:c15="http://schemas.microsoft.com/office/drawing/2012/chart" uri="{02D57815-91ED-43cb-92C2-25804820EDAC}">
                        <c15:formulaRef>
                          <c15:sqref>'Forest land valuation'!$A$4:$A$14</c15:sqref>
                        </c15:formulaRef>
                      </c:ext>
                    </c:extLst>
                    <c:strCache>
                      <c:ptCount val="11"/>
                      <c:pt idx="0">
                        <c:v>Acholi</c:v>
                      </c:pt>
                      <c:pt idx="1">
                        <c:v>Central North</c:v>
                      </c:pt>
                      <c:pt idx="2">
                        <c:v>Central South</c:v>
                      </c:pt>
                      <c:pt idx="3">
                        <c:v>East Central</c:v>
                      </c:pt>
                      <c:pt idx="4">
                        <c:v>Elgon</c:v>
                      </c:pt>
                      <c:pt idx="5">
                        <c:v>Karamoja</c:v>
                      </c:pt>
                      <c:pt idx="6">
                        <c:v>Lango</c:v>
                      </c:pt>
                      <c:pt idx="7">
                        <c:v>South Western</c:v>
                      </c:pt>
                      <c:pt idx="8">
                        <c:v>Teso</c:v>
                      </c:pt>
                      <c:pt idx="9">
                        <c:v>West Nile</c:v>
                      </c:pt>
                      <c:pt idx="10">
                        <c:v>Western</c:v>
                      </c:pt>
                    </c:strCache>
                  </c:strRef>
                </c:cat>
                <c:val>
                  <c:numRef>
                    <c:extLst xmlns:c15="http://schemas.microsoft.com/office/drawing/2012/chart">
                      <c:ext xmlns:c15="http://schemas.microsoft.com/office/drawing/2012/chart" uri="{02D57815-91ED-43cb-92C2-25804820EDAC}">
                        <c15:formulaRef>
                          <c15:sqref>'Forest land valuation'!$R$4:$R$14</c15:sqref>
                        </c15:formulaRef>
                      </c:ext>
                    </c:extLst>
                    <c:numCache>
                      <c:formatCode>_(* #,##0_);_(* \(#,##0\);_(* "-"??_);_(@_)</c:formatCode>
                      <c:ptCount val="11"/>
                      <c:pt idx="0">
                        <c:v>6206040.546131569</c:v>
                      </c:pt>
                      <c:pt idx="1">
                        <c:v>35716000</c:v>
                      </c:pt>
                      <c:pt idx="2">
                        <c:v>173939192</c:v>
                      </c:pt>
                      <c:pt idx="3">
                        <c:v>29170331</c:v>
                      </c:pt>
                      <c:pt idx="4">
                        <c:v>19120126</c:v>
                      </c:pt>
                      <c:pt idx="5">
                        <c:v>765669</c:v>
                      </c:pt>
                      <c:pt idx="6">
                        <c:v>15000000</c:v>
                      </c:pt>
                      <c:pt idx="7">
                        <c:v>9202331</c:v>
                      </c:pt>
                      <c:pt idx="8">
                        <c:v>6206040.546131569</c:v>
                      </c:pt>
                      <c:pt idx="9">
                        <c:v>6206040.546131569</c:v>
                      </c:pt>
                      <c:pt idx="10">
                        <c:v>3600000</c:v>
                      </c:pt>
                    </c:numCache>
                  </c:numRef>
                </c:val>
                <c:extLst xmlns:c15="http://schemas.microsoft.com/office/drawing/2012/chart">
                  <c:ext xmlns:c16="http://schemas.microsoft.com/office/drawing/2014/chart" uri="{C3380CC4-5D6E-409C-BE32-E72D297353CC}">
                    <c16:uniqueId val="{00000010-E6D3-4F32-AD75-0C713021DE6F}"/>
                  </c:ext>
                </c:extLst>
              </c15:ser>
            </c15:filteredBarSeries>
            <c15:filteredBarSeries>
              <c15:ser>
                <c:idx val="18"/>
                <c:order val="18"/>
                <c:tx>
                  <c:strRef>
                    <c:extLst xmlns:c15="http://schemas.microsoft.com/office/drawing/2012/chart">
                      <c:ext xmlns:c15="http://schemas.microsoft.com/office/drawing/2012/chart" uri="{02D57815-91ED-43cb-92C2-25804820EDAC}">
                        <c15:formulaRef>
                          <c15:sqref>'Forest land valuation'!$T$2:$T$3</c15:sqref>
                        </c15:formulaRef>
                      </c:ext>
                    </c:extLst>
                    <c:strCache>
                      <c:ptCount val="2"/>
                      <c:pt idx="0">
                        <c:v>2015</c:v>
                      </c:pt>
                      <c:pt idx="1">
                        <c:v>Forest land value (UGX mill)</c:v>
                      </c:pt>
                    </c:strCache>
                  </c:strRef>
                </c:tx>
                <c:spPr>
                  <a:solidFill>
                    <a:schemeClr val="accent1">
                      <a:lumMod val="80000"/>
                    </a:schemeClr>
                  </a:solidFill>
                  <a:ln>
                    <a:noFill/>
                  </a:ln>
                  <a:effectLst/>
                </c:spPr>
                <c:invertIfNegative val="0"/>
                <c:cat>
                  <c:strRef>
                    <c:extLst xmlns:c15="http://schemas.microsoft.com/office/drawing/2012/chart">
                      <c:ext xmlns:c15="http://schemas.microsoft.com/office/drawing/2012/chart" uri="{02D57815-91ED-43cb-92C2-25804820EDAC}">
                        <c15:formulaRef>
                          <c15:sqref>'Forest land valuation'!$A$4:$A$14</c15:sqref>
                        </c15:formulaRef>
                      </c:ext>
                    </c:extLst>
                    <c:strCache>
                      <c:ptCount val="11"/>
                      <c:pt idx="0">
                        <c:v>Acholi</c:v>
                      </c:pt>
                      <c:pt idx="1">
                        <c:v>Central North</c:v>
                      </c:pt>
                      <c:pt idx="2">
                        <c:v>Central South</c:v>
                      </c:pt>
                      <c:pt idx="3">
                        <c:v>East Central</c:v>
                      </c:pt>
                      <c:pt idx="4">
                        <c:v>Elgon</c:v>
                      </c:pt>
                      <c:pt idx="5">
                        <c:v>Karamoja</c:v>
                      </c:pt>
                      <c:pt idx="6">
                        <c:v>Lango</c:v>
                      </c:pt>
                      <c:pt idx="7">
                        <c:v>South Western</c:v>
                      </c:pt>
                      <c:pt idx="8">
                        <c:v>Teso</c:v>
                      </c:pt>
                      <c:pt idx="9">
                        <c:v>West Nile</c:v>
                      </c:pt>
                      <c:pt idx="10">
                        <c:v>Western</c:v>
                      </c:pt>
                    </c:strCache>
                  </c:strRef>
                </c:cat>
                <c:val>
                  <c:numRef>
                    <c:extLst xmlns:c15="http://schemas.microsoft.com/office/drawing/2012/chart">
                      <c:ext xmlns:c15="http://schemas.microsoft.com/office/drawing/2012/chart" uri="{02D57815-91ED-43cb-92C2-25804820EDAC}">
                        <c15:formulaRef>
                          <c15:sqref>'Forest land valuation'!$T$4:$T$14</c15:sqref>
                        </c15:formulaRef>
                      </c:ext>
                    </c:extLst>
                    <c:numCache>
                      <c:formatCode>_(* #,##0_);_(* \(#,##0\);_(* "-"??_);_(@_)</c:formatCode>
                      <c:ptCount val="11"/>
                      <c:pt idx="0">
                        <c:v>2625066</c:v>
                      </c:pt>
                      <c:pt idx="1">
                        <c:v>22919102.696269199</c:v>
                      </c:pt>
                      <c:pt idx="2">
                        <c:v>70047119.603090003</c:v>
                      </c:pt>
                      <c:pt idx="3">
                        <c:v>1393525.1983836547</c:v>
                      </c:pt>
                      <c:pt idx="4">
                        <c:v>2674727.6090741996</c:v>
                      </c:pt>
                      <c:pt idx="5">
                        <c:v>354343.40078743978</c:v>
                      </c:pt>
                      <c:pt idx="6">
                        <c:v>487359</c:v>
                      </c:pt>
                      <c:pt idx="7">
                        <c:v>4631056.1646263208</c:v>
                      </c:pt>
                      <c:pt idx="8">
                        <c:v>93310.5</c:v>
                      </c:pt>
                      <c:pt idx="9">
                        <c:v>2214703.5</c:v>
                      </c:pt>
                      <c:pt idx="10">
                        <c:v>5712400.4486400001</c:v>
                      </c:pt>
                    </c:numCache>
                  </c:numRef>
                </c:val>
                <c:extLst xmlns:c15="http://schemas.microsoft.com/office/drawing/2012/chart">
                  <c:ext xmlns:c16="http://schemas.microsoft.com/office/drawing/2014/chart" uri="{C3380CC4-5D6E-409C-BE32-E72D297353CC}">
                    <c16:uniqueId val="{00000012-E6D3-4F32-AD75-0C713021DE6F}"/>
                  </c:ext>
                </c:extLst>
              </c15:ser>
            </c15:filteredBarSeries>
          </c:ext>
        </c:extLst>
      </c:barChart>
      <c:catAx>
        <c:axId val="9900065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Gill Sans MT" panose="020B0502020104020203" pitchFamily="34" charset="0"/>
                    <a:ea typeface="+mn-ea"/>
                    <a:cs typeface="+mn-cs"/>
                  </a:defRPr>
                </a:pPr>
                <a:r>
                  <a:rPr lang="en-US"/>
                  <a:t>Sub-regions and years in series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Gill Sans MT" panose="020B0502020104020203"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Gill Sans MT" panose="020B0502020104020203" pitchFamily="34" charset="0"/>
                <a:ea typeface="+mn-ea"/>
                <a:cs typeface="+mn-cs"/>
              </a:defRPr>
            </a:pPr>
            <a:endParaRPr lang="en-US"/>
          </a:p>
        </c:txPr>
        <c:crossAx val="990003663"/>
        <c:crosses val="autoZero"/>
        <c:auto val="1"/>
        <c:lblAlgn val="ctr"/>
        <c:lblOffset val="100"/>
        <c:noMultiLvlLbl val="0"/>
      </c:catAx>
      <c:valAx>
        <c:axId val="9900036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Gill Sans MT" panose="020B0502020104020203" pitchFamily="34" charset="0"/>
                    <a:ea typeface="+mn-ea"/>
                    <a:cs typeface="+mn-cs"/>
                  </a:defRPr>
                </a:pPr>
                <a:r>
                  <a:rPr lang="en-US"/>
                  <a:t>Forested land price (in UGX Millions)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Gill Sans MT" panose="020B0502020104020203" pitchFamily="34" charset="0"/>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Gill Sans MT" panose="020B0502020104020203" pitchFamily="34" charset="0"/>
                <a:ea typeface="+mn-ea"/>
                <a:cs typeface="+mn-cs"/>
              </a:defRPr>
            </a:pPr>
            <a:endParaRPr lang="en-US"/>
          </a:p>
        </c:txPr>
        <c:crossAx val="99000657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Gill Sans MT" panose="020B0502020104020203" pitchFamily="34" charset="0"/>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Gill Sans MT" panose="020B0502020104020203" pitchFamily="34" charset="0"/>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2"/>
          <c:order val="2"/>
          <c:tx>
            <c:strRef>
              <c:f>'Forest land valuation'!$D$2:$D$3</c:f>
              <c:strCache>
                <c:ptCount val="2"/>
                <c:pt idx="0">
                  <c:v>1990</c:v>
                </c:pt>
                <c:pt idx="1">
                  <c:v>Forest land value (UGX mill)</c:v>
                </c:pt>
              </c:strCache>
            </c:strRef>
          </c:tx>
          <c:spPr>
            <a:solidFill>
              <a:schemeClr val="accent4"/>
            </a:solidFill>
            <a:ln>
              <a:noFill/>
            </a:ln>
            <a:effectLst/>
          </c:spPr>
          <c:invertIfNegative val="0"/>
          <c:cat>
            <c:strRef>
              <c:f>'Forest land valuation'!$A$4:$A$14</c:f>
              <c:strCache>
                <c:ptCount val="11"/>
                <c:pt idx="0">
                  <c:v>Acholi</c:v>
                </c:pt>
                <c:pt idx="1">
                  <c:v>Central North</c:v>
                </c:pt>
                <c:pt idx="2">
                  <c:v>Central South</c:v>
                </c:pt>
                <c:pt idx="3">
                  <c:v>East Central</c:v>
                </c:pt>
                <c:pt idx="4">
                  <c:v>Elgon</c:v>
                </c:pt>
                <c:pt idx="5">
                  <c:v>Karamoja</c:v>
                </c:pt>
                <c:pt idx="6">
                  <c:v>Lango</c:v>
                </c:pt>
                <c:pt idx="7">
                  <c:v>South Western</c:v>
                </c:pt>
                <c:pt idx="8">
                  <c:v>Teso</c:v>
                </c:pt>
                <c:pt idx="9">
                  <c:v>West Nile</c:v>
                </c:pt>
                <c:pt idx="10">
                  <c:v>Western</c:v>
                </c:pt>
              </c:strCache>
            </c:strRef>
          </c:cat>
          <c:val>
            <c:numRef>
              <c:f>'Forest land valuation'!$D$4:$D$14</c:f>
              <c:numCache>
                <c:formatCode>_(* #,##0_);_(* \(#,##0\);_(* "-"??_);_(@_)</c:formatCode>
                <c:ptCount val="11"/>
                <c:pt idx="0">
                  <c:v>855318.35714285821</c:v>
                </c:pt>
                <c:pt idx="1">
                  <c:v>2771447.547757051</c:v>
                </c:pt>
                <c:pt idx="2">
                  <c:v>6394848.10918325</c:v>
                </c:pt>
                <c:pt idx="3">
                  <c:v>323907.94660937524</c:v>
                </c:pt>
                <c:pt idx="4">
                  <c:v>181182.26195825735</c:v>
                </c:pt>
                <c:pt idx="5">
                  <c:v>30524.555384513391</c:v>
                </c:pt>
                <c:pt idx="6">
                  <c:v>98481.928571428696</c:v>
                </c:pt>
                <c:pt idx="7">
                  <c:v>212445.52941002499</c:v>
                </c:pt>
                <c:pt idx="8">
                  <c:v>36563.714285714326</c:v>
                </c:pt>
                <c:pt idx="9">
                  <c:v>404279.57142857189</c:v>
                </c:pt>
                <c:pt idx="10">
                  <c:v>508490.50409142917</c:v>
                </c:pt>
              </c:numCache>
            </c:numRef>
          </c:val>
          <c:extLst>
            <c:ext xmlns:c16="http://schemas.microsoft.com/office/drawing/2014/chart" uri="{C3380CC4-5D6E-409C-BE32-E72D297353CC}">
              <c16:uniqueId val="{00000002-71CF-41BC-B68D-C1969E5DF49D}"/>
            </c:ext>
          </c:extLst>
        </c:ser>
        <c:ser>
          <c:idx val="6"/>
          <c:order val="6"/>
          <c:tx>
            <c:strRef>
              <c:f>'Forest land valuation'!$H$2:$H$3</c:f>
              <c:strCache>
                <c:ptCount val="2"/>
                <c:pt idx="0">
                  <c:v>2000</c:v>
                </c:pt>
                <c:pt idx="1">
                  <c:v>Forest land value (UGX mill)</c:v>
                </c:pt>
              </c:strCache>
            </c:strRef>
          </c:tx>
          <c:spPr>
            <a:solidFill>
              <a:schemeClr val="accent6">
                <a:lumMod val="80000"/>
                <a:lumOff val="20000"/>
              </a:schemeClr>
            </a:solidFill>
            <a:ln>
              <a:noFill/>
            </a:ln>
            <a:effectLst/>
          </c:spPr>
          <c:invertIfNegative val="0"/>
          <c:cat>
            <c:strRef>
              <c:f>'Forest land valuation'!$A$4:$A$14</c:f>
              <c:strCache>
                <c:ptCount val="11"/>
                <c:pt idx="0">
                  <c:v>Acholi</c:v>
                </c:pt>
                <c:pt idx="1">
                  <c:v>Central North</c:v>
                </c:pt>
                <c:pt idx="2">
                  <c:v>Central South</c:v>
                </c:pt>
                <c:pt idx="3">
                  <c:v>East Central</c:v>
                </c:pt>
                <c:pt idx="4">
                  <c:v>Elgon</c:v>
                </c:pt>
                <c:pt idx="5">
                  <c:v>Karamoja</c:v>
                </c:pt>
                <c:pt idx="6">
                  <c:v>Lango</c:v>
                </c:pt>
                <c:pt idx="7">
                  <c:v>South Western</c:v>
                </c:pt>
                <c:pt idx="8">
                  <c:v>Teso</c:v>
                </c:pt>
                <c:pt idx="9">
                  <c:v>West Nile</c:v>
                </c:pt>
                <c:pt idx="10">
                  <c:v>Western</c:v>
                </c:pt>
              </c:strCache>
            </c:strRef>
          </c:cat>
          <c:val>
            <c:numRef>
              <c:f>'Forest land valuation'!$H$4:$H$14</c:f>
              <c:numCache>
                <c:formatCode>_(* #,##0_);_(* \(#,##0\);_(* "-"??_);_(@_)</c:formatCode>
                <c:ptCount val="11"/>
                <c:pt idx="0">
                  <c:v>2086105.5431111108</c:v>
                </c:pt>
                <c:pt idx="1">
                  <c:v>6083036.6330770766</c:v>
                </c:pt>
                <c:pt idx="2">
                  <c:v>19357584.207241442</c:v>
                </c:pt>
                <c:pt idx="3">
                  <c:v>316533.2437717205</c:v>
                </c:pt>
                <c:pt idx="4">
                  <c:v>584011.79628429539</c:v>
                </c:pt>
                <c:pt idx="5">
                  <c:v>51859.24291958387</c:v>
                </c:pt>
                <c:pt idx="6">
                  <c:v>253892.92066133328</c:v>
                </c:pt>
                <c:pt idx="7">
                  <c:v>811963.85867446067</c:v>
                </c:pt>
                <c:pt idx="8">
                  <c:v>32773.91644444444</c:v>
                </c:pt>
                <c:pt idx="9">
                  <c:v>1070284.3448888888</c:v>
                </c:pt>
                <c:pt idx="10">
                  <c:v>1363103.7259775999</c:v>
                </c:pt>
              </c:numCache>
            </c:numRef>
          </c:val>
          <c:extLst>
            <c:ext xmlns:c16="http://schemas.microsoft.com/office/drawing/2014/chart" uri="{C3380CC4-5D6E-409C-BE32-E72D297353CC}">
              <c16:uniqueId val="{00000006-71CF-41BC-B68D-C1969E5DF49D}"/>
            </c:ext>
          </c:extLst>
        </c:ser>
        <c:ser>
          <c:idx val="10"/>
          <c:order val="10"/>
          <c:tx>
            <c:strRef>
              <c:f>'Forest land valuation'!$L$2:$L$3</c:f>
              <c:strCache>
                <c:ptCount val="2"/>
                <c:pt idx="0">
                  <c:v>2005</c:v>
                </c:pt>
                <c:pt idx="1">
                  <c:v>Forest land value (UGX mill)</c:v>
                </c:pt>
              </c:strCache>
            </c:strRef>
          </c:tx>
          <c:spPr>
            <a:solidFill>
              <a:schemeClr val="accent5">
                <a:lumMod val="80000"/>
              </a:schemeClr>
            </a:solidFill>
            <a:ln>
              <a:noFill/>
            </a:ln>
            <a:effectLst/>
          </c:spPr>
          <c:invertIfNegative val="0"/>
          <c:cat>
            <c:strRef>
              <c:f>'Forest land valuation'!$A$4:$A$14</c:f>
              <c:strCache>
                <c:ptCount val="11"/>
                <c:pt idx="0">
                  <c:v>Acholi</c:v>
                </c:pt>
                <c:pt idx="1">
                  <c:v>Central North</c:v>
                </c:pt>
                <c:pt idx="2">
                  <c:v>Central South</c:v>
                </c:pt>
                <c:pt idx="3">
                  <c:v>East Central</c:v>
                </c:pt>
                <c:pt idx="4">
                  <c:v>Elgon</c:v>
                </c:pt>
                <c:pt idx="5">
                  <c:v>Karamoja</c:v>
                </c:pt>
                <c:pt idx="6">
                  <c:v>Lango</c:v>
                </c:pt>
                <c:pt idx="7">
                  <c:v>South Western</c:v>
                </c:pt>
                <c:pt idx="8">
                  <c:v>Teso</c:v>
                </c:pt>
                <c:pt idx="9">
                  <c:v>West Nile</c:v>
                </c:pt>
                <c:pt idx="10">
                  <c:v>Western</c:v>
                </c:pt>
              </c:strCache>
            </c:strRef>
          </c:cat>
          <c:val>
            <c:numRef>
              <c:f>'Forest land valuation'!$L$4:$L$14</c:f>
              <c:numCache>
                <c:formatCode>_(* #,##0_);_(* \(#,##0\);_(* "-"??_);_(@_)</c:formatCode>
                <c:ptCount val="11"/>
                <c:pt idx="0">
                  <c:v>3300774.8266666667</c:v>
                </c:pt>
                <c:pt idx="1">
                  <c:v>9679059.4728726763</c:v>
                </c:pt>
                <c:pt idx="2">
                  <c:v>31156999.786726829</c:v>
                </c:pt>
                <c:pt idx="3">
                  <c:v>476631.25788322085</c:v>
                </c:pt>
                <c:pt idx="4">
                  <c:v>1037434.6218967915</c:v>
                </c:pt>
                <c:pt idx="5">
                  <c:v>203713.94007197287</c:v>
                </c:pt>
                <c:pt idx="6">
                  <c:v>550201.49717333331</c:v>
                </c:pt>
                <c:pt idx="7">
                  <c:v>1516334.0030932273</c:v>
                </c:pt>
                <c:pt idx="8">
                  <c:v>89768.533333333311</c:v>
                </c:pt>
                <c:pt idx="9">
                  <c:v>1707266.56</c:v>
                </c:pt>
                <c:pt idx="10">
                  <c:v>2405717.1810304001</c:v>
                </c:pt>
              </c:numCache>
            </c:numRef>
          </c:val>
          <c:extLst>
            <c:ext xmlns:c16="http://schemas.microsoft.com/office/drawing/2014/chart" uri="{C3380CC4-5D6E-409C-BE32-E72D297353CC}">
              <c16:uniqueId val="{0000000A-71CF-41BC-B68D-C1969E5DF49D}"/>
            </c:ext>
          </c:extLst>
        </c:ser>
        <c:ser>
          <c:idx val="14"/>
          <c:order val="14"/>
          <c:tx>
            <c:strRef>
              <c:f>'Forest land valuation'!$P$2:$P$3</c:f>
              <c:strCache>
                <c:ptCount val="2"/>
                <c:pt idx="0">
                  <c:v>2010</c:v>
                </c:pt>
                <c:pt idx="1">
                  <c:v>Forest land value (UGX mill)</c:v>
                </c:pt>
              </c:strCache>
            </c:strRef>
          </c:tx>
          <c:spPr>
            <a:solidFill>
              <a:schemeClr val="accent4">
                <a:lumMod val="60000"/>
                <a:lumOff val="40000"/>
              </a:schemeClr>
            </a:solidFill>
            <a:ln>
              <a:noFill/>
            </a:ln>
            <a:effectLst/>
          </c:spPr>
          <c:invertIfNegative val="0"/>
          <c:cat>
            <c:strRef>
              <c:f>'Forest land valuation'!$A$4:$A$14</c:f>
              <c:strCache>
                <c:ptCount val="11"/>
                <c:pt idx="0">
                  <c:v>Acholi</c:v>
                </c:pt>
                <c:pt idx="1">
                  <c:v>Central North</c:v>
                </c:pt>
                <c:pt idx="2">
                  <c:v>Central South</c:v>
                </c:pt>
                <c:pt idx="3">
                  <c:v>East Central</c:v>
                </c:pt>
                <c:pt idx="4">
                  <c:v>Elgon</c:v>
                </c:pt>
                <c:pt idx="5">
                  <c:v>Karamoja</c:v>
                </c:pt>
                <c:pt idx="6">
                  <c:v>Lango</c:v>
                </c:pt>
                <c:pt idx="7">
                  <c:v>South Western</c:v>
                </c:pt>
                <c:pt idx="8">
                  <c:v>Teso</c:v>
                </c:pt>
                <c:pt idx="9">
                  <c:v>West Nile</c:v>
                </c:pt>
                <c:pt idx="10">
                  <c:v>Western</c:v>
                </c:pt>
              </c:strCache>
            </c:strRef>
          </c:cat>
          <c:val>
            <c:numRef>
              <c:f>'Forest land valuation'!$P$4:$P$14</c:f>
              <c:numCache>
                <c:formatCode>_(* #,##0_);_(* \(#,##0\);_(* "-"??_);_(@_)</c:formatCode>
                <c:ptCount val="11"/>
                <c:pt idx="0">
                  <c:v>2364555.2000000002</c:v>
                </c:pt>
                <c:pt idx="1">
                  <c:v>11454680.571610451</c:v>
                </c:pt>
                <c:pt idx="2">
                  <c:v>50375263.641152404</c:v>
                </c:pt>
                <c:pt idx="3">
                  <c:v>745729.04647811269</c:v>
                </c:pt>
                <c:pt idx="4">
                  <c:v>1998119.6000052544</c:v>
                </c:pt>
                <c:pt idx="5">
                  <c:v>223337.79729389088</c:v>
                </c:pt>
                <c:pt idx="6">
                  <c:v>711470.05359999998</c:v>
                </c:pt>
                <c:pt idx="7">
                  <c:v>2241717.076853313</c:v>
                </c:pt>
                <c:pt idx="8">
                  <c:v>64240.800000000003</c:v>
                </c:pt>
                <c:pt idx="9">
                  <c:v>1350445.6</c:v>
                </c:pt>
                <c:pt idx="10">
                  <c:v>3250763.6793599995</c:v>
                </c:pt>
              </c:numCache>
            </c:numRef>
          </c:val>
          <c:extLst>
            <c:ext xmlns:c16="http://schemas.microsoft.com/office/drawing/2014/chart" uri="{C3380CC4-5D6E-409C-BE32-E72D297353CC}">
              <c16:uniqueId val="{00000016-71CF-41BC-B68D-C1969E5DF49D}"/>
            </c:ext>
          </c:extLst>
        </c:ser>
        <c:ser>
          <c:idx val="18"/>
          <c:order val="18"/>
          <c:tx>
            <c:strRef>
              <c:f>'Forest land valuation'!$T$2:$T$3</c:f>
              <c:strCache>
                <c:ptCount val="2"/>
                <c:pt idx="0">
                  <c:v>2015</c:v>
                </c:pt>
                <c:pt idx="1">
                  <c:v>Forest land value (UGX mill)</c:v>
                </c:pt>
              </c:strCache>
            </c:strRef>
          </c:tx>
          <c:spPr>
            <a:solidFill>
              <a:schemeClr val="accent6">
                <a:lumMod val="70000"/>
                <a:lumOff val="30000"/>
              </a:schemeClr>
            </a:solidFill>
            <a:ln>
              <a:noFill/>
            </a:ln>
            <a:effectLst/>
          </c:spPr>
          <c:invertIfNegative val="0"/>
          <c:cat>
            <c:strRef>
              <c:f>'Forest land valuation'!$A$4:$A$14</c:f>
              <c:strCache>
                <c:ptCount val="11"/>
                <c:pt idx="0">
                  <c:v>Acholi</c:v>
                </c:pt>
                <c:pt idx="1">
                  <c:v>Central North</c:v>
                </c:pt>
                <c:pt idx="2">
                  <c:v>Central South</c:v>
                </c:pt>
                <c:pt idx="3">
                  <c:v>East Central</c:v>
                </c:pt>
                <c:pt idx="4">
                  <c:v>Elgon</c:v>
                </c:pt>
                <c:pt idx="5">
                  <c:v>Karamoja</c:v>
                </c:pt>
                <c:pt idx="6">
                  <c:v>Lango</c:v>
                </c:pt>
                <c:pt idx="7">
                  <c:v>South Western</c:v>
                </c:pt>
                <c:pt idx="8">
                  <c:v>Teso</c:v>
                </c:pt>
                <c:pt idx="9">
                  <c:v>West Nile</c:v>
                </c:pt>
                <c:pt idx="10">
                  <c:v>Western</c:v>
                </c:pt>
              </c:strCache>
            </c:strRef>
          </c:cat>
          <c:val>
            <c:numRef>
              <c:f>'Forest land valuation'!$T$4:$T$14</c:f>
              <c:numCache>
                <c:formatCode>_(* #,##0_);_(* \(#,##0\);_(* "-"??_);_(@_)</c:formatCode>
                <c:ptCount val="11"/>
                <c:pt idx="0">
                  <c:v>2625066</c:v>
                </c:pt>
                <c:pt idx="1">
                  <c:v>22919102.696269199</c:v>
                </c:pt>
                <c:pt idx="2">
                  <c:v>70047119.603090003</c:v>
                </c:pt>
                <c:pt idx="3">
                  <c:v>1393525.1983836547</c:v>
                </c:pt>
                <c:pt idx="4">
                  <c:v>2674727.6090741996</c:v>
                </c:pt>
                <c:pt idx="5">
                  <c:v>354343.40078743978</c:v>
                </c:pt>
                <c:pt idx="6">
                  <c:v>487359</c:v>
                </c:pt>
                <c:pt idx="7">
                  <c:v>4631056.1646263208</c:v>
                </c:pt>
                <c:pt idx="8">
                  <c:v>93310.5</c:v>
                </c:pt>
                <c:pt idx="9">
                  <c:v>2214703.5</c:v>
                </c:pt>
                <c:pt idx="10">
                  <c:v>5712400.4486400001</c:v>
                </c:pt>
              </c:numCache>
            </c:numRef>
          </c:val>
          <c:extLst>
            <c:ext xmlns:c16="http://schemas.microsoft.com/office/drawing/2014/chart" uri="{C3380CC4-5D6E-409C-BE32-E72D297353CC}">
              <c16:uniqueId val="{0000001A-71CF-41BC-B68D-C1969E5DF49D}"/>
            </c:ext>
          </c:extLst>
        </c:ser>
        <c:dLbls>
          <c:showLegendKey val="0"/>
          <c:showVal val="0"/>
          <c:showCatName val="0"/>
          <c:showSerName val="0"/>
          <c:showPercent val="0"/>
          <c:showBubbleSize val="0"/>
        </c:dLbls>
        <c:gapWidth val="150"/>
        <c:axId val="925329839"/>
        <c:axId val="925329423"/>
        <c:extLst>
          <c:ext xmlns:c15="http://schemas.microsoft.com/office/drawing/2012/chart" uri="{02D57815-91ED-43cb-92C2-25804820EDAC}">
            <c15:filteredBarSeries>
              <c15:ser>
                <c:idx val="0"/>
                <c:order val="0"/>
                <c:tx>
                  <c:strRef>
                    <c:extLst>
                      <c:ext uri="{02D57815-91ED-43cb-92C2-25804820EDAC}">
                        <c15:formulaRef>
                          <c15:sqref>'Forest land valuation'!$B$2:$B$3</c15:sqref>
                        </c15:formulaRef>
                      </c:ext>
                    </c:extLst>
                    <c:strCache>
                      <c:ptCount val="2"/>
                      <c:pt idx="0">
                        <c:v>1990</c:v>
                      </c:pt>
                      <c:pt idx="1">
                        <c:v>Forested area (ha)</c:v>
                      </c:pt>
                    </c:strCache>
                  </c:strRef>
                </c:tx>
                <c:spPr>
                  <a:solidFill>
                    <a:schemeClr val="accent6"/>
                  </a:solidFill>
                  <a:ln>
                    <a:noFill/>
                  </a:ln>
                  <a:effectLst/>
                </c:spPr>
                <c:invertIfNegative val="0"/>
                <c:cat>
                  <c:strRef>
                    <c:extLst>
                      <c:ext uri="{02D57815-91ED-43cb-92C2-25804820EDAC}">
                        <c15:formulaRef>
                          <c15:sqref>'Forest land valuation'!$A$4:$A$14</c15:sqref>
                        </c15:formulaRef>
                      </c:ext>
                    </c:extLst>
                    <c:strCache>
                      <c:ptCount val="11"/>
                      <c:pt idx="0">
                        <c:v>Acholi</c:v>
                      </c:pt>
                      <c:pt idx="1">
                        <c:v>Central North</c:v>
                      </c:pt>
                      <c:pt idx="2">
                        <c:v>Central South</c:v>
                      </c:pt>
                      <c:pt idx="3">
                        <c:v>East Central</c:v>
                      </c:pt>
                      <c:pt idx="4">
                        <c:v>Elgon</c:v>
                      </c:pt>
                      <c:pt idx="5">
                        <c:v>Karamoja</c:v>
                      </c:pt>
                      <c:pt idx="6">
                        <c:v>Lango</c:v>
                      </c:pt>
                      <c:pt idx="7">
                        <c:v>South Western</c:v>
                      </c:pt>
                      <c:pt idx="8">
                        <c:v>Teso</c:v>
                      </c:pt>
                      <c:pt idx="9">
                        <c:v>West Nile</c:v>
                      </c:pt>
                      <c:pt idx="10">
                        <c:v>Western</c:v>
                      </c:pt>
                    </c:strCache>
                  </c:strRef>
                </c:cat>
                <c:val>
                  <c:numRef>
                    <c:extLst>
                      <c:ext uri="{02D57815-91ED-43cb-92C2-25804820EDAC}">
                        <c15:formulaRef>
                          <c15:sqref>'Forest land valuation'!$B$4:$B$14</c15:sqref>
                        </c15:formulaRef>
                      </c:ext>
                    </c:extLst>
                    <c:numCache>
                      <c:formatCode>_(* #,##0_);_(* \(#,##0\);_(* "-"??_);_(@_)</c:formatCode>
                      <c:ptCount val="11"/>
                      <c:pt idx="0">
                        <c:v>1197445.7</c:v>
                      </c:pt>
                      <c:pt idx="1">
                        <c:v>674196.5</c:v>
                      </c:pt>
                      <c:pt idx="2">
                        <c:v>319429.8</c:v>
                      </c:pt>
                      <c:pt idx="3">
                        <c:v>96476.800000000003</c:v>
                      </c:pt>
                      <c:pt idx="4">
                        <c:v>116974.3</c:v>
                      </c:pt>
                      <c:pt idx="5">
                        <c:v>346378.5</c:v>
                      </c:pt>
                      <c:pt idx="6">
                        <c:v>137874.70000000001</c:v>
                      </c:pt>
                      <c:pt idx="7">
                        <c:v>200582.2</c:v>
                      </c:pt>
                      <c:pt idx="8">
                        <c:v>51189.2</c:v>
                      </c:pt>
                      <c:pt idx="9">
                        <c:v>565991.4</c:v>
                      </c:pt>
                      <c:pt idx="10">
                        <c:v>1227221.6000000001</c:v>
                      </c:pt>
                    </c:numCache>
                  </c:numRef>
                </c:val>
                <c:extLst>
                  <c:ext xmlns:c16="http://schemas.microsoft.com/office/drawing/2014/chart" uri="{C3380CC4-5D6E-409C-BE32-E72D297353CC}">
                    <c16:uniqueId val="{00000000-71CF-41BC-B68D-C1969E5DF49D}"/>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'Forest land valuation'!$C$2:$C$3</c15:sqref>
                        </c15:formulaRef>
                      </c:ext>
                    </c:extLst>
                    <c:strCache>
                      <c:ptCount val="2"/>
                      <c:pt idx="0">
                        <c:v>1990</c:v>
                      </c:pt>
                      <c:pt idx="1">
                        <c:v>Price of forest land (UGX/ha)</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'Forest land valuation'!$A$4:$A$14</c15:sqref>
                        </c15:formulaRef>
                      </c:ext>
                    </c:extLst>
                    <c:strCache>
                      <c:ptCount val="11"/>
                      <c:pt idx="0">
                        <c:v>Acholi</c:v>
                      </c:pt>
                      <c:pt idx="1">
                        <c:v>Central North</c:v>
                      </c:pt>
                      <c:pt idx="2">
                        <c:v>Central South</c:v>
                      </c:pt>
                      <c:pt idx="3">
                        <c:v>East Central</c:v>
                      </c:pt>
                      <c:pt idx="4">
                        <c:v>Elgon</c:v>
                      </c:pt>
                      <c:pt idx="5">
                        <c:v>Karamoja</c:v>
                      </c:pt>
                      <c:pt idx="6">
                        <c:v>Lango</c:v>
                      </c:pt>
                      <c:pt idx="7">
                        <c:v>South Western</c:v>
                      </c:pt>
                      <c:pt idx="8">
                        <c:v>Teso</c:v>
                      </c:pt>
                      <c:pt idx="9">
                        <c:v>West Nile</c:v>
                      </c:pt>
                      <c:pt idx="10">
                        <c:v>Western</c:v>
                      </c:pt>
                    </c:strCache>
                  </c:strRef>
                </c:cat>
                <c:val>
                  <c:numRef>
                    <c:extLst xmlns:c15="http://schemas.microsoft.com/office/drawing/2012/chart">
                      <c:ext xmlns:c15="http://schemas.microsoft.com/office/drawing/2012/chart" uri="{02D57815-91ED-43cb-92C2-25804820EDAC}">
                        <c15:formulaRef>
                          <c15:sqref>'Forest land valuation'!$C$4:$C$14</c15:sqref>
                        </c15:formulaRef>
                      </c:ext>
                    </c:extLst>
                    <c:numCache>
                      <c:formatCode>_(* #,##0_);_(* \(#,##0\);_(* "-"??_);_(@_)</c:formatCode>
                      <c:ptCount val="11"/>
                      <c:pt idx="0">
                        <c:v>714285.71428571513</c:v>
                      </c:pt>
                      <c:pt idx="1">
                        <c:v>4110741.5238095284</c:v>
                      </c:pt>
                      <c:pt idx="2">
                        <c:v>20019572.717333354</c:v>
                      </c:pt>
                      <c:pt idx="3">
                        <c:v>3357366.1917619081</c:v>
                      </c:pt>
                      <c:pt idx="4">
                        <c:v>1548906.5714285732</c:v>
                      </c:pt>
                      <c:pt idx="5">
                        <c:v>88124.855857142946</c:v>
                      </c:pt>
                      <c:pt idx="6">
                        <c:v>714285.71428571513</c:v>
                      </c:pt>
                      <c:pt idx="7">
                        <c:v>1059144.4774761917</c:v>
                      </c:pt>
                      <c:pt idx="8">
                        <c:v>714285.71428571513</c:v>
                      </c:pt>
                      <c:pt idx="9">
                        <c:v>714285.71428571513</c:v>
                      </c:pt>
                      <c:pt idx="10">
                        <c:v>414342.85714285763</c:v>
                      </c:pt>
                    </c:numCache>
                  </c:numRef>
                </c:val>
                <c:extLst xmlns:c15="http://schemas.microsoft.com/office/drawing/2012/chart">
                  <c:ext xmlns:c16="http://schemas.microsoft.com/office/drawing/2014/chart" uri="{C3380CC4-5D6E-409C-BE32-E72D297353CC}">
                    <c16:uniqueId val="{00000001-71CF-41BC-B68D-C1969E5DF49D}"/>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'Forest land valuation'!$E$2:$E$3</c15:sqref>
                        </c15:formulaRef>
                      </c:ext>
                    </c:extLst>
                    <c:strCache>
                      <c:ptCount val="2"/>
                      <c:pt idx="0">
                        <c:v>2000</c:v>
                      </c:pt>
                      <c:pt idx="1">
                        <c:v>Forested area (ha)</c:v>
                      </c:pt>
                    </c:strCache>
                  </c:strRef>
                </c:tx>
                <c:spPr>
                  <a:solidFill>
                    <a:schemeClr val="accent6">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'Forest land valuation'!$A$4:$A$14</c15:sqref>
                        </c15:formulaRef>
                      </c:ext>
                    </c:extLst>
                    <c:strCache>
                      <c:ptCount val="11"/>
                      <c:pt idx="0">
                        <c:v>Acholi</c:v>
                      </c:pt>
                      <c:pt idx="1">
                        <c:v>Central North</c:v>
                      </c:pt>
                      <c:pt idx="2">
                        <c:v>Central South</c:v>
                      </c:pt>
                      <c:pt idx="3">
                        <c:v>East Central</c:v>
                      </c:pt>
                      <c:pt idx="4">
                        <c:v>Elgon</c:v>
                      </c:pt>
                      <c:pt idx="5">
                        <c:v>Karamoja</c:v>
                      </c:pt>
                      <c:pt idx="6">
                        <c:v>Lango</c:v>
                      </c:pt>
                      <c:pt idx="7">
                        <c:v>South Western</c:v>
                      </c:pt>
                      <c:pt idx="8">
                        <c:v>Teso</c:v>
                      </c:pt>
                      <c:pt idx="9">
                        <c:v>West Nile</c:v>
                      </c:pt>
                      <c:pt idx="10">
                        <c:v>Western</c:v>
                      </c:pt>
                    </c:strCache>
                  </c:strRef>
                </c:cat>
                <c:val>
                  <c:numRef>
                    <c:extLst xmlns:c15="http://schemas.microsoft.com/office/drawing/2012/chart">
                      <c:ext xmlns:c15="http://schemas.microsoft.com/office/drawing/2012/chart" uri="{02D57815-91ED-43cb-92C2-25804820EDAC}">
                        <c15:formulaRef>
                          <c15:sqref>'Forest land valuation'!$E$4:$E$14</c15:sqref>
                        </c15:formulaRef>
                      </c:ext>
                    </c:extLst>
                    <c:numCache>
                      <c:formatCode>_(* #,##0_);_(* \(#,##0\);_(* "-"??_);_(@_)</c:formatCode>
                      <c:ptCount val="11"/>
                      <c:pt idx="0">
                        <c:v>916745.6</c:v>
                      </c:pt>
                      <c:pt idx="1">
                        <c:v>464499</c:v>
                      </c:pt>
                      <c:pt idx="2">
                        <c:v>303515.5</c:v>
                      </c:pt>
                      <c:pt idx="3">
                        <c:v>29594.1</c:v>
                      </c:pt>
                      <c:pt idx="4">
                        <c:v>83302.5</c:v>
                      </c:pt>
                      <c:pt idx="5">
                        <c:v>184719.3</c:v>
                      </c:pt>
                      <c:pt idx="6">
                        <c:v>46162.2</c:v>
                      </c:pt>
                      <c:pt idx="7">
                        <c:v>240639</c:v>
                      </c:pt>
                      <c:pt idx="8">
                        <c:v>14402.6</c:v>
                      </c:pt>
                      <c:pt idx="9">
                        <c:v>470339.8</c:v>
                      </c:pt>
                      <c:pt idx="10">
                        <c:v>1032651</c:v>
                      </c:pt>
                    </c:numCache>
                  </c:numRef>
                </c:val>
                <c:extLst xmlns:c15="http://schemas.microsoft.com/office/drawing/2012/chart">
                  <c:ext xmlns:c16="http://schemas.microsoft.com/office/drawing/2014/chart" uri="{C3380CC4-5D6E-409C-BE32-E72D297353CC}">
                    <c16:uniqueId val="{00000003-71CF-41BC-B68D-C1969E5DF49D}"/>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'Forest land valuation'!$F$2:$F$3</c15:sqref>
                        </c15:formulaRef>
                      </c:ext>
                    </c:extLst>
                    <c:strCache>
                      <c:ptCount val="2"/>
                      <c:pt idx="0">
                        <c:v>2000</c:v>
                      </c:pt>
                      <c:pt idx="1">
                        <c:v>Price of land per acres-shs</c:v>
                      </c:pt>
                    </c:strCache>
                  </c:strRef>
                </c:tx>
                <c:spPr>
                  <a:solidFill>
                    <a:schemeClr val="accent5">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'Forest land valuation'!$A$4:$A$14</c15:sqref>
                        </c15:formulaRef>
                      </c:ext>
                    </c:extLst>
                    <c:strCache>
                      <c:ptCount val="11"/>
                      <c:pt idx="0">
                        <c:v>Acholi</c:v>
                      </c:pt>
                      <c:pt idx="1">
                        <c:v>Central North</c:v>
                      </c:pt>
                      <c:pt idx="2">
                        <c:v>Central South</c:v>
                      </c:pt>
                      <c:pt idx="3">
                        <c:v>East Central</c:v>
                      </c:pt>
                      <c:pt idx="4">
                        <c:v>Elgon</c:v>
                      </c:pt>
                      <c:pt idx="5">
                        <c:v>Karamoja</c:v>
                      </c:pt>
                      <c:pt idx="6">
                        <c:v>Lango</c:v>
                      </c:pt>
                      <c:pt idx="7">
                        <c:v>South Western</c:v>
                      </c:pt>
                      <c:pt idx="8">
                        <c:v>Teso</c:v>
                      </c:pt>
                      <c:pt idx="9">
                        <c:v>West Nile</c:v>
                      </c:pt>
                      <c:pt idx="10">
                        <c:v>Western</c:v>
                      </c:pt>
                    </c:strCache>
                  </c:strRef>
                </c:cat>
                <c:val>
                  <c:numRef>
                    <c:extLst xmlns:c15="http://schemas.microsoft.com/office/drawing/2012/chart">
                      <c:ext xmlns:c15="http://schemas.microsoft.com/office/drawing/2012/chart" uri="{02D57815-91ED-43cb-92C2-25804820EDAC}">
                        <c15:formulaRef>
                          <c15:sqref>'Forest land valuation'!$F$4:$F$14</c15:sqref>
                        </c15:formulaRef>
                      </c:ext>
                    </c:extLst>
                    <c:numCache>
                      <c:formatCode>_(* #,##0_);_(* \(#,##0\);_(* "-"??_);_(@_)</c:formatCode>
                      <c:ptCount val="11"/>
                      <c:pt idx="0">
                        <c:v>941479.33618351491</c:v>
                      </c:pt>
                      <c:pt idx="1">
                        <c:v>5418249.4814814813</c:v>
                      </c:pt>
                      <c:pt idx="2">
                        <c:v>26387219.645629629</c:v>
                      </c:pt>
                      <c:pt idx="3">
                        <c:v>4425247.2509629633</c:v>
                      </c:pt>
                      <c:pt idx="4">
                        <c:v>2900593.9294814817</c:v>
                      </c:pt>
                      <c:pt idx="5">
                        <c:v>116154.82311111111</c:v>
                      </c:pt>
                      <c:pt idx="6">
                        <c:v>2275555.5555555555</c:v>
                      </c:pt>
                      <c:pt idx="7">
                        <c:v>1396027.6954074071</c:v>
                      </c:pt>
                      <c:pt idx="8">
                        <c:v>941479.33618351491</c:v>
                      </c:pt>
                      <c:pt idx="9">
                        <c:v>941479.33618351491</c:v>
                      </c:pt>
                      <c:pt idx="10">
                        <c:v>546133.33333333337</c:v>
                      </c:pt>
                    </c:numCache>
                  </c:numRef>
                </c:val>
                <c:extLst xmlns:c15="http://schemas.microsoft.com/office/drawing/2012/chart">
                  <c:ext xmlns:c16="http://schemas.microsoft.com/office/drawing/2014/chart" uri="{C3380CC4-5D6E-409C-BE32-E72D297353CC}">
                    <c16:uniqueId val="{00000004-71CF-41BC-B68D-C1969E5DF49D}"/>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'Forest land valuation'!$G$2:$G$3</c15:sqref>
                        </c15:formulaRef>
                      </c:ext>
                    </c:extLst>
                    <c:strCache>
                      <c:ptCount val="2"/>
                      <c:pt idx="0">
                        <c:v>2000</c:v>
                      </c:pt>
                      <c:pt idx="1">
                        <c:v>Price of forest land (UGX/ha)</c:v>
                      </c:pt>
                    </c:strCache>
                  </c:strRef>
                </c:tx>
                <c:spPr>
                  <a:solidFill>
                    <a:schemeClr val="accent4">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'Forest land valuation'!$A$4:$A$14</c15:sqref>
                        </c15:formulaRef>
                      </c:ext>
                    </c:extLst>
                    <c:strCache>
                      <c:ptCount val="11"/>
                      <c:pt idx="0">
                        <c:v>Acholi</c:v>
                      </c:pt>
                      <c:pt idx="1">
                        <c:v>Central North</c:v>
                      </c:pt>
                      <c:pt idx="2">
                        <c:v>Central South</c:v>
                      </c:pt>
                      <c:pt idx="3">
                        <c:v>East Central</c:v>
                      </c:pt>
                      <c:pt idx="4">
                        <c:v>Elgon</c:v>
                      </c:pt>
                      <c:pt idx="5">
                        <c:v>Karamoja</c:v>
                      </c:pt>
                      <c:pt idx="6">
                        <c:v>Lango</c:v>
                      </c:pt>
                      <c:pt idx="7">
                        <c:v>South Western</c:v>
                      </c:pt>
                      <c:pt idx="8">
                        <c:v>Teso</c:v>
                      </c:pt>
                      <c:pt idx="9">
                        <c:v>West Nile</c:v>
                      </c:pt>
                      <c:pt idx="10">
                        <c:v>Western</c:v>
                      </c:pt>
                    </c:strCache>
                  </c:strRef>
                </c:cat>
                <c:val>
                  <c:numRef>
                    <c:extLst xmlns:c15="http://schemas.microsoft.com/office/drawing/2012/chart">
                      <c:ext xmlns:c15="http://schemas.microsoft.com/office/drawing/2012/chart" uri="{02D57815-91ED-43cb-92C2-25804820EDAC}">
                        <c15:formulaRef>
                          <c15:sqref>'Forest land valuation'!$G$4:$G$14</c15:sqref>
                        </c15:formulaRef>
                      </c:ext>
                    </c:extLst>
                    <c:numCache>
                      <c:formatCode>_(* #,##0_);_(* \(#,##0\);_(* "-"??_);_(@_)</c:formatCode>
                      <c:ptCount val="11"/>
                      <c:pt idx="0">
                        <c:v>6428571.4285714291</c:v>
                      </c:pt>
                      <c:pt idx="1">
                        <c:v>36996673.714285716</c:v>
                      </c:pt>
                      <c:pt idx="2">
                        <c:v>180176154.456</c:v>
                      </c:pt>
                      <c:pt idx="3">
                        <c:v>30216295.725857142</c:v>
                      </c:pt>
                      <c:pt idx="4">
                        <c:v>13940159.142857144</c:v>
                      </c:pt>
                      <c:pt idx="5">
                        <c:v>793123.7027142857</c:v>
                      </c:pt>
                      <c:pt idx="6">
                        <c:v>6428571.4285714291</c:v>
                      </c:pt>
                      <c:pt idx="7">
                        <c:v>9532300.2972857151</c:v>
                      </c:pt>
                      <c:pt idx="8">
                        <c:v>6428571.4285714291</c:v>
                      </c:pt>
                      <c:pt idx="9">
                        <c:v>6428571.4285714291</c:v>
                      </c:pt>
                      <c:pt idx="10">
                        <c:v>3729085.7142857146</c:v>
                      </c:pt>
                    </c:numCache>
                  </c:numRef>
                </c:val>
                <c:extLst xmlns:c15="http://schemas.microsoft.com/office/drawing/2012/chart">
                  <c:ext xmlns:c16="http://schemas.microsoft.com/office/drawing/2014/chart" uri="{C3380CC4-5D6E-409C-BE32-E72D297353CC}">
                    <c16:uniqueId val="{00000005-71CF-41BC-B68D-C1969E5DF49D}"/>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'Forest land valuation'!$I$2:$I$3</c15:sqref>
                        </c15:formulaRef>
                      </c:ext>
                    </c:extLst>
                    <c:strCache>
                      <c:ptCount val="2"/>
                      <c:pt idx="0">
                        <c:v>2005</c:v>
                      </c:pt>
                      <c:pt idx="1">
                        <c:v>Forested area (ha)</c:v>
                      </c:pt>
                    </c:strCache>
                  </c:strRef>
                </c:tx>
                <c:spPr>
                  <a:solidFill>
                    <a:schemeClr val="accent5">
                      <a:lumMod val="80000"/>
                      <a:lumOff val="20000"/>
                    </a:schemeClr>
                  </a:solidFill>
                  <a:ln>
                    <a:noFill/>
                  </a:ln>
                  <a:effectLst/>
                </c:spPr>
                <c:invertIfNegative val="0"/>
                <c:cat>
                  <c:strRef>
                    <c:extLst xmlns:c15="http://schemas.microsoft.com/office/drawing/2012/chart">
                      <c:ext xmlns:c15="http://schemas.microsoft.com/office/drawing/2012/chart" uri="{02D57815-91ED-43cb-92C2-25804820EDAC}">
                        <c15:formulaRef>
                          <c15:sqref>'Forest land valuation'!$A$4:$A$14</c15:sqref>
                        </c15:formulaRef>
                      </c:ext>
                    </c:extLst>
                    <c:strCache>
                      <c:ptCount val="11"/>
                      <c:pt idx="0">
                        <c:v>Acholi</c:v>
                      </c:pt>
                      <c:pt idx="1">
                        <c:v>Central North</c:v>
                      </c:pt>
                      <c:pt idx="2">
                        <c:v>Central South</c:v>
                      </c:pt>
                      <c:pt idx="3">
                        <c:v>East Central</c:v>
                      </c:pt>
                      <c:pt idx="4">
                        <c:v>Elgon</c:v>
                      </c:pt>
                      <c:pt idx="5">
                        <c:v>Karamoja</c:v>
                      </c:pt>
                      <c:pt idx="6">
                        <c:v>Lango</c:v>
                      </c:pt>
                      <c:pt idx="7">
                        <c:v>South Western</c:v>
                      </c:pt>
                      <c:pt idx="8">
                        <c:v>Teso</c:v>
                      </c:pt>
                      <c:pt idx="9">
                        <c:v>West Nile</c:v>
                      </c:pt>
                      <c:pt idx="10">
                        <c:v>Western</c:v>
                      </c:pt>
                    </c:strCache>
                  </c:strRef>
                </c:cat>
                <c:val>
                  <c:numRef>
                    <c:extLst xmlns:c15="http://schemas.microsoft.com/office/drawing/2012/chart">
                      <c:ext xmlns:c15="http://schemas.microsoft.com/office/drawing/2012/chart" uri="{02D57815-91ED-43cb-92C2-25804820EDAC}">
                        <c15:formulaRef>
                          <c15:sqref>'Forest land valuation'!$I$4:$I$14</c15:sqref>
                        </c15:formulaRef>
                      </c:ext>
                    </c:extLst>
                    <c:numCache>
                      <c:formatCode>_(* #,##0_);_(* \(#,##0\);_(* "-"??_);_(@_)</c:formatCode>
                      <c:ptCount val="11"/>
                      <c:pt idx="0">
                        <c:v>773619.1</c:v>
                      </c:pt>
                      <c:pt idx="1">
                        <c:v>394181.5</c:v>
                      </c:pt>
                      <c:pt idx="2">
                        <c:v>260545.8</c:v>
                      </c:pt>
                      <c:pt idx="3">
                        <c:v>23766.6</c:v>
                      </c:pt>
                      <c:pt idx="4">
                        <c:v>78921.600000000006</c:v>
                      </c:pt>
                      <c:pt idx="5">
                        <c:v>386995.20000000001</c:v>
                      </c:pt>
                      <c:pt idx="6">
                        <c:v>53352.7</c:v>
                      </c:pt>
                      <c:pt idx="7">
                        <c:v>239675.1</c:v>
                      </c:pt>
                      <c:pt idx="8">
                        <c:v>21039.5</c:v>
                      </c:pt>
                      <c:pt idx="9">
                        <c:v>400140.6</c:v>
                      </c:pt>
                      <c:pt idx="10">
                        <c:v>972003.8</c:v>
                      </c:pt>
                    </c:numCache>
                  </c:numRef>
                </c:val>
                <c:extLst xmlns:c15="http://schemas.microsoft.com/office/drawing/2012/chart">
                  <c:ext xmlns:c16="http://schemas.microsoft.com/office/drawing/2014/chart" uri="{C3380CC4-5D6E-409C-BE32-E72D297353CC}">
                    <c16:uniqueId val="{00000007-71CF-41BC-B68D-C1969E5DF49D}"/>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'Forest land valuation'!$J$2:$J$3</c15:sqref>
                        </c15:formulaRef>
                      </c:ext>
                    </c:extLst>
                    <c:strCache>
                      <c:ptCount val="2"/>
                      <c:pt idx="0">
                        <c:v>2005</c:v>
                      </c:pt>
                      <c:pt idx="1">
                        <c:v>Cost of land per hectare-shs</c:v>
                      </c:pt>
                    </c:strCache>
                  </c:strRef>
                </c:tx>
                <c:spPr>
                  <a:solidFill>
                    <a:schemeClr val="accent4">
                      <a:lumMod val="80000"/>
                      <a:lumOff val="20000"/>
                    </a:schemeClr>
                  </a:solidFill>
                  <a:ln>
                    <a:noFill/>
                  </a:ln>
                  <a:effectLst/>
                </c:spPr>
                <c:invertIfNegative val="0"/>
                <c:cat>
                  <c:strRef>
                    <c:extLst xmlns:c15="http://schemas.microsoft.com/office/drawing/2012/chart">
                      <c:ext xmlns:c15="http://schemas.microsoft.com/office/drawing/2012/chart" uri="{02D57815-91ED-43cb-92C2-25804820EDAC}">
                        <c15:formulaRef>
                          <c15:sqref>'Forest land valuation'!$A$4:$A$14</c15:sqref>
                        </c15:formulaRef>
                      </c:ext>
                    </c:extLst>
                    <c:strCache>
                      <c:ptCount val="11"/>
                      <c:pt idx="0">
                        <c:v>Acholi</c:v>
                      </c:pt>
                      <c:pt idx="1">
                        <c:v>Central North</c:v>
                      </c:pt>
                      <c:pt idx="2">
                        <c:v>Central South</c:v>
                      </c:pt>
                      <c:pt idx="3">
                        <c:v>East Central</c:v>
                      </c:pt>
                      <c:pt idx="4">
                        <c:v>Elgon</c:v>
                      </c:pt>
                      <c:pt idx="5">
                        <c:v>Karamoja</c:v>
                      </c:pt>
                      <c:pt idx="6">
                        <c:v>Lango</c:v>
                      </c:pt>
                      <c:pt idx="7">
                        <c:v>South Western</c:v>
                      </c:pt>
                      <c:pt idx="8">
                        <c:v>Teso</c:v>
                      </c:pt>
                      <c:pt idx="9">
                        <c:v>West Nile</c:v>
                      </c:pt>
                      <c:pt idx="10">
                        <c:v>Western</c:v>
                      </c:pt>
                    </c:strCache>
                  </c:strRef>
                </c:cat>
                <c:val>
                  <c:numRef>
                    <c:extLst xmlns:c15="http://schemas.microsoft.com/office/drawing/2012/chart">
                      <c:ext xmlns:c15="http://schemas.microsoft.com/office/drawing/2012/chart" uri="{02D57815-91ED-43cb-92C2-25804820EDAC}">
                        <c15:formulaRef>
                          <c15:sqref>'Forest land valuation'!$J$4:$J$14</c15:sqref>
                        </c15:formulaRef>
                      </c:ext>
                    </c:extLst>
                    <c:numCache>
                      <c:formatCode>_(* #,##0_);_(* \(#,##0\);_(* "-"??_);_(@_)</c:formatCode>
                      <c:ptCount val="11"/>
                      <c:pt idx="0">
                        <c:v>1765273.7553440905</c:v>
                      </c:pt>
                      <c:pt idx="1">
                        <c:v>10159217.777777778</c:v>
                      </c:pt>
                      <c:pt idx="2">
                        <c:v>49476036.835555553</c:v>
                      </c:pt>
                      <c:pt idx="3">
                        <c:v>8297338.595555556</c:v>
                      </c:pt>
                      <c:pt idx="4">
                        <c:v>5438613.6177777778</c:v>
                      </c:pt>
                      <c:pt idx="5">
                        <c:v>217790.29333333333</c:v>
                      </c:pt>
                      <c:pt idx="6">
                        <c:v>4266666.666666667</c:v>
                      </c:pt>
                      <c:pt idx="7">
                        <c:v>2617551.9288888886</c:v>
                      </c:pt>
                      <c:pt idx="8">
                        <c:v>1765273.7553440905</c:v>
                      </c:pt>
                      <c:pt idx="9">
                        <c:v>1765273.7553440905</c:v>
                      </c:pt>
                      <c:pt idx="10">
                        <c:v>1024000</c:v>
                      </c:pt>
                    </c:numCache>
                  </c:numRef>
                </c:val>
                <c:extLst xmlns:c15="http://schemas.microsoft.com/office/drawing/2012/chart">
                  <c:ext xmlns:c16="http://schemas.microsoft.com/office/drawing/2014/chart" uri="{C3380CC4-5D6E-409C-BE32-E72D297353CC}">
                    <c16:uniqueId val="{00000008-71CF-41BC-B68D-C1969E5DF49D}"/>
                  </c:ext>
                </c:extLst>
              </c15:ser>
            </c15:filteredBarSeries>
            <c15:filteredBarSeries>
              <c15:ser>
                <c:idx val="9"/>
                <c:order val="9"/>
                <c:tx>
                  <c:strRef>
                    <c:extLst xmlns:c15="http://schemas.microsoft.com/office/drawing/2012/chart">
                      <c:ext xmlns:c15="http://schemas.microsoft.com/office/drawing/2012/chart" uri="{02D57815-91ED-43cb-92C2-25804820EDAC}">
                        <c15:formulaRef>
                          <c15:sqref>'Forest land valuation'!$K$2:$K$3</c15:sqref>
                        </c15:formulaRef>
                      </c:ext>
                    </c:extLst>
                    <c:strCache>
                      <c:ptCount val="2"/>
                      <c:pt idx="0">
                        <c:v>2005</c:v>
                      </c:pt>
                      <c:pt idx="1">
                        <c:v>Price of forest land (UGX/ha)</c:v>
                      </c:pt>
                    </c:strCache>
                  </c:strRef>
                </c:tx>
                <c:spPr>
                  <a:solidFill>
                    <a:schemeClr val="accent6">
                      <a:lumMod val="80000"/>
                    </a:schemeClr>
                  </a:solidFill>
                  <a:ln>
                    <a:noFill/>
                  </a:ln>
                  <a:effectLst/>
                </c:spPr>
                <c:invertIfNegative val="0"/>
                <c:cat>
                  <c:strRef>
                    <c:extLst xmlns:c15="http://schemas.microsoft.com/office/drawing/2012/chart">
                      <c:ext xmlns:c15="http://schemas.microsoft.com/office/drawing/2012/chart" uri="{02D57815-91ED-43cb-92C2-25804820EDAC}">
                        <c15:formulaRef>
                          <c15:sqref>'Forest land valuation'!$A$4:$A$14</c15:sqref>
                        </c15:formulaRef>
                      </c:ext>
                    </c:extLst>
                    <c:strCache>
                      <c:ptCount val="11"/>
                      <c:pt idx="0">
                        <c:v>Acholi</c:v>
                      </c:pt>
                      <c:pt idx="1">
                        <c:v>Central North</c:v>
                      </c:pt>
                      <c:pt idx="2">
                        <c:v>Central South</c:v>
                      </c:pt>
                      <c:pt idx="3">
                        <c:v>East Central</c:v>
                      </c:pt>
                      <c:pt idx="4">
                        <c:v>Elgon</c:v>
                      </c:pt>
                      <c:pt idx="5">
                        <c:v>Karamoja</c:v>
                      </c:pt>
                      <c:pt idx="6">
                        <c:v>Lango</c:v>
                      </c:pt>
                      <c:pt idx="7">
                        <c:v>South Western</c:v>
                      </c:pt>
                      <c:pt idx="8">
                        <c:v>Teso</c:v>
                      </c:pt>
                      <c:pt idx="9">
                        <c:v>West Nile</c:v>
                      </c:pt>
                      <c:pt idx="10">
                        <c:v>Western</c:v>
                      </c:pt>
                    </c:strCache>
                  </c:strRef>
                </c:cat>
                <c:val>
                  <c:numRef>
                    <c:extLst xmlns:c15="http://schemas.microsoft.com/office/drawing/2012/chart">
                      <c:ext xmlns:c15="http://schemas.microsoft.com/office/drawing/2012/chart" uri="{02D57815-91ED-43cb-92C2-25804820EDAC}">
                        <c15:formulaRef>
                          <c15:sqref>'Forest land valuation'!$K$4:$K$14</c15:sqref>
                        </c15:formulaRef>
                      </c:ext>
                    </c:extLst>
                    <c:numCache>
                      <c:formatCode>_(* #,##0_);_(* \(#,##0\);_(* "-"??_);_(@_)</c:formatCode>
                      <c:ptCount val="11"/>
                      <c:pt idx="0">
                        <c:v>9285714.2857142854</c:v>
                      </c:pt>
                      <c:pt idx="1">
                        <c:v>53439639.809523813</c:v>
                      </c:pt>
                      <c:pt idx="2">
                        <c:v>260254445.3253333</c:v>
                      </c:pt>
                      <c:pt idx="3">
                        <c:v>43645760.49290476</c:v>
                      </c:pt>
                      <c:pt idx="4">
                        <c:v>20135785.428571429</c:v>
                      </c:pt>
                      <c:pt idx="5">
                        <c:v>1145623.1261428571</c:v>
                      </c:pt>
                      <c:pt idx="6">
                        <c:v>9285714.2857142854</c:v>
                      </c:pt>
                      <c:pt idx="7">
                        <c:v>13768878.207190476</c:v>
                      </c:pt>
                      <c:pt idx="8">
                        <c:v>9285714.2857142854</c:v>
                      </c:pt>
                      <c:pt idx="9">
                        <c:v>9285714.2857142854</c:v>
                      </c:pt>
                      <c:pt idx="10">
                        <c:v>5386457.1428571427</c:v>
                      </c:pt>
                    </c:numCache>
                  </c:numRef>
                </c:val>
                <c:extLst xmlns:c15="http://schemas.microsoft.com/office/drawing/2012/chart">
                  <c:ext xmlns:c16="http://schemas.microsoft.com/office/drawing/2014/chart" uri="{C3380CC4-5D6E-409C-BE32-E72D297353CC}">
                    <c16:uniqueId val="{00000009-71CF-41BC-B68D-C1969E5DF49D}"/>
                  </c:ext>
                </c:extLst>
              </c15:ser>
            </c15:filteredBarSeries>
            <c15:filteredBarSeries>
              <c15:ser>
                <c:idx val="11"/>
                <c:order val="11"/>
                <c:tx>
                  <c:strRef>
                    <c:extLst xmlns:c15="http://schemas.microsoft.com/office/drawing/2012/chart">
                      <c:ext xmlns:c15="http://schemas.microsoft.com/office/drawing/2012/chart" uri="{02D57815-91ED-43cb-92C2-25804820EDAC}">
                        <c15:formulaRef>
                          <c15:sqref>'Forest land valuation'!$M$2:$M$3</c15:sqref>
                        </c15:formulaRef>
                      </c:ext>
                    </c:extLst>
                    <c:strCache>
                      <c:ptCount val="2"/>
                      <c:pt idx="0">
                        <c:v>2010</c:v>
                      </c:pt>
                      <c:pt idx="1">
                        <c:v>Forested area (ha)</c:v>
                      </c:pt>
                    </c:strCache>
                  </c:strRef>
                </c:tx>
                <c:spPr>
                  <a:solidFill>
                    <a:schemeClr val="accent4">
                      <a:lumMod val="80000"/>
                    </a:schemeClr>
                  </a:solidFill>
                  <a:ln>
                    <a:noFill/>
                  </a:ln>
                  <a:effectLst/>
                </c:spPr>
                <c:invertIfNegative val="0"/>
                <c:cat>
                  <c:strRef>
                    <c:extLst xmlns:c15="http://schemas.microsoft.com/office/drawing/2012/chart">
                      <c:ext xmlns:c15="http://schemas.microsoft.com/office/drawing/2012/chart" uri="{02D57815-91ED-43cb-92C2-25804820EDAC}">
                        <c15:formulaRef>
                          <c15:sqref>'Forest land valuation'!$A$4:$A$14</c15:sqref>
                        </c15:formulaRef>
                      </c:ext>
                    </c:extLst>
                    <c:strCache>
                      <c:ptCount val="11"/>
                      <c:pt idx="0">
                        <c:v>Acholi</c:v>
                      </c:pt>
                      <c:pt idx="1">
                        <c:v>Central North</c:v>
                      </c:pt>
                      <c:pt idx="2">
                        <c:v>Central South</c:v>
                      </c:pt>
                      <c:pt idx="3">
                        <c:v>East Central</c:v>
                      </c:pt>
                      <c:pt idx="4">
                        <c:v>Elgon</c:v>
                      </c:pt>
                      <c:pt idx="5">
                        <c:v>Karamoja</c:v>
                      </c:pt>
                      <c:pt idx="6">
                        <c:v>Lango</c:v>
                      </c:pt>
                      <c:pt idx="7">
                        <c:v>South Western</c:v>
                      </c:pt>
                      <c:pt idx="8">
                        <c:v>Teso</c:v>
                      </c:pt>
                      <c:pt idx="9">
                        <c:v>West Nile</c:v>
                      </c:pt>
                      <c:pt idx="10">
                        <c:v>Western</c:v>
                      </c:pt>
                    </c:strCache>
                  </c:strRef>
                </c:cat>
                <c:val>
                  <c:numRef>
                    <c:extLst xmlns:c15="http://schemas.microsoft.com/office/drawing/2012/chart">
                      <c:ext xmlns:c15="http://schemas.microsoft.com/office/drawing/2012/chart" uri="{02D57815-91ED-43cb-92C2-25804820EDAC}">
                        <c15:formulaRef>
                          <c15:sqref>'Forest land valuation'!$M$4:$M$14</c15:sqref>
                        </c15:formulaRef>
                      </c:ext>
                    </c:extLst>
                    <c:numCache>
                      <c:formatCode>_(* #,##0_);_(* \(#,##0\);_(* "-"??_);_(@_)</c:formatCode>
                      <c:ptCount val="11"/>
                      <c:pt idx="0">
                        <c:v>295569.40000000002</c:v>
                      </c:pt>
                      <c:pt idx="1">
                        <c:v>248796.79999999999</c:v>
                      </c:pt>
                      <c:pt idx="2">
                        <c:v>224669.7</c:v>
                      </c:pt>
                      <c:pt idx="3">
                        <c:v>19831.900000000001</c:v>
                      </c:pt>
                      <c:pt idx="4">
                        <c:v>81069.100000000006</c:v>
                      </c:pt>
                      <c:pt idx="5">
                        <c:v>226279.8</c:v>
                      </c:pt>
                      <c:pt idx="6">
                        <c:v>36795.1</c:v>
                      </c:pt>
                      <c:pt idx="7">
                        <c:v>188976.4</c:v>
                      </c:pt>
                      <c:pt idx="8">
                        <c:v>8030.1</c:v>
                      </c:pt>
                      <c:pt idx="9">
                        <c:v>168805.7</c:v>
                      </c:pt>
                      <c:pt idx="10">
                        <c:v>700499</c:v>
                      </c:pt>
                    </c:numCache>
                  </c:numRef>
                </c:val>
                <c:extLst xmlns:c15="http://schemas.microsoft.com/office/drawing/2012/chart">
                  <c:ext xmlns:c16="http://schemas.microsoft.com/office/drawing/2014/chart" uri="{C3380CC4-5D6E-409C-BE32-E72D297353CC}">
                    <c16:uniqueId val="{00000013-71CF-41BC-B68D-C1969E5DF49D}"/>
                  </c:ext>
                </c:extLst>
              </c15:ser>
            </c15:filteredBarSeries>
            <c15:filteredBarSeries>
              <c15:ser>
                <c:idx val="12"/>
                <c:order val="12"/>
                <c:tx>
                  <c:strRef>
                    <c:extLst xmlns:c15="http://schemas.microsoft.com/office/drawing/2012/chart">
                      <c:ext xmlns:c15="http://schemas.microsoft.com/office/drawing/2012/chart" uri="{02D57815-91ED-43cb-92C2-25804820EDAC}">
                        <c15:formulaRef>
                          <c15:sqref>'Forest land valuation'!$N$2:$N$3</c15:sqref>
                        </c15:formulaRef>
                      </c:ext>
                    </c:extLst>
                    <c:strCache>
                      <c:ptCount val="2"/>
                      <c:pt idx="0">
                        <c:v>2010</c:v>
                      </c:pt>
                      <c:pt idx="1">
                        <c:v>Cost of land per hectare-shs</c:v>
                      </c:pt>
                    </c:strCache>
                  </c:strRef>
                </c:tx>
                <c:spPr>
                  <a:solidFill>
                    <a:schemeClr val="accent6">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'Forest land valuation'!$A$4:$A$14</c15:sqref>
                        </c15:formulaRef>
                      </c:ext>
                    </c:extLst>
                    <c:strCache>
                      <c:ptCount val="11"/>
                      <c:pt idx="0">
                        <c:v>Acholi</c:v>
                      </c:pt>
                      <c:pt idx="1">
                        <c:v>Central North</c:v>
                      </c:pt>
                      <c:pt idx="2">
                        <c:v>Central South</c:v>
                      </c:pt>
                      <c:pt idx="3">
                        <c:v>East Central</c:v>
                      </c:pt>
                      <c:pt idx="4">
                        <c:v>Elgon</c:v>
                      </c:pt>
                      <c:pt idx="5">
                        <c:v>Karamoja</c:v>
                      </c:pt>
                      <c:pt idx="6">
                        <c:v>Lango</c:v>
                      </c:pt>
                      <c:pt idx="7">
                        <c:v>South Western</c:v>
                      </c:pt>
                      <c:pt idx="8">
                        <c:v>Teso</c:v>
                      </c:pt>
                      <c:pt idx="9">
                        <c:v>West Nile</c:v>
                      </c:pt>
                      <c:pt idx="10">
                        <c:v>Western</c:v>
                      </c:pt>
                    </c:strCache>
                  </c:strRef>
                </c:cat>
                <c:val>
                  <c:numRef>
                    <c:extLst xmlns:c15="http://schemas.microsoft.com/office/drawing/2012/chart">
                      <c:ext xmlns:c15="http://schemas.microsoft.com/office/drawing/2012/chart" uri="{02D57815-91ED-43cb-92C2-25804820EDAC}">
                        <c15:formulaRef>
                          <c15:sqref>'Forest land valuation'!$N$4:$N$14</c15:sqref>
                        </c15:formulaRef>
                      </c:ext>
                    </c:extLst>
                    <c:numCache>
                      <c:formatCode>_(* #,##0_);_(* \(#,##0\);_(* "-"??_);_(@_)</c:formatCode>
                      <c:ptCount val="11"/>
                      <c:pt idx="0">
                        <c:v>3309888.2912701699</c:v>
                      </c:pt>
                      <c:pt idx="1">
                        <c:v>19048533.333333332</c:v>
                      </c:pt>
                      <c:pt idx="2">
                        <c:v>92767569.066666663</c:v>
                      </c:pt>
                      <c:pt idx="3">
                        <c:v>15557509.866666667</c:v>
                      </c:pt>
                      <c:pt idx="4">
                        <c:v>10197400.533333333</c:v>
                      </c:pt>
                      <c:pt idx="5">
                        <c:v>408356.8</c:v>
                      </c:pt>
                      <c:pt idx="6">
                        <c:v>8000000</c:v>
                      </c:pt>
                      <c:pt idx="7">
                        <c:v>4907909.8666666662</c:v>
                      </c:pt>
                      <c:pt idx="8">
                        <c:v>3309888.2912701699</c:v>
                      </c:pt>
                      <c:pt idx="9">
                        <c:v>3309888.2912701699</c:v>
                      </c:pt>
                      <c:pt idx="10">
                        <c:v>1920000</c:v>
                      </c:pt>
                    </c:numCache>
                  </c:numRef>
                </c:val>
                <c:extLst xmlns:c15="http://schemas.microsoft.com/office/drawing/2012/chart">
                  <c:ext xmlns:c16="http://schemas.microsoft.com/office/drawing/2014/chart" uri="{C3380CC4-5D6E-409C-BE32-E72D297353CC}">
                    <c16:uniqueId val="{00000014-71CF-41BC-B68D-C1969E5DF49D}"/>
                  </c:ext>
                </c:extLst>
              </c15:ser>
            </c15:filteredBarSeries>
            <c15:filteredBarSeries>
              <c15:ser>
                <c:idx val="13"/>
                <c:order val="13"/>
                <c:tx>
                  <c:strRef>
                    <c:extLst xmlns:c15="http://schemas.microsoft.com/office/drawing/2012/chart">
                      <c:ext xmlns:c15="http://schemas.microsoft.com/office/drawing/2012/chart" uri="{02D57815-91ED-43cb-92C2-25804820EDAC}">
                        <c15:formulaRef>
                          <c15:sqref>'Forest land valuation'!$O$2:$O$3</c15:sqref>
                        </c15:formulaRef>
                      </c:ext>
                    </c:extLst>
                    <c:strCache>
                      <c:ptCount val="2"/>
                      <c:pt idx="0">
                        <c:v>2010</c:v>
                      </c:pt>
                      <c:pt idx="1">
                        <c:v>Price of forest land (UGX/ha)</c:v>
                      </c:pt>
                    </c:strCache>
                  </c:strRef>
                </c:tx>
                <c:spPr>
                  <a:solidFill>
                    <a:schemeClr val="accent5">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'Forest land valuation'!$A$4:$A$14</c15:sqref>
                        </c15:formulaRef>
                      </c:ext>
                    </c:extLst>
                    <c:strCache>
                      <c:ptCount val="11"/>
                      <c:pt idx="0">
                        <c:v>Acholi</c:v>
                      </c:pt>
                      <c:pt idx="1">
                        <c:v>Central North</c:v>
                      </c:pt>
                      <c:pt idx="2">
                        <c:v>Central South</c:v>
                      </c:pt>
                      <c:pt idx="3">
                        <c:v>East Central</c:v>
                      </c:pt>
                      <c:pt idx="4">
                        <c:v>Elgon</c:v>
                      </c:pt>
                      <c:pt idx="5">
                        <c:v>Karamoja</c:v>
                      </c:pt>
                      <c:pt idx="6">
                        <c:v>Lango</c:v>
                      </c:pt>
                      <c:pt idx="7">
                        <c:v>South Western</c:v>
                      </c:pt>
                      <c:pt idx="8">
                        <c:v>Teso</c:v>
                      </c:pt>
                      <c:pt idx="9">
                        <c:v>West Nile</c:v>
                      </c:pt>
                      <c:pt idx="10">
                        <c:v>Western</c:v>
                      </c:pt>
                    </c:strCache>
                  </c:strRef>
                </c:cat>
                <c:val>
                  <c:numRef>
                    <c:extLst xmlns:c15="http://schemas.microsoft.com/office/drawing/2012/chart">
                      <c:ext xmlns:c15="http://schemas.microsoft.com/office/drawing/2012/chart" uri="{02D57815-91ED-43cb-92C2-25804820EDAC}">
                        <c15:formulaRef>
                          <c15:sqref>'Forest land valuation'!$O$4:$O$14</c15:sqref>
                        </c15:formulaRef>
                      </c:ext>
                    </c:extLst>
                    <c:numCache>
                      <c:formatCode>_(* #,##0_);_(* \(#,##0\);_(* "-"??_);_(@_)</c:formatCode>
                      <c:ptCount val="11"/>
                      <c:pt idx="0">
                        <c:v>12142857.142857144</c:v>
                      </c:pt>
                      <c:pt idx="1">
                        <c:v>69882605.90476191</c:v>
                      </c:pt>
                      <c:pt idx="2">
                        <c:v>340332736.19466662</c:v>
                      </c:pt>
                      <c:pt idx="3">
                        <c:v>57075225.259952381</c:v>
                      </c:pt>
                      <c:pt idx="4">
                        <c:v>26331411.714285716</c:v>
                      </c:pt>
                      <c:pt idx="5">
                        <c:v>1498122.5495714284</c:v>
                      </c:pt>
                      <c:pt idx="6">
                        <c:v>12142857.142857144</c:v>
                      </c:pt>
                      <c:pt idx="7">
                        <c:v>18005456.117095236</c:v>
                      </c:pt>
                      <c:pt idx="8">
                        <c:v>12142857.142857144</c:v>
                      </c:pt>
                      <c:pt idx="9">
                        <c:v>12142857.142857144</c:v>
                      </c:pt>
                      <c:pt idx="10">
                        <c:v>7043828.5714285718</c:v>
                      </c:pt>
                    </c:numCache>
                  </c:numRef>
                </c:val>
                <c:extLst xmlns:c15="http://schemas.microsoft.com/office/drawing/2012/chart">
                  <c:ext xmlns:c16="http://schemas.microsoft.com/office/drawing/2014/chart" uri="{C3380CC4-5D6E-409C-BE32-E72D297353CC}">
                    <c16:uniqueId val="{00000015-71CF-41BC-B68D-C1969E5DF49D}"/>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'Forest land valuation'!$Q$2:$Q$3</c15:sqref>
                        </c15:formulaRef>
                      </c:ext>
                    </c:extLst>
                    <c:strCache>
                      <c:ptCount val="2"/>
                      <c:pt idx="0">
                        <c:v>2015</c:v>
                      </c:pt>
                      <c:pt idx="1">
                        <c:v>Forested area (ha)</c:v>
                      </c:pt>
                    </c:strCache>
                  </c:strRef>
                </c:tx>
                <c:spPr>
                  <a:solidFill>
                    <a:schemeClr val="accent6">
                      <a:lumMod val="50000"/>
                    </a:schemeClr>
                  </a:solidFill>
                  <a:ln>
                    <a:noFill/>
                  </a:ln>
                  <a:effectLst/>
                </c:spPr>
                <c:invertIfNegative val="0"/>
                <c:cat>
                  <c:strRef>
                    <c:extLst xmlns:c15="http://schemas.microsoft.com/office/drawing/2012/chart">
                      <c:ext xmlns:c15="http://schemas.microsoft.com/office/drawing/2012/chart" uri="{02D57815-91ED-43cb-92C2-25804820EDAC}">
                        <c15:formulaRef>
                          <c15:sqref>'Forest land valuation'!$A$4:$A$14</c15:sqref>
                        </c15:formulaRef>
                      </c:ext>
                    </c:extLst>
                    <c:strCache>
                      <c:ptCount val="11"/>
                      <c:pt idx="0">
                        <c:v>Acholi</c:v>
                      </c:pt>
                      <c:pt idx="1">
                        <c:v>Central North</c:v>
                      </c:pt>
                      <c:pt idx="2">
                        <c:v>Central South</c:v>
                      </c:pt>
                      <c:pt idx="3">
                        <c:v>East Central</c:v>
                      </c:pt>
                      <c:pt idx="4">
                        <c:v>Elgon</c:v>
                      </c:pt>
                      <c:pt idx="5">
                        <c:v>Karamoja</c:v>
                      </c:pt>
                      <c:pt idx="6">
                        <c:v>Lango</c:v>
                      </c:pt>
                      <c:pt idx="7">
                        <c:v>South Western</c:v>
                      </c:pt>
                      <c:pt idx="8">
                        <c:v>Teso</c:v>
                      </c:pt>
                      <c:pt idx="9">
                        <c:v>West Nile</c:v>
                      </c:pt>
                      <c:pt idx="10">
                        <c:v>Western</c:v>
                      </c:pt>
                    </c:strCache>
                  </c:strRef>
                </c:cat>
                <c:val>
                  <c:numRef>
                    <c:extLst xmlns:c15="http://schemas.microsoft.com/office/drawing/2012/chart">
                      <c:ext xmlns:c15="http://schemas.microsoft.com/office/drawing/2012/chart" uri="{02D57815-91ED-43cb-92C2-25804820EDAC}">
                        <c15:formulaRef>
                          <c15:sqref>'Forest land valuation'!$Q$4:$Q$14</c15:sqref>
                        </c15:formulaRef>
                      </c:ext>
                    </c:extLst>
                    <c:numCache>
                      <c:formatCode>_(* #,##0_);_(* \(#,##0\);_(* "-"??_);_(@_)</c:formatCode>
                      <c:ptCount val="11"/>
                      <c:pt idx="0">
                        <c:v>175004.4</c:v>
                      </c:pt>
                      <c:pt idx="1">
                        <c:v>265496.09999999998</c:v>
                      </c:pt>
                      <c:pt idx="2">
                        <c:v>166615.79999999999</c:v>
                      </c:pt>
                      <c:pt idx="3">
                        <c:v>19765</c:v>
                      </c:pt>
                      <c:pt idx="4">
                        <c:v>82230.899999999994</c:v>
                      </c:pt>
                      <c:pt idx="5">
                        <c:v>191472.6</c:v>
                      </c:pt>
                      <c:pt idx="6">
                        <c:v>32490.6</c:v>
                      </c:pt>
                      <c:pt idx="7">
                        <c:v>208211.9</c:v>
                      </c:pt>
                      <c:pt idx="8">
                        <c:v>6220.7</c:v>
                      </c:pt>
                      <c:pt idx="9">
                        <c:v>147646.9</c:v>
                      </c:pt>
                      <c:pt idx="10">
                        <c:v>656507.19999999995</c:v>
                      </c:pt>
                    </c:numCache>
                  </c:numRef>
                </c:val>
                <c:extLst xmlns:c15="http://schemas.microsoft.com/office/drawing/2012/chart">
                  <c:ext xmlns:c16="http://schemas.microsoft.com/office/drawing/2014/chart" uri="{C3380CC4-5D6E-409C-BE32-E72D297353CC}">
                    <c16:uniqueId val="{00000017-71CF-41BC-B68D-C1969E5DF49D}"/>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'Forest land valuation'!$R$2:$R$3</c15:sqref>
                        </c15:formulaRef>
                      </c:ext>
                    </c:extLst>
                    <c:strCache>
                      <c:ptCount val="2"/>
                      <c:pt idx="0">
                        <c:v>2015</c:v>
                      </c:pt>
                      <c:pt idx="1">
                        <c:v>Cost of land per acre-shs</c:v>
                      </c:pt>
                    </c:strCache>
                  </c:strRef>
                </c:tx>
                <c:spPr>
                  <a:solidFill>
                    <a:schemeClr val="accent5">
                      <a:lumMod val="50000"/>
                    </a:schemeClr>
                  </a:solidFill>
                  <a:ln>
                    <a:noFill/>
                  </a:ln>
                  <a:effectLst/>
                </c:spPr>
                <c:invertIfNegative val="0"/>
                <c:cat>
                  <c:strRef>
                    <c:extLst xmlns:c15="http://schemas.microsoft.com/office/drawing/2012/chart">
                      <c:ext xmlns:c15="http://schemas.microsoft.com/office/drawing/2012/chart" uri="{02D57815-91ED-43cb-92C2-25804820EDAC}">
                        <c15:formulaRef>
                          <c15:sqref>'Forest land valuation'!$A$4:$A$14</c15:sqref>
                        </c15:formulaRef>
                      </c:ext>
                    </c:extLst>
                    <c:strCache>
                      <c:ptCount val="11"/>
                      <c:pt idx="0">
                        <c:v>Acholi</c:v>
                      </c:pt>
                      <c:pt idx="1">
                        <c:v>Central North</c:v>
                      </c:pt>
                      <c:pt idx="2">
                        <c:v>Central South</c:v>
                      </c:pt>
                      <c:pt idx="3">
                        <c:v>East Central</c:v>
                      </c:pt>
                      <c:pt idx="4">
                        <c:v>Elgon</c:v>
                      </c:pt>
                      <c:pt idx="5">
                        <c:v>Karamoja</c:v>
                      </c:pt>
                      <c:pt idx="6">
                        <c:v>Lango</c:v>
                      </c:pt>
                      <c:pt idx="7">
                        <c:v>South Western</c:v>
                      </c:pt>
                      <c:pt idx="8">
                        <c:v>Teso</c:v>
                      </c:pt>
                      <c:pt idx="9">
                        <c:v>West Nile</c:v>
                      </c:pt>
                      <c:pt idx="10">
                        <c:v>Western</c:v>
                      </c:pt>
                    </c:strCache>
                  </c:strRef>
                </c:cat>
                <c:val>
                  <c:numRef>
                    <c:extLst xmlns:c15="http://schemas.microsoft.com/office/drawing/2012/chart">
                      <c:ext xmlns:c15="http://schemas.microsoft.com/office/drawing/2012/chart" uri="{02D57815-91ED-43cb-92C2-25804820EDAC}">
                        <c15:formulaRef>
                          <c15:sqref>'Forest land valuation'!$R$4:$R$14</c15:sqref>
                        </c15:formulaRef>
                      </c:ext>
                    </c:extLst>
                    <c:numCache>
                      <c:formatCode>_(* #,##0_);_(* \(#,##0\);_(* "-"??_);_(@_)</c:formatCode>
                      <c:ptCount val="11"/>
                      <c:pt idx="0">
                        <c:v>6206040.546131569</c:v>
                      </c:pt>
                      <c:pt idx="1">
                        <c:v>35716000</c:v>
                      </c:pt>
                      <c:pt idx="2">
                        <c:v>173939192</c:v>
                      </c:pt>
                      <c:pt idx="3">
                        <c:v>29170331</c:v>
                      </c:pt>
                      <c:pt idx="4">
                        <c:v>19120126</c:v>
                      </c:pt>
                      <c:pt idx="5">
                        <c:v>765669</c:v>
                      </c:pt>
                      <c:pt idx="6">
                        <c:v>15000000</c:v>
                      </c:pt>
                      <c:pt idx="7">
                        <c:v>9202331</c:v>
                      </c:pt>
                      <c:pt idx="8">
                        <c:v>6206040.546131569</c:v>
                      </c:pt>
                      <c:pt idx="9">
                        <c:v>6206040.546131569</c:v>
                      </c:pt>
                      <c:pt idx="10">
                        <c:v>3600000</c:v>
                      </c:pt>
                    </c:numCache>
                  </c:numRef>
                </c:val>
                <c:extLst xmlns:c15="http://schemas.microsoft.com/office/drawing/2012/chart">
                  <c:ext xmlns:c16="http://schemas.microsoft.com/office/drawing/2014/chart" uri="{C3380CC4-5D6E-409C-BE32-E72D297353CC}">
                    <c16:uniqueId val="{00000018-71CF-41BC-B68D-C1969E5DF49D}"/>
                  </c:ext>
                </c:extLst>
              </c15:ser>
            </c15:filteredBarSeries>
            <c15:filteredBarSeries>
              <c15:ser>
                <c:idx val="17"/>
                <c:order val="17"/>
                <c:tx>
                  <c:strRef>
                    <c:extLst xmlns:c15="http://schemas.microsoft.com/office/drawing/2012/chart">
                      <c:ext xmlns:c15="http://schemas.microsoft.com/office/drawing/2012/chart" uri="{02D57815-91ED-43cb-92C2-25804820EDAC}">
                        <c15:formulaRef>
                          <c15:sqref>'Forest land valuation'!$S$2:$S$3</c15:sqref>
                        </c15:formulaRef>
                      </c:ext>
                    </c:extLst>
                    <c:strCache>
                      <c:ptCount val="2"/>
                      <c:pt idx="0">
                        <c:v>2015</c:v>
                      </c:pt>
                      <c:pt idx="1">
                        <c:v>Price of forest land (UGX/ha)</c:v>
                      </c:pt>
                    </c:strCache>
                  </c:strRef>
                </c:tx>
                <c:spPr>
                  <a:solidFill>
                    <a:schemeClr val="accent4">
                      <a:lumMod val="50000"/>
                    </a:schemeClr>
                  </a:solidFill>
                  <a:ln>
                    <a:noFill/>
                  </a:ln>
                  <a:effectLst/>
                </c:spPr>
                <c:invertIfNegative val="0"/>
                <c:cat>
                  <c:strRef>
                    <c:extLst xmlns:c15="http://schemas.microsoft.com/office/drawing/2012/chart">
                      <c:ext xmlns:c15="http://schemas.microsoft.com/office/drawing/2012/chart" uri="{02D57815-91ED-43cb-92C2-25804820EDAC}">
                        <c15:formulaRef>
                          <c15:sqref>'Forest land valuation'!$A$4:$A$14</c15:sqref>
                        </c15:formulaRef>
                      </c:ext>
                    </c:extLst>
                    <c:strCache>
                      <c:ptCount val="11"/>
                      <c:pt idx="0">
                        <c:v>Acholi</c:v>
                      </c:pt>
                      <c:pt idx="1">
                        <c:v>Central North</c:v>
                      </c:pt>
                      <c:pt idx="2">
                        <c:v>Central South</c:v>
                      </c:pt>
                      <c:pt idx="3">
                        <c:v>East Central</c:v>
                      </c:pt>
                      <c:pt idx="4">
                        <c:v>Elgon</c:v>
                      </c:pt>
                      <c:pt idx="5">
                        <c:v>Karamoja</c:v>
                      </c:pt>
                      <c:pt idx="6">
                        <c:v>Lango</c:v>
                      </c:pt>
                      <c:pt idx="7">
                        <c:v>South Western</c:v>
                      </c:pt>
                      <c:pt idx="8">
                        <c:v>Teso</c:v>
                      </c:pt>
                      <c:pt idx="9">
                        <c:v>West Nile</c:v>
                      </c:pt>
                      <c:pt idx="10">
                        <c:v>Western</c:v>
                      </c:pt>
                    </c:strCache>
                  </c:strRef>
                </c:cat>
                <c:val>
                  <c:numRef>
                    <c:extLst xmlns:c15="http://schemas.microsoft.com/office/drawing/2012/chart">
                      <c:ext xmlns:c15="http://schemas.microsoft.com/office/drawing/2012/chart" uri="{02D57815-91ED-43cb-92C2-25804820EDAC}">
                        <c15:formulaRef>
                          <c15:sqref>'Forest land valuation'!$S$4:$S$14</c15:sqref>
                        </c15:formulaRef>
                      </c:ext>
                    </c:extLst>
                    <c:numCache>
                      <c:formatCode>_(* #,##0_);_(* \(#,##0\);_(* "-"??_);_(@_)</c:formatCode>
                      <c:ptCount val="11"/>
                      <c:pt idx="0">
                        <c:v>15000000</c:v>
                      </c:pt>
                      <c:pt idx="1">
                        <c:v>86325572</c:v>
                      </c:pt>
                      <c:pt idx="2">
                        <c:v>420411027.06399995</c:v>
                      </c:pt>
                      <c:pt idx="3">
                        <c:v>70504690.026999995</c:v>
                      </c:pt>
                      <c:pt idx="4">
                        <c:v>32527038</c:v>
                      </c:pt>
                      <c:pt idx="5">
                        <c:v>1850621.9729999998</c:v>
                      </c:pt>
                      <c:pt idx="6">
                        <c:v>15000000</c:v>
                      </c:pt>
                      <c:pt idx="7">
                        <c:v>22242034.026999999</c:v>
                      </c:pt>
                      <c:pt idx="8">
                        <c:v>15000000</c:v>
                      </c:pt>
                      <c:pt idx="9">
                        <c:v>15000000</c:v>
                      </c:pt>
                      <c:pt idx="10">
                        <c:v>8701200</c:v>
                      </c:pt>
                    </c:numCache>
                  </c:numRef>
                </c:val>
                <c:extLst xmlns:c15="http://schemas.microsoft.com/office/drawing/2012/chart">
                  <c:ext xmlns:c16="http://schemas.microsoft.com/office/drawing/2014/chart" uri="{C3380CC4-5D6E-409C-BE32-E72D297353CC}">
                    <c16:uniqueId val="{00000019-71CF-41BC-B68D-C1969E5DF49D}"/>
                  </c:ext>
                </c:extLst>
              </c15:ser>
            </c15:filteredBarSeries>
          </c:ext>
        </c:extLst>
      </c:barChart>
      <c:catAx>
        <c:axId val="9253298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Gill Sans MT" panose="020B0502020104020203" pitchFamily="34" charset="0"/>
                    <a:ea typeface="+mn-ea"/>
                    <a:cs typeface="+mn-cs"/>
                  </a:defRPr>
                </a:pPr>
                <a:r>
                  <a:rPr lang="en-US"/>
                  <a:t>Sub-regions and years in series</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Gill Sans MT" panose="020B0502020104020203"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Gill Sans MT" panose="020B0502020104020203" pitchFamily="34" charset="0"/>
                <a:ea typeface="+mn-ea"/>
                <a:cs typeface="+mn-cs"/>
              </a:defRPr>
            </a:pPr>
            <a:endParaRPr lang="en-US"/>
          </a:p>
        </c:txPr>
        <c:crossAx val="925329423"/>
        <c:crosses val="autoZero"/>
        <c:auto val="1"/>
        <c:lblAlgn val="ctr"/>
        <c:lblOffset val="100"/>
        <c:noMultiLvlLbl val="0"/>
      </c:catAx>
      <c:valAx>
        <c:axId val="925329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Gill Sans MT" panose="020B0502020104020203" pitchFamily="34" charset="0"/>
                    <a:ea typeface="+mn-ea"/>
                    <a:cs typeface="+mn-cs"/>
                  </a:defRPr>
                </a:pPr>
                <a:r>
                  <a:rPr lang="en-US"/>
                  <a:t>Value of forested land (in UGX Millions)</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Gill Sans MT" panose="020B0502020104020203" pitchFamily="34" charset="0"/>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Gill Sans MT" panose="020B0502020104020203" pitchFamily="34" charset="0"/>
                <a:ea typeface="+mn-ea"/>
                <a:cs typeface="+mn-cs"/>
              </a:defRPr>
            </a:pPr>
            <a:endParaRPr lang="en-US"/>
          </a:p>
        </c:txPr>
        <c:crossAx val="92532983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Gill Sans MT" panose="020B0502020104020203" pitchFamily="34" charset="0"/>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Gill Sans MT" panose="020B0502020104020203" pitchFamily="34" charset="0"/>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'Forest land valuation'!$B$2:$B$3</c:f>
              <c:strCache>
                <c:ptCount val="2"/>
                <c:pt idx="0">
                  <c:v>1990</c:v>
                </c:pt>
                <c:pt idx="1">
                  <c:v>Forested area (ha)</c:v>
                </c:pt>
              </c:strCache>
            </c:strRef>
          </c:tx>
          <c:spPr>
            <a:solidFill>
              <a:schemeClr val="accent1"/>
            </a:solidFill>
            <a:ln>
              <a:noFill/>
            </a:ln>
            <a:effectLst/>
          </c:spPr>
          <c:invertIfNegative val="0"/>
          <c:cat>
            <c:strRef>
              <c:f>'Forest land valuation'!$A$4:$A$14</c:f>
              <c:strCache>
                <c:ptCount val="11"/>
                <c:pt idx="0">
                  <c:v>Acholi</c:v>
                </c:pt>
                <c:pt idx="1">
                  <c:v>Central North</c:v>
                </c:pt>
                <c:pt idx="2">
                  <c:v>Central South</c:v>
                </c:pt>
                <c:pt idx="3">
                  <c:v>East Central</c:v>
                </c:pt>
                <c:pt idx="4">
                  <c:v>Elgon</c:v>
                </c:pt>
                <c:pt idx="5">
                  <c:v>Karamoja</c:v>
                </c:pt>
                <c:pt idx="6">
                  <c:v>Lango</c:v>
                </c:pt>
                <c:pt idx="7">
                  <c:v>South Western</c:v>
                </c:pt>
                <c:pt idx="8">
                  <c:v>Teso</c:v>
                </c:pt>
                <c:pt idx="9">
                  <c:v>West Nile</c:v>
                </c:pt>
                <c:pt idx="10">
                  <c:v>Western</c:v>
                </c:pt>
              </c:strCache>
            </c:strRef>
          </c:cat>
          <c:val>
            <c:numRef>
              <c:f>'Forest land valuation'!$B$4:$B$14</c:f>
              <c:numCache>
                <c:formatCode>_(* #,##0_);_(* \(#,##0\);_(* "-"??_);_(@_)</c:formatCode>
                <c:ptCount val="11"/>
                <c:pt idx="0">
                  <c:v>1197445.7</c:v>
                </c:pt>
                <c:pt idx="1">
                  <c:v>674196.5</c:v>
                </c:pt>
                <c:pt idx="2">
                  <c:v>319429.8</c:v>
                </c:pt>
                <c:pt idx="3">
                  <c:v>96476.800000000003</c:v>
                </c:pt>
                <c:pt idx="4">
                  <c:v>116974.3</c:v>
                </c:pt>
                <c:pt idx="5">
                  <c:v>346378.5</c:v>
                </c:pt>
                <c:pt idx="6">
                  <c:v>137874.70000000001</c:v>
                </c:pt>
                <c:pt idx="7">
                  <c:v>200582.2</c:v>
                </c:pt>
                <c:pt idx="8">
                  <c:v>51189.2</c:v>
                </c:pt>
                <c:pt idx="9">
                  <c:v>565991.4</c:v>
                </c:pt>
                <c:pt idx="10">
                  <c:v>1227221.6000000001</c:v>
                </c:pt>
              </c:numCache>
            </c:numRef>
          </c:val>
          <c:extLst>
            <c:ext xmlns:c16="http://schemas.microsoft.com/office/drawing/2014/chart" uri="{C3380CC4-5D6E-409C-BE32-E72D297353CC}">
              <c16:uniqueId val="{00000000-BE44-433C-97F4-DF79D46C7322}"/>
            </c:ext>
          </c:extLst>
        </c:ser>
        <c:ser>
          <c:idx val="3"/>
          <c:order val="3"/>
          <c:tx>
            <c:strRef>
              <c:f>'Forest land valuation'!$E$2:$E$3</c:f>
              <c:strCache>
                <c:ptCount val="2"/>
                <c:pt idx="0">
                  <c:v>2000</c:v>
                </c:pt>
                <c:pt idx="1">
                  <c:v>Forested area (ha)</c:v>
                </c:pt>
              </c:strCache>
            </c:strRef>
          </c:tx>
          <c:spPr>
            <a:solidFill>
              <a:schemeClr val="accent4"/>
            </a:solidFill>
            <a:ln>
              <a:noFill/>
            </a:ln>
            <a:effectLst/>
          </c:spPr>
          <c:invertIfNegative val="0"/>
          <c:cat>
            <c:strRef>
              <c:f>'Forest land valuation'!$A$4:$A$14</c:f>
              <c:strCache>
                <c:ptCount val="11"/>
                <c:pt idx="0">
                  <c:v>Acholi</c:v>
                </c:pt>
                <c:pt idx="1">
                  <c:v>Central North</c:v>
                </c:pt>
                <c:pt idx="2">
                  <c:v>Central South</c:v>
                </c:pt>
                <c:pt idx="3">
                  <c:v>East Central</c:v>
                </c:pt>
                <c:pt idx="4">
                  <c:v>Elgon</c:v>
                </c:pt>
                <c:pt idx="5">
                  <c:v>Karamoja</c:v>
                </c:pt>
                <c:pt idx="6">
                  <c:v>Lango</c:v>
                </c:pt>
                <c:pt idx="7">
                  <c:v>South Western</c:v>
                </c:pt>
                <c:pt idx="8">
                  <c:v>Teso</c:v>
                </c:pt>
                <c:pt idx="9">
                  <c:v>West Nile</c:v>
                </c:pt>
                <c:pt idx="10">
                  <c:v>Western</c:v>
                </c:pt>
              </c:strCache>
            </c:strRef>
          </c:cat>
          <c:val>
            <c:numRef>
              <c:f>'Forest land valuation'!$E$4:$E$14</c:f>
              <c:numCache>
                <c:formatCode>_(* #,##0_);_(* \(#,##0\);_(* "-"??_);_(@_)</c:formatCode>
                <c:ptCount val="11"/>
                <c:pt idx="0">
                  <c:v>916745.6</c:v>
                </c:pt>
                <c:pt idx="1">
                  <c:v>464499</c:v>
                </c:pt>
                <c:pt idx="2">
                  <c:v>303515.5</c:v>
                </c:pt>
                <c:pt idx="3">
                  <c:v>29594.1</c:v>
                </c:pt>
                <c:pt idx="4">
                  <c:v>83302.5</c:v>
                </c:pt>
                <c:pt idx="5">
                  <c:v>184719.3</c:v>
                </c:pt>
                <c:pt idx="6">
                  <c:v>46162.2</c:v>
                </c:pt>
                <c:pt idx="7">
                  <c:v>240639</c:v>
                </c:pt>
                <c:pt idx="8">
                  <c:v>14402.6</c:v>
                </c:pt>
                <c:pt idx="9">
                  <c:v>470339.8</c:v>
                </c:pt>
                <c:pt idx="10">
                  <c:v>1032651</c:v>
                </c:pt>
              </c:numCache>
            </c:numRef>
          </c:val>
          <c:extLst>
            <c:ext xmlns:c16="http://schemas.microsoft.com/office/drawing/2014/chart" uri="{C3380CC4-5D6E-409C-BE32-E72D297353CC}">
              <c16:uniqueId val="{00000003-BE44-433C-97F4-DF79D46C7322}"/>
            </c:ext>
          </c:extLst>
        </c:ser>
        <c:ser>
          <c:idx val="7"/>
          <c:order val="7"/>
          <c:tx>
            <c:strRef>
              <c:f>'Forest land valuation'!$I$2:$I$3</c:f>
              <c:strCache>
                <c:ptCount val="2"/>
                <c:pt idx="0">
                  <c:v>2005</c:v>
                </c:pt>
                <c:pt idx="1">
                  <c:v>Forested area (ha)</c:v>
                </c:pt>
              </c:strCache>
            </c:strRef>
          </c:tx>
          <c:spPr>
            <a:solidFill>
              <a:schemeClr val="accent2">
                <a:lumMod val="60000"/>
              </a:schemeClr>
            </a:solidFill>
            <a:ln>
              <a:noFill/>
            </a:ln>
            <a:effectLst/>
          </c:spPr>
          <c:invertIfNegative val="0"/>
          <c:cat>
            <c:strRef>
              <c:f>'Forest land valuation'!$A$4:$A$14</c:f>
              <c:strCache>
                <c:ptCount val="11"/>
                <c:pt idx="0">
                  <c:v>Acholi</c:v>
                </c:pt>
                <c:pt idx="1">
                  <c:v>Central North</c:v>
                </c:pt>
                <c:pt idx="2">
                  <c:v>Central South</c:v>
                </c:pt>
                <c:pt idx="3">
                  <c:v>East Central</c:v>
                </c:pt>
                <c:pt idx="4">
                  <c:v>Elgon</c:v>
                </c:pt>
                <c:pt idx="5">
                  <c:v>Karamoja</c:v>
                </c:pt>
                <c:pt idx="6">
                  <c:v>Lango</c:v>
                </c:pt>
                <c:pt idx="7">
                  <c:v>South Western</c:v>
                </c:pt>
                <c:pt idx="8">
                  <c:v>Teso</c:v>
                </c:pt>
                <c:pt idx="9">
                  <c:v>West Nile</c:v>
                </c:pt>
                <c:pt idx="10">
                  <c:v>Western</c:v>
                </c:pt>
              </c:strCache>
            </c:strRef>
          </c:cat>
          <c:val>
            <c:numRef>
              <c:f>'Forest land valuation'!$I$4:$I$14</c:f>
              <c:numCache>
                <c:formatCode>_(* #,##0_);_(* \(#,##0\);_(* "-"??_);_(@_)</c:formatCode>
                <c:ptCount val="11"/>
                <c:pt idx="0">
                  <c:v>773619.1</c:v>
                </c:pt>
                <c:pt idx="1">
                  <c:v>394181.5</c:v>
                </c:pt>
                <c:pt idx="2">
                  <c:v>260545.8</c:v>
                </c:pt>
                <c:pt idx="3">
                  <c:v>23766.6</c:v>
                </c:pt>
                <c:pt idx="4">
                  <c:v>78921.600000000006</c:v>
                </c:pt>
                <c:pt idx="5">
                  <c:v>386995.20000000001</c:v>
                </c:pt>
                <c:pt idx="6">
                  <c:v>53352.7</c:v>
                </c:pt>
                <c:pt idx="7">
                  <c:v>239675.1</c:v>
                </c:pt>
                <c:pt idx="8">
                  <c:v>21039.5</c:v>
                </c:pt>
                <c:pt idx="9">
                  <c:v>400140.6</c:v>
                </c:pt>
                <c:pt idx="10">
                  <c:v>972003.8</c:v>
                </c:pt>
              </c:numCache>
            </c:numRef>
          </c:val>
          <c:extLst>
            <c:ext xmlns:c16="http://schemas.microsoft.com/office/drawing/2014/chart" uri="{C3380CC4-5D6E-409C-BE32-E72D297353CC}">
              <c16:uniqueId val="{00000007-BE44-433C-97F4-DF79D46C7322}"/>
            </c:ext>
          </c:extLst>
        </c:ser>
        <c:ser>
          <c:idx val="11"/>
          <c:order val="11"/>
          <c:tx>
            <c:strRef>
              <c:f>'Forest land valuation'!$M$2:$M$3</c:f>
              <c:strCache>
                <c:ptCount val="2"/>
                <c:pt idx="0">
                  <c:v>2010</c:v>
                </c:pt>
                <c:pt idx="1">
                  <c:v>Forested area (ha)</c:v>
                </c:pt>
              </c:strCache>
            </c:strRef>
          </c:tx>
          <c:spPr>
            <a:solidFill>
              <a:schemeClr val="accent6">
                <a:lumMod val="60000"/>
              </a:schemeClr>
            </a:solidFill>
            <a:ln>
              <a:noFill/>
            </a:ln>
            <a:effectLst/>
          </c:spPr>
          <c:invertIfNegative val="0"/>
          <c:cat>
            <c:strRef>
              <c:f>'Forest land valuation'!$A$4:$A$14</c:f>
              <c:strCache>
                <c:ptCount val="11"/>
                <c:pt idx="0">
                  <c:v>Acholi</c:v>
                </c:pt>
                <c:pt idx="1">
                  <c:v>Central North</c:v>
                </c:pt>
                <c:pt idx="2">
                  <c:v>Central South</c:v>
                </c:pt>
                <c:pt idx="3">
                  <c:v>East Central</c:v>
                </c:pt>
                <c:pt idx="4">
                  <c:v>Elgon</c:v>
                </c:pt>
                <c:pt idx="5">
                  <c:v>Karamoja</c:v>
                </c:pt>
                <c:pt idx="6">
                  <c:v>Lango</c:v>
                </c:pt>
                <c:pt idx="7">
                  <c:v>South Western</c:v>
                </c:pt>
                <c:pt idx="8">
                  <c:v>Teso</c:v>
                </c:pt>
                <c:pt idx="9">
                  <c:v>West Nile</c:v>
                </c:pt>
                <c:pt idx="10">
                  <c:v>Western</c:v>
                </c:pt>
              </c:strCache>
            </c:strRef>
          </c:cat>
          <c:val>
            <c:numRef>
              <c:f>'Forest land valuation'!$M$4:$M$14</c:f>
              <c:numCache>
                <c:formatCode>_(* #,##0_);_(* \(#,##0\);_(* "-"??_);_(@_)</c:formatCode>
                <c:ptCount val="11"/>
                <c:pt idx="0">
                  <c:v>295569.40000000002</c:v>
                </c:pt>
                <c:pt idx="1">
                  <c:v>248796.79999999999</c:v>
                </c:pt>
                <c:pt idx="2">
                  <c:v>224669.7</c:v>
                </c:pt>
                <c:pt idx="3">
                  <c:v>19831.900000000001</c:v>
                </c:pt>
                <c:pt idx="4">
                  <c:v>81069.100000000006</c:v>
                </c:pt>
                <c:pt idx="5">
                  <c:v>226279.8</c:v>
                </c:pt>
                <c:pt idx="6">
                  <c:v>36795.1</c:v>
                </c:pt>
                <c:pt idx="7">
                  <c:v>188976.4</c:v>
                </c:pt>
                <c:pt idx="8">
                  <c:v>8030.1</c:v>
                </c:pt>
                <c:pt idx="9">
                  <c:v>168805.7</c:v>
                </c:pt>
                <c:pt idx="10">
                  <c:v>700499</c:v>
                </c:pt>
              </c:numCache>
            </c:numRef>
          </c:val>
          <c:extLst>
            <c:ext xmlns:c16="http://schemas.microsoft.com/office/drawing/2014/chart" uri="{C3380CC4-5D6E-409C-BE32-E72D297353CC}">
              <c16:uniqueId val="{0000000B-BE44-433C-97F4-DF79D46C7322}"/>
            </c:ext>
          </c:extLst>
        </c:ser>
        <c:ser>
          <c:idx val="15"/>
          <c:order val="15"/>
          <c:tx>
            <c:strRef>
              <c:f>'Forest land valuation'!$Q$2:$Q$3</c:f>
              <c:strCache>
                <c:ptCount val="2"/>
                <c:pt idx="0">
                  <c:v>2015</c:v>
                </c:pt>
                <c:pt idx="1">
                  <c:v>Forested area (ha)</c:v>
                </c:pt>
              </c:strCache>
            </c:strRef>
          </c:tx>
          <c:spPr>
            <a:solidFill>
              <a:schemeClr val="accent4">
                <a:lumMod val="80000"/>
                <a:lumOff val="20000"/>
              </a:schemeClr>
            </a:solidFill>
            <a:ln>
              <a:noFill/>
            </a:ln>
            <a:effectLst/>
          </c:spPr>
          <c:invertIfNegative val="0"/>
          <c:cat>
            <c:strRef>
              <c:f>'Forest land valuation'!$A$4:$A$14</c:f>
              <c:strCache>
                <c:ptCount val="11"/>
                <c:pt idx="0">
                  <c:v>Acholi</c:v>
                </c:pt>
                <c:pt idx="1">
                  <c:v>Central North</c:v>
                </c:pt>
                <c:pt idx="2">
                  <c:v>Central South</c:v>
                </c:pt>
                <c:pt idx="3">
                  <c:v>East Central</c:v>
                </c:pt>
                <c:pt idx="4">
                  <c:v>Elgon</c:v>
                </c:pt>
                <c:pt idx="5">
                  <c:v>Karamoja</c:v>
                </c:pt>
                <c:pt idx="6">
                  <c:v>Lango</c:v>
                </c:pt>
                <c:pt idx="7">
                  <c:v>South Western</c:v>
                </c:pt>
                <c:pt idx="8">
                  <c:v>Teso</c:v>
                </c:pt>
                <c:pt idx="9">
                  <c:v>West Nile</c:v>
                </c:pt>
                <c:pt idx="10">
                  <c:v>Western</c:v>
                </c:pt>
              </c:strCache>
            </c:strRef>
          </c:cat>
          <c:val>
            <c:numRef>
              <c:f>'Forest land valuation'!$Q$4:$Q$14</c:f>
              <c:numCache>
                <c:formatCode>_(* #,##0_);_(* \(#,##0\);_(* "-"??_);_(@_)</c:formatCode>
                <c:ptCount val="11"/>
                <c:pt idx="0">
                  <c:v>175004.4</c:v>
                </c:pt>
                <c:pt idx="1">
                  <c:v>265496.09999999998</c:v>
                </c:pt>
                <c:pt idx="2">
                  <c:v>166615.79999999999</c:v>
                </c:pt>
                <c:pt idx="3">
                  <c:v>19765</c:v>
                </c:pt>
                <c:pt idx="4">
                  <c:v>82230.899999999994</c:v>
                </c:pt>
                <c:pt idx="5">
                  <c:v>191472.6</c:v>
                </c:pt>
                <c:pt idx="6">
                  <c:v>32490.6</c:v>
                </c:pt>
                <c:pt idx="7">
                  <c:v>208211.9</c:v>
                </c:pt>
                <c:pt idx="8">
                  <c:v>6220.7</c:v>
                </c:pt>
                <c:pt idx="9">
                  <c:v>147646.9</c:v>
                </c:pt>
                <c:pt idx="10">
                  <c:v>656507.19999999995</c:v>
                </c:pt>
              </c:numCache>
            </c:numRef>
          </c:val>
          <c:extLst>
            <c:ext xmlns:c16="http://schemas.microsoft.com/office/drawing/2014/chart" uri="{C3380CC4-5D6E-409C-BE32-E72D297353CC}">
              <c16:uniqueId val="{0000000F-BE44-433C-97F4-DF79D46C7322}"/>
            </c:ext>
          </c:extLst>
        </c:ser>
        <c:dLbls>
          <c:showLegendKey val="0"/>
          <c:showVal val="0"/>
          <c:showCatName val="0"/>
          <c:showSerName val="0"/>
          <c:showPercent val="0"/>
          <c:showBubbleSize val="0"/>
        </c:dLbls>
        <c:gapWidth val="150"/>
        <c:axId val="1001066623"/>
        <c:axId val="1001067039"/>
        <c:extLst>
          <c:ext xmlns:c15="http://schemas.microsoft.com/office/drawing/2012/chart" uri="{02D57815-91ED-43cb-92C2-25804820EDAC}">
            <c15:filteredBarSeries>
              <c15:ser>
                <c:idx val="1"/>
                <c:order val="1"/>
                <c:tx>
                  <c:strRef>
                    <c:extLst>
                      <c:ext uri="{02D57815-91ED-43cb-92C2-25804820EDAC}">
                        <c15:formulaRef>
                          <c15:sqref>'Forest land valuation'!$C$2:$C$3</c15:sqref>
                        </c15:formulaRef>
                      </c:ext>
                    </c:extLst>
                    <c:strCache>
                      <c:ptCount val="2"/>
                      <c:pt idx="0">
                        <c:v>1990</c:v>
                      </c:pt>
                      <c:pt idx="1">
                        <c:v>Price of forest land (UGX/ha)</c:v>
                      </c:pt>
                    </c:strCache>
                  </c:strRef>
                </c:tx>
                <c:spPr>
                  <a:solidFill>
                    <a:schemeClr val="accent2"/>
                  </a:solidFill>
                  <a:ln>
                    <a:noFill/>
                  </a:ln>
                  <a:effectLst/>
                </c:spPr>
                <c:invertIfNegative val="0"/>
                <c:cat>
                  <c:strRef>
                    <c:extLst>
                      <c:ext uri="{02D57815-91ED-43cb-92C2-25804820EDAC}">
                        <c15:formulaRef>
                          <c15:sqref>'Forest land valuation'!$A$4:$A$14</c15:sqref>
                        </c15:formulaRef>
                      </c:ext>
                    </c:extLst>
                    <c:strCache>
                      <c:ptCount val="11"/>
                      <c:pt idx="0">
                        <c:v>Acholi</c:v>
                      </c:pt>
                      <c:pt idx="1">
                        <c:v>Central North</c:v>
                      </c:pt>
                      <c:pt idx="2">
                        <c:v>Central South</c:v>
                      </c:pt>
                      <c:pt idx="3">
                        <c:v>East Central</c:v>
                      </c:pt>
                      <c:pt idx="4">
                        <c:v>Elgon</c:v>
                      </c:pt>
                      <c:pt idx="5">
                        <c:v>Karamoja</c:v>
                      </c:pt>
                      <c:pt idx="6">
                        <c:v>Lango</c:v>
                      </c:pt>
                      <c:pt idx="7">
                        <c:v>South Western</c:v>
                      </c:pt>
                      <c:pt idx="8">
                        <c:v>Teso</c:v>
                      </c:pt>
                      <c:pt idx="9">
                        <c:v>West Nile</c:v>
                      </c:pt>
                      <c:pt idx="10">
                        <c:v>Western</c:v>
                      </c:pt>
                    </c:strCache>
                  </c:strRef>
                </c:cat>
                <c:val>
                  <c:numRef>
                    <c:extLst>
                      <c:ext uri="{02D57815-91ED-43cb-92C2-25804820EDAC}">
                        <c15:formulaRef>
                          <c15:sqref>'Forest land valuation'!$C$4:$C$14</c15:sqref>
                        </c15:formulaRef>
                      </c:ext>
                    </c:extLst>
                    <c:numCache>
                      <c:formatCode>_(* #,##0_);_(* \(#,##0\);_(* "-"??_);_(@_)</c:formatCode>
                      <c:ptCount val="11"/>
                      <c:pt idx="0">
                        <c:v>714285.71428571513</c:v>
                      </c:pt>
                      <c:pt idx="1">
                        <c:v>4110741.5238095284</c:v>
                      </c:pt>
                      <c:pt idx="2">
                        <c:v>20019572.717333354</c:v>
                      </c:pt>
                      <c:pt idx="3">
                        <c:v>3357366.1917619081</c:v>
                      </c:pt>
                      <c:pt idx="4">
                        <c:v>1548906.5714285732</c:v>
                      </c:pt>
                      <c:pt idx="5">
                        <c:v>88124.855857142946</c:v>
                      </c:pt>
                      <c:pt idx="6">
                        <c:v>714285.71428571513</c:v>
                      </c:pt>
                      <c:pt idx="7">
                        <c:v>1059144.4774761917</c:v>
                      </c:pt>
                      <c:pt idx="8">
                        <c:v>714285.71428571513</c:v>
                      </c:pt>
                      <c:pt idx="9">
                        <c:v>714285.71428571513</c:v>
                      </c:pt>
                      <c:pt idx="10">
                        <c:v>414342.85714285763</c:v>
                      </c:pt>
                    </c:numCache>
                  </c:numRef>
                </c:val>
                <c:extLst>
                  <c:ext xmlns:c16="http://schemas.microsoft.com/office/drawing/2014/chart" uri="{C3380CC4-5D6E-409C-BE32-E72D297353CC}">
                    <c16:uniqueId val="{00000001-BE44-433C-97F4-DF79D46C7322}"/>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'Forest land valuation'!$D$2:$D$3</c15:sqref>
                        </c15:formulaRef>
                      </c:ext>
                    </c:extLst>
                    <c:strCache>
                      <c:ptCount val="2"/>
                      <c:pt idx="0">
                        <c:v>1990</c:v>
                      </c:pt>
                      <c:pt idx="1">
                        <c:v>Forest land value (UGX mill)</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'Forest land valuation'!$A$4:$A$14</c15:sqref>
                        </c15:formulaRef>
                      </c:ext>
                    </c:extLst>
                    <c:strCache>
                      <c:ptCount val="11"/>
                      <c:pt idx="0">
                        <c:v>Acholi</c:v>
                      </c:pt>
                      <c:pt idx="1">
                        <c:v>Central North</c:v>
                      </c:pt>
                      <c:pt idx="2">
                        <c:v>Central South</c:v>
                      </c:pt>
                      <c:pt idx="3">
                        <c:v>East Central</c:v>
                      </c:pt>
                      <c:pt idx="4">
                        <c:v>Elgon</c:v>
                      </c:pt>
                      <c:pt idx="5">
                        <c:v>Karamoja</c:v>
                      </c:pt>
                      <c:pt idx="6">
                        <c:v>Lango</c:v>
                      </c:pt>
                      <c:pt idx="7">
                        <c:v>South Western</c:v>
                      </c:pt>
                      <c:pt idx="8">
                        <c:v>Teso</c:v>
                      </c:pt>
                      <c:pt idx="9">
                        <c:v>West Nile</c:v>
                      </c:pt>
                      <c:pt idx="10">
                        <c:v>Western</c:v>
                      </c:pt>
                    </c:strCache>
                  </c:strRef>
                </c:cat>
                <c:val>
                  <c:numRef>
                    <c:extLst xmlns:c15="http://schemas.microsoft.com/office/drawing/2012/chart">
                      <c:ext xmlns:c15="http://schemas.microsoft.com/office/drawing/2012/chart" uri="{02D57815-91ED-43cb-92C2-25804820EDAC}">
                        <c15:formulaRef>
                          <c15:sqref>'Forest land valuation'!$D$4:$D$14</c15:sqref>
                        </c15:formulaRef>
                      </c:ext>
                    </c:extLst>
                    <c:numCache>
                      <c:formatCode>_(* #,##0_);_(* \(#,##0\);_(* "-"??_);_(@_)</c:formatCode>
                      <c:ptCount val="11"/>
                      <c:pt idx="0">
                        <c:v>855318.35714285821</c:v>
                      </c:pt>
                      <c:pt idx="1">
                        <c:v>2771447.547757051</c:v>
                      </c:pt>
                      <c:pt idx="2">
                        <c:v>6394848.10918325</c:v>
                      </c:pt>
                      <c:pt idx="3">
                        <c:v>323907.94660937524</c:v>
                      </c:pt>
                      <c:pt idx="4">
                        <c:v>181182.26195825735</c:v>
                      </c:pt>
                      <c:pt idx="5">
                        <c:v>30524.555384513391</c:v>
                      </c:pt>
                      <c:pt idx="6">
                        <c:v>98481.928571428696</c:v>
                      </c:pt>
                      <c:pt idx="7">
                        <c:v>212445.52941002499</c:v>
                      </c:pt>
                      <c:pt idx="8">
                        <c:v>36563.714285714326</c:v>
                      </c:pt>
                      <c:pt idx="9">
                        <c:v>404279.57142857189</c:v>
                      </c:pt>
                      <c:pt idx="10">
                        <c:v>508490.50409142917</c:v>
                      </c:pt>
                    </c:numCache>
                  </c:numRef>
                </c:val>
                <c:extLst xmlns:c15="http://schemas.microsoft.com/office/drawing/2012/chart">
                  <c:ext xmlns:c16="http://schemas.microsoft.com/office/drawing/2014/chart" uri="{C3380CC4-5D6E-409C-BE32-E72D297353CC}">
                    <c16:uniqueId val="{00000002-BE44-433C-97F4-DF79D46C7322}"/>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'Forest land valuation'!$F$2:$F$3</c15:sqref>
                        </c15:formulaRef>
                      </c:ext>
                    </c:extLst>
                    <c:strCache>
                      <c:ptCount val="2"/>
                      <c:pt idx="0">
                        <c:v>2000</c:v>
                      </c:pt>
                      <c:pt idx="1">
                        <c:v>Price of land per acres-shs</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'Forest land valuation'!$A$4:$A$14</c15:sqref>
                        </c15:formulaRef>
                      </c:ext>
                    </c:extLst>
                    <c:strCache>
                      <c:ptCount val="11"/>
                      <c:pt idx="0">
                        <c:v>Acholi</c:v>
                      </c:pt>
                      <c:pt idx="1">
                        <c:v>Central North</c:v>
                      </c:pt>
                      <c:pt idx="2">
                        <c:v>Central South</c:v>
                      </c:pt>
                      <c:pt idx="3">
                        <c:v>East Central</c:v>
                      </c:pt>
                      <c:pt idx="4">
                        <c:v>Elgon</c:v>
                      </c:pt>
                      <c:pt idx="5">
                        <c:v>Karamoja</c:v>
                      </c:pt>
                      <c:pt idx="6">
                        <c:v>Lango</c:v>
                      </c:pt>
                      <c:pt idx="7">
                        <c:v>South Western</c:v>
                      </c:pt>
                      <c:pt idx="8">
                        <c:v>Teso</c:v>
                      </c:pt>
                      <c:pt idx="9">
                        <c:v>West Nile</c:v>
                      </c:pt>
                      <c:pt idx="10">
                        <c:v>Western</c:v>
                      </c:pt>
                    </c:strCache>
                  </c:strRef>
                </c:cat>
                <c:val>
                  <c:numRef>
                    <c:extLst xmlns:c15="http://schemas.microsoft.com/office/drawing/2012/chart">
                      <c:ext xmlns:c15="http://schemas.microsoft.com/office/drawing/2012/chart" uri="{02D57815-91ED-43cb-92C2-25804820EDAC}">
                        <c15:formulaRef>
                          <c15:sqref>'Forest land valuation'!$F$4:$F$14</c15:sqref>
                        </c15:formulaRef>
                      </c:ext>
                    </c:extLst>
                    <c:numCache>
                      <c:formatCode>_(* #,##0_);_(* \(#,##0\);_(* "-"??_);_(@_)</c:formatCode>
                      <c:ptCount val="11"/>
                      <c:pt idx="0">
                        <c:v>941479.33618351491</c:v>
                      </c:pt>
                      <c:pt idx="1">
                        <c:v>5418249.4814814813</c:v>
                      </c:pt>
                      <c:pt idx="2">
                        <c:v>26387219.645629629</c:v>
                      </c:pt>
                      <c:pt idx="3">
                        <c:v>4425247.2509629633</c:v>
                      </c:pt>
                      <c:pt idx="4">
                        <c:v>2900593.9294814817</c:v>
                      </c:pt>
                      <c:pt idx="5">
                        <c:v>116154.82311111111</c:v>
                      </c:pt>
                      <c:pt idx="6">
                        <c:v>2275555.5555555555</c:v>
                      </c:pt>
                      <c:pt idx="7">
                        <c:v>1396027.6954074071</c:v>
                      </c:pt>
                      <c:pt idx="8">
                        <c:v>941479.33618351491</c:v>
                      </c:pt>
                      <c:pt idx="9">
                        <c:v>941479.33618351491</c:v>
                      </c:pt>
                      <c:pt idx="10">
                        <c:v>546133.33333333337</c:v>
                      </c:pt>
                    </c:numCache>
                  </c:numRef>
                </c:val>
                <c:extLst xmlns:c15="http://schemas.microsoft.com/office/drawing/2012/chart">
                  <c:ext xmlns:c16="http://schemas.microsoft.com/office/drawing/2014/chart" uri="{C3380CC4-5D6E-409C-BE32-E72D297353CC}">
                    <c16:uniqueId val="{00000004-BE44-433C-97F4-DF79D46C7322}"/>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'Forest land valuation'!$G$2:$G$3</c15:sqref>
                        </c15:formulaRef>
                      </c:ext>
                    </c:extLst>
                    <c:strCache>
                      <c:ptCount val="2"/>
                      <c:pt idx="0">
                        <c:v>2000</c:v>
                      </c:pt>
                      <c:pt idx="1">
                        <c:v>Price of forest land (UGX/ha)</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'Forest land valuation'!$A$4:$A$14</c15:sqref>
                        </c15:formulaRef>
                      </c:ext>
                    </c:extLst>
                    <c:strCache>
                      <c:ptCount val="11"/>
                      <c:pt idx="0">
                        <c:v>Acholi</c:v>
                      </c:pt>
                      <c:pt idx="1">
                        <c:v>Central North</c:v>
                      </c:pt>
                      <c:pt idx="2">
                        <c:v>Central South</c:v>
                      </c:pt>
                      <c:pt idx="3">
                        <c:v>East Central</c:v>
                      </c:pt>
                      <c:pt idx="4">
                        <c:v>Elgon</c:v>
                      </c:pt>
                      <c:pt idx="5">
                        <c:v>Karamoja</c:v>
                      </c:pt>
                      <c:pt idx="6">
                        <c:v>Lango</c:v>
                      </c:pt>
                      <c:pt idx="7">
                        <c:v>South Western</c:v>
                      </c:pt>
                      <c:pt idx="8">
                        <c:v>Teso</c:v>
                      </c:pt>
                      <c:pt idx="9">
                        <c:v>West Nile</c:v>
                      </c:pt>
                      <c:pt idx="10">
                        <c:v>Western</c:v>
                      </c:pt>
                    </c:strCache>
                  </c:strRef>
                </c:cat>
                <c:val>
                  <c:numRef>
                    <c:extLst xmlns:c15="http://schemas.microsoft.com/office/drawing/2012/chart">
                      <c:ext xmlns:c15="http://schemas.microsoft.com/office/drawing/2012/chart" uri="{02D57815-91ED-43cb-92C2-25804820EDAC}">
                        <c15:formulaRef>
                          <c15:sqref>'Forest land valuation'!$G$4:$G$14</c15:sqref>
                        </c15:formulaRef>
                      </c:ext>
                    </c:extLst>
                    <c:numCache>
                      <c:formatCode>_(* #,##0_);_(* \(#,##0\);_(* "-"??_);_(@_)</c:formatCode>
                      <c:ptCount val="11"/>
                      <c:pt idx="0">
                        <c:v>6428571.4285714291</c:v>
                      </c:pt>
                      <c:pt idx="1">
                        <c:v>36996673.714285716</c:v>
                      </c:pt>
                      <c:pt idx="2">
                        <c:v>180176154.456</c:v>
                      </c:pt>
                      <c:pt idx="3">
                        <c:v>30216295.725857142</c:v>
                      </c:pt>
                      <c:pt idx="4">
                        <c:v>13940159.142857144</c:v>
                      </c:pt>
                      <c:pt idx="5">
                        <c:v>793123.7027142857</c:v>
                      </c:pt>
                      <c:pt idx="6">
                        <c:v>6428571.4285714291</c:v>
                      </c:pt>
                      <c:pt idx="7">
                        <c:v>9532300.2972857151</c:v>
                      </c:pt>
                      <c:pt idx="8">
                        <c:v>6428571.4285714291</c:v>
                      </c:pt>
                      <c:pt idx="9">
                        <c:v>6428571.4285714291</c:v>
                      </c:pt>
                      <c:pt idx="10">
                        <c:v>3729085.7142857146</c:v>
                      </c:pt>
                    </c:numCache>
                  </c:numRef>
                </c:val>
                <c:extLst xmlns:c15="http://schemas.microsoft.com/office/drawing/2012/chart">
                  <c:ext xmlns:c16="http://schemas.microsoft.com/office/drawing/2014/chart" uri="{C3380CC4-5D6E-409C-BE32-E72D297353CC}">
                    <c16:uniqueId val="{00000005-BE44-433C-97F4-DF79D46C7322}"/>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'Forest land valuation'!$H$2:$H$3</c15:sqref>
                        </c15:formulaRef>
                      </c:ext>
                    </c:extLst>
                    <c:strCache>
                      <c:ptCount val="2"/>
                      <c:pt idx="0">
                        <c:v>2000</c:v>
                      </c:pt>
                      <c:pt idx="1">
                        <c:v>Forest land value (UGX mill)</c:v>
                      </c:pt>
                    </c:strCache>
                  </c:strRef>
                </c:tx>
                <c:spPr>
                  <a:solidFill>
                    <a:schemeClr val="accent1">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'Forest land valuation'!$A$4:$A$14</c15:sqref>
                        </c15:formulaRef>
                      </c:ext>
                    </c:extLst>
                    <c:strCache>
                      <c:ptCount val="11"/>
                      <c:pt idx="0">
                        <c:v>Acholi</c:v>
                      </c:pt>
                      <c:pt idx="1">
                        <c:v>Central North</c:v>
                      </c:pt>
                      <c:pt idx="2">
                        <c:v>Central South</c:v>
                      </c:pt>
                      <c:pt idx="3">
                        <c:v>East Central</c:v>
                      </c:pt>
                      <c:pt idx="4">
                        <c:v>Elgon</c:v>
                      </c:pt>
                      <c:pt idx="5">
                        <c:v>Karamoja</c:v>
                      </c:pt>
                      <c:pt idx="6">
                        <c:v>Lango</c:v>
                      </c:pt>
                      <c:pt idx="7">
                        <c:v>South Western</c:v>
                      </c:pt>
                      <c:pt idx="8">
                        <c:v>Teso</c:v>
                      </c:pt>
                      <c:pt idx="9">
                        <c:v>West Nile</c:v>
                      </c:pt>
                      <c:pt idx="10">
                        <c:v>Western</c:v>
                      </c:pt>
                    </c:strCache>
                  </c:strRef>
                </c:cat>
                <c:val>
                  <c:numRef>
                    <c:extLst xmlns:c15="http://schemas.microsoft.com/office/drawing/2012/chart">
                      <c:ext xmlns:c15="http://schemas.microsoft.com/office/drawing/2012/chart" uri="{02D57815-91ED-43cb-92C2-25804820EDAC}">
                        <c15:formulaRef>
                          <c15:sqref>'Forest land valuation'!$H$4:$H$14</c15:sqref>
                        </c15:formulaRef>
                      </c:ext>
                    </c:extLst>
                    <c:numCache>
                      <c:formatCode>_(* #,##0_);_(* \(#,##0\);_(* "-"??_);_(@_)</c:formatCode>
                      <c:ptCount val="11"/>
                      <c:pt idx="0">
                        <c:v>2086105.5431111108</c:v>
                      </c:pt>
                      <c:pt idx="1">
                        <c:v>6083036.6330770766</c:v>
                      </c:pt>
                      <c:pt idx="2">
                        <c:v>19357584.207241442</c:v>
                      </c:pt>
                      <c:pt idx="3">
                        <c:v>316533.2437717205</c:v>
                      </c:pt>
                      <c:pt idx="4">
                        <c:v>584011.79628429539</c:v>
                      </c:pt>
                      <c:pt idx="5">
                        <c:v>51859.24291958387</c:v>
                      </c:pt>
                      <c:pt idx="6">
                        <c:v>253892.92066133328</c:v>
                      </c:pt>
                      <c:pt idx="7">
                        <c:v>811963.85867446067</c:v>
                      </c:pt>
                      <c:pt idx="8">
                        <c:v>32773.91644444444</c:v>
                      </c:pt>
                      <c:pt idx="9">
                        <c:v>1070284.3448888888</c:v>
                      </c:pt>
                      <c:pt idx="10">
                        <c:v>1363103.7259775999</c:v>
                      </c:pt>
                    </c:numCache>
                  </c:numRef>
                </c:val>
                <c:extLst xmlns:c15="http://schemas.microsoft.com/office/drawing/2012/chart">
                  <c:ext xmlns:c16="http://schemas.microsoft.com/office/drawing/2014/chart" uri="{C3380CC4-5D6E-409C-BE32-E72D297353CC}">
                    <c16:uniqueId val="{00000006-BE44-433C-97F4-DF79D46C7322}"/>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'Forest land valuation'!$J$2:$J$3</c15:sqref>
                        </c15:formulaRef>
                      </c:ext>
                    </c:extLst>
                    <c:strCache>
                      <c:ptCount val="2"/>
                      <c:pt idx="0">
                        <c:v>2005</c:v>
                      </c:pt>
                      <c:pt idx="1">
                        <c:v>Cost of land per hectare-shs</c:v>
                      </c:pt>
                    </c:strCache>
                  </c:strRef>
                </c:tx>
                <c:spPr>
                  <a:solidFill>
                    <a:schemeClr val="accent3">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'Forest land valuation'!$A$4:$A$14</c15:sqref>
                        </c15:formulaRef>
                      </c:ext>
                    </c:extLst>
                    <c:strCache>
                      <c:ptCount val="11"/>
                      <c:pt idx="0">
                        <c:v>Acholi</c:v>
                      </c:pt>
                      <c:pt idx="1">
                        <c:v>Central North</c:v>
                      </c:pt>
                      <c:pt idx="2">
                        <c:v>Central South</c:v>
                      </c:pt>
                      <c:pt idx="3">
                        <c:v>East Central</c:v>
                      </c:pt>
                      <c:pt idx="4">
                        <c:v>Elgon</c:v>
                      </c:pt>
                      <c:pt idx="5">
                        <c:v>Karamoja</c:v>
                      </c:pt>
                      <c:pt idx="6">
                        <c:v>Lango</c:v>
                      </c:pt>
                      <c:pt idx="7">
                        <c:v>South Western</c:v>
                      </c:pt>
                      <c:pt idx="8">
                        <c:v>Teso</c:v>
                      </c:pt>
                      <c:pt idx="9">
                        <c:v>West Nile</c:v>
                      </c:pt>
                      <c:pt idx="10">
                        <c:v>Western</c:v>
                      </c:pt>
                    </c:strCache>
                  </c:strRef>
                </c:cat>
                <c:val>
                  <c:numRef>
                    <c:extLst xmlns:c15="http://schemas.microsoft.com/office/drawing/2012/chart">
                      <c:ext xmlns:c15="http://schemas.microsoft.com/office/drawing/2012/chart" uri="{02D57815-91ED-43cb-92C2-25804820EDAC}">
                        <c15:formulaRef>
                          <c15:sqref>'Forest land valuation'!$J$4:$J$14</c15:sqref>
                        </c15:formulaRef>
                      </c:ext>
                    </c:extLst>
                    <c:numCache>
                      <c:formatCode>_(* #,##0_);_(* \(#,##0\);_(* "-"??_);_(@_)</c:formatCode>
                      <c:ptCount val="11"/>
                      <c:pt idx="0">
                        <c:v>1765273.7553440905</c:v>
                      </c:pt>
                      <c:pt idx="1">
                        <c:v>10159217.777777778</c:v>
                      </c:pt>
                      <c:pt idx="2">
                        <c:v>49476036.835555553</c:v>
                      </c:pt>
                      <c:pt idx="3">
                        <c:v>8297338.595555556</c:v>
                      </c:pt>
                      <c:pt idx="4">
                        <c:v>5438613.6177777778</c:v>
                      </c:pt>
                      <c:pt idx="5">
                        <c:v>217790.29333333333</c:v>
                      </c:pt>
                      <c:pt idx="6">
                        <c:v>4266666.666666667</c:v>
                      </c:pt>
                      <c:pt idx="7">
                        <c:v>2617551.9288888886</c:v>
                      </c:pt>
                      <c:pt idx="8">
                        <c:v>1765273.7553440905</c:v>
                      </c:pt>
                      <c:pt idx="9">
                        <c:v>1765273.7553440905</c:v>
                      </c:pt>
                      <c:pt idx="10">
                        <c:v>1024000</c:v>
                      </c:pt>
                    </c:numCache>
                  </c:numRef>
                </c:val>
                <c:extLst xmlns:c15="http://schemas.microsoft.com/office/drawing/2012/chart">
                  <c:ext xmlns:c16="http://schemas.microsoft.com/office/drawing/2014/chart" uri="{C3380CC4-5D6E-409C-BE32-E72D297353CC}">
                    <c16:uniqueId val="{00000008-BE44-433C-97F4-DF79D46C7322}"/>
                  </c:ext>
                </c:extLst>
              </c15:ser>
            </c15:filteredBarSeries>
            <c15:filteredBarSeries>
              <c15:ser>
                <c:idx val="9"/>
                <c:order val="9"/>
                <c:tx>
                  <c:strRef>
                    <c:extLst xmlns:c15="http://schemas.microsoft.com/office/drawing/2012/chart">
                      <c:ext xmlns:c15="http://schemas.microsoft.com/office/drawing/2012/chart" uri="{02D57815-91ED-43cb-92C2-25804820EDAC}">
                        <c15:formulaRef>
                          <c15:sqref>'Forest land valuation'!$K$2:$K$3</c15:sqref>
                        </c15:formulaRef>
                      </c:ext>
                    </c:extLst>
                    <c:strCache>
                      <c:ptCount val="2"/>
                      <c:pt idx="0">
                        <c:v>2005</c:v>
                      </c:pt>
                      <c:pt idx="1">
                        <c:v>Price of forest land (UGX/ha)</c:v>
                      </c:pt>
                    </c:strCache>
                  </c:strRef>
                </c:tx>
                <c:spPr>
                  <a:solidFill>
                    <a:schemeClr val="accent4">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'Forest land valuation'!$A$4:$A$14</c15:sqref>
                        </c15:formulaRef>
                      </c:ext>
                    </c:extLst>
                    <c:strCache>
                      <c:ptCount val="11"/>
                      <c:pt idx="0">
                        <c:v>Acholi</c:v>
                      </c:pt>
                      <c:pt idx="1">
                        <c:v>Central North</c:v>
                      </c:pt>
                      <c:pt idx="2">
                        <c:v>Central South</c:v>
                      </c:pt>
                      <c:pt idx="3">
                        <c:v>East Central</c:v>
                      </c:pt>
                      <c:pt idx="4">
                        <c:v>Elgon</c:v>
                      </c:pt>
                      <c:pt idx="5">
                        <c:v>Karamoja</c:v>
                      </c:pt>
                      <c:pt idx="6">
                        <c:v>Lango</c:v>
                      </c:pt>
                      <c:pt idx="7">
                        <c:v>South Western</c:v>
                      </c:pt>
                      <c:pt idx="8">
                        <c:v>Teso</c:v>
                      </c:pt>
                      <c:pt idx="9">
                        <c:v>West Nile</c:v>
                      </c:pt>
                      <c:pt idx="10">
                        <c:v>Western</c:v>
                      </c:pt>
                    </c:strCache>
                  </c:strRef>
                </c:cat>
                <c:val>
                  <c:numRef>
                    <c:extLst xmlns:c15="http://schemas.microsoft.com/office/drawing/2012/chart">
                      <c:ext xmlns:c15="http://schemas.microsoft.com/office/drawing/2012/chart" uri="{02D57815-91ED-43cb-92C2-25804820EDAC}">
                        <c15:formulaRef>
                          <c15:sqref>'Forest land valuation'!$K$4:$K$14</c15:sqref>
                        </c15:formulaRef>
                      </c:ext>
                    </c:extLst>
                    <c:numCache>
                      <c:formatCode>_(* #,##0_);_(* \(#,##0\);_(* "-"??_);_(@_)</c:formatCode>
                      <c:ptCount val="11"/>
                      <c:pt idx="0">
                        <c:v>9285714.2857142854</c:v>
                      </c:pt>
                      <c:pt idx="1">
                        <c:v>53439639.809523813</c:v>
                      </c:pt>
                      <c:pt idx="2">
                        <c:v>260254445.3253333</c:v>
                      </c:pt>
                      <c:pt idx="3">
                        <c:v>43645760.49290476</c:v>
                      </c:pt>
                      <c:pt idx="4">
                        <c:v>20135785.428571429</c:v>
                      </c:pt>
                      <c:pt idx="5">
                        <c:v>1145623.1261428571</c:v>
                      </c:pt>
                      <c:pt idx="6">
                        <c:v>9285714.2857142854</c:v>
                      </c:pt>
                      <c:pt idx="7">
                        <c:v>13768878.207190476</c:v>
                      </c:pt>
                      <c:pt idx="8">
                        <c:v>9285714.2857142854</c:v>
                      </c:pt>
                      <c:pt idx="9">
                        <c:v>9285714.2857142854</c:v>
                      </c:pt>
                      <c:pt idx="10">
                        <c:v>5386457.1428571427</c:v>
                      </c:pt>
                    </c:numCache>
                  </c:numRef>
                </c:val>
                <c:extLst xmlns:c15="http://schemas.microsoft.com/office/drawing/2012/chart">
                  <c:ext xmlns:c16="http://schemas.microsoft.com/office/drawing/2014/chart" uri="{C3380CC4-5D6E-409C-BE32-E72D297353CC}">
                    <c16:uniqueId val="{00000009-BE44-433C-97F4-DF79D46C7322}"/>
                  </c:ext>
                </c:extLst>
              </c15:ser>
            </c15:filteredBarSeries>
            <c15:filteredBarSeries>
              <c15:ser>
                <c:idx val="10"/>
                <c:order val="10"/>
                <c:tx>
                  <c:strRef>
                    <c:extLst xmlns:c15="http://schemas.microsoft.com/office/drawing/2012/chart">
                      <c:ext xmlns:c15="http://schemas.microsoft.com/office/drawing/2012/chart" uri="{02D57815-91ED-43cb-92C2-25804820EDAC}">
                        <c15:formulaRef>
                          <c15:sqref>'Forest land valuation'!$L$2:$L$3</c15:sqref>
                        </c15:formulaRef>
                      </c:ext>
                    </c:extLst>
                    <c:strCache>
                      <c:ptCount val="2"/>
                      <c:pt idx="0">
                        <c:v>2005</c:v>
                      </c:pt>
                      <c:pt idx="1">
                        <c:v>Forest land value (UGX mill)</c:v>
                      </c:pt>
                    </c:strCache>
                  </c:strRef>
                </c:tx>
                <c:spPr>
                  <a:solidFill>
                    <a:schemeClr val="accent5">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'Forest land valuation'!$A$4:$A$14</c15:sqref>
                        </c15:formulaRef>
                      </c:ext>
                    </c:extLst>
                    <c:strCache>
                      <c:ptCount val="11"/>
                      <c:pt idx="0">
                        <c:v>Acholi</c:v>
                      </c:pt>
                      <c:pt idx="1">
                        <c:v>Central North</c:v>
                      </c:pt>
                      <c:pt idx="2">
                        <c:v>Central South</c:v>
                      </c:pt>
                      <c:pt idx="3">
                        <c:v>East Central</c:v>
                      </c:pt>
                      <c:pt idx="4">
                        <c:v>Elgon</c:v>
                      </c:pt>
                      <c:pt idx="5">
                        <c:v>Karamoja</c:v>
                      </c:pt>
                      <c:pt idx="6">
                        <c:v>Lango</c:v>
                      </c:pt>
                      <c:pt idx="7">
                        <c:v>South Western</c:v>
                      </c:pt>
                      <c:pt idx="8">
                        <c:v>Teso</c:v>
                      </c:pt>
                      <c:pt idx="9">
                        <c:v>West Nile</c:v>
                      </c:pt>
                      <c:pt idx="10">
                        <c:v>Western</c:v>
                      </c:pt>
                    </c:strCache>
                  </c:strRef>
                </c:cat>
                <c:val>
                  <c:numRef>
                    <c:extLst xmlns:c15="http://schemas.microsoft.com/office/drawing/2012/chart">
                      <c:ext xmlns:c15="http://schemas.microsoft.com/office/drawing/2012/chart" uri="{02D57815-91ED-43cb-92C2-25804820EDAC}">
                        <c15:formulaRef>
                          <c15:sqref>'Forest land valuation'!$L$4:$L$14</c15:sqref>
                        </c15:formulaRef>
                      </c:ext>
                    </c:extLst>
                    <c:numCache>
                      <c:formatCode>_(* #,##0_);_(* \(#,##0\);_(* "-"??_);_(@_)</c:formatCode>
                      <c:ptCount val="11"/>
                      <c:pt idx="0">
                        <c:v>3300774.8266666667</c:v>
                      </c:pt>
                      <c:pt idx="1">
                        <c:v>9679059.4728726763</c:v>
                      </c:pt>
                      <c:pt idx="2">
                        <c:v>31156999.786726829</c:v>
                      </c:pt>
                      <c:pt idx="3">
                        <c:v>476631.25788322085</c:v>
                      </c:pt>
                      <c:pt idx="4">
                        <c:v>1037434.6218967915</c:v>
                      </c:pt>
                      <c:pt idx="5">
                        <c:v>203713.94007197287</c:v>
                      </c:pt>
                      <c:pt idx="6">
                        <c:v>550201.49717333331</c:v>
                      </c:pt>
                      <c:pt idx="7">
                        <c:v>1516334.0030932273</c:v>
                      </c:pt>
                      <c:pt idx="8">
                        <c:v>89768.533333333311</c:v>
                      </c:pt>
                      <c:pt idx="9">
                        <c:v>1707266.56</c:v>
                      </c:pt>
                      <c:pt idx="10">
                        <c:v>2405717.1810304001</c:v>
                      </c:pt>
                    </c:numCache>
                  </c:numRef>
                </c:val>
                <c:extLst xmlns:c15="http://schemas.microsoft.com/office/drawing/2012/chart">
                  <c:ext xmlns:c16="http://schemas.microsoft.com/office/drawing/2014/chart" uri="{C3380CC4-5D6E-409C-BE32-E72D297353CC}">
                    <c16:uniqueId val="{0000000A-BE44-433C-97F4-DF79D46C7322}"/>
                  </c:ext>
                </c:extLst>
              </c15:ser>
            </c15:filteredBarSeries>
            <c15:filteredBarSeries>
              <c15:ser>
                <c:idx val="12"/>
                <c:order val="12"/>
                <c:tx>
                  <c:strRef>
                    <c:extLst xmlns:c15="http://schemas.microsoft.com/office/drawing/2012/chart">
                      <c:ext xmlns:c15="http://schemas.microsoft.com/office/drawing/2012/chart" uri="{02D57815-91ED-43cb-92C2-25804820EDAC}">
                        <c15:formulaRef>
                          <c15:sqref>'Forest land valuation'!$N$2:$N$3</c15:sqref>
                        </c15:formulaRef>
                      </c:ext>
                    </c:extLst>
                    <c:strCache>
                      <c:ptCount val="2"/>
                      <c:pt idx="0">
                        <c:v>2010</c:v>
                      </c:pt>
                      <c:pt idx="1">
                        <c:v>Cost of land per hectare-shs</c:v>
                      </c:pt>
                    </c:strCache>
                  </c:strRef>
                </c:tx>
                <c:spPr>
                  <a:solidFill>
                    <a:schemeClr val="accent1">
                      <a:lumMod val="80000"/>
                      <a:lumOff val="20000"/>
                    </a:schemeClr>
                  </a:solidFill>
                  <a:ln>
                    <a:noFill/>
                  </a:ln>
                  <a:effectLst/>
                </c:spPr>
                <c:invertIfNegative val="0"/>
                <c:cat>
                  <c:strRef>
                    <c:extLst xmlns:c15="http://schemas.microsoft.com/office/drawing/2012/chart">
                      <c:ext xmlns:c15="http://schemas.microsoft.com/office/drawing/2012/chart" uri="{02D57815-91ED-43cb-92C2-25804820EDAC}">
                        <c15:formulaRef>
                          <c15:sqref>'Forest land valuation'!$A$4:$A$14</c15:sqref>
                        </c15:formulaRef>
                      </c:ext>
                    </c:extLst>
                    <c:strCache>
                      <c:ptCount val="11"/>
                      <c:pt idx="0">
                        <c:v>Acholi</c:v>
                      </c:pt>
                      <c:pt idx="1">
                        <c:v>Central North</c:v>
                      </c:pt>
                      <c:pt idx="2">
                        <c:v>Central South</c:v>
                      </c:pt>
                      <c:pt idx="3">
                        <c:v>East Central</c:v>
                      </c:pt>
                      <c:pt idx="4">
                        <c:v>Elgon</c:v>
                      </c:pt>
                      <c:pt idx="5">
                        <c:v>Karamoja</c:v>
                      </c:pt>
                      <c:pt idx="6">
                        <c:v>Lango</c:v>
                      </c:pt>
                      <c:pt idx="7">
                        <c:v>South Western</c:v>
                      </c:pt>
                      <c:pt idx="8">
                        <c:v>Teso</c:v>
                      </c:pt>
                      <c:pt idx="9">
                        <c:v>West Nile</c:v>
                      </c:pt>
                      <c:pt idx="10">
                        <c:v>Western</c:v>
                      </c:pt>
                    </c:strCache>
                  </c:strRef>
                </c:cat>
                <c:val>
                  <c:numRef>
                    <c:extLst xmlns:c15="http://schemas.microsoft.com/office/drawing/2012/chart">
                      <c:ext xmlns:c15="http://schemas.microsoft.com/office/drawing/2012/chart" uri="{02D57815-91ED-43cb-92C2-25804820EDAC}">
                        <c15:formulaRef>
                          <c15:sqref>'Forest land valuation'!$N$4:$N$14</c15:sqref>
                        </c15:formulaRef>
                      </c:ext>
                    </c:extLst>
                    <c:numCache>
                      <c:formatCode>_(* #,##0_);_(* \(#,##0\);_(* "-"??_);_(@_)</c:formatCode>
                      <c:ptCount val="11"/>
                      <c:pt idx="0">
                        <c:v>3309888.2912701699</c:v>
                      </c:pt>
                      <c:pt idx="1">
                        <c:v>19048533.333333332</c:v>
                      </c:pt>
                      <c:pt idx="2">
                        <c:v>92767569.066666663</c:v>
                      </c:pt>
                      <c:pt idx="3">
                        <c:v>15557509.866666667</c:v>
                      </c:pt>
                      <c:pt idx="4">
                        <c:v>10197400.533333333</c:v>
                      </c:pt>
                      <c:pt idx="5">
                        <c:v>408356.8</c:v>
                      </c:pt>
                      <c:pt idx="6">
                        <c:v>8000000</c:v>
                      </c:pt>
                      <c:pt idx="7">
                        <c:v>4907909.8666666662</c:v>
                      </c:pt>
                      <c:pt idx="8">
                        <c:v>3309888.2912701699</c:v>
                      </c:pt>
                      <c:pt idx="9">
                        <c:v>3309888.2912701699</c:v>
                      </c:pt>
                      <c:pt idx="10">
                        <c:v>1920000</c:v>
                      </c:pt>
                    </c:numCache>
                  </c:numRef>
                </c:val>
                <c:extLst xmlns:c15="http://schemas.microsoft.com/office/drawing/2012/chart">
                  <c:ext xmlns:c16="http://schemas.microsoft.com/office/drawing/2014/chart" uri="{C3380CC4-5D6E-409C-BE32-E72D297353CC}">
                    <c16:uniqueId val="{0000000C-BE44-433C-97F4-DF79D46C7322}"/>
                  </c:ext>
                </c:extLst>
              </c15:ser>
            </c15:filteredBarSeries>
            <c15:filteredBarSeries>
              <c15:ser>
                <c:idx val="13"/>
                <c:order val="13"/>
                <c:tx>
                  <c:strRef>
                    <c:extLst xmlns:c15="http://schemas.microsoft.com/office/drawing/2012/chart">
                      <c:ext xmlns:c15="http://schemas.microsoft.com/office/drawing/2012/chart" uri="{02D57815-91ED-43cb-92C2-25804820EDAC}">
                        <c15:formulaRef>
                          <c15:sqref>'Forest land valuation'!$O$2:$O$3</c15:sqref>
                        </c15:formulaRef>
                      </c:ext>
                    </c:extLst>
                    <c:strCache>
                      <c:ptCount val="2"/>
                      <c:pt idx="0">
                        <c:v>2010</c:v>
                      </c:pt>
                      <c:pt idx="1">
                        <c:v>Price of forest land (UGX/ha)</c:v>
                      </c:pt>
                    </c:strCache>
                  </c:strRef>
                </c:tx>
                <c:spPr>
                  <a:solidFill>
                    <a:schemeClr val="accent2">
                      <a:lumMod val="80000"/>
                      <a:lumOff val="20000"/>
                    </a:schemeClr>
                  </a:solidFill>
                  <a:ln>
                    <a:noFill/>
                  </a:ln>
                  <a:effectLst/>
                </c:spPr>
                <c:invertIfNegative val="0"/>
                <c:cat>
                  <c:strRef>
                    <c:extLst xmlns:c15="http://schemas.microsoft.com/office/drawing/2012/chart">
                      <c:ext xmlns:c15="http://schemas.microsoft.com/office/drawing/2012/chart" uri="{02D57815-91ED-43cb-92C2-25804820EDAC}">
                        <c15:formulaRef>
                          <c15:sqref>'Forest land valuation'!$A$4:$A$14</c15:sqref>
                        </c15:formulaRef>
                      </c:ext>
                    </c:extLst>
                    <c:strCache>
                      <c:ptCount val="11"/>
                      <c:pt idx="0">
                        <c:v>Acholi</c:v>
                      </c:pt>
                      <c:pt idx="1">
                        <c:v>Central North</c:v>
                      </c:pt>
                      <c:pt idx="2">
                        <c:v>Central South</c:v>
                      </c:pt>
                      <c:pt idx="3">
                        <c:v>East Central</c:v>
                      </c:pt>
                      <c:pt idx="4">
                        <c:v>Elgon</c:v>
                      </c:pt>
                      <c:pt idx="5">
                        <c:v>Karamoja</c:v>
                      </c:pt>
                      <c:pt idx="6">
                        <c:v>Lango</c:v>
                      </c:pt>
                      <c:pt idx="7">
                        <c:v>South Western</c:v>
                      </c:pt>
                      <c:pt idx="8">
                        <c:v>Teso</c:v>
                      </c:pt>
                      <c:pt idx="9">
                        <c:v>West Nile</c:v>
                      </c:pt>
                      <c:pt idx="10">
                        <c:v>Western</c:v>
                      </c:pt>
                    </c:strCache>
                  </c:strRef>
                </c:cat>
                <c:val>
                  <c:numRef>
                    <c:extLst xmlns:c15="http://schemas.microsoft.com/office/drawing/2012/chart">
                      <c:ext xmlns:c15="http://schemas.microsoft.com/office/drawing/2012/chart" uri="{02D57815-91ED-43cb-92C2-25804820EDAC}">
                        <c15:formulaRef>
                          <c15:sqref>'Forest land valuation'!$O$4:$O$14</c15:sqref>
                        </c15:formulaRef>
                      </c:ext>
                    </c:extLst>
                    <c:numCache>
                      <c:formatCode>_(* #,##0_);_(* \(#,##0\);_(* "-"??_);_(@_)</c:formatCode>
                      <c:ptCount val="11"/>
                      <c:pt idx="0">
                        <c:v>12142857.142857144</c:v>
                      </c:pt>
                      <c:pt idx="1">
                        <c:v>69882605.90476191</c:v>
                      </c:pt>
                      <c:pt idx="2">
                        <c:v>340332736.19466662</c:v>
                      </c:pt>
                      <c:pt idx="3">
                        <c:v>57075225.259952381</c:v>
                      </c:pt>
                      <c:pt idx="4">
                        <c:v>26331411.714285716</c:v>
                      </c:pt>
                      <c:pt idx="5">
                        <c:v>1498122.5495714284</c:v>
                      </c:pt>
                      <c:pt idx="6">
                        <c:v>12142857.142857144</c:v>
                      </c:pt>
                      <c:pt idx="7">
                        <c:v>18005456.117095236</c:v>
                      </c:pt>
                      <c:pt idx="8">
                        <c:v>12142857.142857144</c:v>
                      </c:pt>
                      <c:pt idx="9">
                        <c:v>12142857.142857144</c:v>
                      </c:pt>
                      <c:pt idx="10">
                        <c:v>7043828.5714285718</c:v>
                      </c:pt>
                    </c:numCache>
                  </c:numRef>
                </c:val>
                <c:extLst xmlns:c15="http://schemas.microsoft.com/office/drawing/2012/chart">
                  <c:ext xmlns:c16="http://schemas.microsoft.com/office/drawing/2014/chart" uri="{C3380CC4-5D6E-409C-BE32-E72D297353CC}">
                    <c16:uniqueId val="{0000000D-BE44-433C-97F4-DF79D46C7322}"/>
                  </c:ext>
                </c:extLst>
              </c15:ser>
            </c15:filteredBarSeries>
            <c15:filteredBarSeries>
              <c15:ser>
                <c:idx val="14"/>
                <c:order val="14"/>
                <c:tx>
                  <c:strRef>
                    <c:extLst xmlns:c15="http://schemas.microsoft.com/office/drawing/2012/chart">
                      <c:ext xmlns:c15="http://schemas.microsoft.com/office/drawing/2012/chart" uri="{02D57815-91ED-43cb-92C2-25804820EDAC}">
                        <c15:formulaRef>
                          <c15:sqref>'Forest land valuation'!$P$2:$P$3</c15:sqref>
                        </c15:formulaRef>
                      </c:ext>
                    </c:extLst>
                    <c:strCache>
                      <c:ptCount val="2"/>
                      <c:pt idx="0">
                        <c:v>2010</c:v>
                      </c:pt>
                      <c:pt idx="1">
                        <c:v>Forest land value (UGX mill)</c:v>
                      </c:pt>
                    </c:strCache>
                  </c:strRef>
                </c:tx>
                <c:spPr>
                  <a:solidFill>
                    <a:schemeClr val="accent3">
                      <a:lumMod val="80000"/>
                      <a:lumOff val="20000"/>
                    </a:schemeClr>
                  </a:solidFill>
                  <a:ln>
                    <a:noFill/>
                  </a:ln>
                  <a:effectLst/>
                </c:spPr>
                <c:invertIfNegative val="0"/>
                <c:cat>
                  <c:strRef>
                    <c:extLst xmlns:c15="http://schemas.microsoft.com/office/drawing/2012/chart">
                      <c:ext xmlns:c15="http://schemas.microsoft.com/office/drawing/2012/chart" uri="{02D57815-91ED-43cb-92C2-25804820EDAC}">
                        <c15:formulaRef>
                          <c15:sqref>'Forest land valuation'!$A$4:$A$14</c15:sqref>
                        </c15:formulaRef>
                      </c:ext>
                    </c:extLst>
                    <c:strCache>
                      <c:ptCount val="11"/>
                      <c:pt idx="0">
                        <c:v>Acholi</c:v>
                      </c:pt>
                      <c:pt idx="1">
                        <c:v>Central North</c:v>
                      </c:pt>
                      <c:pt idx="2">
                        <c:v>Central South</c:v>
                      </c:pt>
                      <c:pt idx="3">
                        <c:v>East Central</c:v>
                      </c:pt>
                      <c:pt idx="4">
                        <c:v>Elgon</c:v>
                      </c:pt>
                      <c:pt idx="5">
                        <c:v>Karamoja</c:v>
                      </c:pt>
                      <c:pt idx="6">
                        <c:v>Lango</c:v>
                      </c:pt>
                      <c:pt idx="7">
                        <c:v>South Western</c:v>
                      </c:pt>
                      <c:pt idx="8">
                        <c:v>Teso</c:v>
                      </c:pt>
                      <c:pt idx="9">
                        <c:v>West Nile</c:v>
                      </c:pt>
                      <c:pt idx="10">
                        <c:v>Western</c:v>
                      </c:pt>
                    </c:strCache>
                  </c:strRef>
                </c:cat>
                <c:val>
                  <c:numRef>
                    <c:extLst xmlns:c15="http://schemas.microsoft.com/office/drawing/2012/chart">
                      <c:ext xmlns:c15="http://schemas.microsoft.com/office/drawing/2012/chart" uri="{02D57815-91ED-43cb-92C2-25804820EDAC}">
                        <c15:formulaRef>
                          <c15:sqref>'Forest land valuation'!$P$4:$P$14</c15:sqref>
                        </c15:formulaRef>
                      </c:ext>
                    </c:extLst>
                    <c:numCache>
                      <c:formatCode>_(* #,##0_);_(* \(#,##0\);_(* "-"??_);_(@_)</c:formatCode>
                      <c:ptCount val="11"/>
                      <c:pt idx="0">
                        <c:v>2364555.2000000002</c:v>
                      </c:pt>
                      <c:pt idx="1">
                        <c:v>11454680.571610451</c:v>
                      </c:pt>
                      <c:pt idx="2">
                        <c:v>50375263.641152404</c:v>
                      </c:pt>
                      <c:pt idx="3">
                        <c:v>745729.04647811269</c:v>
                      </c:pt>
                      <c:pt idx="4">
                        <c:v>1998119.6000052544</c:v>
                      </c:pt>
                      <c:pt idx="5">
                        <c:v>223337.79729389088</c:v>
                      </c:pt>
                      <c:pt idx="6">
                        <c:v>711470.05359999998</c:v>
                      </c:pt>
                      <c:pt idx="7">
                        <c:v>2241717.076853313</c:v>
                      </c:pt>
                      <c:pt idx="8">
                        <c:v>64240.800000000003</c:v>
                      </c:pt>
                      <c:pt idx="9">
                        <c:v>1350445.6</c:v>
                      </c:pt>
                      <c:pt idx="10">
                        <c:v>3250763.6793599995</c:v>
                      </c:pt>
                    </c:numCache>
                  </c:numRef>
                </c:val>
                <c:extLst xmlns:c15="http://schemas.microsoft.com/office/drawing/2012/chart">
                  <c:ext xmlns:c16="http://schemas.microsoft.com/office/drawing/2014/chart" uri="{C3380CC4-5D6E-409C-BE32-E72D297353CC}">
                    <c16:uniqueId val="{0000000E-BE44-433C-97F4-DF79D46C7322}"/>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'Forest land valuation'!$R$2:$R$3</c15:sqref>
                        </c15:formulaRef>
                      </c:ext>
                    </c:extLst>
                    <c:strCache>
                      <c:ptCount val="2"/>
                      <c:pt idx="0">
                        <c:v>2015</c:v>
                      </c:pt>
                      <c:pt idx="1">
                        <c:v>Cost of land per acre-shs</c:v>
                      </c:pt>
                    </c:strCache>
                  </c:strRef>
                </c:tx>
                <c:spPr>
                  <a:solidFill>
                    <a:schemeClr val="accent5">
                      <a:lumMod val="80000"/>
                      <a:lumOff val="20000"/>
                    </a:schemeClr>
                  </a:solidFill>
                  <a:ln>
                    <a:noFill/>
                  </a:ln>
                  <a:effectLst/>
                </c:spPr>
                <c:invertIfNegative val="0"/>
                <c:cat>
                  <c:strRef>
                    <c:extLst xmlns:c15="http://schemas.microsoft.com/office/drawing/2012/chart">
                      <c:ext xmlns:c15="http://schemas.microsoft.com/office/drawing/2012/chart" uri="{02D57815-91ED-43cb-92C2-25804820EDAC}">
                        <c15:formulaRef>
                          <c15:sqref>'Forest land valuation'!$A$4:$A$14</c15:sqref>
                        </c15:formulaRef>
                      </c:ext>
                    </c:extLst>
                    <c:strCache>
                      <c:ptCount val="11"/>
                      <c:pt idx="0">
                        <c:v>Acholi</c:v>
                      </c:pt>
                      <c:pt idx="1">
                        <c:v>Central North</c:v>
                      </c:pt>
                      <c:pt idx="2">
                        <c:v>Central South</c:v>
                      </c:pt>
                      <c:pt idx="3">
                        <c:v>East Central</c:v>
                      </c:pt>
                      <c:pt idx="4">
                        <c:v>Elgon</c:v>
                      </c:pt>
                      <c:pt idx="5">
                        <c:v>Karamoja</c:v>
                      </c:pt>
                      <c:pt idx="6">
                        <c:v>Lango</c:v>
                      </c:pt>
                      <c:pt idx="7">
                        <c:v>South Western</c:v>
                      </c:pt>
                      <c:pt idx="8">
                        <c:v>Teso</c:v>
                      </c:pt>
                      <c:pt idx="9">
                        <c:v>West Nile</c:v>
                      </c:pt>
                      <c:pt idx="10">
                        <c:v>Western</c:v>
                      </c:pt>
                    </c:strCache>
                  </c:strRef>
                </c:cat>
                <c:val>
                  <c:numRef>
                    <c:extLst xmlns:c15="http://schemas.microsoft.com/office/drawing/2012/chart">
                      <c:ext xmlns:c15="http://schemas.microsoft.com/office/drawing/2012/chart" uri="{02D57815-91ED-43cb-92C2-25804820EDAC}">
                        <c15:formulaRef>
                          <c15:sqref>'Forest land valuation'!$R$4:$R$14</c15:sqref>
                        </c15:formulaRef>
                      </c:ext>
                    </c:extLst>
                    <c:numCache>
                      <c:formatCode>_(* #,##0_);_(* \(#,##0\);_(* "-"??_);_(@_)</c:formatCode>
                      <c:ptCount val="11"/>
                      <c:pt idx="0">
                        <c:v>6206040.546131569</c:v>
                      </c:pt>
                      <c:pt idx="1">
                        <c:v>35716000</c:v>
                      </c:pt>
                      <c:pt idx="2">
                        <c:v>173939192</c:v>
                      </c:pt>
                      <c:pt idx="3">
                        <c:v>29170331</c:v>
                      </c:pt>
                      <c:pt idx="4">
                        <c:v>19120126</c:v>
                      </c:pt>
                      <c:pt idx="5">
                        <c:v>765669</c:v>
                      </c:pt>
                      <c:pt idx="6">
                        <c:v>15000000</c:v>
                      </c:pt>
                      <c:pt idx="7">
                        <c:v>9202331</c:v>
                      </c:pt>
                      <c:pt idx="8">
                        <c:v>6206040.546131569</c:v>
                      </c:pt>
                      <c:pt idx="9">
                        <c:v>6206040.546131569</c:v>
                      </c:pt>
                      <c:pt idx="10">
                        <c:v>3600000</c:v>
                      </c:pt>
                    </c:numCache>
                  </c:numRef>
                </c:val>
                <c:extLst xmlns:c15="http://schemas.microsoft.com/office/drawing/2012/chart">
                  <c:ext xmlns:c16="http://schemas.microsoft.com/office/drawing/2014/chart" uri="{C3380CC4-5D6E-409C-BE32-E72D297353CC}">
                    <c16:uniqueId val="{00000010-BE44-433C-97F4-DF79D46C7322}"/>
                  </c:ext>
                </c:extLst>
              </c15:ser>
            </c15:filteredBarSeries>
            <c15:filteredBarSeries>
              <c15:ser>
                <c:idx val="17"/>
                <c:order val="17"/>
                <c:tx>
                  <c:strRef>
                    <c:extLst xmlns:c15="http://schemas.microsoft.com/office/drawing/2012/chart">
                      <c:ext xmlns:c15="http://schemas.microsoft.com/office/drawing/2012/chart" uri="{02D57815-91ED-43cb-92C2-25804820EDAC}">
                        <c15:formulaRef>
                          <c15:sqref>'Forest land valuation'!$S$2:$S$3</c15:sqref>
                        </c15:formulaRef>
                      </c:ext>
                    </c:extLst>
                    <c:strCache>
                      <c:ptCount val="2"/>
                      <c:pt idx="0">
                        <c:v>2015</c:v>
                      </c:pt>
                      <c:pt idx="1">
                        <c:v>Price of forest land (UGX/ha)</c:v>
                      </c:pt>
                    </c:strCache>
                  </c:strRef>
                </c:tx>
                <c:spPr>
                  <a:solidFill>
                    <a:schemeClr val="accent6">
                      <a:lumMod val="80000"/>
                      <a:lumOff val="20000"/>
                    </a:schemeClr>
                  </a:solidFill>
                  <a:ln>
                    <a:noFill/>
                  </a:ln>
                  <a:effectLst/>
                </c:spPr>
                <c:invertIfNegative val="0"/>
                <c:cat>
                  <c:strRef>
                    <c:extLst xmlns:c15="http://schemas.microsoft.com/office/drawing/2012/chart">
                      <c:ext xmlns:c15="http://schemas.microsoft.com/office/drawing/2012/chart" uri="{02D57815-91ED-43cb-92C2-25804820EDAC}">
                        <c15:formulaRef>
                          <c15:sqref>'Forest land valuation'!$A$4:$A$14</c15:sqref>
                        </c15:formulaRef>
                      </c:ext>
                    </c:extLst>
                    <c:strCache>
                      <c:ptCount val="11"/>
                      <c:pt idx="0">
                        <c:v>Acholi</c:v>
                      </c:pt>
                      <c:pt idx="1">
                        <c:v>Central North</c:v>
                      </c:pt>
                      <c:pt idx="2">
                        <c:v>Central South</c:v>
                      </c:pt>
                      <c:pt idx="3">
                        <c:v>East Central</c:v>
                      </c:pt>
                      <c:pt idx="4">
                        <c:v>Elgon</c:v>
                      </c:pt>
                      <c:pt idx="5">
                        <c:v>Karamoja</c:v>
                      </c:pt>
                      <c:pt idx="6">
                        <c:v>Lango</c:v>
                      </c:pt>
                      <c:pt idx="7">
                        <c:v>South Western</c:v>
                      </c:pt>
                      <c:pt idx="8">
                        <c:v>Teso</c:v>
                      </c:pt>
                      <c:pt idx="9">
                        <c:v>West Nile</c:v>
                      </c:pt>
                      <c:pt idx="10">
                        <c:v>Western</c:v>
                      </c:pt>
                    </c:strCache>
                  </c:strRef>
                </c:cat>
                <c:val>
                  <c:numRef>
                    <c:extLst xmlns:c15="http://schemas.microsoft.com/office/drawing/2012/chart">
                      <c:ext xmlns:c15="http://schemas.microsoft.com/office/drawing/2012/chart" uri="{02D57815-91ED-43cb-92C2-25804820EDAC}">
                        <c15:formulaRef>
                          <c15:sqref>'Forest land valuation'!$S$4:$S$14</c15:sqref>
                        </c15:formulaRef>
                      </c:ext>
                    </c:extLst>
                    <c:numCache>
                      <c:formatCode>_(* #,##0_);_(* \(#,##0\);_(* "-"??_);_(@_)</c:formatCode>
                      <c:ptCount val="11"/>
                      <c:pt idx="0">
                        <c:v>15000000</c:v>
                      </c:pt>
                      <c:pt idx="1">
                        <c:v>86325572</c:v>
                      </c:pt>
                      <c:pt idx="2">
                        <c:v>420411027.06399995</c:v>
                      </c:pt>
                      <c:pt idx="3">
                        <c:v>70504690.026999995</c:v>
                      </c:pt>
                      <c:pt idx="4">
                        <c:v>32527038</c:v>
                      </c:pt>
                      <c:pt idx="5">
                        <c:v>1850621.9729999998</c:v>
                      </c:pt>
                      <c:pt idx="6">
                        <c:v>15000000</c:v>
                      </c:pt>
                      <c:pt idx="7">
                        <c:v>22242034.026999999</c:v>
                      </c:pt>
                      <c:pt idx="8">
                        <c:v>15000000</c:v>
                      </c:pt>
                      <c:pt idx="9">
                        <c:v>15000000</c:v>
                      </c:pt>
                      <c:pt idx="10">
                        <c:v>8701200</c:v>
                      </c:pt>
                    </c:numCache>
                  </c:numRef>
                </c:val>
                <c:extLst xmlns:c15="http://schemas.microsoft.com/office/drawing/2012/chart">
                  <c:ext xmlns:c16="http://schemas.microsoft.com/office/drawing/2014/chart" uri="{C3380CC4-5D6E-409C-BE32-E72D297353CC}">
                    <c16:uniqueId val="{00000011-BE44-433C-97F4-DF79D46C7322}"/>
                  </c:ext>
                </c:extLst>
              </c15:ser>
            </c15:filteredBarSeries>
            <c15:filteredBarSeries>
              <c15:ser>
                <c:idx val="18"/>
                <c:order val="18"/>
                <c:tx>
                  <c:strRef>
                    <c:extLst xmlns:c15="http://schemas.microsoft.com/office/drawing/2012/chart">
                      <c:ext xmlns:c15="http://schemas.microsoft.com/office/drawing/2012/chart" uri="{02D57815-91ED-43cb-92C2-25804820EDAC}">
                        <c15:formulaRef>
                          <c15:sqref>'Forest land valuation'!$T$2:$T$3</c15:sqref>
                        </c15:formulaRef>
                      </c:ext>
                    </c:extLst>
                    <c:strCache>
                      <c:ptCount val="2"/>
                      <c:pt idx="0">
                        <c:v>2015</c:v>
                      </c:pt>
                      <c:pt idx="1">
                        <c:v>Forest land value (UGX mill)</c:v>
                      </c:pt>
                    </c:strCache>
                  </c:strRef>
                </c:tx>
                <c:spPr>
                  <a:solidFill>
                    <a:schemeClr val="accent1">
                      <a:lumMod val="80000"/>
                    </a:schemeClr>
                  </a:solidFill>
                  <a:ln>
                    <a:noFill/>
                  </a:ln>
                  <a:effectLst/>
                </c:spPr>
                <c:invertIfNegative val="0"/>
                <c:cat>
                  <c:strRef>
                    <c:extLst xmlns:c15="http://schemas.microsoft.com/office/drawing/2012/chart">
                      <c:ext xmlns:c15="http://schemas.microsoft.com/office/drawing/2012/chart" uri="{02D57815-91ED-43cb-92C2-25804820EDAC}">
                        <c15:formulaRef>
                          <c15:sqref>'Forest land valuation'!$A$4:$A$14</c15:sqref>
                        </c15:formulaRef>
                      </c:ext>
                    </c:extLst>
                    <c:strCache>
                      <c:ptCount val="11"/>
                      <c:pt idx="0">
                        <c:v>Acholi</c:v>
                      </c:pt>
                      <c:pt idx="1">
                        <c:v>Central North</c:v>
                      </c:pt>
                      <c:pt idx="2">
                        <c:v>Central South</c:v>
                      </c:pt>
                      <c:pt idx="3">
                        <c:v>East Central</c:v>
                      </c:pt>
                      <c:pt idx="4">
                        <c:v>Elgon</c:v>
                      </c:pt>
                      <c:pt idx="5">
                        <c:v>Karamoja</c:v>
                      </c:pt>
                      <c:pt idx="6">
                        <c:v>Lango</c:v>
                      </c:pt>
                      <c:pt idx="7">
                        <c:v>South Western</c:v>
                      </c:pt>
                      <c:pt idx="8">
                        <c:v>Teso</c:v>
                      </c:pt>
                      <c:pt idx="9">
                        <c:v>West Nile</c:v>
                      </c:pt>
                      <c:pt idx="10">
                        <c:v>Western</c:v>
                      </c:pt>
                    </c:strCache>
                  </c:strRef>
                </c:cat>
                <c:val>
                  <c:numRef>
                    <c:extLst xmlns:c15="http://schemas.microsoft.com/office/drawing/2012/chart">
                      <c:ext xmlns:c15="http://schemas.microsoft.com/office/drawing/2012/chart" uri="{02D57815-91ED-43cb-92C2-25804820EDAC}">
                        <c15:formulaRef>
                          <c15:sqref>'Forest land valuation'!$T$4:$T$14</c15:sqref>
                        </c15:formulaRef>
                      </c:ext>
                    </c:extLst>
                    <c:numCache>
                      <c:formatCode>_(* #,##0_);_(* \(#,##0\);_(* "-"??_);_(@_)</c:formatCode>
                      <c:ptCount val="11"/>
                      <c:pt idx="0">
                        <c:v>2625066</c:v>
                      </c:pt>
                      <c:pt idx="1">
                        <c:v>22919102.696269199</c:v>
                      </c:pt>
                      <c:pt idx="2">
                        <c:v>70047119.603090003</c:v>
                      </c:pt>
                      <c:pt idx="3">
                        <c:v>1393525.1983836547</c:v>
                      </c:pt>
                      <c:pt idx="4">
                        <c:v>2674727.6090741996</c:v>
                      </c:pt>
                      <c:pt idx="5">
                        <c:v>354343.40078743978</c:v>
                      </c:pt>
                      <c:pt idx="6">
                        <c:v>487359</c:v>
                      </c:pt>
                      <c:pt idx="7">
                        <c:v>4631056.1646263208</c:v>
                      </c:pt>
                      <c:pt idx="8">
                        <c:v>93310.5</c:v>
                      </c:pt>
                      <c:pt idx="9">
                        <c:v>2214703.5</c:v>
                      </c:pt>
                      <c:pt idx="10">
                        <c:v>5712400.4486400001</c:v>
                      </c:pt>
                    </c:numCache>
                  </c:numRef>
                </c:val>
                <c:extLst xmlns:c15="http://schemas.microsoft.com/office/drawing/2012/chart">
                  <c:ext xmlns:c16="http://schemas.microsoft.com/office/drawing/2014/chart" uri="{C3380CC4-5D6E-409C-BE32-E72D297353CC}">
                    <c16:uniqueId val="{00000012-BE44-433C-97F4-DF79D46C7322}"/>
                  </c:ext>
                </c:extLst>
              </c15:ser>
            </c15:filteredBarSeries>
          </c:ext>
        </c:extLst>
      </c:barChart>
      <c:catAx>
        <c:axId val="10010666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Gill Sans MT" panose="020B0502020104020203" pitchFamily="34" charset="0"/>
                    <a:ea typeface="+mn-ea"/>
                    <a:cs typeface="+mn-cs"/>
                  </a:defRPr>
                </a:pPr>
                <a:r>
                  <a:rPr lang="en-US"/>
                  <a:t>Sub-regions and years in series</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Gill Sans MT" panose="020B0502020104020203"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Gill Sans MT" panose="020B0502020104020203" pitchFamily="34" charset="0"/>
                <a:ea typeface="+mn-ea"/>
                <a:cs typeface="+mn-cs"/>
              </a:defRPr>
            </a:pPr>
            <a:endParaRPr lang="en-US"/>
          </a:p>
        </c:txPr>
        <c:crossAx val="1001067039"/>
        <c:crosses val="autoZero"/>
        <c:auto val="1"/>
        <c:lblAlgn val="ctr"/>
        <c:lblOffset val="100"/>
        <c:noMultiLvlLbl val="0"/>
      </c:catAx>
      <c:valAx>
        <c:axId val="10010670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Gill Sans MT" panose="020B0502020104020203" pitchFamily="34" charset="0"/>
                    <a:ea typeface="+mn-ea"/>
                    <a:cs typeface="+mn-cs"/>
                  </a:defRPr>
                </a:pPr>
                <a:r>
                  <a:rPr lang="en-US"/>
                  <a:t>Forested land (in hectares)</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Gill Sans MT" panose="020B0502020104020203" pitchFamily="34" charset="0"/>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Gill Sans MT" panose="020B0502020104020203" pitchFamily="34" charset="0"/>
                <a:ea typeface="+mn-ea"/>
                <a:cs typeface="+mn-cs"/>
              </a:defRPr>
            </a:pPr>
            <a:endParaRPr lang="en-US"/>
          </a:p>
        </c:txPr>
        <c:crossAx val="100106662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Gill Sans MT" panose="020B0502020104020203" pitchFamily="34" charset="0"/>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Gill Sans MT" panose="020B0502020104020203" pitchFamily="34" charset="0"/>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chartsheets/sheet1.xml><?xml version="1.0" encoding="utf-8"?>
<chartsheet xmlns="http://schemas.openxmlformats.org/spreadsheetml/2006/main" xmlns:r="http://schemas.openxmlformats.org/officeDocument/2006/relationships">
  <sheetPr/>
  <sheetViews>
    <sheetView zoomScale="68"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sheetPr/>
  <sheetViews>
    <sheetView tabSelected="1" zoomScale="71" workbookViewId="0" zoomToFit="1"/>
  </sheetViews>
  <pageMargins left="0.7" right="0.7" top="0.75" bottom="0.75" header="0.3" footer="0.3"/>
  <drawing r:id="rId1"/>
</chartsheet>
</file>

<file path=xl/chartsheets/sheet3.xml><?xml version="1.0" encoding="utf-8"?>
<chartsheet xmlns="http://schemas.openxmlformats.org/spreadsheetml/2006/main" xmlns:r="http://schemas.openxmlformats.org/officeDocument/2006/relationships">
  <sheetPr/>
  <sheetViews>
    <sheetView zoomScale="71"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absoluteAnchor>
    <xdr:pos x="0" y="0"/>
    <xdr:ext cx="8684559" cy="6303309"/>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652993" cy="6278451"/>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0" y="0"/>
    <xdr:ext cx="8652993" cy="6278451"/>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dell\Desktop\CSI%20Index%20for%20Timber%20produc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nd Prices"/>
      <sheetName val="CSI_Q(1617)"/>
    </sheetNames>
    <sheetDataSet>
      <sheetData sheetId="0" refreshError="1"/>
      <sheetData sheetId="1">
        <row r="46">
          <cell r="N46">
            <v>0.14317728538027857</v>
          </cell>
        </row>
        <row r="47">
          <cell r="N47">
            <v>0.59155476145175545</v>
          </cell>
        </row>
        <row r="48">
          <cell r="N48">
            <v>0.81574349948749381</v>
          </cell>
        </row>
        <row r="49">
          <cell r="N49">
            <v>1.0399322375232323</v>
          </cell>
        </row>
        <row r="50">
          <cell r="N50">
            <v>1</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8"/>
  <sheetViews>
    <sheetView zoomScale="90" zoomScaleNormal="90" workbookViewId="0">
      <selection activeCell="B3" sqref="B3"/>
    </sheetView>
  </sheetViews>
  <sheetFormatPr defaultRowHeight="18.75" x14ac:dyDescent="0.3"/>
  <cols>
    <col min="1" max="1" width="17.5703125" style="9" bestFit="1" customWidth="1"/>
    <col min="2" max="2" width="14.5703125" style="9" bestFit="1" customWidth="1"/>
    <col min="3" max="3" width="14.28515625" style="9" bestFit="1" customWidth="1"/>
    <col min="4" max="4" width="16.5703125" style="9" customWidth="1"/>
    <col min="5" max="5" width="11.85546875" style="9" bestFit="1" customWidth="1"/>
    <col min="6" max="6" width="13.140625" style="9" bestFit="1" customWidth="1"/>
    <col min="7" max="7" width="13.140625" style="9" customWidth="1"/>
    <col min="8" max="8" width="13.28515625" style="9" bestFit="1" customWidth="1"/>
    <col min="9" max="9" width="10.140625" style="9" bestFit="1" customWidth="1"/>
    <col min="10" max="10" width="13.140625" style="9" bestFit="1" customWidth="1"/>
    <col min="11" max="11" width="15.42578125" style="9" customWidth="1"/>
    <col min="12" max="12" width="13.28515625" style="9" bestFit="1" customWidth="1"/>
    <col min="13" max="13" width="10.140625" style="9" bestFit="1" customWidth="1"/>
    <col min="14" max="14" width="13.140625" style="9" bestFit="1" customWidth="1"/>
    <col min="15" max="15" width="14.140625" style="9" customWidth="1"/>
    <col min="16" max="16" width="13.28515625" style="9" bestFit="1" customWidth="1"/>
    <col min="17" max="17" width="10.140625" style="9" bestFit="1" customWidth="1"/>
    <col min="18" max="18" width="14.42578125" style="9" bestFit="1" customWidth="1"/>
    <col min="19" max="19" width="14.42578125" style="9" customWidth="1"/>
    <col min="20" max="20" width="19.5703125" style="9" bestFit="1" customWidth="1"/>
    <col min="21" max="16384" width="9.140625" style="15"/>
  </cols>
  <sheetData>
    <row r="1" spans="1:21" x14ac:dyDescent="0.3">
      <c r="A1" s="18" t="s">
        <v>16</v>
      </c>
    </row>
    <row r="2" spans="1:21" s="17" customFormat="1" x14ac:dyDescent="0.3">
      <c r="A2" s="27"/>
      <c r="B2" s="42">
        <v>1990</v>
      </c>
      <c r="C2" s="43"/>
      <c r="D2" s="44"/>
      <c r="E2" s="41">
        <v>2000</v>
      </c>
      <c r="F2" s="41"/>
      <c r="G2" s="41"/>
      <c r="H2" s="41"/>
      <c r="I2" s="41">
        <v>2005</v>
      </c>
      <c r="J2" s="41"/>
      <c r="K2" s="41"/>
      <c r="L2" s="41"/>
      <c r="M2" s="41">
        <v>2010</v>
      </c>
      <c r="N2" s="41"/>
      <c r="O2" s="41"/>
      <c r="P2" s="41"/>
      <c r="Q2" s="41">
        <v>2015</v>
      </c>
      <c r="R2" s="41"/>
      <c r="S2" s="41"/>
      <c r="T2" s="41"/>
    </row>
    <row r="3" spans="1:21" ht="47.25" x14ac:dyDescent="0.3">
      <c r="A3" s="28"/>
      <c r="B3" s="8" t="s">
        <v>38</v>
      </c>
      <c r="C3" s="7" t="s">
        <v>39</v>
      </c>
      <c r="D3" s="7" t="s">
        <v>40</v>
      </c>
      <c r="E3" s="8" t="s">
        <v>38</v>
      </c>
      <c r="F3" s="7" t="s">
        <v>12</v>
      </c>
      <c r="G3" s="7" t="s">
        <v>39</v>
      </c>
      <c r="H3" s="7" t="s">
        <v>40</v>
      </c>
      <c r="I3" s="8" t="s">
        <v>38</v>
      </c>
      <c r="J3" s="7" t="s">
        <v>10</v>
      </c>
      <c r="K3" s="7" t="s">
        <v>39</v>
      </c>
      <c r="L3" s="7" t="s">
        <v>40</v>
      </c>
      <c r="M3" s="8" t="s">
        <v>38</v>
      </c>
      <c r="N3" s="7" t="s">
        <v>10</v>
      </c>
      <c r="O3" s="7" t="s">
        <v>39</v>
      </c>
      <c r="P3" s="7" t="s">
        <v>40</v>
      </c>
      <c r="Q3" s="8" t="s">
        <v>38</v>
      </c>
      <c r="R3" s="7" t="s">
        <v>24</v>
      </c>
      <c r="S3" s="7" t="s">
        <v>39</v>
      </c>
      <c r="T3" s="7" t="s">
        <v>40</v>
      </c>
    </row>
    <row r="4" spans="1:21" x14ac:dyDescent="0.3">
      <c r="A4" s="10" t="s">
        <v>26</v>
      </c>
      <c r="B4" s="16">
        <v>1197445.7</v>
      </c>
      <c r="C4" s="11">
        <f>(1-(25*U4))*S4</f>
        <v>714285.71428571513</v>
      </c>
      <c r="D4" s="12">
        <f>B4*C4/1000000</f>
        <v>855318.35714285821</v>
      </c>
      <c r="E4" s="12">
        <v>916745.6</v>
      </c>
      <c r="F4" s="11">
        <f>J4/1.875</f>
        <v>941479.33618351491</v>
      </c>
      <c r="G4" s="11">
        <f>(1-(15*U4))*S4</f>
        <v>6428571.4285714291</v>
      </c>
      <c r="H4" s="11">
        <f t="shared" ref="H4:H14" si="0">E4*F4*2.417/1000000</f>
        <v>2086105.5431111108</v>
      </c>
      <c r="I4" s="12">
        <v>773619.1</v>
      </c>
      <c r="J4" s="11">
        <f>N4/1.875</f>
        <v>1765273.7553440905</v>
      </c>
      <c r="K4" s="11">
        <f>(1-(10*U4))*S4</f>
        <v>9285714.2857142854</v>
      </c>
      <c r="L4" s="11">
        <f>I4*J4*2.417/1000000</f>
        <v>3300774.8266666667</v>
      </c>
      <c r="M4" s="12">
        <v>295569.40000000002</v>
      </c>
      <c r="N4" s="11">
        <f t="shared" ref="N4:N14" si="1">R4/1.875</f>
        <v>3309888.2912701699</v>
      </c>
      <c r="O4" s="11">
        <f>(1-(5*U4))*S4</f>
        <v>12142857.142857144</v>
      </c>
      <c r="P4" s="11">
        <f>M4*N4*2.417/1000000</f>
        <v>2364555.2000000002</v>
      </c>
      <c r="Q4" s="12">
        <v>175004.4</v>
      </c>
      <c r="R4" s="12">
        <f>S4/2.417</f>
        <v>6206040.546131569</v>
      </c>
      <c r="S4" s="12">
        <v>15000000</v>
      </c>
      <c r="T4" s="11">
        <f>S4*Q4/1000000</f>
        <v>2625066</v>
      </c>
      <c r="U4" s="15">
        <f>(4/7)/15</f>
        <v>3.8095238095238092E-2</v>
      </c>
    </row>
    <row r="5" spans="1:21" x14ac:dyDescent="0.3">
      <c r="A5" s="10" t="s">
        <v>27</v>
      </c>
      <c r="B5" s="16">
        <v>674196.5</v>
      </c>
      <c r="C5" s="11">
        <f t="shared" ref="C5:C14" si="2">(1-(25*U5))*S5</f>
        <v>4110741.5238095284</v>
      </c>
      <c r="D5" s="12">
        <f t="shared" ref="D5:D14" si="3">B5*C5/1000000</f>
        <v>2771447.547757051</v>
      </c>
      <c r="E5" s="12">
        <v>464499</v>
      </c>
      <c r="F5" s="11">
        <f t="shared" ref="F5:F14" si="4">J5/1.875</f>
        <v>5418249.4814814813</v>
      </c>
      <c r="G5" s="11">
        <f t="shared" ref="G5:G14" si="5">(1-(15*U5))*S5</f>
        <v>36996673.714285716</v>
      </c>
      <c r="H5" s="11">
        <f t="shared" si="0"/>
        <v>6083036.6330770766</v>
      </c>
      <c r="I5" s="12">
        <v>394181.5</v>
      </c>
      <c r="J5" s="11">
        <f t="shared" ref="J5:J14" si="6">N5/1.875</f>
        <v>10159217.777777778</v>
      </c>
      <c r="K5" s="11">
        <f t="shared" ref="K5:K14" si="7">(1-(10*U5))*S5</f>
        <v>53439639.809523813</v>
      </c>
      <c r="L5" s="11">
        <f t="shared" ref="L5:L14" si="8">I5*J5*2.417/1000000</f>
        <v>9679059.4728726763</v>
      </c>
      <c r="M5" s="12">
        <v>248796.79999999999</v>
      </c>
      <c r="N5" s="11">
        <f t="shared" si="1"/>
        <v>19048533.333333332</v>
      </c>
      <c r="O5" s="11">
        <f t="shared" ref="O5:O14" si="9">(1-(5*U5))*S5</f>
        <v>69882605.90476191</v>
      </c>
      <c r="P5" s="11">
        <f t="shared" ref="P5:P14" si="10">M5*N5*2.417/1000000</f>
        <v>11454680.571610451</v>
      </c>
      <c r="Q5" s="12">
        <v>265496.09999999998</v>
      </c>
      <c r="R5" s="13">
        <v>35716000</v>
      </c>
      <c r="S5" s="11">
        <f>R5*2.417</f>
        <v>86325572</v>
      </c>
      <c r="T5" s="11">
        <f t="shared" ref="T5:T14" si="11">S5*Q5/1000000</f>
        <v>22919102.696269199</v>
      </c>
      <c r="U5" s="15">
        <f t="shared" ref="U5:U14" si="12">(4/7)/15</f>
        <v>3.8095238095238092E-2</v>
      </c>
    </row>
    <row r="6" spans="1:21" x14ac:dyDescent="0.3">
      <c r="A6" s="10" t="s">
        <v>28</v>
      </c>
      <c r="B6" s="16">
        <v>319429.8</v>
      </c>
      <c r="C6" s="11">
        <f t="shared" si="2"/>
        <v>20019572.717333354</v>
      </c>
      <c r="D6" s="12">
        <f t="shared" si="3"/>
        <v>6394848.10918325</v>
      </c>
      <c r="E6" s="12">
        <v>303515.5</v>
      </c>
      <c r="F6" s="11">
        <f t="shared" si="4"/>
        <v>26387219.645629629</v>
      </c>
      <c r="G6" s="11">
        <f t="shared" si="5"/>
        <v>180176154.456</v>
      </c>
      <c r="H6" s="11">
        <f t="shared" si="0"/>
        <v>19357584.207241442</v>
      </c>
      <c r="I6" s="12">
        <v>260545.8</v>
      </c>
      <c r="J6" s="11">
        <f t="shared" si="6"/>
        <v>49476036.835555553</v>
      </c>
      <c r="K6" s="11">
        <f t="shared" si="7"/>
        <v>260254445.3253333</v>
      </c>
      <c r="L6" s="11">
        <f t="shared" si="8"/>
        <v>31156999.786726829</v>
      </c>
      <c r="M6" s="12">
        <v>224669.7</v>
      </c>
      <c r="N6" s="11">
        <f t="shared" si="1"/>
        <v>92767569.066666663</v>
      </c>
      <c r="O6" s="11">
        <f t="shared" si="9"/>
        <v>340332736.19466662</v>
      </c>
      <c r="P6" s="11">
        <f t="shared" si="10"/>
        <v>50375263.641152404</v>
      </c>
      <c r="Q6" s="12">
        <v>166615.79999999999</v>
      </c>
      <c r="R6" s="12">
        <v>173939192</v>
      </c>
      <c r="S6" s="11">
        <f>R6*2.417</f>
        <v>420411027.06399995</v>
      </c>
      <c r="T6" s="11">
        <f t="shared" si="11"/>
        <v>70047119.603090003</v>
      </c>
      <c r="U6" s="15">
        <f t="shared" si="12"/>
        <v>3.8095238095238092E-2</v>
      </c>
    </row>
    <row r="7" spans="1:21" x14ac:dyDescent="0.3">
      <c r="A7" s="10" t="s">
        <v>29</v>
      </c>
      <c r="B7" s="16">
        <v>96476.800000000003</v>
      </c>
      <c r="C7" s="11">
        <f t="shared" si="2"/>
        <v>3357366.1917619081</v>
      </c>
      <c r="D7" s="12">
        <f t="shared" si="3"/>
        <v>323907.94660937524</v>
      </c>
      <c r="E7" s="12">
        <v>29594.1</v>
      </c>
      <c r="F7" s="11">
        <f t="shared" si="4"/>
        <v>4425247.2509629633</v>
      </c>
      <c r="G7" s="11">
        <f t="shared" si="5"/>
        <v>30216295.725857142</v>
      </c>
      <c r="H7" s="11">
        <f t="shared" si="0"/>
        <v>316533.2437717205</v>
      </c>
      <c r="I7" s="12">
        <v>23766.6</v>
      </c>
      <c r="J7" s="11">
        <f t="shared" si="6"/>
        <v>8297338.595555556</v>
      </c>
      <c r="K7" s="11">
        <f t="shared" si="7"/>
        <v>43645760.49290476</v>
      </c>
      <c r="L7" s="11">
        <f t="shared" si="8"/>
        <v>476631.25788322085</v>
      </c>
      <c r="M7" s="12">
        <v>19831.900000000001</v>
      </c>
      <c r="N7" s="11">
        <f t="shared" si="1"/>
        <v>15557509.866666667</v>
      </c>
      <c r="O7" s="11">
        <f t="shared" si="9"/>
        <v>57075225.259952381</v>
      </c>
      <c r="P7" s="11">
        <f t="shared" si="10"/>
        <v>745729.04647811269</v>
      </c>
      <c r="Q7" s="12">
        <v>19765</v>
      </c>
      <c r="R7" s="12">
        <v>29170331</v>
      </c>
      <c r="S7" s="11">
        <f>R7*2.417</f>
        <v>70504690.026999995</v>
      </c>
      <c r="T7" s="11">
        <f t="shared" si="11"/>
        <v>1393525.1983836547</v>
      </c>
      <c r="U7" s="15">
        <f t="shared" si="12"/>
        <v>3.8095238095238092E-2</v>
      </c>
    </row>
    <row r="8" spans="1:21" x14ac:dyDescent="0.3">
      <c r="A8" s="10" t="s">
        <v>30</v>
      </c>
      <c r="B8" s="16">
        <v>116974.3</v>
      </c>
      <c r="C8" s="11">
        <f t="shared" si="2"/>
        <v>1548906.5714285732</v>
      </c>
      <c r="D8" s="12">
        <f t="shared" si="3"/>
        <v>181182.26195825735</v>
      </c>
      <c r="E8" s="12">
        <v>83302.5</v>
      </c>
      <c r="F8" s="11">
        <f t="shared" si="4"/>
        <v>2900593.9294814817</v>
      </c>
      <c r="G8" s="11">
        <f t="shared" si="5"/>
        <v>13940159.142857144</v>
      </c>
      <c r="H8" s="11">
        <f t="shared" si="0"/>
        <v>584011.79628429539</v>
      </c>
      <c r="I8" s="12">
        <v>78921.600000000006</v>
      </c>
      <c r="J8" s="11">
        <f t="shared" si="6"/>
        <v>5438613.6177777778</v>
      </c>
      <c r="K8" s="11">
        <f t="shared" si="7"/>
        <v>20135785.428571429</v>
      </c>
      <c r="L8" s="11">
        <f t="shared" si="8"/>
        <v>1037434.6218967915</v>
      </c>
      <c r="M8" s="12">
        <v>81069.100000000006</v>
      </c>
      <c r="N8" s="11">
        <f t="shared" si="1"/>
        <v>10197400.533333333</v>
      </c>
      <c r="O8" s="11">
        <f t="shared" si="9"/>
        <v>26331411.714285716</v>
      </c>
      <c r="P8" s="11">
        <f t="shared" si="10"/>
        <v>1998119.6000052544</v>
      </c>
      <c r="Q8" s="12">
        <v>82230.899999999994</v>
      </c>
      <c r="R8" s="12">
        <v>19120126</v>
      </c>
      <c r="S8" s="11">
        <v>32527038</v>
      </c>
      <c r="T8" s="11">
        <f t="shared" si="11"/>
        <v>2674727.6090741996</v>
      </c>
      <c r="U8" s="15">
        <f t="shared" si="12"/>
        <v>3.8095238095238092E-2</v>
      </c>
    </row>
    <row r="9" spans="1:21" x14ac:dyDescent="0.3">
      <c r="A9" s="10" t="s">
        <v>31</v>
      </c>
      <c r="B9" s="16">
        <v>346378.5</v>
      </c>
      <c r="C9" s="11">
        <f t="shared" si="2"/>
        <v>88124.855857142946</v>
      </c>
      <c r="D9" s="12">
        <f t="shared" si="3"/>
        <v>30524.555384513391</v>
      </c>
      <c r="E9" s="12">
        <v>184719.3</v>
      </c>
      <c r="F9" s="11">
        <f t="shared" si="4"/>
        <v>116154.82311111111</v>
      </c>
      <c r="G9" s="11">
        <f t="shared" si="5"/>
        <v>793123.7027142857</v>
      </c>
      <c r="H9" s="11">
        <f t="shared" si="0"/>
        <v>51859.24291958387</v>
      </c>
      <c r="I9" s="12">
        <v>386995.20000000001</v>
      </c>
      <c r="J9" s="11">
        <f t="shared" si="6"/>
        <v>217790.29333333333</v>
      </c>
      <c r="K9" s="11">
        <f t="shared" si="7"/>
        <v>1145623.1261428571</v>
      </c>
      <c r="L9" s="11">
        <f t="shared" si="8"/>
        <v>203713.94007197287</v>
      </c>
      <c r="M9" s="12">
        <v>226279.8</v>
      </c>
      <c r="N9" s="11">
        <f t="shared" si="1"/>
        <v>408356.8</v>
      </c>
      <c r="O9" s="11">
        <f t="shared" si="9"/>
        <v>1498122.5495714284</v>
      </c>
      <c r="P9" s="11">
        <f t="shared" si="10"/>
        <v>223337.79729389088</v>
      </c>
      <c r="Q9" s="12">
        <v>191472.6</v>
      </c>
      <c r="R9" s="12">
        <v>765669</v>
      </c>
      <c r="S9" s="11">
        <f>R9*2.417</f>
        <v>1850621.9729999998</v>
      </c>
      <c r="T9" s="11">
        <f t="shared" si="11"/>
        <v>354343.40078743978</v>
      </c>
      <c r="U9" s="15">
        <f t="shared" si="12"/>
        <v>3.8095238095238092E-2</v>
      </c>
    </row>
    <row r="10" spans="1:21" x14ac:dyDescent="0.3">
      <c r="A10" s="10" t="s">
        <v>32</v>
      </c>
      <c r="B10" s="16">
        <v>137874.70000000001</v>
      </c>
      <c r="C10" s="11">
        <f t="shared" si="2"/>
        <v>714285.71428571513</v>
      </c>
      <c r="D10" s="12">
        <f t="shared" si="3"/>
        <v>98481.928571428696</v>
      </c>
      <c r="E10" s="12">
        <v>46162.2</v>
      </c>
      <c r="F10" s="11">
        <f t="shared" si="4"/>
        <v>2275555.5555555555</v>
      </c>
      <c r="G10" s="11">
        <f t="shared" si="5"/>
        <v>6428571.4285714291</v>
      </c>
      <c r="H10" s="11">
        <f t="shared" si="0"/>
        <v>253892.92066133328</v>
      </c>
      <c r="I10" s="12">
        <v>53352.7</v>
      </c>
      <c r="J10" s="11">
        <f t="shared" si="6"/>
        <v>4266666.666666667</v>
      </c>
      <c r="K10" s="11">
        <f t="shared" si="7"/>
        <v>9285714.2857142854</v>
      </c>
      <c r="L10" s="11">
        <f t="shared" si="8"/>
        <v>550201.49717333331</v>
      </c>
      <c r="M10" s="12">
        <v>36795.1</v>
      </c>
      <c r="N10" s="11">
        <f t="shared" si="1"/>
        <v>8000000</v>
      </c>
      <c r="O10" s="11">
        <f t="shared" si="9"/>
        <v>12142857.142857144</v>
      </c>
      <c r="P10" s="11">
        <f t="shared" si="10"/>
        <v>711470.05359999998</v>
      </c>
      <c r="Q10" s="12">
        <v>32490.6</v>
      </c>
      <c r="R10" s="12">
        <v>15000000</v>
      </c>
      <c r="S10" s="12">
        <v>15000000</v>
      </c>
      <c r="T10" s="11">
        <f t="shared" si="11"/>
        <v>487359</v>
      </c>
      <c r="U10" s="15">
        <f t="shared" si="12"/>
        <v>3.8095238095238092E-2</v>
      </c>
    </row>
    <row r="11" spans="1:21" x14ac:dyDescent="0.3">
      <c r="A11" s="10" t="s">
        <v>33</v>
      </c>
      <c r="B11" s="16">
        <v>200582.2</v>
      </c>
      <c r="C11" s="11">
        <f t="shared" si="2"/>
        <v>1059144.4774761917</v>
      </c>
      <c r="D11" s="12">
        <f t="shared" si="3"/>
        <v>212445.52941002499</v>
      </c>
      <c r="E11" s="12">
        <v>240639</v>
      </c>
      <c r="F11" s="11">
        <f t="shared" si="4"/>
        <v>1396027.6954074071</v>
      </c>
      <c r="G11" s="11">
        <f t="shared" si="5"/>
        <v>9532300.2972857151</v>
      </c>
      <c r="H11" s="11">
        <f t="shared" si="0"/>
        <v>811963.85867446067</v>
      </c>
      <c r="I11" s="12">
        <v>239675.1</v>
      </c>
      <c r="J11" s="11">
        <f t="shared" si="6"/>
        <v>2617551.9288888886</v>
      </c>
      <c r="K11" s="11">
        <f t="shared" si="7"/>
        <v>13768878.207190476</v>
      </c>
      <c r="L11" s="11">
        <f t="shared" si="8"/>
        <v>1516334.0030932273</v>
      </c>
      <c r="M11" s="12">
        <v>188976.4</v>
      </c>
      <c r="N11" s="11">
        <f t="shared" si="1"/>
        <v>4907909.8666666662</v>
      </c>
      <c r="O11" s="11">
        <f t="shared" si="9"/>
        <v>18005456.117095236</v>
      </c>
      <c r="P11" s="11">
        <f t="shared" si="10"/>
        <v>2241717.076853313</v>
      </c>
      <c r="Q11" s="12">
        <v>208211.9</v>
      </c>
      <c r="R11" s="12">
        <v>9202331</v>
      </c>
      <c r="S11" s="11">
        <f>R11*2.417</f>
        <v>22242034.026999999</v>
      </c>
      <c r="T11" s="11">
        <f t="shared" si="11"/>
        <v>4631056.1646263208</v>
      </c>
      <c r="U11" s="15">
        <f t="shared" si="12"/>
        <v>3.8095238095238092E-2</v>
      </c>
    </row>
    <row r="12" spans="1:21" x14ac:dyDescent="0.3">
      <c r="A12" s="10" t="s">
        <v>34</v>
      </c>
      <c r="B12" s="16">
        <v>51189.2</v>
      </c>
      <c r="C12" s="11">
        <f t="shared" si="2"/>
        <v>714285.71428571513</v>
      </c>
      <c r="D12" s="12">
        <f t="shared" si="3"/>
        <v>36563.714285714326</v>
      </c>
      <c r="E12" s="12">
        <v>14402.6</v>
      </c>
      <c r="F12" s="11">
        <f t="shared" si="4"/>
        <v>941479.33618351491</v>
      </c>
      <c r="G12" s="11">
        <f t="shared" si="5"/>
        <v>6428571.4285714291</v>
      </c>
      <c r="H12" s="11">
        <f t="shared" si="0"/>
        <v>32773.91644444444</v>
      </c>
      <c r="I12" s="12">
        <v>21039.5</v>
      </c>
      <c r="J12" s="11">
        <f t="shared" si="6"/>
        <v>1765273.7553440905</v>
      </c>
      <c r="K12" s="11">
        <f t="shared" si="7"/>
        <v>9285714.2857142854</v>
      </c>
      <c r="L12" s="11">
        <f t="shared" si="8"/>
        <v>89768.533333333311</v>
      </c>
      <c r="M12" s="12">
        <v>8030.1</v>
      </c>
      <c r="N12" s="11">
        <f t="shared" si="1"/>
        <v>3309888.2912701699</v>
      </c>
      <c r="O12" s="11">
        <f t="shared" si="9"/>
        <v>12142857.142857144</v>
      </c>
      <c r="P12" s="11">
        <f t="shared" si="10"/>
        <v>64240.800000000003</v>
      </c>
      <c r="Q12" s="12">
        <v>6220.7</v>
      </c>
      <c r="R12" s="12">
        <f>S12/2.417</f>
        <v>6206040.546131569</v>
      </c>
      <c r="S12" s="12">
        <v>15000000</v>
      </c>
      <c r="T12" s="11">
        <f t="shared" si="11"/>
        <v>93310.5</v>
      </c>
      <c r="U12" s="15">
        <f t="shared" si="12"/>
        <v>3.8095238095238092E-2</v>
      </c>
    </row>
    <row r="13" spans="1:21" x14ac:dyDescent="0.3">
      <c r="A13" s="10" t="s">
        <v>35</v>
      </c>
      <c r="B13" s="16">
        <v>565991.4</v>
      </c>
      <c r="C13" s="11">
        <f t="shared" si="2"/>
        <v>714285.71428571513</v>
      </c>
      <c r="D13" s="12">
        <f t="shared" si="3"/>
        <v>404279.57142857189</v>
      </c>
      <c r="E13" s="12">
        <v>470339.8</v>
      </c>
      <c r="F13" s="11">
        <f t="shared" si="4"/>
        <v>941479.33618351491</v>
      </c>
      <c r="G13" s="11">
        <f t="shared" si="5"/>
        <v>6428571.4285714291</v>
      </c>
      <c r="H13" s="11">
        <f t="shared" si="0"/>
        <v>1070284.3448888888</v>
      </c>
      <c r="I13" s="12">
        <v>400140.6</v>
      </c>
      <c r="J13" s="11">
        <f t="shared" si="6"/>
        <v>1765273.7553440905</v>
      </c>
      <c r="K13" s="11">
        <f t="shared" si="7"/>
        <v>9285714.2857142854</v>
      </c>
      <c r="L13" s="11">
        <f t="shared" si="8"/>
        <v>1707266.56</v>
      </c>
      <c r="M13" s="12">
        <v>168805.7</v>
      </c>
      <c r="N13" s="11">
        <f t="shared" si="1"/>
        <v>3309888.2912701699</v>
      </c>
      <c r="O13" s="11">
        <f t="shared" si="9"/>
        <v>12142857.142857144</v>
      </c>
      <c r="P13" s="11">
        <f t="shared" si="10"/>
        <v>1350445.6</v>
      </c>
      <c r="Q13" s="12">
        <v>147646.9</v>
      </c>
      <c r="R13" s="12">
        <f>S13/2.417</f>
        <v>6206040.546131569</v>
      </c>
      <c r="S13" s="12">
        <v>15000000</v>
      </c>
      <c r="T13" s="11">
        <f t="shared" si="11"/>
        <v>2214703.5</v>
      </c>
      <c r="U13" s="15">
        <f t="shared" si="12"/>
        <v>3.8095238095238092E-2</v>
      </c>
    </row>
    <row r="14" spans="1:21" x14ac:dyDescent="0.3">
      <c r="A14" s="10" t="s">
        <v>36</v>
      </c>
      <c r="B14" s="16">
        <v>1227221.6000000001</v>
      </c>
      <c r="C14" s="11">
        <f t="shared" si="2"/>
        <v>414342.85714285763</v>
      </c>
      <c r="D14" s="12">
        <f t="shared" si="3"/>
        <v>508490.50409142917</v>
      </c>
      <c r="E14" s="12">
        <v>1032651</v>
      </c>
      <c r="F14" s="11">
        <f t="shared" si="4"/>
        <v>546133.33333333337</v>
      </c>
      <c r="G14" s="11">
        <f t="shared" si="5"/>
        <v>3729085.7142857146</v>
      </c>
      <c r="H14" s="11">
        <f t="shared" si="0"/>
        <v>1363103.7259775999</v>
      </c>
      <c r="I14" s="12">
        <v>972003.8</v>
      </c>
      <c r="J14" s="11">
        <f t="shared" si="6"/>
        <v>1024000</v>
      </c>
      <c r="K14" s="11">
        <f t="shared" si="7"/>
        <v>5386457.1428571427</v>
      </c>
      <c r="L14" s="11">
        <f t="shared" si="8"/>
        <v>2405717.1810304001</v>
      </c>
      <c r="M14" s="12">
        <v>700499</v>
      </c>
      <c r="N14" s="11">
        <f t="shared" si="1"/>
        <v>1920000</v>
      </c>
      <c r="O14" s="11">
        <f t="shared" si="9"/>
        <v>7043828.5714285718</v>
      </c>
      <c r="P14" s="11">
        <f t="shared" si="10"/>
        <v>3250763.6793599995</v>
      </c>
      <c r="Q14" s="12">
        <v>656507.19999999995</v>
      </c>
      <c r="R14" s="12">
        <v>3600000</v>
      </c>
      <c r="S14" s="11">
        <f>R14*2.417</f>
        <v>8701200</v>
      </c>
      <c r="T14" s="11">
        <f t="shared" si="11"/>
        <v>5712400.4486400001</v>
      </c>
      <c r="U14" s="15">
        <f t="shared" si="12"/>
        <v>3.8095238095238092E-2</v>
      </c>
    </row>
    <row r="15" spans="1:21" x14ac:dyDescent="0.3">
      <c r="A15" s="14" t="s">
        <v>0</v>
      </c>
      <c r="B15" s="14"/>
      <c r="C15" s="14"/>
      <c r="D15" s="14"/>
      <c r="E15" s="13"/>
      <c r="F15" s="13"/>
      <c r="G15" s="13"/>
      <c r="H15" s="13">
        <f>SUM(H4:H14)</f>
        <v>32011149.433051955</v>
      </c>
      <c r="I15" s="13"/>
      <c r="J15" s="13"/>
      <c r="K15" s="13"/>
      <c r="L15" s="13">
        <f>SUM(L4:L14)</f>
        <v>52123901.680748448</v>
      </c>
      <c r="M15" s="13"/>
      <c r="N15" s="13"/>
      <c r="O15" s="13"/>
      <c r="P15" s="13">
        <f>SUM(P4:P14)</f>
        <v>74780323.066353425</v>
      </c>
      <c r="Q15" s="13"/>
      <c r="R15" s="13"/>
      <c r="S15" s="13"/>
      <c r="T15" s="13">
        <f>SUM(T4:T14)</f>
        <v>113152714.12087083</v>
      </c>
    </row>
    <row r="17" spans="11:19" x14ac:dyDescent="0.3">
      <c r="K17" s="20">
        <f>K4/G4-1</f>
        <v>0.4444444444444442</v>
      </c>
      <c r="O17" s="20">
        <f>O4/K4-1</f>
        <v>0.30769230769230771</v>
      </c>
      <c r="S17" s="20">
        <f t="shared" ref="S17:S27" si="13">S4/O4-1</f>
        <v>0.23529411764705865</v>
      </c>
    </row>
    <row r="18" spans="11:19" x14ac:dyDescent="0.3">
      <c r="K18" s="20">
        <f t="shared" ref="K18:K28" si="14">K5/G5-1</f>
        <v>0.44444444444444442</v>
      </c>
      <c r="O18" s="20">
        <f t="shared" ref="O18:O27" si="15">O5/K5-1</f>
        <v>0.30769230769230771</v>
      </c>
      <c r="S18" s="20">
        <f t="shared" si="13"/>
        <v>0.23529411764705865</v>
      </c>
    </row>
    <row r="19" spans="11:19" x14ac:dyDescent="0.3">
      <c r="K19" s="20">
        <f t="shared" si="14"/>
        <v>0.4444444444444442</v>
      </c>
      <c r="O19" s="20">
        <f t="shared" si="15"/>
        <v>0.30769230769230771</v>
      </c>
      <c r="S19" s="20">
        <f t="shared" si="13"/>
        <v>0.23529411764705888</v>
      </c>
    </row>
    <row r="20" spans="11:19" x14ac:dyDescent="0.3">
      <c r="K20" s="20">
        <f t="shared" si="14"/>
        <v>0.44444444444444442</v>
      </c>
      <c r="O20" s="20">
        <f t="shared" si="15"/>
        <v>0.30769230769230771</v>
      </c>
      <c r="S20" s="20">
        <f t="shared" si="13"/>
        <v>0.23529411764705865</v>
      </c>
    </row>
    <row r="21" spans="11:19" x14ac:dyDescent="0.3">
      <c r="K21" s="20">
        <f t="shared" si="14"/>
        <v>0.44444444444444442</v>
      </c>
      <c r="O21" s="20">
        <f t="shared" si="15"/>
        <v>0.30769230769230771</v>
      </c>
      <c r="S21" s="20">
        <f t="shared" si="13"/>
        <v>0.23529411764705865</v>
      </c>
    </row>
    <row r="22" spans="11:19" x14ac:dyDescent="0.3">
      <c r="K22" s="20">
        <f t="shared" si="14"/>
        <v>0.44444444444444442</v>
      </c>
      <c r="O22" s="20">
        <f t="shared" si="15"/>
        <v>0.30769230769230771</v>
      </c>
      <c r="S22" s="20">
        <f t="shared" si="13"/>
        <v>0.23529411764705888</v>
      </c>
    </row>
    <row r="23" spans="11:19" x14ac:dyDescent="0.3">
      <c r="K23" s="20">
        <f t="shared" si="14"/>
        <v>0.4444444444444442</v>
      </c>
      <c r="O23" s="20">
        <f t="shared" si="15"/>
        <v>0.30769230769230771</v>
      </c>
      <c r="S23" s="20">
        <f t="shared" si="13"/>
        <v>0.23529411764705865</v>
      </c>
    </row>
    <row r="24" spans="11:19" x14ac:dyDescent="0.3">
      <c r="K24" s="20">
        <f t="shared" si="14"/>
        <v>0.44444444444444442</v>
      </c>
      <c r="O24" s="20">
        <f t="shared" si="15"/>
        <v>0.30769230769230749</v>
      </c>
      <c r="S24" s="20">
        <f t="shared" si="13"/>
        <v>0.23529411764705888</v>
      </c>
    </row>
    <row r="25" spans="11:19" x14ac:dyDescent="0.3">
      <c r="K25" s="20">
        <f t="shared" si="14"/>
        <v>0.4444444444444442</v>
      </c>
      <c r="O25" s="20">
        <f t="shared" si="15"/>
        <v>0.30769230769230771</v>
      </c>
      <c r="S25" s="20">
        <f t="shared" si="13"/>
        <v>0.23529411764705865</v>
      </c>
    </row>
    <row r="26" spans="11:19" x14ac:dyDescent="0.3">
      <c r="K26" s="20">
        <f t="shared" si="14"/>
        <v>0.4444444444444442</v>
      </c>
      <c r="O26" s="20">
        <f t="shared" si="15"/>
        <v>0.30769230769230771</v>
      </c>
      <c r="S26" s="20">
        <f t="shared" si="13"/>
        <v>0.23529411764705865</v>
      </c>
    </row>
    <row r="27" spans="11:19" x14ac:dyDescent="0.3">
      <c r="K27" s="20">
        <f t="shared" si="14"/>
        <v>0.4444444444444442</v>
      </c>
      <c r="O27" s="20">
        <f t="shared" si="15"/>
        <v>0.30769230769230771</v>
      </c>
      <c r="S27" s="20">
        <f t="shared" si="13"/>
        <v>0.23529411764705865</v>
      </c>
    </row>
    <row r="28" spans="11:19" x14ac:dyDescent="0.3">
      <c r="K28" s="19" t="e">
        <f t="shared" si="14"/>
        <v>#DIV/0!</v>
      </c>
    </row>
    <row r="33" spans="1:20" x14ac:dyDescent="0.3">
      <c r="A33" s="18" t="s">
        <v>7</v>
      </c>
    </row>
    <row r="34" spans="1:20" ht="116.25" customHeight="1" x14ac:dyDescent="0.3">
      <c r="A34" s="45" t="s">
        <v>8</v>
      </c>
      <c r="B34" s="46"/>
      <c r="C34" s="46"/>
      <c r="D34" s="46"/>
      <c r="E34" s="46"/>
      <c r="F34" s="46"/>
      <c r="G34" s="46"/>
      <c r="H34" s="46"/>
      <c r="I34" s="46"/>
      <c r="J34" s="46"/>
      <c r="K34" s="46"/>
      <c r="L34" s="46"/>
      <c r="M34" s="46"/>
      <c r="N34" s="46"/>
      <c r="O34" s="46"/>
      <c r="P34" s="46"/>
      <c r="Q34" s="46"/>
      <c r="R34" s="46"/>
      <c r="S34" s="46"/>
      <c r="T34" s="46"/>
    </row>
    <row r="35" spans="1:20" x14ac:dyDescent="0.3">
      <c r="A35" s="47" t="s">
        <v>9</v>
      </c>
      <c r="B35" s="48"/>
      <c r="C35" s="48"/>
      <c r="D35" s="48"/>
      <c r="E35" s="48"/>
      <c r="F35" s="48"/>
      <c r="G35" s="48"/>
      <c r="H35" s="48"/>
      <c r="I35" s="48"/>
      <c r="J35" s="48"/>
      <c r="K35" s="48"/>
      <c r="L35" s="48"/>
      <c r="M35" s="48"/>
      <c r="N35" s="48"/>
      <c r="O35" s="48"/>
      <c r="P35" s="48"/>
      <c r="Q35" s="48"/>
      <c r="R35" s="48"/>
      <c r="S35" s="48"/>
      <c r="T35" s="48"/>
    </row>
    <row r="36" spans="1:20" x14ac:dyDescent="0.3">
      <c r="A36" s="49" t="s">
        <v>15</v>
      </c>
      <c r="B36" s="50"/>
      <c r="C36" s="50"/>
      <c r="D36" s="50"/>
      <c r="E36" s="50"/>
      <c r="F36" s="50"/>
      <c r="G36" s="50"/>
      <c r="H36" s="50"/>
      <c r="I36" s="50"/>
      <c r="J36" s="50"/>
      <c r="K36" s="50"/>
      <c r="L36" s="50"/>
      <c r="M36" s="50"/>
      <c r="N36" s="50"/>
      <c r="O36" s="50"/>
      <c r="P36" s="50"/>
      <c r="Q36" s="50"/>
      <c r="R36" s="50"/>
      <c r="S36" s="50"/>
      <c r="T36" s="50"/>
    </row>
    <row r="37" spans="1:20" x14ac:dyDescent="0.3">
      <c r="A37" s="49" t="s">
        <v>14</v>
      </c>
      <c r="B37" s="50"/>
      <c r="C37" s="50"/>
      <c r="D37" s="50"/>
      <c r="E37" s="50"/>
      <c r="F37" s="50"/>
      <c r="G37" s="50"/>
      <c r="H37" s="50"/>
      <c r="I37" s="50"/>
      <c r="J37" s="50"/>
      <c r="K37" s="50"/>
      <c r="L37" s="50"/>
      <c r="M37" s="50"/>
      <c r="N37" s="50"/>
      <c r="O37" s="50"/>
      <c r="P37" s="50"/>
      <c r="Q37" s="50"/>
      <c r="R37" s="50"/>
      <c r="S37" s="50"/>
      <c r="T37" s="50"/>
    </row>
    <row r="38" spans="1:20" x14ac:dyDescent="0.3">
      <c r="A38" s="47"/>
      <c r="B38" s="48"/>
      <c r="C38" s="48"/>
      <c r="D38" s="48"/>
      <c r="E38" s="48"/>
      <c r="F38" s="48"/>
      <c r="G38" s="48"/>
      <c r="H38" s="48"/>
      <c r="I38" s="48"/>
      <c r="J38" s="48"/>
      <c r="K38" s="48"/>
      <c r="L38" s="48"/>
      <c r="M38" s="48"/>
      <c r="N38" s="48"/>
      <c r="O38" s="48"/>
      <c r="P38" s="48"/>
      <c r="Q38" s="48"/>
      <c r="R38" s="48"/>
      <c r="S38" s="48"/>
      <c r="T38" s="48"/>
    </row>
  </sheetData>
  <mergeCells count="10">
    <mergeCell ref="A34:T34"/>
    <mergeCell ref="A35:T35"/>
    <mergeCell ref="A36:T36"/>
    <mergeCell ref="A37:T37"/>
    <mergeCell ref="A38:T38"/>
    <mergeCell ref="E2:H2"/>
    <mergeCell ref="I2:L2"/>
    <mergeCell ref="M2:P2"/>
    <mergeCell ref="Q2:T2"/>
    <mergeCell ref="B2:D2"/>
  </mergeCells>
  <pageMargins left="0.7" right="0.7" top="0.75" bottom="0.75" header="0.3" footer="0.3"/>
  <pageSetup orientation="portrait"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6"/>
  <sheetViews>
    <sheetView topLeftCell="H1" workbookViewId="0">
      <selection activeCell="U4" sqref="U4:U14"/>
    </sheetView>
  </sheetViews>
  <sheetFormatPr defaultRowHeight="12.75" x14ac:dyDescent="0.2"/>
  <cols>
    <col min="1" max="1" width="17.5703125" style="30" bestFit="1" customWidth="1"/>
    <col min="2" max="2" width="14.5703125" style="30" bestFit="1" customWidth="1"/>
    <col min="3" max="3" width="14.28515625" style="30" bestFit="1" customWidth="1"/>
    <col min="4" max="4" width="16.5703125" style="30" customWidth="1"/>
    <col min="5" max="5" width="11.85546875" style="30" bestFit="1" customWidth="1"/>
    <col min="6" max="6" width="13.140625" style="30" bestFit="1" customWidth="1"/>
    <col min="7" max="7" width="13.140625" style="30" customWidth="1"/>
    <col min="8" max="8" width="13.28515625" style="30" bestFit="1" customWidth="1"/>
    <col min="9" max="9" width="10.140625" style="30" bestFit="1" customWidth="1"/>
    <col min="10" max="10" width="13.140625" style="30" bestFit="1" customWidth="1"/>
    <col min="11" max="11" width="15.42578125" style="30" customWidth="1"/>
    <col min="12" max="12" width="13.28515625" style="30" bestFit="1" customWidth="1"/>
    <col min="13" max="13" width="10.140625" style="30" bestFit="1" customWidth="1"/>
    <col min="14" max="14" width="13.140625" style="30" bestFit="1" customWidth="1"/>
    <col min="15" max="15" width="14.140625" style="30" customWidth="1"/>
    <col min="16" max="16" width="13.28515625" style="30" bestFit="1" customWidth="1"/>
    <col min="17" max="17" width="10.140625" style="30" bestFit="1" customWidth="1"/>
    <col min="18" max="18" width="14.42578125" style="30" bestFit="1" customWidth="1"/>
    <col min="19" max="19" width="14.42578125" style="30" customWidth="1"/>
    <col min="20" max="20" width="19.5703125" style="30" bestFit="1" customWidth="1"/>
    <col min="21" max="16384" width="9.140625" style="30"/>
  </cols>
  <sheetData>
    <row r="1" spans="1:21" x14ac:dyDescent="0.2">
      <c r="A1" s="29" t="s">
        <v>16</v>
      </c>
    </row>
    <row r="2" spans="1:21" s="29" customFormat="1" x14ac:dyDescent="0.2">
      <c r="A2" s="31"/>
      <c r="B2" s="55">
        <v>1990</v>
      </c>
      <c r="C2" s="56"/>
      <c r="D2" s="57"/>
      <c r="E2" s="58">
        <v>2000</v>
      </c>
      <c r="F2" s="58"/>
      <c r="G2" s="58"/>
      <c r="H2" s="58"/>
      <c r="I2" s="58">
        <v>2005</v>
      </c>
      <c r="J2" s="58"/>
      <c r="K2" s="58"/>
      <c r="L2" s="58"/>
      <c r="M2" s="58">
        <v>2010</v>
      </c>
      <c r="N2" s="58"/>
      <c r="O2" s="58"/>
      <c r="P2" s="58"/>
      <c r="Q2" s="58">
        <v>2015</v>
      </c>
      <c r="R2" s="58"/>
      <c r="S2" s="58"/>
      <c r="T2" s="58"/>
    </row>
    <row r="3" spans="1:21" ht="63.75" x14ac:dyDescent="0.2">
      <c r="A3" s="32"/>
      <c r="B3" s="33" t="s">
        <v>17</v>
      </c>
      <c r="C3" s="34" t="s">
        <v>13</v>
      </c>
      <c r="D3" s="34" t="s">
        <v>11</v>
      </c>
      <c r="E3" s="33" t="s">
        <v>17</v>
      </c>
      <c r="F3" s="34" t="s">
        <v>12</v>
      </c>
      <c r="G3" s="34" t="s">
        <v>13</v>
      </c>
      <c r="H3" s="34" t="s">
        <v>11</v>
      </c>
      <c r="I3" s="33" t="s">
        <v>17</v>
      </c>
      <c r="J3" s="34" t="s">
        <v>10</v>
      </c>
      <c r="K3" s="34" t="s">
        <v>13</v>
      </c>
      <c r="L3" s="34" t="s">
        <v>11</v>
      </c>
      <c r="M3" s="33" t="s">
        <v>17</v>
      </c>
      <c r="N3" s="34" t="s">
        <v>10</v>
      </c>
      <c r="O3" s="34" t="s">
        <v>13</v>
      </c>
      <c r="P3" s="34" t="s">
        <v>11</v>
      </c>
      <c r="Q3" s="33" t="s">
        <v>17</v>
      </c>
      <c r="R3" s="34" t="s">
        <v>24</v>
      </c>
      <c r="S3" s="34" t="s">
        <v>13</v>
      </c>
      <c r="T3" s="34" t="s">
        <v>25</v>
      </c>
    </row>
    <row r="4" spans="1:21" x14ac:dyDescent="0.2">
      <c r="A4" s="35" t="s">
        <v>26</v>
      </c>
      <c r="B4" s="36">
        <v>1197445.7</v>
      </c>
      <c r="C4" s="37">
        <f>(1-(25*U4))*S4</f>
        <v>714285.71428571513</v>
      </c>
      <c r="D4" s="38">
        <f>B4*C4/1000000</f>
        <v>855318.35714285821</v>
      </c>
      <c r="E4" s="38">
        <v>916745.6</v>
      </c>
      <c r="F4" s="37">
        <f>J4/1.875</f>
        <v>941479.33618351491</v>
      </c>
      <c r="G4" s="37">
        <f>(1-(15*U4))*S4</f>
        <v>6428571.4285714291</v>
      </c>
      <c r="H4" s="37">
        <f t="shared" ref="H4:H14" si="0">E4*F4*2.417/1000000</f>
        <v>2086105.5431111108</v>
      </c>
      <c r="I4" s="38">
        <v>773619.1</v>
      </c>
      <c r="J4" s="37">
        <f>N4/1.875</f>
        <v>1765273.7553440905</v>
      </c>
      <c r="K4" s="37">
        <f>(1-(10*U4))*S4</f>
        <v>9285714.2857142854</v>
      </c>
      <c r="L4" s="37">
        <f>I4*J4*2.417/1000000</f>
        <v>3300774.8266666667</v>
      </c>
      <c r="M4" s="38">
        <v>295569.40000000002</v>
      </c>
      <c r="N4" s="37">
        <f t="shared" ref="N4:N14" si="1">R4/1.875</f>
        <v>3309888.2912701699</v>
      </c>
      <c r="O4" s="37">
        <f>(1-(5*U4))*S4</f>
        <v>12142857.142857144</v>
      </c>
      <c r="P4" s="37">
        <f>M4*N4*2.417/1000000</f>
        <v>2364555.2000000002</v>
      </c>
      <c r="Q4" s="38">
        <v>175004.4</v>
      </c>
      <c r="R4" s="38">
        <f>S4/2.417</f>
        <v>6206040.546131569</v>
      </c>
      <c r="S4" s="38">
        <v>15000000</v>
      </c>
      <c r="T4" s="37">
        <f>S4*Q4/1000000</f>
        <v>2625066</v>
      </c>
      <c r="U4" s="30">
        <f>(4/7)/15</f>
        <v>3.8095238095238092E-2</v>
      </c>
    </row>
    <row r="5" spans="1:21" x14ac:dyDescent="0.2">
      <c r="A5" s="35" t="s">
        <v>27</v>
      </c>
      <c r="B5" s="36">
        <v>674196.5</v>
      </c>
      <c r="C5" s="37">
        <f t="shared" ref="C5:C14" si="2">(1-(25*U5))*S5</f>
        <v>4110741.5238095284</v>
      </c>
      <c r="D5" s="38">
        <f t="shared" ref="D5:D14" si="3">B5*C5/1000000</f>
        <v>2771447.547757051</v>
      </c>
      <c r="E5" s="38">
        <v>464499</v>
      </c>
      <c r="F5" s="37">
        <f t="shared" ref="F5:F14" si="4">J5/1.875</f>
        <v>5418249.4814814813</v>
      </c>
      <c r="G5" s="37">
        <f t="shared" ref="G5:G14" si="5">(1-(15*U5))*S5</f>
        <v>36996673.714285716</v>
      </c>
      <c r="H5" s="37">
        <f t="shared" si="0"/>
        <v>6083036.6330770766</v>
      </c>
      <c r="I5" s="38">
        <v>394181.5</v>
      </c>
      <c r="J5" s="37">
        <f t="shared" ref="J5:J14" si="6">N5/1.875</f>
        <v>10159217.777777778</v>
      </c>
      <c r="K5" s="37">
        <f t="shared" ref="K5:K14" si="7">(1-(10*U5))*S5</f>
        <v>53439639.809523813</v>
      </c>
      <c r="L5" s="37">
        <f t="shared" ref="L5:L14" si="8">I5*J5*2.417/1000000</f>
        <v>9679059.4728726763</v>
      </c>
      <c r="M5" s="38">
        <v>248796.79999999999</v>
      </c>
      <c r="N5" s="37">
        <f t="shared" si="1"/>
        <v>19048533.333333332</v>
      </c>
      <c r="O5" s="37">
        <f t="shared" ref="O5:O14" si="9">(1-(5*U5))*S5</f>
        <v>69882605.90476191</v>
      </c>
      <c r="P5" s="37">
        <f t="shared" ref="P5:P14" si="10">M5*N5*2.417/1000000</f>
        <v>11454680.571610451</v>
      </c>
      <c r="Q5" s="38">
        <v>265496.09999999998</v>
      </c>
      <c r="R5" s="39">
        <v>35716000</v>
      </c>
      <c r="S5" s="37">
        <f>R5*2.417</f>
        <v>86325572</v>
      </c>
      <c r="T5" s="37">
        <f t="shared" ref="T5:T14" si="11">S5*Q5/1000000</f>
        <v>22919102.696269199</v>
      </c>
      <c r="U5" s="30">
        <f t="shared" ref="U5:U14" si="12">(4/7)/15</f>
        <v>3.8095238095238092E-2</v>
      </c>
    </row>
    <row r="6" spans="1:21" x14ac:dyDescent="0.2">
      <c r="A6" s="35" t="s">
        <v>28</v>
      </c>
      <c r="B6" s="36">
        <v>319429.8</v>
      </c>
      <c r="C6" s="37">
        <f t="shared" si="2"/>
        <v>20019572.717333354</v>
      </c>
      <c r="D6" s="38">
        <f t="shared" si="3"/>
        <v>6394848.10918325</v>
      </c>
      <c r="E6" s="38">
        <v>303515.5</v>
      </c>
      <c r="F6" s="37">
        <f t="shared" si="4"/>
        <v>26387219.645629629</v>
      </c>
      <c r="G6" s="37">
        <f t="shared" si="5"/>
        <v>180176154.456</v>
      </c>
      <c r="H6" s="37">
        <f t="shared" si="0"/>
        <v>19357584.207241442</v>
      </c>
      <c r="I6" s="38">
        <v>260545.8</v>
      </c>
      <c r="J6" s="37">
        <f t="shared" si="6"/>
        <v>49476036.835555553</v>
      </c>
      <c r="K6" s="37">
        <f t="shared" si="7"/>
        <v>260254445.3253333</v>
      </c>
      <c r="L6" s="37">
        <f t="shared" si="8"/>
        <v>31156999.786726829</v>
      </c>
      <c r="M6" s="38">
        <v>224669.7</v>
      </c>
      <c r="N6" s="37">
        <f t="shared" si="1"/>
        <v>92767569.066666663</v>
      </c>
      <c r="O6" s="37">
        <f t="shared" si="9"/>
        <v>340332736.19466662</v>
      </c>
      <c r="P6" s="37">
        <f t="shared" si="10"/>
        <v>50375263.641152404</v>
      </c>
      <c r="Q6" s="38">
        <v>166615.79999999999</v>
      </c>
      <c r="R6" s="38">
        <v>173939192</v>
      </c>
      <c r="S6" s="37">
        <f>R6*2.417</f>
        <v>420411027.06399995</v>
      </c>
      <c r="T6" s="37">
        <f t="shared" si="11"/>
        <v>70047119.603090003</v>
      </c>
      <c r="U6" s="30">
        <f t="shared" si="12"/>
        <v>3.8095238095238092E-2</v>
      </c>
    </row>
    <row r="7" spans="1:21" x14ac:dyDescent="0.2">
      <c r="A7" s="35" t="s">
        <v>29</v>
      </c>
      <c r="B7" s="36">
        <v>96476.800000000003</v>
      </c>
      <c r="C7" s="37">
        <f t="shared" si="2"/>
        <v>3357366.1917619081</v>
      </c>
      <c r="D7" s="38">
        <f t="shared" si="3"/>
        <v>323907.94660937524</v>
      </c>
      <c r="E7" s="38">
        <v>29594.1</v>
      </c>
      <c r="F7" s="37">
        <f t="shared" si="4"/>
        <v>4425247.2509629633</v>
      </c>
      <c r="G7" s="37">
        <f t="shared" si="5"/>
        <v>30216295.725857142</v>
      </c>
      <c r="H7" s="37">
        <f t="shared" si="0"/>
        <v>316533.2437717205</v>
      </c>
      <c r="I7" s="38">
        <v>23766.6</v>
      </c>
      <c r="J7" s="37">
        <f t="shared" si="6"/>
        <v>8297338.595555556</v>
      </c>
      <c r="K7" s="37">
        <f t="shared" si="7"/>
        <v>43645760.49290476</v>
      </c>
      <c r="L7" s="37">
        <f t="shared" si="8"/>
        <v>476631.25788322085</v>
      </c>
      <c r="M7" s="38">
        <v>19831.900000000001</v>
      </c>
      <c r="N7" s="37">
        <f t="shared" si="1"/>
        <v>15557509.866666667</v>
      </c>
      <c r="O7" s="37">
        <f t="shared" si="9"/>
        <v>57075225.259952381</v>
      </c>
      <c r="P7" s="37">
        <f t="shared" si="10"/>
        <v>745729.04647811269</v>
      </c>
      <c r="Q7" s="38">
        <v>19765</v>
      </c>
      <c r="R7" s="38">
        <v>29170331</v>
      </c>
      <c r="S7" s="37">
        <f>R7*2.417</f>
        <v>70504690.026999995</v>
      </c>
      <c r="T7" s="37">
        <f t="shared" si="11"/>
        <v>1393525.1983836547</v>
      </c>
      <c r="U7" s="30">
        <f t="shared" si="12"/>
        <v>3.8095238095238092E-2</v>
      </c>
    </row>
    <row r="8" spans="1:21" x14ac:dyDescent="0.2">
      <c r="A8" s="35" t="s">
        <v>30</v>
      </c>
      <c r="B8" s="36">
        <v>116974.3</v>
      </c>
      <c r="C8" s="37">
        <f t="shared" si="2"/>
        <v>1548906.5714285732</v>
      </c>
      <c r="D8" s="38">
        <f t="shared" si="3"/>
        <v>181182.26195825735</v>
      </c>
      <c r="E8" s="38">
        <v>83302.5</v>
      </c>
      <c r="F8" s="37">
        <f t="shared" si="4"/>
        <v>2900593.9294814817</v>
      </c>
      <c r="G8" s="37">
        <f t="shared" si="5"/>
        <v>13940159.142857144</v>
      </c>
      <c r="H8" s="37">
        <f t="shared" si="0"/>
        <v>584011.79628429539</v>
      </c>
      <c r="I8" s="38">
        <v>78921.600000000006</v>
      </c>
      <c r="J8" s="37">
        <f t="shared" si="6"/>
        <v>5438613.6177777778</v>
      </c>
      <c r="K8" s="37">
        <f t="shared" si="7"/>
        <v>20135785.428571429</v>
      </c>
      <c r="L8" s="37">
        <f t="shared" si="8"/>
        <v>1037434.6218967915</v>
      </c>
      <c r="M8" s="38">
        <v>81069.100000000006</v>
      </c>
      <c r="N8" s="37">
        <f t="shared" si="1"/>
        <v>10197400.533333333</v>
      </c>
      <c r="O8" s="37">
        <f t="shared" si="9"/>
        <v>26331411.714285716</v>
      </c>
      <c r="P8" s="37">
        <f t="shared" si="10"/>
        <v>1998119.6000052544</v>
      </c>
      <c r="Q8" s="38">
        <v>82230.899999999994</v>
      </c>
      <c r="R8" s="38">
        <v>19120126</v>
      </c>
      <c r="S8" s="37">
        <v>32527038</v>
      </c>
      <c r="T8" s="37">
        <f t="shared" si="11"/>
        <v>2674727.6090741996</v>
      </c>
      <c r="U8" s="30">
        <f t="shared" si="12"/>
        <v>3.8095238095238092E-2</v>
      </c>
    </row>
    <row r="9" spans="1:21" x14ac:dyDescent="0.2">
      <c r="A9" s="35" t="s">
        <v>31</v>
      </c>
      <c r="B9" s="36">
        <v>346378.5</v>
      </c>
      <c r="C9" s="37">
        <f t="shared" si="2"/>
        <v>88124.855857142946</v>
      </c>
      <c r="D9" s="38">
        <f t="shared" si="3"/>
        <v>30524.555384513391</v>
      </c>
      <c r="E9" s="38">
        <v>184719.3</v>
      </c>
      <c r="F9" s="37">
        <f t="shared" si="4"/>
        <v>116154.82311111111</v>
      </c>
      <c r="G9" s="37">
        <f t="shared" si="5"/>
        <v>793123.7027142857</v>
      </c>
      <c r="H9" s="37">
        <f t="shared" si="0"/>
        <v>51859.24291958387</v>
      </c>
      <c r="I9" s="38">
        <v>386995.20000000001</v>
      </c>
      <c r="J9" s="37">
        <f t="shared" si="6"/>
        <v>217790.29333333333</v>
      </c>
      <c r="K9" s="37">
        <f t="shared" si="7"/>
        <v>1145623.1261428571</v>
      </c>
      <c r="L9" s="37">
        <f t="shared" si="8"/>
        <v>203713.94007197287</v>
      </c>
      <c r="M9" s="38">
        <v>226279.8</v>
      </c>
      <c r="N9" s="37">
        <f t="shared" si="1"/>
        <v>408356.8</v>
      </c>
      <c r="O9" s="37">
        <f t="shared" si="9"/>
        <v>1498122.5495714284</v>
      </c>
      <c r="P9" s="37">
        <f t="shared" si="10"/>
        <v>223337.79729389088</v>
      </c>
      <c r="Q9" s="38">
        <v>191472.6</v>
      </c>
      <c r="R9" s="38">
        <v>765669</v>
      </c>
      <c r="S9" s="37">
        <f>R9*2.417</f>
        <v>1850621.9729999998</v>
      </c>
      <c r="T9" s="37">
        <f t="shared" si="11"/>
        <v>354343.40078743978</v>
      </c>
      <c r="U9" s="30">
        <f t="shared" si="12"/>
        <v>3.8095238095238092E-2</v>
      </c>
    </row>
    <row r="10" spans="1:21" x14ac:dyDescent="0.2">
      <c r="A10" s="35" t="s">
        <v>32</v>
      </c>
      <c r="B10" s="36">
        <v>137874.70000000001</v>
      </c>
      <c r="C10" s="37">
        <f t="shared" si="2"/>
        <v>714285.71428571513</v>
      </c>
      <c r="D10" s="38">
        <f t="shared" si="3"/>
        <v>98481.928571428696</v>
      </c>
      <c r="E10" s="38">
        <v>46162.2</v>
      </c>
      <c r="F10" s="37">
        <f t="shared" si="4"/>
        <v>2275555.5555555555</v>
      </c>
      <c r="G10" s="37">
        <f t="shared" si="5"/>
        <v>6428571.4285714291</v>
      </c>
      <c r="H10" s="37">
        <f t="shared" si="0"/>
        <v>253892.92066133328</v>
      </c>
      <c r="I10" s="38">
        <v>53352.7</v>
      </c>
      <c r="J10" s="37">
        <f t="shared" si="6"/>
        <v>4266666.666666667</v>
      </c>
      <c r="K10" s="37">
        <f t="shared" si="7"/>
        <v>9285714.2857142854</v>
      </c>
      <c r="L10" s="37">
        <f t="shared" si="8"/>
        <v>550201.49717333331</v>
      </c>
      <c r="M10" s="38">
        <v>36795.1</v>
      </c>
      <c r="N10" s="37">
        <f t="shared" si="1"/>
        <v>8000000</v>
      </c>
      <c r="O10" s="37">
        <f t="shared" si="9"/>
        <v>12142857.142857144</v>
      </c>
      <c r="P10" s="37">
        <f t="shared" si="10"/>
        <v>711470.05359999998</v>
      </c>
      <c r="Q10" s="38">
        <v>32490.6</v>
      </c>
      <c r="R10" s="38">
        <v>15000000</v>
      </c>
      <c r="S10" s="38">
        <v>15000000</v>
      </c>
      <c r="T10" s="37">
        <f t="shared" si="11"/>
        <v>487359</v>
      </c>
      <c r="U10" s="30">
        <f t="shared" si="12"/>
        <v>3.8095238095238092E-2</v>
      </c>
    </row>
    <row r="11" spans="1:21" x14ac:dyDescent="0.2">
      <c r="A11" s="35" t="s">
        <v>33</v>
      </c>
      <c r="B11" s="36">
        <v>200582.2</v>
      </c>
      <c r="C11" s="37">
        <f t="shared" si="2"/>
        <v>1059144.4774761917</v>
      </c>
      <c r="D11" s="38">
        <f t="shared" si="3"/>
        <v>212445.52941002499</v>
      </c>
      <c r="E11" s="38">
        <v>240639</v>
      </c>
      <c r="F11" s="37">
        <f t="shared" si="4"/>
        <v>1396027.6954074071</v>
      </c>
      <c r="G11" s="37">
        <f t="shared" si="5"/>
        <v>9532300.2972857151</v>
      </c>
      <c r="H11" s="37">
        <f t="shared" si="0"/>
        <v>811963.85867446067</v>
      </c>
      <c r="I11" s="38">
        <v>239675.1</v>
      </c>
      <c r="J11" s="37">
        <f t="shared" si="6"/>
        <v>2617551.9288888886</v>
      </c>
      <c r="K11" s="37">
        <f t="shared" si="7"/>
        <v>13768878.207190476</v>
      </c>
      <c r="L11" s="37">
        <f t="shared" si="8"/>
        <v>1516334.0030932273</v>
      </c>
      <c r="M11" s="38">
        <v>188976.4</v>
      </c>
      <c r="N11" s="37">
        <f t="shared" si="1"/>
        <v>4907909.8666666662</v>
      </c>
      <c r="O11" s="37">
        <f t="shared" si="9"/>
        <v>18005456.117095236</v>
      </c>
      <c r="P11" s="37">
        <f t="shared" si="10"/>
        <v>2241717.076853313</v>
      </c>
      <c r="Q11" s="38">
        <v>208211.9</v>
      </c>
      <c r="R11" s="38">
        <v>9202331</v>
      </c>
      <c r="S11" s="37">
        <f>R11*2.417</f>
        <v>22242034.026999999</v>
      </c>
      <c r="T11" s="37">
        <f t="shared" si="11"/>
        <v>4631056.1646263208</v>
      </c>
      <c r="U11" s="30">
        <f t="shared" si="12"/>
        <v>3.8095238095238092E-2</v>
      </c>
    </row>
    <row r="12" spans="1:21" x14ac:dyDescent="0.2">
      <c r="A12" s="35" t="s">
        <v>34</v>
      </c>
      <c r="B12" s="36">
        <v>51189.2</v>
      </c>
      <c r="C12" s="37">
        <f t="shared" si="2"/>
        <v>714285.71428571513</v>
      </c>
      <c r="D12" s="38">
        <f t="shared" si="3"/>
        <v>36563.714285714326</v>
      </c>
      <c r="E12" s="38">
        <v>14402.6</v>
      </c>
      <c r="F12" s="37">
        <f t="shared" si="4"/>
        <v>941479.33618351491</v>
      </c>
      <c r="G12" s="37">
        <f t="shared" si="5"/>
        <v>6428571.4285714291</v>
      </c>
      <c r="H12" s="37">
        <f t="shared" si="0"/>
        <v>32773.91644444444</v>
      </c>
      <c r="I12" s="38">
        <v>21039.5</v>
      </c>
      <c r="J12" s="37">
        <f t="shared" si="6"/>
        <v>1765273.7553440905</v>
      </c>
      <c r="K12" s="37">
        <f t="shared" si="7"/>
        <v>9285714.2857142854</v>
      </c>
      <c r="L12" s="37">
        <f t="shared" si="8"/>
        <v>89768.533333333311</v>
      </c>
      <c r="M12" s="38">
        <v>8030.1</v>
      </c>
      <c r="N12" s="37">
        <f t="shared" si="1"/>
        <v>3309888.2912701699</v>
      </c>
      <c r="O12" s="37">
        <f t="shared" si="9"/>
        <v>12142857.142857144</v>
      </c>
      <c r="P12" s="37">
        <f t="shared" si="10"/>
        <v>64240.800000000003</v>
      </c>
      <c r="Q12" s="38">
        <v>6220.7</v>
      </c>
      <c r="R12" s="38">
        <f>S12/2.417</f>
        <v>6206040.546131569</v>
      </c>
      <c r="S12" s="38">
        <v>15000000</v>
      </c>
      <c r="T12" s="37">
        <f t="shared" si="11"/>
        <v>93310.5</v>
      </c>
      <c r="U12" s="30">
        <f t="shared" si="12"/>
        <v>3.8095238095238092E-2</v>
      </c>
    </row>
    <row r="13" spans="1:21" x14ac:dyDescent="0.2">
      <c r="A13" s="35" t="s">
        <v>35</v>
      </c>
      <c r="B13" s="36">
        <v>565991.4</v>
      </c>
      <c r="C13" s="37">
        <f t="shared" si="2"/>
        <v>714285.71428571513</v>
      </c>
      <c r="D13" s="38">
        <f t="shared" si="3"/>
        <v>404279.57142857189</v>
      </c>
      <c r="E13" s="38">
        <v>470339.8</v>
      </c>
      <c r="F13" s="37">
        <f t="shared" si="4"/>
        <v>941479.33618351491</v>
      </c>
      <c r="G13" s="37">
        <f t="shared" si="5"/>
        <v>6428571.4285714291</v>
      </c>
      <c r="H13" s="37">
        <f t="shared" si="0"/>
        <v>1070284.3448888888</v>
      </c>
      <c r="I13" s="38">
        <v>400140.6</v>
      </c>
      <c r="J13" s="37">
        <f t="shared" si="6"/>
        <v>1765273.7553440905</v>
      </c>
      <c r="K13" s="37">
        <f t="shared" si="7"/>
        <v>9285714.2857142854</v>
      </c>
      <c r="L13" s="37">
        <f t="shared" si="8"/>
        <v>1707266.56</v>
      </c>
      <c r="M13" s="38">
        <v>168805.7</v>
      </c>
      <c r="N13" s="37">
        <f t="shared" si="1"/>
        <v>3309888.2912701699</v>
      </c>
      <c r="O13" s="37">
        <f t="shared" si="9"/>
        <v>12142857.142857144</v>
      </c>
      <c r="P13" s="37">
        <f t="shared" si="10"/>
        <v>1350445.6</v>
      </c>
      <c r="Q13" s="38">
        <v>147646.9</v>
      </c>
      <c r="R13" s="38">
        <f>S13/2.417</f>
        <v>6206040.546131569</v>
      </c>
      <c r="S13" s="38">
        <v>15000000</v>
      </c>
      <c r="T13" s="37">
        <f t="shared" si="11"/>
        <v>2214703.5</v>
      </c>
      <c r="U13" s="30">
        <f t="shared" si="12"/>
        <v>3.8095238095238092E-2</v>
      </c>
    </row>
    <row r="14" spans="1:21" x14ac:dyDescent="0.2">
      <c r="A14" s="35" t="s">
        <v>36</v>
      </c>
      <c r="B14" s="36">
        <v>1227221.6000000001</v>
      </c>
      <c r="C14" s="37">
        <f t="shared" si="2"/>
        <v>414342.85714285763</v>
      </c>
      <c r="D14" s="38">
        <f t="shared" si="3"/>
        <v>508490.50409142917</v>
      </c>
      <c r="E14" s="38">
        <v>1032651</v>
      </c>
      <c r="F14" s="37">
        <f t="shared" si="4"/>
        <v>546133.33333333337</v>
      </c>
      <c r="G14" s="37">
        <f t="shared" si="5"/>
        <v>3729085.7142857146</v>
      </c>
      <c r="H14" s="37">
        <f t="shared" si="0"/>
        <v>1363103.7259775999</v>
      </c>
      <c r="I14" s="38">
        <v>972003.8</v>
      </c>
      <c r="J14" s="37">
        <f t="shared" si="6"/>
        <v>1024000</v>
      </c>
      <c r="K14" s="37">
        <f t="shared" si="7"/>
        <v>5386457.1428571427</v>
      </c>
      <c r="L14" s="37">
        <f t="shared" si="8"/>
        <v>2405717.1810304001</v>
      </c>
      <c r="M14" s="38">
        <v>700499</v>
      </c>
      <c r="N14" s="37">
        <f t="shared" si="1"/>
        <v>1920000</v>
      </c>
      <c r="O14" s="37">
        <f t="shared" si="9"/>
        <v>7043828.5714285718</v>
      </c>
      <c r="P14" s="37">
        <f t="shared" si="10"/>
        <v>3250763.6793599995</v>
      </c>
      <c r="Q14" s="38">
        <v>656507.19999999995</v>
      </c>
      <c r="R14" s="38">
        <v>3600000</v>
      </c>
      <c r="S14" s="37">
        <f>R14*2.417</f>
        <v>8701200</v>
      </c>
      <c r="T14" s="37">
        <f t="shared" si="11"/>
        <v>5712400.4486400001</v>
      </c>
      <c r="U14" s="30">
        <f t="shared" si="12"/>
        <v>3.8095238095238092E-2</v>
      </c>
    </row>
    <row r="15" spans="1:21" x14ac:dyDescent="0.2">
      <c r="A15" s="40" t="s">
        <v>0</v>
      </c>
      <c r="B15" s="40"/>
      <c r="C15" s="40"/>
      <c r="D15" s="40"/>
      <c r="E15" s="39"/>
      <c r="F15" s="39"/>
      <c r="G15" s="39"/>
      <c r="H15" s="39">
        <f>SUM(H4:H14)</f>
        <v>32011149.433051955</v>
      </c>
      <c r="I15" s="39"/>
      <c r="J15" s="39"/>
      <c r="K15" s="39"/>
      <c r="L15" s="39">
        <f>SUM(L4:L14)</f>
        <v>52123901.680748448</v>
      </c>
      <c r="M15" s="39"/>
      <c r="N15" s="39"/>
      <c r="O15" s="39"/>
      <c r="P15" s="39">
        <f>SUM(P4:P14)</f>
        <v>74780323.066353425</v>
      </c>
      <c r="Q15" s="39"/>
      <c r="R15" s="39"/>
      <c r="S15" s="39"/>
      <c r="T15" s="39">
        <f>SUM(T4:T14)</f>
        <v>113152714.12087083</v>
      </c>
    </row>
    <row r="21" spans="1:20" x14ac:dyDescent="0.2">
      <c r="A21" s="29" t="s">
        <v>7</v>
      </c>
    </row>
    <row r="22" spans="1:20" ht="116.25" customHeight="1" x14ac:dyDescent="0.2">
      <c r="A22" s="59" t="s">
        <v>37</v>
      </c>
      <c r="B22" s="60"/>
      <c r="C22" s="60"/>
      <c r="D22" s="60"/>
      <c r="E22" s="60"/>
      <c r="F22" s="60"/>
      <c r="G22" s="60"/>
      <c r="H22" s="60"/>
      <c r="I22" s="60"/>
      <c r="J22" s="60"/>
      <c r="K22" s="60"/>
      <c r="L22" s="60"/>
      <c r="M22" s="60"/>
      <c r="N22" s="60"/>
      <c r="O22" s="60"/>
      <c r="P22" s="60"/>
      <c r="Q22" s="60"/>
      <c r="R22" s="60"/>
      <c r="S22" s="60"/>
      <c r="T22" s="60"/>
    </row>
    <row r="23" spans="1:20" x14ac:dyDescent="0.2">
      <c r="A23" s="51" t="s">
        <v>9</v>
      </c>
      <c r="B23" s="52"/>
      <c r="C23" s="52"/>
      <c r="D23" s="52"/>
      <c r="E23" s="52"/>
      <c r="F23" s="52"/>
      <c r="G23" s="52"/>
      <c r="H23" s="52"/>
      <c r="I23" s="52"/>
      <c r="J23" s="52"/>
      <c r="K23" s="52"/>
      <c r="L23" s="52"/>
      <c r="M23" s="52"/>
      <c r="N23" s="52"/>
      <c r="O23" s="52"/>
      <c r="P23" s="52"/>
      <c r="Q23" s="52"/>
      <c r="R23" s="52"/>
      <c r="S23" s="52"/>
      <c r="T23" s="52"/>
    </row>
    <row r="24" spans="1:20" x14ac:dyDescent="0.2">
      <c r="A24" s="53" t="s">
        <v>15</v>
      </c>
      <c r="B24" s="54"/>
      <c r="C24" s="54"/>
      <c r="D24" s="54"/>
      <c r="E24" s="54"/>
      <c r="F24" s="54"/>
      <c r="G24" s="54"/>
      <c r="H24" s="54"/>
      <c r="I24" s="54"/>
      <c r="J24" s="54"/>
      <c r="K24" s="54"/>
      <c r="L24" s="54"/>
      <c r="M24" s="54"/>
      <c r="N24" s="54"/>
      <c r="O24" s="54"/>
      <c r="P24" s="54"/>
      <c r="Q24" s="54"/>
      <c r="R24" s="54"/>
      <c r="S24" s="54"/>
      <c r="T24" s="54"/>
    </row>
    <row r="25" spans="1:20" x14ac:dyDescent="0.2">
      <c r="A25" s="53" t="s">
        <v>14</v>
      </c>
      <c r="B25" s="54"/>
      <c r="C25" s="54"/>
      <c r="D25" s="54"/>
      <c r="E25" s="54"/>
      <c r="F25" s="54"/>
      <c r="G25" s="54"/>
      <c r="H25" s="54"/>
      <c r="I25" s="54"/>
      <c r="J25" s="54"/>
      <c r="K25" s="54"/>
      <c r="L25" s="54"/>
      <c r="M25" s="54"/>
      <c r="N25" s="54"/>
      <c r="O25" s="54"/>
      <c r="P25" s="54"/>
      <c r="Q25" s="54"/>
      <c r="R25" s="54"/>
      <c r="S25" s="54"/>
      <c r="T25" s="54"/>
    </row>
    <row r="26" spans="1:20" x14ac:dyDescent="0.2">
      <c r="A26" s="51"/>
      <c r="B26" s="52"/>
      <c r="C26" s="52"/>
      <c r="D26" s="52"/>
      <c r="E26" s="52"/>
      <c r="F26" s="52"/>
      <c r="G26" s="52"/>
      <c r="H26" s="52"/>
      <c r="I26" s="52"/>
      <c r="J26" s="52"/>
      <c r="K26" s="52"/>
      <c r="L26" s="52"/>
      <c r="M26" s="52"/>
      <c r="N26" s="52"/>
      <c r="O26" s="52"/>
      <c r="P26" s="52"/>
      <c r="Q26" s="52"/>
      <c r="R26" s="52"/>
      <c r="S26" s="52"/>
      <c r="T26" s="52"/>
    </row>
  </sheetData>
  <mergeCells count="10">
    <mergeCell ref="A23:T23"/>
    <mergeCell ref="A24:T24"/>
    <mergeCell ref="A25:T25"/>
    <mergeCell ref="A26:T26"/>
    <mergeCell ref="B2:D2"/>
    <mergeCell ref="E2:H2"/>
    <mergeCell ref="I2:L2"/>
    <mergeCell ref="M2:P2"/>
    <mergeCell ref="Q2:T2"/>
    <mergeCell ref="A22:T2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6"/>
  <sheetViews>
    <sheetView topLeftCell="B1" workbookViewId="0">
      <selection activeCell="L3" sqref="L3"/>
    </sheetView>
  </sheetViews>
  <sheetFormatPr defaultRowHeight="15" x14ac:dyDescent="0.25"/>
  <cols>
    <col min="2" max="2" width="72.140625" customWidth="1"/>
    <col min="3" max="4" width="12.140625" customWidth="1"/>
    <col min="5" max="6" width="11" bestFit="1" customWidth="1"/>
    <col min="7" max="7" width="12.28515625" bestFit="1" customWidth="1"/>
    <col min="8" max="8" width="9.42578125" bestFit="1" customWidth="1"/>
    <col min="12" max="12" width="9.5703125" bestFit="1" customWidth="1"/>
  </cols>
  <sheetData>
    <row r="1" spans="1:12" ht="16.5" thickBot="1" x14ac:dyDescent="0.3">
      <c r="B1" t="s">
        <v>6</v>
      </c>
    </row>
    <row r="2" spans="1:12" ht="35.25" thickBot="1" x14ac:dyDescent="0.3">
      <c r="B2" s="4" t="s">
        <v>1</v>
      </c>
      <c r="C2" s="5" t="s">
        <v>2</v>
      </c>
      <c r="D2" s="5">
        <v>1990</v>
      </c>
      <c r="E2" s="6">
        <v>2000</v>
      </c>
      <c r="F2" s="6">
        <v>2005</v>
      </c>
      <c r="G2" s="6">
        <v>2010</v>
      </c>
      <c r="H2" s="6">
        <v>2015</v>
      </c>
      <c r="L2" s="24" t="s">
        <v>23</v>
      </c>
    </row>
    <row r="3" spans="1:12" ht="18" thickBot="1" x14ac:dyDescent="0.3">
      <c r="B3" s="1" t="s">
        <v>3</v>
      </c>
      <c r="C3" s="2" t="s">
        <v>4</v>
      </c>
      <c r="D3" s="26">
        <f>H3*$L$3</f>
        <v>21476.592807041787</v>
      </c>
      <c r="E3" s="3">
        <f>$L$4*H3</f>
        <v>88733.214217763321</v>
      </c>
      <c r="F3" s="3">
        <f>H3*$L$5</f>
        <v>122361.52492312407</v>
      </c>
      <c r="G3" s="3">
        <f>H3*$L$6</f>
        <v>155989.83562848484</v>
      </c>
      <c r="H3" s="3">
        <f>105000*I3</f>
        <v>150000</v>
      </c>
      <c r="I3">
        <f>1000/700</f>
        <v>1.4285714285714286</v>
      </c>
      <c r="K3">
        <v>1990</v>
      </c>
      <c r="L3">
        <f>'[1]CSI_Q(1617)'!$N$46</f>
        <v>0.14317728538027857</v>
      </c>
    </row>
    <row r="4" spans="1:12" ht="18" thickBot="1" x14ac:dyDescent="0.3">
      <c r="B4" s="1" t="s">
        <v>5</v>
      </c>
      <c r="C4" s="2" t="s">
        <v>4</v>
      </c>
      <c r="D4" s="26">
        <f t="shared" ref="D4:D12" si="0">H4*$L$3</f>
        <v>20453.897911468368</v>
      </c>
      <c r="E4" s="3">
        <f t="shared" ref="E4:E12" si="1">$L$4*H4</f>
        <v>84507.823064536497</v>
      </c>
      <c r="F4" s="3">
        <f t="shared" ref="F4:F12" si="2">H4*$L$5</f>
        <v>116534.78564107056</v>
      </c>
      <c r="G4" s="3">
        <f t="shared" ref="G4:G12" si="3">H4*$L$6</f>
        <v>148561.74821760462</v>
      </c>
      <c r="H4" s="3">
        <f>100000*I4</f>
        <v>142857.14285714287</v>
      </c>
      <c r="I4">
        <f t="shared" ref="I4:I12" si="4">1000/700</f>
        <v>1.4285714285714286</v>
      </c>
      <c r="K4">
        <v>2000</v>
      </c>
      <c r="L4">
        <f>'[1]CSI_Q(1617)'!$N$47</f>
        <v>0.59155476145175545</v>
      </c>
    </row>
    <row r="5" spans="1:12" ht="18" thickBot="1" x14ac:dyDescent="0.3">
      <c r="B5" s="1" t="s">
        <v>42</v>
      </c>
      <c r="C5" s="2"/>
      <c r="D5" s="26">
        <f>((D6*0.1)+(0.6*D7)+(0.3*D8))</f>
        <v>12251.884848969552</v>
      </c>
      <c r="E5" s="3">
        <f t="shared" si="1"/>
        <v>50620.186015657353</v>
      </c>
      <c r="F5" s="3">
        <f t="shared" si="2"/>
        <v>69804.336599001253</v>
      </c>
      <c r="G5" s="3">
        <f t="shared" si="3"/>
        <v>88988.487182345154</v>
      </c>
      <c r="H5" s="3">
        <f>SUMPRODUCT($C$6:$C$8,H6:H8)</f>
        <v>85571.428571428565</v>
      </c>
      <c r="K5">
        <v>2005</v>
      </c>
      <c r="L5">
        <f>'[1]CSI_Q(1617)'!$N$48</f>
        <v>0.81574349948749381</v>
      </c>
    </row>
    <row r="6" spans="1:12" ht="18" thickBot="1" x14ac:dyDescent="0.3">
      <c r="B6" s="22" t="s">
        <v>20</v>
      </c>
      <c r="C6" s="23">
        <v>0.1</v>
      </c>
      <c r="D6" s="26">
        <f t="shared" si="0"/>
        <v>19431.203015894949</v>
      </c>
      <c r="E6" s="3">
        <f t="shared" si="1"/>
        <v>80282.431911309672</v>
      </c>
      <c r="F6" s="3">
        <f t="shared" si="2"/>
        <v>110708.04635901701</v>
      </c>
      <c r="G6" s="3">
        <f t="shared" si="3"/>
        <v>141133.66080672437</v>
      </c>
      <c r="H6" s="3">
        <f>95000*I6</f>
        <v>135714.28571428571</v>
      </c>
      <c r="I6">
        <f t="shared" si="4"/>
        <v>1.4285714285714286</v>
      </c>
      <c r="K6">
        <v>2010</v>
      </c>
      <c r="L6">
        <f>'[1]CSI_Q(1617)'!$N$49</f>
        <v>1.0399322375232323</v>
      </c>
    </row>
    <row r="7" spans="1:12" ht="18" thickBot="1" x14ac:dyDescent="0.3">
      <c r="B7" s="22" t="s">
        <v>21</v>
      </c>
      <c r="C7" s="23">
        <v>0.6</v>
      </c>
      <c r="D7" s="26">
        <f t="shared" si="0"/>
        <v>13704.111600683806</v>
      </c>
      <c r="E7" s="3">
        <f t="shared" si="1"/>
        <v>56620.241453239447</v>
      </c>
      <c r="F7" s="3">
        <f t="shared" si="2"/>
        <v>78078.306379517264</v>
      </c>
      <c r="G7" s="3">
        <f t="shared" si="3"/>
        <v>99536.371305795081</v>
      </c>
      <c r="H7" s="3">
        <f>67000*I7</f>
        <v>95714.28571428571</v>
      </c>
      <c r="I7">
        <f t="shared" si="4"/>
        <v>1.4285714285714286</v>
      </c>
      <c r="K7">
        <v>2015</v>
      </c>
      <c r="L7" s="25">
        <f>'[1]CSI_Q(1617)'!$N$50</f>
        <v>1</v>
      </c>
    </row>
    <row r="8" spans="1:12" ht="18" thickBot="1" x14ac:dyDescent="0.3">
      <c r="B8" s="22" t="s">
        <v>22</v>
      </c>
      <c r="C8" s="23">
        <v>0.3</v>
      </c>
      <c r="D8" s="26">
        <f t="shared" si="0"/>
        <v>6954.325289899245</v>
      </c>
      <c r="E8" s="3">
        <f t="shared" si="1"/>
        <v>28732.659841942408</v>
      </c>
      <c r="F8" s="3">
        <f t="shared" si="2"/>
        <v>39621.827117963985</v>
      </c>
      <c r="G8" s="3">
        <f t="shared" si="3"/>
        <v>50510.994393985566</v>
      </c>
      <c r="H8" s="3">
        <f>34000*I8</f>
        <v>48571.428571428572</v>
      </c>
      <c r="I8">
        <f t="shared" si="4"/>
        <v>1.4285714285714286</v>
      </c>
    </row>
    <row r="9" spans="1:12" ht="18" thickBot="1" x14ac:dyDescent="0.3">
      <c r="B9" s="1" t="s">
        <v>41</v>
      </c>
      <c r="C9" s="23"/>
      <c r="D9" s="26">
        <f t="shared" si="0"/>
        <v>8283.8286541446887</v>
      </c>
      <c r="E9" s="3">
        <f t="shared" si="1"/>
        <v>34225.66834113728</v>
      </c>
      <c r="F9" s="3">
        <f t="shared" si="2"/>
        <v>47196.588184633569</v>
      </c>
      <c r="G9" s="3">
        <f t="shared" si="3"/>
        <v>60167.508028129865</v>
      </c>
      <c r="H9" s="3">
        <f>SUMPRODUCT($C$10:$C$12,H10:H12)</f>
        <v>57857.142857142855</v>
      </c>
    </row>
    <row r="10" spans="1:12" ht="18" thickBot="1" x14ac:dyDescent="0.3">
      <c r="B10" s="22" t="s">
        <v>20</v>
      </c>
      <c r="C10" s="23">
        <v>0</v>
      </c>
      <c r="D10" s="26">
        <f t="shared" si="0"/>
        <v>19431.203015894949</v>
      </c>
      <c r="E10" s="3">
        <f t="shared" si="1"/>
        <v>80282.431911309672</v>
      </c>
      <c r="F10" s="3">
        <f t="shared" si="2"/>
        <v>110708.04635901701</v>
      </c>
      <c r="G10" s="3">
        <f t="shared" si="3"/>
        <v>141133.66080672437</v>
      </c>
      <c r="H10" s="3">
        <f>95000*I10</f>
        <v>135714.28571428571</v>
      </c>
      <c r="I10">
        <f t="shared" si="4"/>
        <v>1.4285714285714286</v>
      </c>
    </row>
    <row r="11" spans="1:12" ht="18" thickBot="1" x14ac:dyDescent="0.3">
      <c r="B11" s="22" t="s">
        <v>21</v>
      </c>
      <c r="C11" s="23">
        <v>0.3</v>
      </c>
      <c r="D11" s="26">
        <f t="shared" si="0"/>
        <v>13704.111600683806</v>
      </c>
      <c r="E11" s="3">
        <f t="shared" si="1"/>
        <v>56620.241453239447</v>
      </c>
      <c r="F11" s="3">
        <f t="shared" si="2"/>
        <v>78078.306379517264</v>
      </c>
      <c r="G11" s="3">
        <f t="shared" si="3"/>
        <v>99536.371305795081</v>
      </c>
      <c r="H11" s="3">
        <f>67000*I11</f>
        <v>95714.28571428571</v>
      </c>
      <c r="I11">
        <f t="shared" si="4"/>
        <v>1.4285714285714286</v>
      </c>
    </row>
    <row r="12" spans="1:12" ht="18" thickBot="1" x14ac:dyDescent="0.3">
      <c r="B12" s="22" t="s">
        <v>22</v>
      </c>
      <c r="C12" s="23">
        <v>0.6</v>
      </c>
      <c r="D12" s="26">
        <f t="shared" si="0"/>
        <v>6954.325289899245</v>
      </c>
      <c r="E12" s="3">
        <f t="shared" si="1"/>
        <v>28732.659841942408</v>
      </c>
      <c r="F12" s="3">
        <f t="shared" si="2"/>
        <v>39621.827117963985</v>
      </c>
      <c r="G12" s="3">
        <f t="shared" si="3"/>
        <v>50510.994393985566</v>
      </c>
      <c r="H12" s="3">
        <f>34000*I12</f>
        <v>48571.428571428572</v>
      </c>
      <c r="I12">
        <f t="shared" si="4"/>
        <v>1.4285714285714286</v>
      </c>
    </row>
    <row r="14" spans="1:12" x14ac:dyDescent="0.25">
      <c r="A14" s="21" t="s">
        <v>7</v>
      </c>
    </row>
    <row r="15" spans="1:12" x14ac:dyDescent="0.25">
      <c r="A15" t="s">
        <v>19</v>
      </c>
    </row>
    <row r="16" spans="1:12" x14ac:dyDescent="0.25">
      <c r="A16" t="s">
        <v>18</v>
      </c>
    </row>
  </sheetData>
  <pageMargins left="0.7" right="0.7" top="0.75" bottom="0.75" header="0.3" footer="0.3"/>
  <pageSetup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Charts</vt:lpstr>
      </vt:variant>
      <vt:variant>
        <vt:i4>3</vt:i4>
      </vt:variant>
    </vt:vector>
  </HeadingPairs>
  <TitlesOfParts>
    <vt:vector size="6" baseType="lpstr">
      <vt:lpstr>Forest land valuation</vt:lpstr>
      <vt:lpstr>Forest land valuation 1</vt:lpstr>
      <vt:lpstr>Standing Wood prices</vt:lpstr>
      <vt:lpstr>Land Prices</vt:lpstr>
      <vt:lpstr>Forested land versus Forest lan</vt:lpstr>
      <vt:lpstr>Forested 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2019-11-11T17:30:22Z</dcterms:created>
  <dcterms:modified xsi:type="dcterms:W3CDTF">2020-08-31T09:38:14Z</dcterms:modified>
</cp:coreProperties>
</file>