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nchorenv-my.sharepoint.com/personal/jane_anchorenvironmental_co_za/Documents/2246 WB Kenya NCA &amp; KEWASIP 7215481/Task 2.3. Ecosystem Service Accounts/"/>
    </mc:Choice>
  </mc:AlternateContent>
  <xr:revisionPtr revIDLastSave="680" documentId="8_{FF2E737C-9989-4D60-887D-6BB6B0BA5E9D}" xr6:coauthVersionLast="47" xr6:coauthVersionMax="47" xr10:uidLastSave="{5717F902-5359-4B74-93B9-3D2756AE7EFE}"/>
  <bookViews>
    <workbookView xWindow="-108" yWindow="-108" windowWidth="23256" windowHeight="12576" activeTab="4" xr2:uid="{5715366E-1F79-474A-ACC5-CBF54B75C59C}"/>
  </bookViews>
  <sheets>
    <sheet name="Ecosystem extent" sheetId="6" r:id="rId1"/>
    <sheet name="Extent change matrix" sheetId="7" r:id="rId2"/>
    <sheet name="Ecosystem condition" sheetId="8" r:id="rId3"/>
    <sheet name="Ecosystem services" sheetId="1" r:id="rId4"/>
    <sheet name="GDP contribution" sheetId="4" r:id="rId5"/>
    <sheet name="Inflation" sheetId="5" r:id="rId6"/>
    <sheet name="USD to KSh" sheetId="3" r:id="rId7"/>
    <sheet name="Resource user" sheetId="2" r:id="rId8"/>
  </sheets>
  <externalReferences>
    <externalReference r:id="rId9"/>
    <externalReference r:id="rId10"/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J13" i="1"/>
  <c r="H13" i="1"/>
  <c r="G13" i="1"/>
  <c r="I13" i="1"/>
  <c r="F13" i="1"/>
  <c r="J3" i="1" l="1"/>
  <c r="M3" i="1"/>
  <c r="N13" i="1"/>
  <c r="L13" i="1" l="1"/>
  <c r="I3" i="1"/>
  <c r="N3" i="1"/>
  <c r="H3" i="1"/>
  <c r="G3" i="1"/>
  <c r="F3" i="1"/>
  <c r="L3" i="1"/>
  <c r="K13" i="1" l="1"/>
  <c r="O13" i="1" s="1"/>
  <c r="K3" i="1" l="1"/>
  <c r="O3" i="1" s="1"/>
  <c r="V13" i="1" l="1"/>
  <c r="Y13" i="1"/>
  <c r="AD13" i="1"/>
  <c r="Z13" i="1"/>
  <c r="AA13" i="1"/>
  <c r="W13" i="1"/>
  <c r="AC13" i="1"/>
  <c r="X13" i="1"/>
  <c r="AB13" i="1" l="1"/>
  <c r="AE13" i="1" s="1"/>
  <c r="Y3" i="1"/>
  <c r="AC3" i="1"/>
  <c r="W3" i="1"/>
  <c r="X3" i="1"/>
  <c r="Z3" i="1"/>
  <c r="V3" i="1"/>
  <c r="AB3" i="1" l="1"/>
  <c r="AD3" i="1"/>
  <c r="AA3" i="1" l="1"/>
  <c r="AE3" i="1" s="1"/>
  <c r="C4" i="4" l="1"/>
  <c r="B4" i="4"/>
  <c r="AM13" i="1"/>
  <c r="AN13" i="1"/>
  <c r="AO13" i="1"/>
  <c r="AP13" i="1"/>
  <c r="AQ13" i="1"/>
  <c r="AR13" i="1"/>
  <c r="AS13" i="1"/>
  <c r="AT13" i="1"/>
  <c r="AU13" i="1"/>
  <c r="AL13" i="1"/>
  <c r="AM3" i="1"/>
  <c r="AN3" i="1"/>
  <c r="AO3" i="1"/>
  <c r="AP3" i="1"/>
  <c r="AQ3" i="1"/>
  <c r="AR3" i="1"/>
  <c r="AS3" i="1"/>
  <c r="AT3" i="1"/>
  <c r="AU3" i="1"/>
  <c r="AL3" i="1"/>
  <c r="S17" i="1" l="1"/>
  <c r="AI17" i="1" s="1"/>
  <c r="T17" i="1"/>
  <c r="AJ17" i="1" s="1"/>
  <c r="R17" i="1"/>
  <c r="S7" i="1"/>
  <c r="AI7" i="1" s="1"/>
  <c r="T7" i="1"/>
  <c r="R7" i="1"/>
  <c r="AH7" i="1" s="1"/>
  <c r="B7" i="1"/>
  <c r="C7" i="1"/>
  <c r="D7" i="1"/>
  <c r="C17" i="1"/>
  <c r="D17" i="1"/>
  <c r="B17" i="1"/>
  <c r="G15" i="1"/>
  <c r="H15" i="1"/>
  <c r="I15" i="1"/>
  <c r="J15" i="1"/>
  <c r="K15" i="1"/>
  <c r="L15" i="1"/>
  <c r="M15" i="1"/>
  <c r="N15" i="1"/>
  <c r="O15" i="1"/>
  <c r="F15" i="1"/>
  <c r="G5" i="1"/>
  <c r="H5" i="1"/>
  <c r="I5" i="1"/>
  <c r="J5" i="1"/>
  <c r="K5" i="1"/>
  <c r="L5" i="1"/>
  <c r="M5" i="1"/>
  <c r="N5" i="1"/>
  <c r="O5" i="1"/>
  <c r="F5" i="1"/>
  <c r="AA5" i="1" l="1"/>
  <c r="AQ5" i="1" s="1"/>
  <c r="AC15" i="1"/>
  <c r="AS15" i="1" s="1"/>
  <c r="Y5" i="1"/>
  <c r="AO5" i="1" s="1"/>
  <c r="AA15" i="1"/>
  <c r="AQ15" i="1" s="1"/>
  <c r="B9" i="1"/>
  <c r="W5" i="1"/>
  <c r="AM5" i="1" s="1"/>
  <c r="Y15" i="1"/>
  <c r="AO15" i="1" s="1"/>
  <c r="AD5" i="1"/>
  <c r="AT5" i="1" s="1"/>
  <c r="V15" i="1"/>
  <c r="AL15" i="1" s="1"/>
  <c r="X15" i="1"/>
  <c r="AN15" i="1" s="1"/>
  <c r="AC5" i="1"/>
  <c r="AS5" i="1" s="1"/>
  <c r="D19" i="1"/>
  <c r="W15" i="1"/>
  <c r="AM15" i="1" s="1"/>
  <c r="AB5" i="1"/>
  <c r="AR5" i="1" s="1"/>
  <c r="AD15" i="1"/>
  <c r="AT15" i="1" s="1"/>
  <c r="Z5" i="1"/>
  <c r="AP5" i="1" s="1"/>
  <c r="AB15" i="1"/>
  <c r="AR15" i="1" s="1"/>
  <c r="V5" i="1"/>
  <c r="AL5" i="1" s="1"/>
  <c r="X5" i="1"/>
  <c r="AN5" i="1" s="1"/>
  <c r="Z15" i="1"/>
  <c r="AP15" i="1" s="1"/>
  <c r="E7" i="1"/>
  <c r="U17" i="1"/>
  <c r="AK17" i="1" s="1"/>
  <c r="AH17" i="1"/>
  <c r="U7" i="1"/>
  <c r="AK7" i="1" s="1"/>
  <c r="AJ7" i="1"/>
  <c r="B19" i="1"/>
  <c r="C19" i="1"/>
  <c r="D9" i="1"/>
  <c r="AE5" i="1"/>
  <c r="AE15" i="1"/>
  <c r="C9" i="1"/>
  <c r="E17" i="1"/>
  <c r="E9" i="1" l="1"/>
  <c r="AU15" i="1"/>
  <c r="AU5" i="1"/>
  <c r="E19" i="1"/>
  <c r="R19" i="1"/>
  <c r="AH19" i="1" s="1"/>
  <c r="S19" i="1"/>
  <c r="AI19" i="1" s="1"/>
  <c r="T19" i="1"/>
  <c r="AJ19" i="1" s="1"/>
  <c r="S9" i="1"/>
  <c r="AI9" i="1" s="1"/>
  <c r="T9" i="1"/>
  <c r="AJ9" i="1" s="1"/>
  <c r="R9" i="1"/>
  <c r="AH9" i="1" s="1"/>
  <c r="U9" i="1" l="1"/>
  <c r="AK9" i="1" s="1"/>
  <c r="U19" i="1"/>
  <c r="AK19" i="1" s="1"/>
  <c r="F4" i="1" l="1"/>
  <c r="V4" i="1" l="1"/>
  <c r="AL4" i="1" s="1"/>
  <c r="K14" i="1" l="1"/>
  <c r="F14" i="1"/>
  <c r="G14" i="1"/>
  <c r="H14" i="1"/>
  <c r="I14" i="1"/>
  <c r="J14" i="1"/>
  <c r="L14" i="1"/>
  <c r="M14" i="1"/>
  <c r="N14" i="1"/>
  <c r="G4" i="1"/>
  <c r="H4" i="1"/>
  <c r="I4" i="1"/>
  <c r="J4" i="1"/>
  <c r="K4" i="1"/>
  <c r="L4" i="1"/>
  <c r="M4" i="1"/>
  <c r="N4" i="1"/>
  <c r="AE4" i="1"/>
  <c r="B8" i="4" l="1"/>
  <c r="R8" i="1"/>
  <c r="S8" i="1"/>
  <c r="AI8" i="1" s="1"/>
  <c r="T8" i="1"/>
  <c r="AJ8" i="1" s="1"/>
  <c r="AU4" i="1"/>
  <c r="O4" i="1"/>
  <c r="O14" i="1"/>
  <c r="C18" i="1" l="1"/>
  <c r="D18" i="1"/>
  <c r="B18" i="1"/>
  <c r="C8" i="1"/>
  <c r="B8" i="1"/>
  <c r="D8" i="1"/>
  <c r="AH8" i="1"/>
  <c r="U8" i="1"/>
  <c r="AK8" i="1" s="1"/>
  <c r="B9" i="4"/>
  <c r="B11" i="4"/>
  <c r="W14" i="1"/>
  <c r="AM14" i="1" s="1"/>
  <c r="E18" i="1" l="1"/>
  <c r="E8" i="1"/>
  <c r="AC4" i="1"/>
  <c r="AS4" i="1" s="1"/>
  <c r="X14" i="1"/>
  <c r="AN14" i="1" s="1"/>
  <c r="V14" i="1"/>
  <c r="AL14" i="1" s="1"/>
  <c r="AA4" i="1"/>
  <c r="AQ4" i="1" s="1"/>
  <c r="AD4" i="1"/>
  <c r="AT4" i="1" s="1"/>
  <c r="Z14" i="1"/>
  <c r="AP14" i="1" s="1"/>
  <c r="X4" i="1"/>
  <c r="AN4" i="1" s="1"/>
  <c r="AB4" i="1"/>
  <c r="AR4" i="1" s="1"/>
  <c r="Z4" i="1"/>
  <c r="AP4" i="1" s="1"/>
  <c r="AC14" i="1"/>
  <c r="AS14" i="1" s="1"/>
  <c r="AA14" i="1"/>
  <c r="AQ14" i="1" s="1"/>
  <c r="AB14" i="1"/>
  <c r="AR14" i="1" s="1"/>
  <c r="Y14" i="1"/>
  <c r="AD14" i="1"/>
  <c r="AT14" i="1" s="1"/>
  <c r="AO14" i="1" l="1"/>
  <c r="W4" i="1"/>
  <c r="AM4" i="1" s="1"/>
  <c r="Y4" i="1"/>
  <c r="AO4" i="1" l="1"/>
  <c r="AE14" i="1"/>
  <c r="AU14" i="1" l="1"/>
  <c r="C8" i="4"/>
  <c r="S18" i="1"/>
  <c r="AI18" i="1" s="1"/>
  <c r="R18" i="1"/>
  <c r="T18" i="1"/>
  <c r="AJ18" i="1" s="1"/>
  <c r="C9" i="4" l="1"/>
  <c r="C11" i="4"/>
  <c r="U18" i="1"/>
  <c r="AK18" i="1" s="1"/>
  <c r="AH18" i="1"/>
</calcChain>
</file>

<file path=xl/sharedStrings.xml><?xml version="1.0" encoding="utf-8"?>
<sst xmlns="http://schemas.openxmlformats.org/spreadsheetml/2006/main" count="533" uniqueCount="106">
  <si>
    <t>Montane forest</t>
  </si>
  <si>
    <t>Coastal forest</t>
  </si>
  <si>
    <t>Mangroves</t>
  </si>
  <si>
    <t>Dryland forest</t>
  </si>
  <si>
    <t>Acacia-Commiphora bushland</t>
  </si>
  <si>
    <t>Coastal wooded grassland</t>
  </si>
  <si>
    <t>Moist wooded grassland</t>
  </si>
  <si>
    <t>Montane wooded grassland</t>
  </si>
  <si>
    <t>Masai xeric shrubland</t>
  </si>
  <si>
    <t>Grassland</t>
  </si>
  <si>
    <t>Wetland</t>
  </si>
  <si>
    <t>Open Water</t>
  </si>
  <si>
    <t>Annual Cropland</t>
  </si>
  <si>
    <t>Perennial Cropland</t>
  </si>
  <si>
    <t>Plantation Forest</t>
  </si>
  <si>
    <t>Sparsely vegetated areas</t>
  </si>
  <si>
    <t>Built-up</t>
  </si>
  <si>
    <t>Opening extent (2002)</t>
  </si>
  <si>
    <t xml:space="preserve"> Additions</t>
  </si>
  <si>
    <t>Reductions</t>
  </si>
  <si>
    <t>Closing extent (2018)</t>
  </si>
  <si>
    <t>Net change</t>
  </si>
  <si>
    <t xml:space="preserve">Net change % </t>
  </si>
  <si>
    <t>Total reductions</t>
  </si>
  <si>
    <t>Total addtions</t>
  </si>
  <si>
    <t>Montane &amp; Western Rainforest</t>
  </si>
  <si>
    <t>Coastal Forest</t>
  </si>
  <si>
    <t>Dryland Forest</t>
  </si>
  <si>
    <t>Acacia-Commiphora Bushland</t>
  </si>
  <si>
    <t>Coastal Wooded Grassland</t>
  </si>
  <si>
    <t>Moist Wooded Grassland</t>
  </si>
  <si>
    <t>Montane Wooded Grassland</t>
  </si>
  <si>
    <t>Masai Xeric Shrubland</t>
  </si>
  <si>
    <t>Opening condition score (2002)</t>
  </si>
  <si>
    <t>Closing condition score (2018)</t>
  </si>
  <si>
    <t>Net change from 2002</t>
  </si>
  <si>
    <t>Physical supply 2002</t>
  </si>
  <si>
    <t>Industry</t>
  </si>
  <si>
    <t>Government</t>
  </si>
  <si>
    <t>Households</t>
  </si>
  <si>
    <t>Total</t>
  </si>
  <si>
    <t>Montane Rainforest</t>
  </si>
  <si>
    <t>Monetary supply 2002 (KSh million)</t>
  </si>
  <si>
    <t>Monetary supply 2002 (USD million)</t>
  </si>
  <si>
    <t>Livestock (TLU '000)</t>
  </si>
  <si>
    <t>-</t>
  </si>
  <si>
    <t>Livestock</t>
  </si>
  <si>
    <t>Sediment retention (Mt/y)</t>
  </si>
  <si>
    <t>Sediment retention</t>
  </si>
  <si>
    <t>Tourism value (KSh millions / y)</t>
  </si>
  <si>
    <t>Tourism value</t>
  </si>
  <si>
    <t>Physical use 2002</t>
  </si>
  <si>
    <t>Monetary use 2002 (KSh million)</t>
  </si>
  <si>
    <t>Monetary use 2002 (USD million)</t>
  </si>
  <si>
    <t>Sediment retention (t/y)</t>
  </si>
  <si>
    <t>Physical supply 2018</t>
  </si>
  <si>
    <t>Monetary supply 2018 (KSh million)</t>
  </si>
  <si>
    <t>Monetary supply 2018 (USD million)</t>
  </si>
  <si>
    <t>Physical use 2018</t>
  </si>
  <si>
    <t>Monetary use 2018 (KSh million)</t>
  </si>
  <si>
    <t>Monetary use 2018 (USD million)</t>
  </si>
  <si>
    <t>Taken from WB World Development Indicators database</t>
  </si>
  <si>
    <t>GDP (in current LCU) - million</t>
  </si>
  <si>
    <t>GDP in 2025 terms</t>
  </si>
  <si>
    <t xml:space="preserve">Total ecosystem services value </t>
  </si>
  <si>
    <t>Total (in KSh millions)</t>
  </si>
  <si>
    <t>Total (in USD millions)</t>
  </si>
  <si>
    <t>Percentage of GDP</t>
  </si>
  <si>
    <t>https://data.worldbank.org/indicator/FP.CPI.TOTL.ZG</t>
  </si>
  <si>
    <t>Country Name</t>
  </si>
  <si>
    <t>Kenya</t>
  </si>
  <si>
    <t>Country Code</t>
  </si>
  <si>
    <t>KEN</t>
  </si>
  <si>
    <t>Indicator Name</t>
  </si>
  <si>
    <t>Inflation, consumer prices (annual %)</t>
  </si>
  <si>
    <t>Indicator Code</t>
  </si>
  <si>
    <t>FP.CPI.TOTL.ZG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</si>
  <si>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</si>
  <si>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</si>
  <si>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</si>
  <si>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</si>
  <si>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</si>
  <si>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</si>
  <si>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</si>
  <si>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</si>
  <si>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</si>
  <si>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</si>
  <si>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</si>
  <si>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</si>
  <si>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</si>
  <si>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</si>
  <si>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</si>
  <si>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</si>
  <si>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</si>
  <si>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</si>
  <si>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</si>
  <si>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</si>
  <si>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</si>
  <si>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</si>
  <si>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</si>
  <si>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KSH to USD</t>
  </si>
  <si>
    <t>Resource</t>
  </si>
  <si>
    <t>Livestock (TLU)</t>
  </si>
  <si>
    <t>Sediment retention (million t/y)</t>
  </si>
  <si>
    <t>Carbon retention (t)</t>
  </si>
  <si>
    <t>Tourism (Ksh millions/y)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</si>
</sst>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000%"/>
    <numFmt numFmtId="166" formatCode="#,##0.0"/>
    <numFmt numFmtId="167" formatCode="0.0%"/>
    <numFmt numFmtId="168" formatCode="0.0"/>
    <numFmt numFmtId="169" formatCode="#,##0_ ;\-#,##0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ource Sans Pro"/>
      <family val="2"/>
    </font>
    <font>
      <b/>
      <sz val="9"/>
      <color rgb="FF092E42"/>
      <name val="Avenir Next LT Pro"/>
      <family val="2"/>
    </font>
    <font>
      <b/>
      <sz val="11"/>
      <color rgb="FF092E42"/>
      <name val="Avenir Next LT Pro"/>
      <family val="2"/>
    </font>
    <font>
      <sz val="9"/>
      <color rgb="FF586D80"/>
      <name val="Avenir Next LT Pro"/>
      <family val="2"/>
    </font>
    <font>
      <b/>
      <sz val="9"/>
      <color rgb="FF586D80"/>
      <name val="Avenir Next LT Pro"/>
      <family val="2"/>
    </font>
    <font>
      <b/>
      <sz val="9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/>
      <right style="thin">
        <color theme="2"/>
      </right>
      <top style="thin">
        <color rgb="FFFFC000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3" fontId="0" fillId="0" borderId="3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0" fontId="0" fillId="0" borderId="5" xfId="0" applyBorder="1"/>
    <xf numFmtId="0" fontId="0" fillId="0" borderId="3" xfId="0" applyBorder="1"/>
    <xf numFmtId="0" fontId="0" fillId="0" borderId="8" xfId="0" applyBorder="1"/>
    <xf numFmtId="165" fontId="0" fillId="0" borderId="0" xfId="1" applyNumberFormat="1" applyFont="1"/>
    <xf numFmtId="0" fontId="2" fillId="0" borderId="4" xfId="0" applyFont="1" applyBorder="1"/>
    <xf numFmtId="0" fontId="2" fillId="0" borderId="1" xfId="0" applyFont="1" applyBorder="1"/>
    <xf numFmtId="166" fontId="0" fillId="0" borderId="4" xfId="0" applyNumberFormat="1" applyBorder="1"/>
    <xf numFmtId="166" fontId="0" fillId="0" borderId="0" xfId="0" applyNumberFormat="1"/>
    <xf numFmtId="166" fontId="0" fillId="0" borderId="5" xfId="0" applyNumberFormat="1" applyBorder="1"/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7" fontId="0" fillId="0" borderId="0" xfId="1" applyNumberFormat="1" applyFont="1"/>
    <xf numFmtId="168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3" fontId="2" fillId="0" borderId="0" xfId="0" applyNumberFormat="1" applyFont="1"/>
    <xf numFmtId="0" fontId="4" fillId="2" borderId="9" xfId="0" applyFont="1" applyFill="1" applyBorder="1" applyAlignment="1">
      <alignment horizontal="center" textRotation="90" wrapText="1"/>
    </xf>
    <xf numFmtId="0" fontId="4" fillId="2" borderId="10" xfId="0" applyFont="1" applyFill="1" applyBorder="1" applyAlignment="1">
      <alignment horizontal="center" textRotation="90" wrapText="1"/>
    </xf>
    <xf numFmtId="0" fontId="4" fillId="2" borderId="0" xfId="0" applyFont="1" applyFill="1" applyAlignment="1">
      <alignment wrapText="1"/>
    </xf>
    <xf numFmtId="169" fontId="6" fillId="3" borderId="12" xfId="2" applyNumberFormat="1" applyFont="1" applyFill="1" applyBorder="1"/>
    <xf numFmtId="169" fontId="6" fillId="2" borderId="12" xfId="2" applyNumberFormat="1" applyFont="1" applyFill="1" applyBorder="1"/>
    <xf numFmtId="169" fontId="7" fillId="2" borderId="13" xfId="2" applyNumberFormat="1" applyFont="1" applyFill="1" applyBorder="1"/>
    <xf numFmtId="169" fontId="6" fillId="2" borderId="15" xfId="2" applyNumberFormat="1" applyFont="1" applyFill="1" applyBorder="1"/>
    <xf numFmtId="169" fontId="6" fillId="3" borderId="15" xfId="2" applyNumberFormat="1" applyFont="1" applyFill="1" applyBorder="1"/>
    <xf numFmtId="0" fontId="8" fillId="2" borderId="16" xfId="0" applyFont="1" applyFill="1" applyBorder="1"/>
    <xf numFmtId="169" fontId="7" fillId="2" borderId="16" xfId="2" applyNumberFormat="1" applyFont="1" applyFill="1" applyBorder="1"/>
    <xf numFmtId="169" fontId="7" fillId="2" borderId="17" xfId="2" applyNumberFormat="1" applyFont="1" applyFill="1" applyBorder="1"/>
    <xf numFmtId="0" fontId="4" fillId="2" borderId="16" xfId="0" applyFont="1" applyFill="1" applyBorder="1" applyAlignment="1">
      <alignment vertical="center" wrapText="1"/>
    </xf>
    <xf numFmtId="169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 wrapText="1"/>
    </xf>
    <xf numFmtId="0" fontId="5" fillId="3" borderId="11" xfId="0" applyFont="1" applyFill="1" applyBorder="1" applyAlignment="1">
      <alignment horizontal="center" vertical="center" textRotation="90"/>
    </xf>
    <xf numFmtId="0" fontId="5" fillId="3" borderId="14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chorenv-my.sharepoint.com/personal/jane_anchorenvironmental_co_za/Documents/2246%20WB%20Kenya%20NCA%20&amp;%20KEWASIP%207215481/Task%202.3.%20Ecosystem%20Service%20Accounts/Livestock/Livestock_Results.xlsx" TargetMode="External"/><Relationship Id="rId1" Type="http://schemas.openxmlformats.org/officeDocument/2006/relationships/externalLinkPath" Target="Livestock/Livestock_Resul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chorenv-my.sharepoint.com/personal/jane_anchorenvironmental_co_za/Documents/2246%20WB%20Kenya%20NCA%20&amp;%20KEWASIP%207215481/Task%202.3.%20Ecosystem%20Service%20Accounts/Sediment/SedExport%20Results.xlsx" TargetMode="External"/><Relationship Id="rId1" Type="http://schemas.openxmlformats.org/officeDocument/2006/relationships/externalLinkPath" Target="Sediment/SedExport%20Resul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chorenv-my.sharepoint.com/personal/jane_anchorenvironmental_co_za/Documents/2246%20WB%20Kenya%20NCA%20&amp;%20KEWASIP%207215481/Task%202.3.%20Ecosystem%20Service%20Accounts/Tourism/Attraction%20based%20tourism%20Kenya.xlsx" TargetMode="External"/><Relationship Id="rId1" Type="http://schemas.openxmlformats.org/officeDocument/2006/relationships/externalLinkPath" Target="Tourism/Attraction%20based%20tourism%20Keny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2002_Raw"/>
      <sheetName val="2018_Raw"/>
      <sheetName val="Physical Stocks"/>
      <sheetName val="Monetary values"/>
      <sheetName val="Extent Area"/>
      <sheetName val="Resource rents and conversions"/>
      <sheetName val="Monetary value factors"/>
      <sheetName val="Liv. pop per county 2020"/>
      <sheetName val="Liv. products per county 2020"/>
      <sheetName val="Liv. product value county 2020"/>
      <sheetName val="Inflation"/>
    </sheetNames>
    <sheetDataSet>
      <sheetData sheetId="0"/>
      <sheetData sheetId="1"/>
      <sheetData sheetId="2"/>
      <sheetData sheetId="3"/>
      <sheetData sheetId="4">
        <row r="4">
          <cell r="I4">
            <v>3191579964.6973619</v>
          </cell>
          <cell r="Q4">
            <v>4318893006.1886072</v>
          </cell>
        </row>
        <row r="5">
          <cell r="I5">
            <v>694681126.64349282</v>
          </cell>
          <cell r="Q5">
            <v>1099937359.1082027</v>
          </cell>
        </row>
        <row r="6">
          <cell r="I6">
            <v>4776125617.4693623</v>
          </cell>
          <cell r="Q6">
            <v>6968130465.9484196</v>
          </cell>
        </row>
        <row r="7">
          <cell r="I7">
            <v>69416285796.356735</v>
          </cell>
          <cell r="Q7">
            <v>114266534243.73029</v>
          </cell>
        </row>
        <row r="8">
          <cell r="I8">
            <v>1981782575.297478</v>
          </cell>
          <cell r="Q8">
            <v>2933242733.0169821</v>
          </cell>
        </row>
        <row r="9">
          <cell r="I9">
            <v>4710857875.1630917</v>
          </cell>
          <cell r="Q9">
            <v>5360489929.57444</v>
          </cell>
        </row>
        <row r="10">
          <cell r="I10">
            <v>5219661987.8969908</v>
          </cell>
          <cell r="Q10">
            <v>7919073975.1309395</v>
          </cell>
        </row>
        <row r="11">
          <cell r="I11">
            <v>2200127357.7077141</v>
          </cell>
          <cell r="Q11">
            <v>2729987341.8033762</v>
          </cell>
        </row>
        <row r="12">
          <cell r="I12">
            <v>46865868159.07489</v>
          </cell>
          <cell r="Q12">
            <v>38985916948.941849</v>
          </cell>
        </row>
        <row r="20">
          <cell r="G20">
            <v>209033.93719611876</v>
          </cell>
          <cell r="O20">
            <v>315015.34420933062</v>
          </cell>
        </row>
        <row r="21">
          <cell r="G21">
            <v>43258.627164639096</v>
          </cell>
          <cell r="O21">
            <v>80872.100127471596</v>
          </cell>
        </row>
        <row r="22">
          <cell r="G22">
            <v>182115.35161223114</v>
          </cell>
          <cell r="O22">
            <v>273343.7819643949</v>
          </cell>
        </row>
        <row r="23">
          <cell r="G23">
            <v>2828389.3209356517</v>
          </cell>
          <cell r="O23">
            <v>5651617.7530380581</v>
          </cell>
        </row>
        <row r="24">
          <cell r="G24">
            <v>112482.32813002623</v>
          </cell>
          <cell r="O24">
            <v>193326.08579361049</v>
          </cell>
        </row>
        <row r="25">
          <cell r="G25">
            <v>113289.52989284086</v>
          </cell>
          <cell r="O25">
            <v>151876.07340578295</v>
          </cell>
        </row>
        <row r="26">
          <cell r="G26">
            <v>230108.89843811607</v>
          </cell>
          <cell r="O26">
            <v>421171.18711791467</v>
          </cell>
        </row>
        <row r="27">
          <cell r="G27">
            <v>136638.44360236631</v>
          </cell>
          <cell r="O27">
            <v>216941.47259114828</v>
          </cell>
        </row>
        <row r="28">
          <cell r="G28">
            <v>1501890.3688122835</v>
          </cell>
          <cell r="O28">
            <v>2855575.9647628833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dated Export Results "/>
      <sheetName val="Updated Retention Results"/>
      <sheetName val="National"/>
      <sheetName val="Dams"/>
      <sheetName val="Sed valuation results"/>
      <sheetName val="ES_Watershed_Retention"/>
      <sheetName val="Sed valuation per m3"/>
      <sheetName val="DamExport NPCcomparison"/>
    </sheetNames>
    <sheetDataSet>
      <sheetData sheetId="0"/>
      <sheetData sheetId="1"/>
      <sheetData sheetId="2"/>
      <sheetData sheetId="3"/>
      <sheetData sheetId="4">
        <row r="13">
          <cell r="B13">
            <v>175.060459646824</v>
          </cell>
          <cell r="C13">
            <v>2.0449195701730001</v>
          </cell>
          <cell r="D13">
            <v>48.702648626378995</v>
          </cell>
          <cell r="E13">
            <v>243.74441969549099</v>
          </cell>
          <cell r="F13">
            <v>6.5516701463519995</v>
          </cell>
          <cell r="G13">
            <v>18.894222212111998</v>
          </cell>
          <cell r="H13">
            <v>73.630638115913001</v>
          </cell>
          <cell r="I13">
            <v>11.084751215541999</v>
          </cell>
          <cell r="J13">
            <v>91.725358189518005</v>
          </cell>
          <cell r="K13">
            <v>671.4390874183041</v>
          </cell>
        </row>
        <row r="14">
          <cell r="B14">
            <v>170.57124576789002</v>
          </cell>
          <cell r="C14">
            <v>2.1172454172899999</v>
          </cell>
          <cell r="D14">
            <v>51.062691027836003</v>
          </cell>
          <cell r="E14">
            <v>239.65335113341098</v>
          </cell>
          <cell r="F14">
            <v>5.4837640153719995</v>
          </cell>
          <cell r="G14">
            <v>14.873390660574</v>
          </cell>
          <cell r="H14">
            <v>70.79302654328599</v>
          </cell>
          <cell r="I14">
            <v>10.506951345685</v>
          </cell>
          <cell r="J14">
            <v>57.608569947924998</v>
          </cell>
          <cell r="K14">
            <v>622.67023585926904</v>
          </cell>
        </row>
        <row r="21">
          <cell r="B21">
            <v>9477.4908906952096</v>
          </cell>
          <cell r="C21">
            <v>260.35539900522963</v>
          </cell>
          <cell r="D21">
            <v>1764.5361672422389</v>
          </cell>
          <cell r="E21">
            <v>7973.6009146621818</v>
          </cell>
          <cell r="F21">
            <v>678.66667054896936</v>
          </cell>
          <cell r="G21">
            <v>1879.2920840704614</v>
          </cell>
          <cell r="H21">
            <v>2541.1749858558574</v>
          </cell>
          <cell r="I21">
            <v>51.226456563667789</v>
          </cell>
          <cell r="J21">
            <v>4962.7649678743055</v>
          </cell>
          <cell r="K21">
            <v>29589.108536518124</v>
          </cell>
        </row>
        <row r="22">
          <cell r="B22">
            <v>6774.8570746556679</v>
          </cell>
          <cell r="C22">
            <v>327.30515272320076</v>
          </cell>
          <cell r="D22">
            <v>1791.1841292354759</v>
          </cell>
          <cell r="E22">
            <v>8450.3748845576411</v>
          </cell>
          <cell r="F22">
            <v>791.27089203175933</v>
          </cell>
          <cell r="G22">
            <v>1194.8506744090516</v>
          </cell>
          <cell r="H22">
            <v>2319.942674076131</v>
          </cell>
          <cell r="I22">
            <v>81.229891998837232</v>
          </cell>
          <cell r="J22">
            <v>2180.6366696339874</v>
          </cell>
          <cell r="K22">
            <v>23911.652043321752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ism values"/>
      <sheetName val="Inflation"/>
      <sheetName val="Assumptions"/>
      <sheetName val="%attraction and ecosystems"/>
      <sheetName val="Park visitors 2018"/>
      <sheetName val="Sheet2"/>
      <sheetName val="Lookup Values"/>
      <sheetName val="Sheet1"/>
      <sheetName val="PUDs_National"/>
      <sheetName val="Results pivots"/>
      <sheetName val="PUDs_P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3">
          <cell r="B33">
            <v>999.54142034381493</v>
          </cell>
          <cell r="C33">
            <v>177.81655058208864</v>
          </cell>
          <cell r="D33">
            <v>614.40617828217046</v>
          </cell>
          <cell r="E33">
            <v>6741.6540035975831</v>
          </cell>
          <cell r="F33">
            <v>719.76648511851249</v>
          </cell>
          <cell r="G33">
            <v>80.167761114545996</v>
          </cell>
          <cell r="H33">
            <v>718.47905184566275</v>
          </cell>
          <cell r="I33">
            <v>70.199493806031555</v>
          </cell>
          <cell r="J33">
            <v>8896.8042862581096</v>
          </cell>
          <cell r="K33">
            <v>19018.83523094852</v>
          </cell>
        </row>
        <row r="34">
          <cell r="B34">
            <v>2003.3679704677045</v>
          </cell>
          <cell r="C34">
            <v>356.39541774334145</v>
          </cell>
          <cell r="D34">
            <v>1231.4463746830829</v>
          </cell>
          <cell r="E34">
            <v>13512.210123455481</v>
          </cell>
          <cell r="F34">
            <v>1442.6186780799478</v>
          </cell>
          <cell r="G34">
            <v>160.6792090974518</v>
          </cell>
          <cell r="H34">
            <v>1440.0382921845294</v>
          </cell>
          <cell r="I34">
            <v>140.6999395639601</v>
          </cell>
          <cell r="J34">
            <v>17831.75002440465</v>
          </cell>
          <cell r="K34">
            <v>38119.20602968015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AC34-1B41-44C7-85FF-5664C3174C92}">
  <dimension ref="A1:R7"/>
  <sheetViews>
    <sheetView workbookViewId="0">
      <selection activeCell="C12" sqref="C12"/>
    </sheetView>
  </sheetViews>
  <sheetFormatPr defaultRowHeight="14.45"/>
  <cols>
    <col min="1" max="1" width="18.5703125" bestFit="1" customWidth="1"/>
    <col min="2" max="2" width="13.140625" bestFit="1" customWidth="1"/>
    <col min="3" max="3" width="12.140625" bestFit="1" customWidth="1"/>
    <col min="4" max="4" width="9.7109375" bestFit="1" customWidth="1"/>
    <col min="5" max="5" width="12.140625" bestFit="1" customWidth="1"/>
    <col min="6" max="6" width="17.7109375" customWidth="1"/>
    <col min="7" max="7" width="15.28515625" customWidth="1"/>
    <col min="8" max="8" width="14.42578125" customWidth="1"/>
    <col min="9" max="9" width="15.85546875" customWidth="1"/>
    <col min="10" max="10" width="14.7109375" customWidth="1"/>
    <col min="11" max="11" width="12" customWidth="1"/>
    <col min="13" max="13" width="10.42578125" customWidth="1"/>
    <col min="14" max="14" width="12.28515625" customWidth="1"/>
    <col min="17" max="17" width="14.28515625" customWidth="1"/>
  </cols>
  <sheetData>
    <row r="1" spans="1:18" s="30" customFormat="1" ht="34.15" customHeight="1"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</row>
    <row r="2" spans="1:18" s="1" customFormat="1">
      <c r="A2" s="1" t="s">
        <v>17</v>
      </c>
      <c r="B2" s="32">
        <v>1499089</v>
      </c>
      <c r="C2" s="32">
        <v>656044</v>
      </c>
      <c r="D2" s="32">
        <v>47764</v>
      </c>
      <c r="E2" s="32">
        <v>1641558</v>
      </c>
      <c r="F2" s="32">
        <v>27514253</v>
      </c>
      <c r="G2" s="32">
        <v>1506387</v>
      </c>
      <c r="H2" s="32">
        <v>374693</v>
      </c>
      <c r="I2" s="32">
        <v>994855</v>
      </c>
      <c r="J2" s="32">
        <v>2525862</v>
      </c>
      <c r="K2" s="32">
        <v>9496957</v>
      </c>
      <c r="L2" s="32">
        <v>38443</v>
      </c>
      <c r="M2" s="32">
        <v>1211962</v>
      </c>
      <c r="N2" s="32">
        <v>4676206</v>
      </c>
      <c r="O2" s="32">
        <v>318061</v>
      </c>
      <c r="P2" s="32">
        <v>87438</v>
      </c>
      <c r="Q2" s="32">
        <v>6522495</v>
      </c>
      <c r="R2" s="32">
        <v>127091</v>
      </c>
    </row>
    <row r="3" spans="1:18">
      <c r="A3" t="s">
        <v>18</v>
      </c>
      <c r="B3" s="3">
        <v>373533</v>
      </c>
      <c r="C3" s="3">
        <v>226553</v>
      </c>
      <c r="D3" s="3">
        <v>763</v>
      </c>
      <c r="E3" s="3">
        <v>1043152</v>
      </c>
      <c r="F3" s="3">
        <v>5351318</v>
      </c>
      <c r="G3" s="3">
        <v>275193</v>
      </c>
      <c r="H3" s="3">
        <v>177040</v>
      </c>
      <c r="I3" s="3">
        <v>467359</v>
      </c>
      <c r="J3" s="3">
        <v>805542</v>
      </c>
      <c r="K3" s="3">
        <v>5425717</v>
      </c>
      <c r="L3" s="3">
        <v>41285</v>
      </c>
      <c r="M3" s="3">
        <v>59067</v>
      </c>
      <c r="N3" s="3">
        <v>2868200</v>
      </c>
      <c r="O3" s="3">
        <v>200263</v>
      </c>
      <c r="P3" s="3">
        <v>21075</v>
      </c>
      <c r="Q3" s="3">
        <v>2211185</v>
      </c>
      <c r="R3" s="3">
        <v>138862</v>
      </c>
    </row>
    <row r="4" spans="1:18">
      <c r="A4" t="s">
        <v>19</v>
      </c>
      <c r="B4" s="3">
        <v>496472</v>
      </c>
      <c r="C4" s="3">
        <v>272822</v>
      </c>
      <c r="D4" s="3">
        <v>1422</v>
      </c>
      <c r="E4" s="3">
        <v>1080674</v>
      </c>
      <c r="F4" s="3">
        <v>5789489</v>
      </c>
      <c r="G4" s="3">
        <v>395838</v>
      </c>
      <c r="H4" s="3">
        <v>285442</v>
      </c>
      <c r="I4" s="3">
        <v>529196</v>
      </c>
      <c r="J4" s="3">
        <v>1200432</v>
      </c>
      <c r="K4" s="3">
        <v>5488469</v>
      </c>
      <c r="L4" s="3">
        <v>32313</v>
      </c>
      <c r="M4" s="3">
        <v>41818</v>
      </c>
      <c r="N4" s="3">
        <v>1490022</v>
      </c>
      <c r="O4" s="3">
        <v>202644</v>
      </c>
      <c r="P4" s="3">
        <v>38302</v>
      </c>
      <c r="Q4" s="3">
        <v>2340248</v>
      </c>
      <c r="R4" s="3">
        <v>504</v>
      </c>
    </row>
    <row r="5" spans="1:18" s="1" customFormat="1">
      <c r="A5" s="1" t="s">
        <v>20</v>
      </c>
      <c r="B5" s="32">
        <v>1376150</v>
      </c>
      <c r="C5" s="32">
        <v>609775</v>
      </c>
      <c r="D5" s="32">
        <v>47105</v>
      </c>
      <c r="E5" s="32">
        <v>1604036</v>
      </c>
      <c r="F5" s="32">
        <v>27076082</v>
      </c>
      <c r="G5" s="32">
        <v>1385742</v>
      </c>
      <c r="H5" s="32">
        <v>266291</v>
      </c>
      <c r="I5" s="32">
        <v>933018</v>
      </c>
      <c r="J5" s="32">
        <v>2130972</v>
      </c>
      <c r="K5" s="32">
        <v>9434205</v>
      </c>
      <c r="L5" s="32">
        <v>47415</v>
      </c>
      <c r="M5" s="32">
        <v>1229211</v>
      </c>
      <c r="N5" s="32">
        <v>6054384</v>
      </c>
      <c r="O5" s="32">
        <v>315680</v>
      </c>
      <c r="P5" s="32">
        <v>70211</v>
      </c>
      <c r="Q5" s="32">
        <v>6393432</v>
      </c>
      <c r="R5" s="32">
        <v>265449</v>
      </c>
    </row>
    <row r="6" spans="1:18">
      <c r="A6" t="s">
        <v>21</v>
      </c>
      <c r="B6" s="3">
        <v>-122939</v>
      </c>
      <c r="C6" s="3">
        <v>-46269</v>
      </c>
      <c r="D6" s="3">
        <v>-659</v>
      </c>
      <c r="E6" s="3">
        <v>-37522</v>
      </c>
      <c r="F6" s="3">
        <v>-438171</v>
      </c>
      <c r="G6" s="3">
        <v>-120645</v>
      </c>
      <c r="H6" s="3">
        <v>-108402</v>
      </c>
      <c r="I6" s="3">
        <v>-61837</v>
      </c>
      <c r="J6" s="3">
        <v>-394890</v>
      </c>
      <c r="K6" s="3">
        <v>-62752</v>
      </c>
      <c r="L6" s="3">
        <v>8972</v>
      </c>
      <c r="M6" s="3">
        <v>17249</v>
      </c>
      <c r="N6" s="3">
        <v>1378178</v>
      </c>
      <c r="O6" s="3">
        <v>-2381</v>
      </c>
      <c r="P6" s="3">
        <v>-17227</v>
      </c>
      <c r="Q6" s="3">
        <v>-129063</v>
      </c>
      <c r="R6" s="3">
        <v>138358</v>
      </c>
    </row>
    <row r="7" spans="1:18" s="31" customFormat="1">
      <c r="A7" s="31" t="s">
        <v>22</v>
      </c>
      <c r="B7" s="31">
        <v>-8.2000000000000003E-2</v>
      </c>
      <c r="C7" s="31">
        <v>-7.0999999999999994E-2</v>
      </c>
      <c r="D7" s="31">
        <v>-1.4E-2</v>
      </c>
      <c r="E7" s="31">
        <v>-2.3E-2</v>
      </c>
      <c r="F7" s="31">
        <v>-1.6E-2</v>
      </c>
      <c r="G7" s="31">
        <v>-0.08</v>
      </c>
      <c r="H7" s="31">
        <v>-0.28899999999999998</v>
      </c>
      <c r="I7" s="31">
        <v>-6.2E-2</v>
      </c>
      <c r="J7" s="31">
        <v>-0.156</v>
      </c>
      <c r="K7" s="31">
        <v>-7.0000000000000001E-3</v>
      </c>
      <c r="L7" s="31">
        <v>0.23300000000000001</v>
      </c>
      <c r="M7" s="31">
        <v>1.4E-2</v>
      </c>
      <c r="N7" s="31">
        <v>0.29499999999999998</v>
      </c>
      <c r="O7" s="31">
        <v>-7.0000000000000001E-3</v>
      </c>
      <c r="P7" s="31">
        <v>-0.19700000000000001</v>
      </c>
      <c r="Q7" s="31">
        <v>-0.02</v>
      </c>
      <c r="R7" s="31">
        <v>1.089</v>
      </c>
    </row>
  </sheetData>
  <sheetProtection algorithmName="SHA-512" hashValue="BZJiRxQqdjAAQb8Vpjebbd0I0VjtUAm+/BZ/MenptBMdd+KoGTfkA3bWqwRAGuHc01g7FLJscyAS8iFG2IKpng==" saltValue="oEqhklR+tpNA5L/bZxODIw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0922-C34A-4AC4-8CC2-265E408FEF78}">
  <dimension ref="A1:U22"/>
  <sheetViews>
    <sheetView workbookViewId="0">
      <selection activeCell="A2" sqref="A2"/>
    </sheetView>
  </sheetViews>
  <sheetFormatPr defaultRowHeight="14.45"/>
  <cols>
    <col min="2" max="2" width="26.28515625" customWidth="1"/>
    <col min="3" max="3" width="10.140625" bestFit="1" customWidth="1"/>
    <col min="6" max="6" width="10.140625" bestFit="1" customWidth="1"/>
    <col min="7" max="7" width="11.28515625" bestFit="1" customWidth="1"/>
    <col min="8" max="8" width="10.140625" bestFit="1" customWidth="1"/>
    <col min="11" max="12" width="10.140625" bestFit="1" customWidth="1"/>
    <col min="14" max="15" width="10.140625" bestFit="1" customWidth="1"/>
    <col min="18" max="18" width="10.140625" bestFit="1" customWidth="1"/>
    <col min="20" max="20" width="10.140625" bestFit="1" customWidth="1"/>
  </cols>
  <sheetData>
    <row r="1" spans="1:21">
      <c r="C1" s="51">
        <v>2018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</row>
    <row r="2" spans="1:21" ht="61.15" customHeight="1">
      <c r="A2" s="33"/>
      <c r="B2" s="33"/>
      <c r="C2" s="33" t="s">
        <v>0</v>
      </c>
      <c r="D2" s="33" t="s">
        <v>1</v>
      </c>
      <c r="E2" s="33" t="s">
        <v>2</v>
      </c>
      <c r="F2" s="33" t="s">
        <v>3</v>
      </c>
      <c r="G2" s="33" t="s">
        <v>4</v>
      </c>
      <c r="H2" s="33" t="s">
        <v>5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33" t="s">
        <v>14</v>
      </c>
      <c r="R2" s="33" t="s">
        <v>15</v>
      </c>
      <c r="S2" s="33" t="s">
        <v>16</v>
      </c>
      <c r="T2" s="34" t="s">
        <v>23</v>
      </c>
    </row>
    <row r="3" spans="1:21">
      <c r="A3" s="49">
        <v>2002</v>
      </c>
      <c r="B3" s="35" t="s">
        <v>0</v>
      </c>
      <c r="C3" s="36">
        <v>1002617</v>
      </c>
      <c r="D3" s="37"/>
      <c r="E3" s="37"/>
      <c r="F3" s="37"/>
      <c r="G3" s="37">
        <v>99746</v>
      </c>
      <c r="H3" s="37"/>
      <c r="I3" s="37">
        <v>5145</v>
      </c>
      <c r="J3" s="37">
        <v>113192</v>
      </c>
      <c r="K3" s="37">
        <v>1352</v>
      </c>
      <c r="L3" s="37">
        <v>52246</v>
      </c>
      <c r="M3" s="37">
        <v>570</v>
      </c>
      <c r="N3" s="37">
        <v>771</v>
      </c>
      <c r="O3" s="37">
        <v>186426</v>
      </c>
      <c r="P3" s="37">
        <v>32810</v>
      </c>
      <c r="Q3" s="37"/>
      <c r="R3" s="37">
        <v>1802</v>
      </c>
      <c r="S3" s="37">
        <v>2412</v>
      </c>
      <c r="T3" s="38">
        <v>496472</v>
      </c>
      <c r="U3" s="45"/>
    </row>
    <row r="4" spans="1:21">
      <c r="A4" s="50"/>
      <c r="B4" s="35" t="s">
        <v>1</v>
      </c>
      <c r="C4" s="39"/>
      <c r="D4" s="40">
        <v>383222</v>
      </c>
      <c r="E4" s="39">
        <v>26</v>
      </c>
      <c r="F4" s="39"/>
      <c r="G4" s="39">
        <v>31364</v>
      </c>
      <c r="H4" s="39">
        <v>200495</v>
      </c>
      <c r="I4" s="39"/>
      <c r="J4" s="39"/>
      <c r="K4" s="39"/>
      <c r="L4" s="39">
        <v>8394</v>
      </c>
      <c r="M4" s="39">
        <v>1190</v>
      </c>
      <c r="N4" s="39">
        <v>1456</v>
      </c>
      <c r="O4" s="39">
        <v>24546</v>
      </c>
      <c r="P4" s="39">
        <v>2350</v>
      </c>
      <c r="Q4" s="39"/>
      <c r="R4" s="39">
        <v>2216</v>
      </c>
      <c r="S4" s="39">
        <v>785</v>
      </c>
      <c r="T4" s="38">
        <v>272822</v>
      </c>
      <c r="U4" s="45"/>
    </row>
    <row r="5" spans="1:21">
      <c r="A5" s="50"/>
      <c r="B5" s="35" t="s">
        <v>2</v>
      </c>
      <c r="C5" s="39"/>
      <c r="D5" s="39">
        <v>137</v>
      </c>
      <c r="E5" s="40">
        <v>46342</v>
      </c>
      <c r="F5" s="39"/>
      <c r="G5" s="39"/>
      <c r="H5" s="39">
        <v>142</v>
      </c>
      <c r="I5" s="39"/>
      <c r="J5" s="39"/>
      <c r="K5" s="39"/>
      <c r="L5" s="39">
        <v>14</v>
      </c>
      <c r="M5" s="39">
        <v>18</v>
      </c>
      <c r="N5" s="39">
        <v>12</v>
      </c>
      <c r="O5" s="39">
        <v>41</v>
      </c>
      <c r="P5" s="39"/>
      <c r="Q5" s="39"/>
      <c r="R5" s="39">
        <v>1057</v>
      </c>
      <c r="S5" s="39">
        <v>1</v>
      </c>
      <c r="T5" s="38">
        <v>1422</v>
      </c>
    </row>
    <row r="6" spans="1:21">
      <c r="A6" s="50"/>
      <c r="B6" s="35" t="s">
        <v>3</v>
      </c>
      <c r="C6" s="39"/>
      <c r="D6" s="39"/>
      <c r="E6" s="39"/>
      <c r="F6" s="40">
        <v>560884</v>
      </c>
      <c r="G6" s="39">
        <v>820967</v>
      </c>
      <c r="H6" s="39">
        <v>82</v>
      </c>
      <c r="I6" s="39">
        <v>3600</v>
      </c>
      <c r="J6" s="39">
        <v>30289</v>
      </c>
      <c r="K6" s="39">
        <v>21577</v>
      </c>
      <c r="L6" s="39">
        <v>65990</v>
      </c>
      <c r="M6" s="39">
        <v>2547</v>
      </c>
      <c r="N6" s="39">
        <v>5853</v>
      </c>
      <c r="O6" s="39">
        <v>104809</v>
      </c>
      <c r="P6" s="39">
        <v>7422</v>
      </c>
      <c r="Q6" s="39"/>
      <c r="R6" s="39">
        <v>16368</v>
      </c>
      <c r="S6" s="39">
        <v>1170</v>
      </c>
      <c r="T6" s="38">
        <v>1080674</v>
      </c>
    </row>
    <row r="7" spans="1:21">
      <c r="A7" s="50"/>
      <c r="B7" s="35" t="s">
        <v>4</v>
      </c>
      <c r="C7" s="39">
        <v>89393</v>
      </c>
      <c r="D7" s="39">
        <v>26879</v>
      </c>
      <c r="E7" s="39"/>
      <c r="F7" s="39">
        <v>832458</v>
      </c>
      <c r="G7" s="40">
        <v>21724764</v>
      </c>
      <c r="H7" s="39">
        <v>25</v>
      </c>
      <c r="I7" s="39"/>
      <c r="J7" s="39"/>
      <c r="K7" s="39"/>
      <c r="L7" s="39">
        <v>3248205</v>
      </c>
      <c r="M7" s="39">
        <v>7028</v>
      </c>
      <c r="N7" s="39">
        <v>17137</v>
      </c>
      <c r="O7" s="39">
        <v>878913</v>
      </c>
      <c r="P7" s="39">
        <v>7221</v>
      </c>
      <c r="Q7" s="39">
        <v>83</v>
      </c>
      <c r="R7" s="39">
        <v>663602</v>
      </c>
      <c r="S7" s="39">
        <v>18545</v>
      </c>
      <c r="T7" s="38">
        <v>5789489</v>
      </c>
    </row>
    <row r="8" spans="1:21">
      <c r="A8" s="50"/>
      <c r="B8" s="35" t="s">
        <v>5</v>
      </c>
      <c r="C8" s="39"/>
      <c r="D8" s="39">
        <v>188966</v>
      </c>
      <c r="E8" s="39">
        <v>75</v>
      </c>
      <c r="F8" s="39">
        <v>96</v>
      </c>
      <c r="G8" s="39">
        <v>13</v>
      </c>
      <c r="H8" s="40">
        <v>1110549</v>
      </c>
      <c r="I8" s="39"/>
      <c r="J8" s="39"/>
      <c r="K8" s="39"/>
      <c r="L8" s="39">
        <v>47155</v>
      </c>
      <c r="M8" s="39">
        <v>4367</v>
      </c>
      <c r="N8" s="39">
        <v>5427</v>
      </c>
      <c r="O8" s="39">
        <v>129237</v>
      </c>
      <c r="P8" s="39">
        <v>2822</v>
      </c>
      <c r="Q8" s="39">
        <v>256</v>
      </c>
      <c r="R8" s="39">
        <v>9264</v>
      </c>
      <c r="S8" s="39">
        <v>8160</v>
      </c>
      <c r="T8" s="38">
        <v>395838</v>
      </c>
    </row>
    <row r="9" spans="1:21">
      <c r="A9" s="50"/>
      <c r="B9" s="35" t="s">
        <v>6</v>
      </c>
      <c r="C9" s="39">
        <v>1962</v>
      </c>
      <c r="D9" s="39"/>
      <c r="E9" s="39"/>
      <c r="F9" s="39">
        <v>3537</v>
      </c>
      <c r="G9" s="39"/>
      <c r="H9" s="39"/>
      <c r="I9" s="40">
        <v>89251</v>
      </c>
      <c r="J9" s="39"/>
      <c r="K9" s="39"/>
      <c r="L9" s="39">
        <v>30408</v>
      </c>
      <c r="M9" s="39">
        <v>6131</v>
      </c>
      <c r="N9" s="39">
        <v>1686</v>
      </c>
      <c r="O9" s="39">
        <v>232143</v>
      </c>
      <c r="P9" s="39">
        <v>4556</v>
      </c>
      <c r="Q9" s="39">
        <v>160</v>
      </c>
      <c r="R9" s="39">
        <v>1956</v>
      </c>
      <c r="S9" s="39">
        <v>2903</v>
      </c>
      <c r="T9" s="38">
        <v>285442</v>
      </c>
    </row>
    <row r="10" spans="1:21">
      <c r="A10" s="50"/>
      <c r="B10" s="35" t="s">
        <v>7</v>
      </c>
      <c r="C10" s="39">
        <v>106495</v>
      </c>
      <c r="D10" s="39"/>
      <c r="E10" s="39"/>
      <c r="F10" s="39">
        <v>29910</v>
      </c>
      <c r="G10" s="39"/>
      <c r="H10" s="39"/>
      <c r="I10" s="39"/>
      <c r="J10" s="40">
        <v>465659</v>
      </c>
      <c r="K10" s="39"/>
      <c r="L10" s="39">
        <v>79802</v>
      </c>
      <c r="M10" s="39">
        <v>1343</v>
      </c>
      <c r="N10" s="39">
        <v>1180</v>
      </c>
      <c r="O10" s="39">
        <v>288390</v>
      </c>
      <c r="P10" s="39">
        <v>6495</v>
      </c>
      <c r="Q10" s="39">
        <v>3720</v>
      </c>
      <c r="R10" s="39">
        <v>6808</v>
      </c>
      <c r="S10" s="39">
        <v>5053</v>
      </c>
      <c r="T10" s="38">
        <v>529196</v>
      </c>
    </row>
    <row r="11" spans="1:21">
      <c r="A11" s="50"/>
      <c r="B11" s="35" t="s">
        <v>8</v>
      </c>
      <c r="C11" s="39">
        <v>3514</v>
      </c>
      <c r="D11" s="39"/>
      <c r="E11" s="39"/>
      <c r="F11" s="39">
        <v>28493</v>
      </c>
      <c r="G11" s="39"/>
      <c r="H11" s="39"/>
      <c r="I11" s="39"/>
      <c r="J11" s="39"/>
      <c r="K11" s="40">
        <v>1325430</v>
      </c>
      <c r="L11" s="39">
        <v>522538</v>
      </c>
      <c r="M11" s="39">
        <v>1980</v>
      </c>
      <c r="N11" s="39">
        <v>1103</v>
      </c>
      <c r="O11" s="39">
        <v>107</v>
      </c>
      <c r="P11" s="39"/>
      <c r="Q11" s="39"/>
      <c r="R11" s="39">
        <v>642446</v>
      </c>
      <c r="S11" s="39">
        <v>251</v>
      </c>
      <c r="T11" s="38">
        <v>1200432</v>
      </c>
    </row>
    <row r="12" spans="1:21">
      <c r="A12" s="50"/>
      <c r="B12" s="35" t="s">
        <v>9</v>
      </c>
      <c r="C12" s="39">
        <v>65230</v>
      </c>
      <c r="D12" s="39">
        <v>6243</v>
      </c>
      <c r="E12" s="39">
        <v>1</v>
      </c>
      <c r="F12" s="39">
        <v>70278</v>
      </c>
      <c r="G12" s="39">
        <v>3073176</v>
      </c>
      <c r="H12" s="39">
        <v>34294</v>
      </c>
      <c r="I12" s="39">
        <v>43207</v>
      </c>
      <c r="J12" s="39">
        <v>119461</v>
      </c>
      <c r="K12" s="39">
        <v>339693</v>
      </c>
      <c r="L12" s="40">
        <v>4008488</v>
      </c>
      <c r="M12" s="39">
        <v>4345</v>
      </c>
      <c r="N12" s="39">
        <v>7582</v>
      </c>
      <c r="O12" s="39">
        <v>833569</v>
      </c>
      <c r="P12" s="39">
        <v>15683</v>
      </c>
      <c r="Q12" s="39">
        <v>6851</v>
      </c>
      <c r="R12" s="39">
        <v>836199</v>
      </c>
      <c r="S12" s="39">
        <v>32657</v>
      </c>
      <c r="T12" s="38">
        <v>5488469</v>
      </c>
    </row>
    <row r="13" spans="1:21">
      <c r="A13" s="50"/>
      <c r="B13" s="35" t="s">
        <v>10</v>
      </c>
      <c r="C13" s="39">
        <v>417</v>
      </c>
      <c r="D13" s="39">
        <v>324</v>
      </c>
      <c r="E13" s="39"/>
      <c r="F13" s="39">
        <v>1675</v>
      </c>
      <c r="G13" s="39">
        <v>5285</v>
      </c>
      <c r="H13" s="39">
        <v>1147</v>
      </c>
      <c r="I13" s="39">
        <v>3802</v>
      </c>
      <c r="J13" s="39">
        <v>637</v>
      </c>
      <c r="K13" s="39">
        <v>299</v>
      </c>
      <c r="L13" s="39">
        <v>4201</v>
      </c>
      <c r="M13" s="40">
        <v>6130</v>
      </c>
      <c r="N13" s="39">
        <v>2429</v>
      </c>
      <c r="O13" s="39">
        <v>10616</v>
      </c>
      <c r="P13" s="39">
        <v>600</v>
      </c>
      <c r="Q13" s="39">
        <v>34</v>
      </c>
      <c r="R13" s="39">
        <v>723</v>
      </c>
      <c r="S13" s="39">
        <v>124</v>
      </c>
      <c r="T13" s="38">
        <v>32313</v>
      </c>
    </row>
    <row r="14" spans="1:21">
      <c r="A14" s="50"/>
      <c r="B14" s="35" t="s">
        <v>11</v>
      </c>
      <c r="C14" s="39">
        <v>303</v>
      </c>
      <c r="D14" s="39">
        <v>872</v>
      </c>
      <c r="E14" s="39">
        <v>6</v>
      </c>
      <c r="F14" s="39">
        <v>3891</v>
      </c>
      <c r="G14" s="39">
        <v>5996</v>
      </c>
      <c r="H14" s="39">
        <v>2343</v>
      </c>
      <c r="I14" s="39">
        <v>1589</v>
      </c>
      <c r="J14" s="39">
        <v>273</v>
      </c>
      <c r="K14" s="39">
        <v>1023</v>
      </c>
      <c r="L14" s="39">
        <v>4136</v>
      </c>
      <c r="M14" s="39">
        <v>6948</v>
      </c>
      <c r="N14" s="40">
        <v>1170144</v>
      </c>
      <c r="O14" s="39">
        <v>7622</v>
      </c>
      <c r="P14" s="39">
        <v>116</v>
      </c>
      <c r="Q14" s="39">
        <v>1</v>
      </c>
      <c r="R14" s="39">
        <v>6624</v>
      </c>
      <c r="S14" s="39">
        <v>75</v>
      </c>
      <c r="T14" s="38">
        <v>41818</v>
      </c>
    </row>
    <row r="15" spans="1:21">
      <c r="A15" s="50"/>
      <c r="B15" s="35" t="s">
        <v>12</v>
      </c>
      <c r="C15" s="39">
        <v>81322</v>
      </c>
      <c r="D15" s="39">
        <v>2067</v>
      </c>
      <c r="E15" s="39"/>
      <c r="F15" s="39">
        <v>49823</v>
      </c>
      <c r="G15" s="39">
        <v>528247</v>
      </c>
      <c r="H15" s="39">
        <v>26069</v>
      </c>
      <c r="I15" s="39">
        <v>110401</v>
      </c>
      <c r="J15" s="39">
        <v>190171</v>
      </c>
      <c r="K15" s="39">
        <v>13</v>
      </c>
      <c r="L15" s="39">
        <v>289518</v>
      </c>
      <c r="M15" s="39">
        <v>2882</v>
      </c>
      <c r="N15" s="39">
        <v>4767</v>
      </c>
      <c r="O15" s="40">
        <v>3186184</v>
      </c>
      <c r="P15" s="39">
        <v>119340</v>
      </c>
      <c r="Q15" s="39">
        <v>8291</v>
      </c>
      <c r="R15" s="39">
        <v>20135</v>
      </c>
      <c r="S15" s="39">
        <v>56976</v>
      </c>
      <c r="T15" s="38">
        <v>1490022</v>
      </c>
    </row>
    <row r="16" spans="1:21">
      <c r="A16" s="50"/>
      <c r="B16" s="35" t="s">
        <v>13</v>
      </c>
      <c r="C16" s="39">
        <v>23297</v>
      </c>
      <c r="D16" s="39">
        <v>570</v>
      </c>
      <c r="E16" s="39"/>
      <c r="F16" s="39">
        <v>4377</v>
      </c>
      <c r="G16" s="39">
        <v>6326</v>
      </c>
      <c r="H16" s="39">
        <v>4879</v>
      </c>
      <c r="I16" s="39">
        <v>8365</v>
      </c>
      <c r="J16" s="39">
        <v>5601</v>
      </c>
      <c r="K16" s="39"/>
      <c r="L16" s="39">
        <v>8828</v>
      </c>
      <c r="M16" s="39">
        <v>528</v>
      </c>
      <c r="N16" s="39">
        <v>528</v>
      </c>
      <c r="O16" s="39">
        <v>133544</v>
      </c>
      <c r="P16" s="40">
        <v>115417</v>
      </c>
      <c r="Q16" s="39">
        <v>1649</v>
      </c>
      <c r="R16" s="39">
        <v>1840</v>
      </c>
      <c r="S16" s="39">
        <v>2312</v>
      </c>
      <c r="T16" s="38">
        <v>202644</v>
      </c>
      <c r="U16" s="45"/>
    </row>
    <row r="17" spans="1:20">
      <c r="A17" s="50"/>
      <c r="B17" s="35" t="s">
        <v>14</v>
      </c>
      <c r="C17" s="39"/>
      <c r="D17" s="39"/>
      <c r="E17" s="39"/>
      <c r="F17" s="39"/>
      <c r="G17" s="39">
        <v>26</v>
      </c>
      <c r="H17" s="39">
        <v>179</v>
      </c>
      <c r="I17" s="39">
        <v>466</v>
      </c>
      <c r="J17" s="39">
        <v>3179</v>
      </c>
      <c r="K17" s="39"/>
      <c r="L17" s="39">
        <v>9296</v>
      </c>
      <c r="M17" s="39">
        <v>33</v>
      </c>
      <c r="N17" s="39">
        <v>19</v>
      </c>
      <c r="O17" s="39">
        <v>24289</v>
      </c>
      <c r="P17" s="39">
        <v>729</v>
      </c>
      <c r="Q17" s="40">
        <v>49136</v>
      </c>
      <c r="R17" s="39">
        <v>72</v>
      </c>
      <c r="S17" s="39">
        <v>14</v>
      </c>
      <c r="T17" s="38">
        <v>38302</v>
      </c>
    </row>
    <row r="18" spans="1:20">
      <c r="A18" s="50"/>
      <c r="B18" s="35" t="s">
        <v>15</v>
      </c>
      <c r="C18" s="39">
        <v>1594</v>
      </c>
      <c r="D18" s="39">
        <v>493</v>
      </c>
      <c r="E18" s="39">
        <v>655</v>
      </c>
      <c r="F18" s="39">
        <v>18613</v>
      </c>
      <c r="G18" s="39">
        <v>780064</v>
      </c>
      <c r="H18" s="39">
        <v>5512</v>
      </c>
      <c r="I18" s="39">
        <v>459</v>
      </c>
      <c r="J18" s="39">
        <v>4537</v>
      </c>
      <c r="K18" s="39">
        <v>441585</v>
      </c>
      <c r="L18" s="39">
        <v>1054928</v>
      </c>
      <c r="M18" s="39">
        <v>1374</v>
      </c>
      <c r="N18" s="39">
        <v>9114</v>
      </c>
      <c r="O18" s="39">
        <v>13747</v>
      </c>
      <c r="P18" s="39">
        <v>119</v>
      </c>
      <c r="Q18" s="39">
        <v>30</v>
      </c>
      <c r="R18" s="40">
        <v>4182247</v>
      </c>
      <c r="S18" s="39">
        <v>7424</v>
      </c>
      <c r="T18" s="38">
        <v>2340248</v>
      </c>
    </row>
    <row r="19" spans="1:20">
      <c r="A19" s="50"/>
      <c r="B19" s="35" t="s">
        <v>16</v>
      </c>
      <c r="C19" s="39">
        <v>6</v>
      </c>
      <c r="D19" s="39">
        <v>2</v>
      </c>
      <c r="E19" s="39"/>
      <c r="F19" s="39">
        <v>1</v>
      </c>
      <c r="G19" s="39">
        <v>108</v>
      </c>
      <c r="H19" s="39">
        <v>26</v>
      </c>
      <c r="I19" s="39">
        <v>6</v>
      </c>
      <c r="J19" s="39">
        <v>19</v>
      </c>
      <c r="K19" s="39"/>
      <c r="L19" s="39">
        <v>58</v>
      </c>
      <c r="M19" s="39">
        <v>1</v>
      </c>
      <c r="N19" s="39">
        <v>3</v>
      </c>
      <c r="O19" s="39">
        <v>201</v>
      </c>
      <c r="P19" s="39"/>
      <c r="Q19" s="39"/>
      <c r="R19" s="39">
        <v>73</v>
      </c>
      <c r="S19" s="40">
        <v>126587</v>
      </c>
      <c r="T19" s="38">
        <v>504</v>
      </c>
    </row>
    <row r="20" spans="1:20">
      <c r="A20" s="41"/>
      <c r="B20" s="44" t="s">
        <v>24</v>
      </c>
      <c r="C20" s="42">
        <v>373533</v>
      </c>
      <c r="D20" s="42">
        <v>226553</v>
      </c>
      <c r="E20" s="42">
        <v>763</v>
      </c>
      <c r="F20" s="42">
        <v>1043152</v>
      </c>
      <c r="G20" s="42">
        <v>5351318</v>
      </c>
      <c r="H20" s="42">
        <v>275193</v>
      </c>
      <c r="I20" s="42">
        <v>177040</v>
      </c>
      <c r="J20" s="42">
        <v>467359</v>
      </c>
      <c r="K20" s="42">
        <v>805542</v>
      </c>
      <c r="L20" s="42">
        <v>5425717</v>
      </c>
      <c r="M20" s="42">
        <v>41285</v>
      </c>
      <c r="N20" s="42">
        <v>59067</v>
      </c>
      <c r="O20" s="42">
        <v>2868200</v>
      </c>
      <c r="P20" s="42">
        <v>200263</v>
      </c>
      <c r="Q20" s="42">
        <v>21075</v>
      </c>
      <c r="R20" s="42">
        <v>2211185</v>
      </c>
      <c r="S20" s="42">
        <v>138862</v>
      </c>
      <c r="T20" s="43"/>
    </row>
    <row r="22" spans="1:20">
      <c r="F22" s="45"/>
      <c r="J22" s="45"/>
    </row>
  </sheetData>
  <sheetProtection algorithmName="SHA-512" hashValue="1zwjcAS2/l0x6IwndIXOLDqae4wYP5ojKSgPS56S7B97woXdiKEOjVQaDiBC4dyGWLuFQ2Ch8x2whwCHjg1alQ==" saltValue="9603Z65iUewcL/Ex281vDQ==" spinCount="100000" sheet="1" objects="1" scenarios="1"/>
  <mergeCells count="2">
    <mergeCell ref="A3:A19"/>
    <mergeCell ref="C1:S1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206C-AB5A-4BDD-96AB-51B8F5294CFE}">
  <dimension ref="A1:K5"/>
  <sheetViews>
    <sheetView workbookViewId="0"/>
  </sheetViews>
  <sheetFormatPr defaultRowHeight="14.45"/>
  <cols>
    <col min="1" max="1" width="26.28515625" bestFit="1" customWidth="1"/>
    <col min="2" max="2" width="16.7109375" customWidth="1"/>
    <col min="3" max="3" width="12.7109375" bestFit="1" customWidth="1"/>
    <col min="4" max="4" width="12" bestFit="1" customWidth="1"/>
    <col min="5" max="5" width="12.7109375" bestFit="1" customWidth="1"/>
    <col min="6" max="6" width="20.5703125" customWidth="1"/>
    <col min="7" max="7" width="23" bestFit="1" customWidth="1"/>
    <col min="8" max="8" width="17.28515625" customWidth="1"/>
    <col min="9" max="9" width="16" customWidth="1"/>
    <col min="10" max="10" width="18.85546875" bestFit="1" customWidth="1"/>
    <col min="11" max="11" width="12.7109375" bestFit="1" customWidth="1"/>
  </cols>
  <sheetData>
    <row r="1" spans="1:11" s="30" customFormat="1" ht="28.9">
      <c r="B1" s="48" t="s">
        <v>25</v>
      </c>
      <c r="C1" s="48" t="s">
        <v>26</v>
      </c>
      <c r="D1" s="48" t="s">
        <v>2</v>
      </c>
      <c r="E1" s="48" t="s">
        <v>27</v>
      </c>
      <c r="F1" s="48" t="s">
        <v>28</v>
      </c>
      <c r="G1" s="48" t="s">
        <v>29</v>
      </c>
      <c r="H1" s="48" t="s">
        <v>30</v>
      </c>
      <c r="I1" s="48" t="s">
        <v>31</v>
      </c>
      <c r="J1" s="48" t="s">
        <v>32</v>
      </c>
      <c r="K1" s="48" t="s">
        <v>9</v>
      </c>
    </row>
    <row r="2" spans="1:11">
      <c r="A2" t="s">
        <v>33</v>
      </c>
      <c r="B2" s="46">
        <v>0.57283593663073396</v>
      </c>
      <c r="C2" s="46">
        <v>0.42878368440456799</v>
      </c>
      <c r="D2" s="46">
        <v>0.51722073798983803</v>
      </c>
      <c r="E2" s="46">
        <v>0.41004322845947799</v>
      </c>
      <c r="F2" s="46">
        <v>0.58529142831952696</v>
      </c>
      <c r="G2" s="46">
        <v>0.68761370029296598</v>
      </c>
      <c r="H2" s="46">
        <v>0.69368046768097902</v>
      </c>
      <c r="I2" s="46">
        <v>0.74150332484386405</v>
      </c>
      <c r="J2" s="46">
        <v>0.46690073797332898</v>
      </c>
      <c r="K2" s="46">
        <v>0.68016038675506496</v>
      </c>
    </row>
    <row r="3" spans="1:11">
      <c r="A3" t="s">
        <v>34</v>
      </c>
      <c r="B3" s="46">
        <v>0.58765253362193204</v>
      </c>
      <c r="C3" s="46">
        <v>0.42046652223613401</v>
      </c>
      <c r="D3" s="46">
        <v>0.51965832740241202</v>
      </c>
      <c r="E3" s="46">
        <v>0.39102283172940899</v>
      </c>
      <c r="F3" s="46">
        <v>0.56865240885435098</v>
      </c>
      <c r="G3" s="46">
        <v>0.634422984020936</v>
      </c>
      <c r="H3" s="46">
        <v>0.73263186803864699</v>
      </c>
      <c r="I3" s="46">
        <v>0.69716531037835205</v>
      </c>
      <c r="J3" s="46">
        <v>0.452218104242466</v>
      </c>
      <c r="K3" s="46">
        <v>0.61404576354249096</v>
      </c>
    </row>
    <row r="4" spans="1:11">
      <c r="A4" t="s">
        <v>35</v>
      </c>
      <c r="B4" s="46">
        <v>1.4816596991198083E-2</v>
      </c>
      <c r="C4" s="46">
        <v>-8.317162168433978E-3</v>
      </c>
      <c r="D4" s="46">
        <v>2.4375894125739928E-3</v>
      </c>
      <c r="E4" s="46">
        <v>-1.9020396730069E-2</v>
      </c>
      <c r="F4" s="46">
        <v>-1.6639019465175986E-2</v>
      </c>
      <c r="G4" s="46">
        <v>-5.3190716272029981E-2</v>
      </c>
      <c r="H4" s="46">
        <v>3.8951400357667976E-2</v>
      </c>
      <c r="I4" s="46">
        <v>-4.4338014465511999E-2</v>
      </c>
      <c r="J4" s="46">
        <v>-1.4682633730862982E-2</v>
      </c>
      <c r="K4" s="46">
        <v>-6.6114623212573997E-2</v>
      </c>
    </row>
    <row r="5" spans="1:11">
      <c r="A5" t="s">
        <v>22</v>
      </c>
      <c r="B5" s="47">
        <v>2.5865341267423458E-2</v>
      </c>
      <c r="C5" s="47">
        <v>-1.9397105046064511E-2</v>
      </c>
      <c r="D5" s="47">
        <v>4.7128609383444431E-3</v>
      </c>
      <c r="E5" s="47">
        <v>-4.6386320782635937E-2</v>
      </c>
      <c r="F5" s="47">
        <v>-2.8428606092779307E-2</v>
      </c>
      <c r="G5" s="47">
        <v>-7.7355521347767575E-2</v>
      </c>
      <c r="H5" s="47">
        <v>5.6151790590104333E-2</v>
      </c>
      <c r="I5" s="47">
        <v>-5.9794761506764771E-2</v>
      </c>
      <c r="J5" s="47">
        <v>-3.1447013330061835E-2</v>
      </c>
      <c r="K5" s="47">
        <v>-9.7204460153870742E-2</v>
      </c>
    </row>
  </sheetData>
  <sheetProtection algorithmName="SHA-512" hashValue="96KCu9g0QQXq5OzkzaCPH8MsBzB4VheSAD8OVVk5LvTGWWDDbd15DbxZyoqwSJ11qxtbzUXuRUDxVVHlupDTMg==" saltValue="3qQIPgRx6UpURCrXk1Fttg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9117-6F45-4661-854B-F56539820DEB}">
  <dimension ref="A1:AU69"/>
  <sheetViews>
    <sheetView workbookViewId="0"/>
  </sheetViews>
  <sheetFormatPr defaultRowHeight="14.45"/>
  <cols>
    <col min="1" max="1" width="27.28515625" customWidth="1"/>
    <col min="2" max="2" width="8" bestFit="1" customWidth="1"/>
    <col min="3" max="3" width="10.85546875" bestFit="1" customWidth="1"/>
    <col min="4" max="4" width="10.5703125" bestFit="1" customWidth="1"/>
    <col min="5" max="5" width="12" bestFit="1" customWidth="1"/>
    <col min="6" max="6" width="16.7109375" bestFit="1" customWidth="1"/>
    <col min="7" max="8" width="12.5703125" bestFit="1" customWidth="1"/>
    <col min="9" max="9" width="25.7109375" bestFit="1" customWidth="1"/>
    <col min="10" max="10" width="22.28515625" bestFit="1" customWidth="1"/>
    <col min="11" max="11" width="20.28515625" bestFit="1" customWidth="1"/>
    <col min="12" max="12" width="23.140625" bestFit="1" customWidth="1"/>
    <col min="13" max="13" width="18.5703125" bestFit="1" customWidth="1"/>
    <col min="14" max="14" width="12.28515625" customWidth="1"/>
    <col min="15" max="15" width="13.5703125" bestFit="1" customWidth="1"/>
    <col min="16" max="16" width="15.42578125" customWidth="1"/>
    <col min="17" max="17" width="29.7109375" bestFit="1" customWidth="1"/>
    <col min="18" max="18" width="7.85546875" bestFit="1" customWidth="1"/>
    <col min="19" max="19" width="10.5703125" style="3" customWidth="1"/>
    <col min="20" max="20" width="10.7109375" style="3" bestFit="1" customWidth="1"/>
    <col min="21" max="21" width="8.85546875" style="3" bestFit="1" customWidth="1"/>
    <col min="22" max="22" width="10.5703125" style="3" bestFit="1" customWidth="1"/>
    <col min="23" max="23" width="9.5703125" bestFit="1" customWidth="1"/>
    <col min="24" max="24" width="8.7109375"/>
    <col min="25" max="25" width="13.7109375" bestFit="1" customWidth="1"/>
    <col min="26" max="28" width="13.7109375" customWidth="1"/>
    <col min="29" max="29" width="8.7109375"/>
    <col min="30" max="30" width="9.5703125" bestFit="1" customWidth="1"/>
    <col min="31" max="31" width="14.5703125" customWidth="1"/>
    <col min="33" max="33" width="29.7109375" bestFit="1" customWidth="1"/>
    <col min="34" max="34" width="7.28515625" bestFit="1" customWidth="1"/>
    <col min="35" max="35" width="10.5703125" style="3" customWidth="1"/>
    <col min="36" max="36" width="10.7109375" style="3" bestFit="1" customWidth="1"/>
    <col min="37" max="37" width="6.85546875" style="3" bestFit="1" customWidth="1"/>
    <col min="38" max="38" width="10.5703125" style="3" bestFit="1" customWidth="1"/>
    <col min="39" max="39" width="9.5703125" bestFit="1" customWidth="1"/>
    <col min="41" max="41" width="13.7109375" bestFit="1" customWidth="1"/>
    <col min="42" max="44" width="13.7109375" customWidth="1"/>
    <col min="46" max="46" width="9.5703125" bestFit="1" customWidth="1"/>
    <col min="47" max="47" width="14.5703125" customWidth="1"/>
  </cols>
  <sheetData>
    <row r="1" spans="1:47">
      <c r="R1" s="3"/>
      <c r="V1"/>
      <c r="AH1" s="3"/>
      <c r="AL1"/>
    </row>
    <row r="2" spans="1:47">
      <c r="A2" s="1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26</v>
      </c>
      <c r="H2" t="s">
        <v>27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40</v>
      </c>
      <c r="Q2" s="1" t="s">
        <v>42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26</v>
      </c>
      <c r="X2" t="s">
        <v>27</v>
      </c>
      <c r="Y2" t="s">
        <v>4</v>
      </c>
      <c r="Z2" t="s">
        <v>5</v>
      </c>
      <c r="AA2" t="s">
        <v>6</v>
      </c>
      <c r="AB2" t="s">
        <v>7</v>
      </c>
      <c r="AC2" t="s">
        <v>8</v>
      </c>
      <c r="AD2" t="s">
        <v>9</v>
      </c>
      <c r="AE2" t="s">
        <v>40</v>
      </c>
      <c r="AG2" s="1" t="s">
        <v>43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26</v>
      </c>
      <c r="AN2" t="s">
        <v>27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  <c r="AU2" t="s">
        <v>40</v>
      </c>
    </row>
    <row r="3" spans="1:47">
      <c r="A3" s="4" t="s">
        <v>44</v>
      </c>
      <c r="B3" s="5" t="s">
        <v>45</v>
      </c>
      <c r="C3" s="5" t="s">
        <v>45</v>
      </c>
      <c r="D3" s="5" t="s">
        <v>45</v>
      </c>
      <c r="E3" s="5" t="s">
        <v>45</v>
      </c>
      <c r="F3" s="21">
        <f>'[1]Monetary values'!$G$20/1000</f>
        <v>209.03393719611876</v>
      </c>
      <c r="G3" s="22">
        <f>'[1]Monetary values'!$G$21/1000</f>
        <v>43.258627164639094</v>
      </c>
      <c r="H3" s="22">
        <f>'[1]Monetary values'!$G$22/1000</f>
        <v>182.11535161223114</v>
      </c>
      <c r="I3" s="22">
        <f>'[1]Monetary values'!$G$23/1000</f>
        <v>2828.3893209356515</v>
      </c>
      <c r="J3" s="22">
        <f>'[1]Monetary values'!$G$24/1000</f>
        <v>112.48232813002623</v>
      </c>
      <c r="K3" s="22">
        <f>'[1]Monetary values'!$G$25/1000</f>
        <v>113.28952989284086</v>
      </c>
      <c r="L3" s="22">
        <f>'[1]Monetary values'!$G$26/1000</f>
        <v>230.10889843811606</v>
      </c>
      <c r="M3" s="22">
        <f>'[1]Monetary values'!$G$27/1000</f>
        <v>136.63844360236632</v>
      </c>
      <c r="N3" s="22">
        <f>'[1]Monetary values'!$G$28/1000</f>
        <v>1501.8903688122834</v>
      </c>
      <c r="O3" s="23">
        <f>SUM(F3:N3)</f>
        <v>5357.2068057842744</v>
      </c>
      <c r="Q3" s="4" t="s">
        <v>46</v>
      </c>
      <c r="R3" s="6" t="s">
        <v>45</v>
      </c>
      <c r="S3" s="6" t="s">
        <v>45</v>
      </c>
      <c r="T3" s="6" t="s">
        <v>45</v>
      </c>
      <c r="U3" s="6" t="s">
        <v>45</v>
      </c>
      <c r="V3" s="21">
        <f>'[1]Monetary values'!$I$4/1000000</f>
        <v>3191.5799646973619</v>
      </c>
      <c r="W3" s="22">
        <f>'[1]Monetary values'!$I$5/1000000</f>
        <v>694.6811266434928</v>
      </c>
      <c r="X3" s="22">
        <f>'[1]Monetary values'!$I$6/1000000</f>
        <v>4776.1256174693626</v>
      </c>
      <c r="Y3" s="22">
        <f>'[1]Monetary values'!$I$7/1000000</f>
        <v>69416.285796356737</v>
      </c>
      <c r="Z3" s="22">
        <f>'[1]Monetary values'!$I$8/1000000</f>
        <v>1981.7825752974779</v>
      </c>
      <c r="AA3" s="22">
        <f>'[1]Monetary values'!$I$9/1000000</f>
        <v>4710.8578751630921</v>
      </c>
      <c r="AB3" s="22">
        <f>'[1]Monetary values'!$I$10/1000000</f>
        <v>5219.6619878969905</v>
      </c>
      <c r="AC3" s="22">
        <f>'[1]Monetary values'!$I$11/1000000</f>
        <v>2200.1273577077141</v>
      </c>
      <c r="AD3" s="22">
        <f>'[1]Monetary values'!$I$12/1000000</f>
        <v>46865.868159074889</v>
      </c>
      <c r="AE3" s="23">
        <f>SUM(V3:AD3)</f>
        <v>139056.97046030709</v>
      </c>
      <c r="AG3" s="4" t="s">
        <v>46</v>
      </c>
      <c r="AH3" s="6" t="s">
        <v>45</v>
      </c>
      <c r="AI3" s="6" t="s">
        <v>45</v>
      </c>
      <c r="AJ3" s="6" t="s">
        <v>45</v>
      </c>
      <c r="AK3" s="6" t="s">
        <v>45</v>
      </c>
      <c r="AL3" s="21">
        <f>V3*'USD to KSh'!$B$1</f>
        <v>24.575165728169686</v>
      </c>
      <c r="AM3" s="22">
        <f>W3*'USD to KSh'!$B$1</f>
        <v>5.3490446751548948</v>
      </c>
      <c r="AN3" s="22">
        <f>X3*'USD to KSh'!$B$1</f>
        <v>36.776167254514093</v>
      </c>
      <c r="AO3" s="22">
        <f>Y3*'USD to KSh'!$B$1</f>
        <v>534.50540063194694</v>
      </c>
      <c r="AP3" s="22">
        <f>Z3*'USD to KSh'!$B$1</f>
        <v>15.259725829790581</v>
      </c>
      <c r="AQ3" s="22">
        <f>AA3*'USD to KSh'!$B$1</f>
        <v>36.273605638755811</v>
      </c>
      <c r="AR3" s="22">
        <f>AB3*'USD to KSh'!$B$1</f>
        <v>40.191397306806827</v>
      </c>
      <c r="AS3" s="22">
        <f>AC3*'USD to KSh'!$B$1</f>
        <v>16.940980654349399</v>
      </c>
      <c r="AT3" s="22">
        <f>AD3*'USD to KSh'!$B$1</f>
        <v>360.86718482487663</v>
      </c>
      <c r="AU3" s="23">
        <f>AE3*'USD to KSh'!$B$1</f>
        <v>1070.7386725443646</v>
      </c>
    </row>
    <row r="4" spans="1:47">
      <c r="A4" s="8" t="s">
        <v>47</v>
      </c>
      <c r="B4" t="s">
        <v>45</v>
      </c>
      <c r="C4" t="s">
        <v>45</v>
      </c>
      <c r="D4" t="s">
        <v>45</v>
      </c>
      <c r="E4" t="s">
        <v>45</v>
      </c>
      <c r="F4" s="18">
        <f>'[2]Sed valuation results'!B13</f>
        <v>175.060459646824</v>
      </c>
      <c r="G4" s="19">
        <f>'[2]Sed valuation results'!C13</f>
        <v>2.0449195701730001</v>
      </c>
      <c r="H4" s="19">
        <f>'[2]Sed valuation results'!D13</f>
        <v>48.702648626378995</v>
      </c>
      <c r="I4" s="19">
        <f>'[2]Sed valuation results'!E13</f>
        <v>243.74441969549099</v>
      </c>
      <c r="J4" s="19">
        <f>'[2]Sed valuation results'!F13</f>
        <v>6.5516701463519995</v>
      </c>
      <c r="K4" s="19">
        <f>'[2]Sed valuation results'!G13</f>
        <v>18.894222212111998</v>
      </c>
      <c r="L4" s="19">
        <f>'[2]Sed valuation results'!H13</f>
        <v>73.630638115913001</v>
      </c>
      <c r="M4" s="19">
        <f>'[2]Sed valuation results'!I13</f>
        <v>11.084751215541999</v>
      </c>
      <c r="N4" s="19">
        <f>'[2]Sed valuation results'!J13</f>
        <v>91.725358189518005</v>
      </c>
      <c r="O4" s="20">
        <f>'[2]Sed valuation results'!K13</f>
        <v>671.4390874183041</v>
      </c>
      <c r="Q4" s="8" t="s">
        <v>48</v>
      </c>
      <c r="R4" s="3" t="s">
        <v>45</v>
      </c>
      <c r="S4" s="3" t="s">
        <v>45</v>
      </c>
      <c r="T4" s="3" t="s">
        <v>45</v>
      </c>
      <c r="U4" s="3" t="s">
        <v>45</v>
      </c>
      <c r="V4" s="18">
        <f>'[2]Sed valuation results'!B21</f>
        <v>9477.4908906952096</v>
      </c>
      <c r="W4" s="19">
        <f>'[2]Sed valuation results'!C21</f>
        <v>260.35539900522963</v>
      </c>
      <c r="X4" s="19">
        <f>'[2]Sed valuation results'!D21</f>
        <v>1764.5361672422389</v>
      </c>
      <c r="Y4" s="19">
        <f>'[2]Sed valuation results'!E21</f>
        <v>7973.6009146621818</v>
      </c>
      <c r="Z4" s="19">
        <f>'[2]Sed valuation results'!F21</f>
        <v>678.66667054896936</v>
      </c>
      <c r="AA4" s="19">
        <f>'[2]Sed valuation results'!G21</f>
        <v>1879.2920840704614</v>
      </c>
      <c r="AB4" s="19">
        <f>'[2]Sed valuation results'!H21</f>
        <v>2541.1749858558574</v>
      </c>
      <c r="AC4" s="19">
        <f>'[2]Sed valuation results'!I21</f>
        <v>51.226456563667789</v>
      </c>
      <c r="AD4" s="19">
        <f>'[2]Sed valuation results'!J21</f>
        <v>4962.7649678743055</v>
      </c>
      <c r="AE4" s="20">
        <f>'[2]Sed valuation results'!K21</f>
        <v>29589.108536518124</v>
      </c>
      <c r="AG4" s="8" t="s">
        <v>48</v>
      </c>
      <c r="AH4" s="3" t="s">
        <v>45</v>
      </c>
      <c r="AI4" s="3" t="s">
        <v>45</v>
      </c>
      <c r="AJ4" s="3" t="s">
        <v>45</v>
      </c>
      <c r="AK4" s="3" t="s">
        <v>45</v>
      </c>
      <c r="AL4" s="18">
        <f>V4*'USD to KSh'!$B$1</f>
        <v>72.976679858353123</v>
      </c>
      <c r="AM4" s="19">
        <f>W4*'USD to KSh'!$B$1</f>
        <v>2.0047365723402684</v>
      </c>
      <c r="AN4" s="19">
        <f>X4*'USD to KSh'!$B$1</f>
        <v>13.58692848776524</v>
      </c>
      <c r="AO4" s="19">
        <f>Y4*'USD to KSh'!$B$1</f>
        <v>61.396727042898803</v>
      </c>
      <c r="AP4" s="19">
        <f>Z4*'USD to KSh'!$B$1</f>
        <v>5.2257333632270644</v>
      </c>
      <c r="AQ4" s="19">
        <f>AA4*'USD to KSh'!$B$1</f>
        <v>14.470549047342553</v>
      </c>
      <c r="AR4" s="19">
        <f>AB4*'USD to KSh'!$B$1</f>
        <v>19.567047391090103</v>
      </c>
      <c r="AS4" s="19">
        <f>AC4*'USD to KSh'!$B$1</f>
        <v>0.39444371554024199</v>
      </c>
      <c r="AT4" s="19">
        <f>AD4*'USD to KSh'!$B$1</f>
        <v>38.213290252632156</v>
      </c>
      <c r="AU4" s="20">
        <f>AE4*'USD to KSh'!$B$1</f>
        <v>227.83613573118956</v>
      </c>
    </row>
    <row r="5" spans="1:47">
      <c r="A5" s="9" t="s">
        <v>49</v>
      </c>
      <c r="B5" s="10" t="s">
        <v>45</v>
      </c>
      <c r="C5" s="10" t="s">
        <v>45</v>
      </c>
      <c r="D5" s="10" t="s">
        <v>45</v>
      </c>
      <c r="E5" s="10" t="s">
        <v>45</v>
      </c>
      <c r="F5" s="24">
        <f>'[3]Results pivots'!B33</f>
        <v>999.54142034381493</v>
      </c>
      <c r="G5" s="25">
        <f>'[3]Results pivots'!C33</f>
        <v>177.81655058208864</v>
      </c>
      <c r="H5" s="25">
        <f>'[3]Results pivots'!D33</f>
        <v>614.40617828217046</v>
      </c>
      <c r="I5" s="25">
        <f>'[3]Results pivots'!E33</f>
        <v>6741.6540035975831</v>
      </c>
      <c r="J5" s="25">
        <f>'[3]Results pivots'!F33</f>
        <v>719.76648511851249</v>
      </c>
      <c r="K5" s="25">
        <f>'[3]Results pivots'!G33</f>
        <v>80.167761114545996</v>
      </c>
      <c r="L5" s="25">
        <f>'[3]Results pivots'!H33</f>
        <v>718.47905184566275</v>
      </c>
      <c r="M5" s="25">
        <f>'[3]Results pivots'!I33</f>
        <v>70.199493806031555</v>
      </c>
      <c r="N5" s="25">
        <f>'[3]Results pivots'!J33</f>
        <v>8896.8042862581096</v>
      </c>
      <c r="O5" s="26">
        <f>'[3]Results pivots'!K33</f>
        <v>19018.83523094852</v>
      </c>
      <c r="Q5" s="9" t="s">
        <v>50</v>
      </c>
      <c r="R5" s="11" t="s">
        <v>45</v>
      </c>
      <c r="S5" s="11" t="s">
        <v>45</v>
      </c>
      <c r="T5" s="11" t="s">
        <v>45</v>
      </c>
      <c r="U5" s="11" t="s">
        <v>45</v>
      </c>
      <c r="V5" s="24">
        <f>F5</f>
        <v>999.54142034381493</v>
      </c>
      <c r="W5" s="25">
        <f t="shared" ref="W5:AE5" si="0">G5</f>
        <v>177.81655058208864</v>
      </c>
      <c r="X5" s="25">
        <f t="shared" si="0"/>
        <v>614.40617828217046</v>
      </c>
      <c r="Y5" s="25">
        <f t="shared" si="0"/>
        <v>6741.6540035975831</v>
      </c>
      <c r="Z5" s="25">
        <f t="shared" si="0"/>
        <v>719.76648511851249</v>
      </c>
      <c r="AA5" s="25">
        <f t="shared" si="0"/>
        <v>80.167761114545996</v>
      </c>
      <c r="AB5" s="25">
        <f t="shared" si="0"/>
        <v>718.47905184566275</v>
      </c>
      <c r="AC5" s="25">
        <f t="shared" si="0"/>
        <v>70.199493806031555</v>
      </c>
      <c r="AD5" s="25">
        <f t="shared" si="0"/>
        <v>8896.8042862581096</v>
      </c>
      <c r="AE5" s="26">
        <f t="shared" si="0"/>
        <v>19018.83523094852</v>
      </c>
      <c r="AG5" s="9" t="s">
        <v>50</v>
      </c>
      <c r="AH5" s="11" t="s">
        <v>45</v>
      </c>
      <c r="AI5" s="11" t="s">
        <v>45</v>
      </c>
      <c r="AJ5" s="11" t="s">
        <v>45</v>
      </c>
      <c r="AK5" s="11" t="s">
        <v>45</v>
      </c>
      <c r="AL5" s="24">
        <f>V5*'USD to KSh'!$B$1</f>
        <v>7.6964689366473751</v>
      </c>
      <c r="AM5" s="25">
        <f>W5*'USD to KSh'!$B$1</f>
        <v>1.3691874394820827</v>
      </c>
      <c r="AN5" s="25">
        <f>X5*'USD to KSh'!$B$1</f>
        <v>4.7309275727727123</v>
      </c>
      <c r="AO5" s="25">
        <f>Y5*'USD to KSh'!$B$1</f>
        <v>51.910735827701394</v>
      </c>
      <c r="AP5" s="25">
        <f>Z5*'USD to KSh'!$B$1</f>
        <v>5.542201935412546</v>
      </c>
      <c r="AQ5" s="25">
        <f>AA5*'USD to KSh'!$B$1</f>
        <v>0.61729176058200419</v>
      </c>
      <c r="AR5" s="25">
        <f>AB5*'USD to KSh'!$B$1</f>
        <v>5.5322886992116036</v>
      </c>
      <c r="AS5" s="25">
        <f>AC5*'USD to KSh'!$B$1</f>
        <v>0.540536102306443</v>
      </c>
      <c r="AT5" s="25">
        <f>AD5*'USD to KSh'!$B$1</f>
        <v>68.505393004187439</v>
      </c>
      <c r="AU5" s="26">
        <f>AE5*'USD to KSh'!$B$1</f>
        <v>146.44503127830362</v>
      </c>
    </row>
    <row r="6" spans="1:47">
      <c r="A6" s="16" t="s">
        <v>51</v>
      </c>
      <c r="O6" s="12"/>
      <c r="Q6" s="17" t="s">
        <v>52</v>
      </c>
      <c r="R6" s="6"/>
      <c r="S6" s="6"/>
      <c r="T6" s="6"/>
      <c r="U6" s="7"/>
      <c r="V6" s="8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s="12" t="s">
        <v>45</v>
      </c>
      <c r="AG6" s="17" t="s">
        <v>53</v>
      </c>
      <c r="AH6" s="6"/>
      <c r="AI6" s="6"/>
      <c r="AJ6" s="6"/>
      <c r="AK6" s="7"/>
      <c r="AL6" s="8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s="12" t="s">
        <v>45</v>
      </c>
    </row>
    <row r="7" spans="1:47">
      <c r="A7" s="4" t="s">
        <v>44</v>
      </c>
      <c r="B7" s="6">
        <f>$O$3*'Resource user'!B2</f>
        <v>0</v>
      </c>
      <c r="C7" s="6">
        <f>$O$3*'Resource user'!C2</f>
        <v>0</v>
      </c>
      <c r="D7" s="6">
        <f>$O$3*'Resource user'!D2</f>
        <v>5357.2068057842744</v>
      </c>
      <c r="E7" s="7">
        <f>SUM(B7:D7)</f>
        <v>5357.2068057842744</v>
      </c>
      <c r="F7" s="5" t="s">
        <v>45</v>
      </c>
      <c r="G7" s="5" t="s">
        <v>45</v>
      </c>
      <c r="H7" s="5" t="s">
        <v>45</v>
      </c>
      <c r="I7" s="5" t="s">
        <v>45</v>
      </c>
      <c r="J7" s="5" t="s">
        <v>45</v>
      </c>
      <c r="K7" s="5" t="s">
        <v>45</v>
      </c>
      <c r="L7" s="5" t="s">
        <v>45</v>
      </c>
      <c r="M7" s="5" t="s">
        <v>45</v>
      </c>
      <c r="N7" s="5" t="s">
        <v>45</v>
      </c>
      <c r="O7" s="13" t="s">
        <v>45</v>
      </c>
      <c r="Q7" s="8" t="s">
        <v>46</v>
      </c>
      <c r="R7" s="19">
        <f>$AE$3*'Resource user'!B2</f>
        <v>0</v>
      </c>
      <c r="S7" s="19">
        <f>$AE$3*'Resource user'!C2</f>
        <v>0</v>
      </c>
      <c r="T7" s="19">
        <f>$AE$3*'Resource user'!D2</f>
        <v>139056.97046030709</v>
      </c>
      <c r="U7" s="20">
        <f>SUM(R7:T7)</f>
        <v>139056.97046030709</v>
      </c>
      <c r="V7" s="8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s="12" t="s">
        <v>45</v>
      </c>
      <c r="AG7" s="8" t="s">
        <v>46</v>
      </c>
      <c r="AH7" s="19">
        <f>R7*'USD to KSh'!$B$1</f>
        <v>0</v>
      </c>
      <c r="AI7" s="19">
        <f>S7*'USD to KSh'!$B$1</f>
        <v>0</v>
      </c>
      <c r="AJ7" s="19">
        <f>T7*'USD to KSh'!$B$1</f>
        <v>1070.7386725443646</v>
      </c>
      <c r="AK7" s="20">
        <f>U7*'USD to KSh'!$B$1</f>
        <v>1070.7386725443646</v>
      </c>
      <c r="AL7" s="8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 t="s">
        <v>45</v>
      </c>
      <c r="AT7" t="s">
        <v>45</v>
      </c>
      <c r="AU7" s="12" t="s">
        <v>45</v>
      </c>
    </row>
    <row r="8" spans="1:47">
      <c r="A8" s="8" t="s">
        <v>54</v>
      </c>
      <c r="B8" s="19">
        <f>$O$4*'Resource user'!B3</f>
        <v>0</v>
      </c>
      <c r="C8" s="19">
        <f>$O$4*'Resource user'!C3</f>
        <v>671.4390874183041</v>
      </c>
      <c r="D8" s="19">
        <f>$O$4*'Resource user'!D3</f>
        <v>0</v>
      </c>
      <c r="E8" s="20">
        <f t="shared" ref="E8:E9" si="1">SUM(B8:D8)</f>
        <v>671.4390874183041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s="12" t="s">
        <v>45</v>
      </c>
      <c r="Q8" s="8" t="s">
        <v>48</v>
      </c>
      <c r="R8" s="19">
        <f>$AE$4*'Resource user'!B3</f>
        <v>0</v>
      </c>
      <c r="S8" s="19">
        <f>$AE$4*'Resource user'!C3</f>
        <v>29589.108536518124</v>
      </c>
      <c r="T8" s="19">
        <f>$AE$4*'Resource user'!D3</f>
        <v>0</v>
      </c>
      <c r="U8" s="20">
        <f t="shared" ref="U8:U9" si="2">SUM(R8:T8)</f>
        <v>29589.108536518124</v>
      </c>
      <c r="V8" s="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s="12" t="s">
        <v>45</v>
      </c>
      <c r="AG8" s="8" t="s">
        <v>48</v>
      </c>
      <c r="AH8" s="19">
        <f>R8*'USD to KSh'!$B$1</f>
        <v>0</v>
      </c>
      <c r="AI8" s="19">
        <f>S8*'USD to KSh'!$B$1</f>
        <v>227.83613573118956</v>
      </c>
      <c r="AJ8" s="19">
        <f>T8*'USD to KSh'!$B$1</f>
        <v>0</v>
      </c>
      <c r="AK8" s="20">
        <f>U8*'USD to KSh'!$B$1</f>
        <v>227.83613573118956</v>
      </c>
      <c r="AL8" s="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45</v>
      </c>
      <c r="AT8" t="s">
        <v>45</v>
      </c>
      <c r="AU8" s="12" t="s">
        <v>45</v>
      </c>
    </row>
    <row r="9" spans="1:47">
      <c r="A9" s="9" t="s">
        <v>49</v>
      </c>
      <c r="B9" s="25">
        <f>$O$5*'Resource user'!B5</f>
        <v>18258.081821710577</v>
      </c>
      <c r="C9" s="25">
        <f>$O$5*'Resource user'!C5</f>
        <v>760.75340923794079</v>
      </c>
      <c r="D9" s="25">
        <f>$O$5*'Resource user'!D5</f>
        <v>0</v>
      </c>
      <c r="E9" s="26">
        <f t="shared" si="1"/>
        <v>19018.835230948516</v>
      </c>
      <c r="F9" s="10" t="s">
        <v>45</v>
      </c>
      <c r="G9" s="10" t="s">
        <v>45</v>
      </c>
      <c r="H9" s="10" t="s">
        <v>45</v>
      </c>
      <c r="I9" s="10" t="s">
        <v>45</v>
      </c>
      <c r="J9" s="10" t="s">
        <v>45</v>
      </c>
      <c r="K9" s="10" t="s">
        <v>45</v>
      </c>
      <c r="L9" s="10" t="s">
        <v>45</v>
      </c>
      <c r="M9" s="10" t="s">
        <v>45</v>
      </c>
      <c r="N9" s="10" t="s">
        <v>45</v>
      </c>
      <c r="O9" s="14" t="s">
        <v>45</v>
      </c>
      <c r="Q9" s="9" t="s">
        <v>50</v>
      </c>
      <c r="R9" s="25">
        <f>$AE$5*'Resource user'!B5</f>
        <v>18258.081821710577</v>
      </c>
      <c r="S9" s="25">
        <f>$AE$5*'Resource user'!C5</f>
        <v>760.75340923794079</v>
      </c>
      <c r="T9" s="25">
        <f>$AE$5*'Resource user'!D5</f>
        <v>0</v>
      </c>
      <c r="U9" s="26">
        <f t="shared" si="2"/>
        <v>19018.835230948516</v>
      </c>
      <c r="V9" s="9" t="s">
        <v>45</v>
      </c>
      <c r="W9" s="10" t="s">
        <v>45</v>
      </c>
      <c r="X9" s="10" t="s">
        <v>45</v>
      </c>
      <c r="Y9" s="10" t="s">
        <v>45</v>
      </c>
      <c r="Z9" s="10" t="s">
        <v>45</v>
      </c>
      <c r="AA9" s="10" t="s">
        <v>45</v>
      </c>
      <c r="AB9" s="10" t="s">
        <v>45</v>
      </c>
      <c r="AC9" s="10" t="s">
        <v>45</v>
      </c>
      <c r="AD9" s="10" t="s">
        <v>45</v>
      </c>
      <c r="AE9" s="14" t="s">
        <v>45</v>
      </c>
      <c r="AG9" s="9" t="s">
        <v>50</v>
      </c>
      <c r="AH9" s="25">
        <f>R9*'USD to KSh'!$B$1</f>
        <v>140.58723002717144</v>
      </c>
      <c r="AI9" s="25">
        <f>S9*'USD to KSh'!$B$1</f>
        <v>5.8578012511321447</v>
      </c>
      <c r="AJ9" s="25">
        <f>T9*'USD to KSh'!$B$1</f>
        <v>0</v>
      </c>
      <c r="AK9" s="26">
        <f>U9*'USD to KSh'!$B$1</f>
        <v>146.44503127830359</v>
      </c>
      <c r="AL9" s="9" t="s">
        <v>45</v>
      </c>
      <c r="AM9" s="10" t="s">
        <v>45</v>
      </c>
      <c r="AN9" s="10" t="s">
        <v>45</v>
      </c>
      <c r="AO9" s="10" t="s">
        <v>45</v>
      </c>
      <c r="AP9" s="10" t="s">
        <v>45</v>
      </c>
      <c r="AQ9" s="10" t="s">
        <v>45</v>
      </c>
      <c r="AR9" s="10" t="s">
        <v>45</v>
      </c>
      <c r="AS9" s="10" t="s">
        <v>45</v>
      </c>
      <c r="AT9" s="10" t="s">
        <v>45</v>
      </c>
      <c r="AU9" s="14" t="s">
        <v>45</v>
      </c>
    </row>
    <row r="10" spans="1:47">
      <c r="R10" s="3"/>
      <c r="V10"/>
      <c r="AH10" s="3"/>
      <c r="AL10"/>
    </row>
    <row r="11" spans="1:47">
      <c r="R11" s="3"/>
      <c r="V11"/>
      <c r="AH11" s="3"/>
      <c r="AL11"/>
    </row>
    <row r="12" spans="1:47">
      <c r="A12" s="1" t="s">
        <v>55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26</v>
      </c>
      <c r="H12" t="s">
        <v>27</v>
      </c>
      <c r="I12" t="s">
        <v>4</v>
      </c>
      <c r="J12" t="s">
        <v>5</v>
      </c>
      <c r="K12" t="s">
        <v>6</v>
      </c>
      <c r="L12" t="s">
        <v>7</v>
      </c>
      <c r="M12" t="s">
        <v>8</v>
      </c>
      <c r="N12" t="s">
        <v>9</v>
      </c>
      <c r="O12" t="s">
        <v>40</v>
      </c>
      <c r="Q12" s="1" t="s">
        <v>56</v>
      </c>
      <c r="R12" s="3" t="s">
        <v>37</v>
      </c>
      <c r="S12" s="3" t="s">
        <v>38</v>
      </c>
      <c r="T12" s="3" t="s">
        <v>39</v>
      </c>
      <c r="U12" s="3" t="s">
        <v>40</v>
      </c>
      <c r="V12" t="s">
        <v>41</v>
      </c>
      <c r="W12" t="s">
        <v>26</v>
      </c>
      <c r="X12" t="s">
        <v>27</v>
      </c>
      <c r="Y12" t="s">
        <v>4</v>
      </c>
      <c r="Z12" t="s">
        <v>5</v>
      </c>
      <c r="AA12" t="s">
        <v>6</v>
      </c>
      <c r="AB12" t="s">
        <v>7</v>
      </c>
      <c r="AC12" t="s">
        <v>8</v>
      </c>
      <c r="AD12" t="s">
        <v>9</v>
      </c>
      <c r="AE12" t="s">
        <v>40</v>
      </c>
      <c r="AG12" s="1" t="s">
        <v>57</v>
      </c>
      <c r="AH12" s="3" t="s">
        <v>37</v>
      </c>
      <c r="AI12" s="3" t="s">
        <v>38</v>
      </c>
      <c r="AJ12" s="3" t="s">
        <v>39</v>
      </c>
      <c r="AK12" s="3" t="s">
        <v>40</v>
      </c>
      <c r="AL12" t="s">
        <v>41</v>
      </c>
      <c r="AM12" t="s">
        <v>26</v>
      </c>
      <c r="AN12" t="s">
        <v>27</v>
      </c>
      <c r="AO12" t="s">
        <v>4</v>
      </c>
      <c r="AP12" t="s">
        <v>5</v>
      </c>
      <c r="AQ12" t="s">
        <v>6</v>
      </c>
      <c r="AR12" t="s">
        <v>7</v>
      </c>
      <c r="AS12" t="s">
        <v>8</v>
      </c>
      <c r="AT12" t="s">
        <v>9</v>
      </c>
      <c r="AU12" t="s">
        <v>40</v>
      </c>
    </row>
    <row r="13" spans="1:47">
      <c r="A13" s="4" t="s">
        <v>44</v>
      </c>
      <c r="B13" s="5" t="s">
        <v>45</v>
      </c>
      <c r="C13" s="5" t="s">
        <v>45</v>
      </c>
      <c r="D13" s="5" t="s">
        <v>45</v>
      </c>
      <c r="E13" s="5" t="s">
        <v>45</v>
      </c>
      <c r="F13" s="21">
        <f>'[1]Monetary values'!$O$20/1000</f>
        <v>315.01534420933064</v>
      </c>
      <c r="G13" s="22">
        <f>'[1]Monetary values'!$O$21/1000</f>
        <v>80.872100127471597</v>
      </c>
      <c r="H13" s="22">
        <f>'[1]Monetary values'!$O$22/1000</f>
        <v>273.34378196439491</v>
      </c>
      <c r="I13" s="22">
        <f>'[1]Monetary values'!$O$23/1000</f>
        <v>5651.6177530380583</v>
      </c>
      <c r="J13" s="22">
        <f>'[1]Monetary values'!$O$24/1000</f>
        <v>193.32608579361047</v>
      </c>
      <c r="K13" s="22">
        <f>'[1]Monetary values'!$O$25/1000</f>
        <v>151.87607340578296</v>
      </c>
      <c r="L13" s="22">
        <f>'[1]Monetary values'!$O$26/1000</f>
        <v>421.17118711791466</v>
      </c>
      <c r="M13" s="22">
        <f>'[1]Monetary values'!$O$27/1000</f>
        <v>216.94147259114828</v>
      </c>
      <c r="N13" s="22">
        <f>'[1]Monetary values'!$O$28/1000</f>
        <v>2855.5759647628834</v>
      </c>
      <c r="O13" s="23">
        <f>SUM(F13:N13)</f>
        <v>10159.739763010595</v>
      </c>
      <c r="Q13" s="4" t="s">
        <v>46</v>
      </c>
      <c r="R13" s="6" t="s">
        <v>45</v>
      </c>
      <c r="S13" s="6" t="s">
        <v>45</v>
      </c>
      <c r="T13" s="6" t="s">
        <v>45</v>
      </c>
      <c r="U13" s="6" t="s">
        <v>45</v>
      </c>
      <c r="V13" s="21">
        <f>'[1]Monetary values'!$Q$4/1000000</f>
        <v>4318.8930061886076</v>
      </c>
      <c r="W13" s="22">
        <f>'[1]Monetary values'!$Q$5/1000000</f>
        <v>1099.9373591082026</v>
      </c>
      <c r="X13" s="22">
        <f>'[1]Monetary values'!$Q$6/1000000</f>
        <v>6968.1304659484194</v>
      </c>
      <c r="Y13" s="22">
        <f>'[1]Monetary values'!$Q$7/1000000</f>
        <v>114266.53424373029</v>
      </c>
      <c r="Z13" s="22">
        <f>'[1]Monetary values'!$Q$8/1000000</f>
        <v>2933.2427330169821</v>
      </c>
      <c r="AA13" s="22">
        <f>'[1]Monetary values'!$Q$9/1000000</f>
        <v>5360.4899295744399</v>
      </c>
      <c r="AB13" s="22">
        <f>'[1]Monetary values'!$Q$10/1000000</f>
        <v>7919.0739751309393</v>
      </c>
      <c r="AC13" s="22">
        <f>'[1]Monetary values'!$Q$11/1000000</f>
        <v>2729.9873418033762</v>
      </c>
      <c r="AD13" s="22">
        <f>'[1]Monetary values'!$Q$12/1000000</f>
        <v>38985.916948941849</v>
      </c>
      <c r="AE13" s="23">
        <f>SUM(V13:AD13)</f>
        <v>184582.20600344313</v>
      </c>
      <c r="AG13" s="4" t="s">
        <v>46</v>
      </c>
      <c r="AH13" s="6" t="s">
        <v>45</v>
      </c>
      <c r="AI13" s="6" t="s">
        <v>45</v>
      </c>
      <c r="AJ13" s="6" t="s">
        <v>45</v>
      </c>
      <c r="AK13" s="6" t="s">
        <v>45</v>
      </c>
      <c r="AL13" s="21">
        <f>V13*'USD to KSh'!$B$1</f>
        <v>33.255476147652281</v>
      </c>
      <c r="AM13" s="22">
        <f>W13*'USD to KSh'!$B$1</f>
        <v>8.4695176651331607</v>
      </c>
      <c r="AN13" s="22">
        <f>X13*'USD to KSh'!$B$1</f>
        <v>53.654604587802829</v>
      </c>
      <c r="AO13" s="22">
        <f>Y13*'USD to KSh'!$B$1</f>
        <v>879.85231367672327</v>
      </c>
      <c r="AP13" s="22">
        <f>Z13*'USD to KSh'!$B$1</f>
        <v>22.585969044230762</v>
      </c>
      <c r="AQ13" s="22">
        <f>AA13*'USD to KSh'!$B$1</f>
        <v>41.275772457723185</v>
      </c>
      <c r="AR13" s="22">
        <f>AB13*'USD to KSh'!$B$1</f>
        <v>60.976869608508231</v>
      </c>
      <c r="AS13" s="22">
        <f>AC13*'USD to KSh'!$B$1</f>
        <v>21.020902531885998</v>
      </c>
      <c r="AT13" s="22">
        <f>AD13*'USD to KSh'!$B$1</f>
        <v>300.19156050685223</v>
      </c>
      <c r="AU13" s="23">
        <f>AE13*'USD to KSh'!$B$1</f>
        <v>1421.2829862265121</v>
      </c>
    </row>
    <row r="14" spans="1:47">
      <c r="A14" s="8" t="s">
        <v>54</v>
      </c>
      <c r="B14" t="s">
        <v>45</v>
      </c>
      <c r="C14" t="s">
        <v>45</v>
      </c>
      <c r="D14" t="s">
        <v>45</v>
      </c>
      <c r="E14" t="s">
        <v>45</v>
      </c>
      <c r="F14" s="18">
        <f>'[2]Sed valuation results'!B14</f>
        <v>170.57124576789002</v>
      </c>
      <c r="G14" s="19">
        <f>'[2]Sed valuation results'!C14</f>
        <v>2.1172454172899999</v>
      </c>
      <c r="H14" s="19">
        <f>'[2]Sed valuation results'!D14</f>
        <v>51.062691027836003</v>
      </c>
      <c r="I14" s="19">
        <f>'[2]Sed valuation results'!E14</f>
        <v>239.65335113341098</v>
      </c>
      <c r="J14" s="19">
        <f>'[2]Sed valuation results'!F14</f>
        <v>5.4837640153719995</v>
      </c>
      <c r="K14" s="19">
        <f>'[2]Sed valuation results'!G14</f>
        <v>14.873390660574</v>
      </c>
      <c r="L14" s="19">
        <f>'[2]Sed valuation results'!H14</f>
        <v>70.79302654328599</v>
      </c>
      <c r="M14" s="19">
        <f>'[2]Sed valuation results'!I14</f>
        <v>10.506951345685</v>
      </c>
      <c r="N14" s="19">
        <f>'[2]Sed valuation results'!J14</f>
        <v>57.608569947924998</v>
      </c>
      <c r="O14" s="20">
        <f>'[2]Sed valuation results'!K14</f>
        <v>622.67023585926904</v>
      </c>
      <c r="P14" s="15"/>
      <c r="Q14" s="8" t="s">
        <v>48</v>
      </c>
      <c r="R14" s="3" t="s">
        <v>45</v>
      </c>
      <c r="S14" s="3" t="s">
        <v>45</v>
      </c>
      <c r="T14" s="3" t="s">
        <v>45</v>
      </c>
      <c r="U14" s="3" t="s">
        <v>45</v>
      </c>
      <c r="V14" s="18">
        <f>'[2]Sed valuation results'!B22</f>
        <v>6774.8570746556679</v>
      </c>
      <c r="W14" s="19">
        <f>'[2]Sed valuation results'!C22</f>
        <v>327.30515272320076</v>
      </c>
      <c r="X14" s="19">
        <f>'[2]Sed valuation results'!D22</f>
        <v>1791.1841292354759</v>
      </c>
      <c r="Y14" s="19">
        <f>'[2]Sed valuation results'!E22</f>
        <v>8450.3748845576411</v>
      </c>
      <c r="Z14" s="19">
        <f>'[2]Sed valuation results'!F22</f>
        <v>791.27089203175933</v>
      </c>
      <c r="AA14" s="19">
        <f>'[2]Sed valuation results'!G22</f>
        <v>1194.8506744090516</v>
      </c>
      <c r="AB14" s="19">
        <f>'[2]Sed valuation results'!H22</f>
        <v>2319.942674076131</v>
      </c>
      <c r="AC14" s="19">
        <f>'[2]Sed valuation results'!I22</f>
        <v>81.229891998837232</v>
      </c>
      <c r="AD14" s="19">
        <f>'[2]Sed valuation results'!J22</f>
        <v>2180.6366696339874</v>
      </c>
      <c r="AE14" s="20">
        <f>'[2]Sed valuation results'!K22</f>
        <v>23911.652043321752</v>
      </c>
      <c r="AG14" s="8" t="s">
        <v>48</v>
      </c>
      <c r="AH14" s="3" t="s">
        <v>45</v>
      </c>
      <c r="AI14" s="3" t="s">
        <v>45</v>
      </c>
      <c r="AJ14" s="3" t="s">
        <v>45</v>
      </c>
      <c r="AK14" s="3" t="s">
        <v>45</v>
      </c>
      <c r="AL14" s="18">
        <f>V14*'USD to KSh'!$B$1</f>
        <v>52.166399474848646</v>
      </c>
      <c r="AM14" s="19">
        <f>W14*'USD to KSh'!$B$1</f>
        <v>2.5202496759686461</v>
      </c>
      <c r="AN14" s="19">
        <f>X14*'USD to KSh'!$B$1</f>
        <v>13.792117795113164</v>
      </c>
      <c r="AO14" s="19">
        <f>Y14*'USD to KSh'!$B$1</f>
        <v>65.06788661109384</v>
      </c>
      <c r="AP14" s="19">
        <f>Z14*'USD to KSh'!$B$1</f>
        <v>6.0927858686445466</v>
      </c>
      <c r="AQ14" s="19">
        <f>AA14*'USD to KSh'!$B$1</f>
        <v>9.2003501929496974</v>
      </c>
      <c r="AR14" s="19">
        <f>AB14*'USD to KSh'!$B$1</f>
        <v>17.863558590386209</v>
      </c>
      <c r="AS14" s="19">
        <f>AC14*'USD to KSh'!$B$1</f>
        <v>0.62547016839104674</v>
      </c>
      <c r="AT14" s="19">
        <f>AD14*'USD to KSh'!$B$1</f>
        <v>16.790902356181704</v>
      </c>
      <c r="AU14" s="20">
        <f>AE14*'USD to KSh'!$B$1</f>
        <v>184.11972073357751</v>
      </c>
    </row>
    <row r="15" spans="1:47">
      <c r="A15" s="9" t="s">
        <v>49</v>
      </c>
      <c r="B15" s="10" t="s">
        <v>45</v>
      </c>
      <c r="C15" s="10" t="s">
        <v>45</v>
      </c>
      <c r="D15" s="10" t="s">
        <v>45</v>
      </c>
      <c r="E15" s="10" t="s">
        <v>45</v>
      </c>
      <c r="F15" s="24">
        <f>'[3]Results pivots'!B34</f>
        <v>2003.3679704677045</v>
      </c>
      <c r="G15" s="25">
        <f>'[3]Results pivots'!C34</f>
        <v>356.39541774334145</v>
      </c>
      <c r="H15" s="25">
        <f>'[3]Results pivots'!D34</f>
        <v>1231.4463746830829</v>
      </c>
      <c r="I15" s="25">
        <f>'[3]Results pivots'!E34</f>
        <v>13512.210123455481</v>
      </c>
      <c r="J15" s="25">
        <f>'[3]Results pivots'!F34</f>
        <v>1442.6186780799478</v>
      </c>
      <c r="K15" s="25">
        <f>'[3]Results pivots'!G34</f>
        <v>160.6792090974518</v>
      </c>
      <c r="L15" s="25">
        <f>'[3]Results pivots'!H34</f>
        <v>1440.0382921845294</v>
      </c>
      <c r="M15" s="25">
        <f>'[3]Results pivots'!I34</f>
        <v>140.6999395639601</v>
      </c>
      <c r="N15" s="25">
        <f>'[3]Results pivots'!J34</f>
        <v>17831.75002440465</v>
      </c>
      <c r="O15" s="26">
        <f>'[3]Results pivots'!K34</f>
        <v>38119.20602968015</v>
      </c>
      <c r="Q15" s="9" t="s">
        <v>50</v>
      </c>
      <c r="R15" s="11" t="s">
        <v>45</v>
      </c>
      <c r="S15" s="11" t="s">
        <v>45</v>
      </c>
      <c r="T15" s="11" t="s">
        <v>45</v>
      </c>
      <c r="U15" s="11" t="s">
        <v>45</v>
      </c>
      <c r="V15" s="24">
        <f>F15</f>
        <v>2003.3679704677045</v>
      </c>
      <c r="W15" s="25">
        <f t="shared" ref="W15:AE15" si="3">G15</f>
        <v>356.39541774334145</v>
      </c>
      <c r="X15" s="25">
        <f t="shared" si="3"/>
        <v>1231.4463746830829</v>
      </c>
      <c r="Y15" s="25">
        <f t="shared" si="3"/>
        <v>13512.210123455481</v>
      </c>
      <c r="Z15" s="25">
        <f t="shared" si="3"/>
        <v>1442.6186780799478</v>
      </c>
      <c r="AA15" s="25">
        <f t="shared" si="3"/>
        <v>160.6792090974518</v>
      </c>
      <c r="AB15" s="25">
        <f t="shared" si="3"/>
        <v>1440.0382921845294</v>
      </c>
      <c r="AC15" s="25">
        <f t="shared" si="3"/>
        <v>140.6999395639601</v>
      </c>
      <c r="AD15" s="25">
        <f t="shared" si="3"/>
        <v>17831.75002440465</v>
      </c>
      <c r="AE15" s="26">
        <f t="shared" si="3"/>
        <v>38119.20602968015</v>
      </c>
      <c r="AF15" s="29"/>
      <c r="AG15" s="8" t="s">
        <v>50</v>
      </c>
      <c r="AH15" s="3" t="s">
        <v>45</v>
      </c>
      <c r="AI15" s="3" t="s">
        <v>45</v>
      </c>
      <c r="AJ15" s="3" t="s">
        <v>45</v>
      </c>
      <c r="AK15" s="3" t="s">
        <v>45</v>
      </c>
      <c r="AL15" s="24">
        <f>V15*'USD to KSh'!$B$1</f>
        <v>15.425933372601325</v>
      </c>
      <c r="AM15" s="25">
        <f>W15*'USD to KSh'!$B$1</f>
        <v>2.7442447166237294</v>
      </c>
      <c r="AN15" s="25">
        <f>X15*'USD to KSh'!$B$1</f>
        <v>9.4821370850597386</v>
      </c>
      <c r="AO15" s="25">
        <f>Y15*'USD to KSh'!$B$1</f>
        <v>104.04401795060721</v>
      </c>
      <c r="AP15" s="25">
        <f>Z15*'USD to KSh'!$B$1</f>
        <v>11.108163821215598</v>
      </c>
      <c r="AQ15" s="25">
        <f>AA15*'USD to KSh'!$B$1</f>
        <v>1.237229910050379</v>
      </c>
      <c r="AR15" s="25">
        <f>AB15*'USD to KSh'!$B$1</f>
        <v>11.088294849820876</v>
      </c>
      <c r="AS15" s="25">
        <f>AC15*'USD to KSh'!$B$1</f>
        <v>1.0833895346424929</v>
      </c>
      <c r="AT15" s="25">
        <f>AD15*'USD to KSh'!$B$1</f>
        <v>137.30447518791581</v>
      </c>
      <c r="AU15" s="26">
        <f>AE15*'USD to KSh'!$B$1</f>
        <v>293.51788642853717</v>
      </c>
    </row>
    <row r="16" spans="1:47">
      <c r="A16" s="17" t="s">
        <v>58</v>
      </c>
      <c r="B16" s="6"/>
      <c r="C16" s="6"/>
      <c r="D16" s="6"/>
      <c r="E16" s="7"/>
      <c r="O16" s="12"/>
      <c r="Q16" s="17" t="s">
        <v>59</v>
      </c>
      <c r="R16" s="6"/>
      <c r="S16" s="6"/>
      <c r="T16" s="6"/>
      <c r="U16" s="7"/>
      <c r="V16" s="8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s="12" t="s">
        <v>45</v>
      </c>
      <c r="AG16" s="17" t="s">
        <v>60</v>
      </c>
      <c r="AH16" s="22"/>
      <c r="AI16" s="22"/>
      <c r="AJ16" s="22"/>
      <c r="AK16" s="23"/>
      <c r="AL16" t="s">
        <v>45</v>
      </c>
      <c r="AM16" t="s">
        <v>45</v>
      </c>
      <c r="AN16" t="s">
        <v>45</v>
      </c>
      <c r="AO16" t="s">
        <v>45</v>
      </c>
      <c r="AP16" t="s">
        <v>45</v>
      </c>
      <c r="AQ16" t="s">
        <v>45</v>
      </c>
      <c r="AR16" t="s">
        <v>45</v>
      </c>
      <c r="AS16" t="s">
        <v>45</v>
      </c>
      <c r="AT16" t="s">
        <v>45</v>
      </c>
      <c r="AU16" s="12" t="s">
        <v>45</v>
      </c>
    </row>
    <row r="17" spans="1:47">
      <c r="A17" s="4" t="s">
        <v>44</v>
      </c>
      <c r="B17" s="22">
        <f>$O$13*'Resource user'!B2</f>
        <v>0</v>
      </c>
      <c r="C17" s="22">
        <f>$O$13*'Resource user'!C2</f>
        <v>0</v>
      </c>
      <c r="D17" s="22">
        <f>$O$13*'Resource user'!D2</f>
        <v>10159.739763010595</v>
      </c>
      <c r="E17" s="23">
        <f>SUM(B17:D17)</f>
        <v>10159.739763010595</v>
      </c>
      <c r="F17" s="4" t="s">
        <v>45</v>
      </c>
      <c r="G17" s="5" t="s">
        <v>45</v>
      </c>
      <c r="H17" s="5" t="s">
        <v>45</v>
      </c>
      <c r="I17" s="5" t="s">
        <v>45</v>
      </c>
      <c r="J17" s="5" t="s">
        <v>45</v>
      </c>
      <c r="K17" s="5" t="s">
        <v>45</v>
      </c>
      <c r="L17" s="5" t="s">
        <v>45</v>
      </c>
      <c r="M17" s="5" t="s">
        <v>45</v>
      </c>
      <c r="N17" s="5" t="s">
        <v>45</v>
      </c>
      <c r="O17" s="13" t="s">
        <v>45</v>
      </c>
      <c r="Q17" s="8" t="s">
        <v>46</v>
      </c>
      <c r="R17" s="19">
        <f>$AE$13*'Resource user'!B2</f>
        <v>0</v>
      </c>
      <c r="S17" s="19">
        <f>$AE$13*'Resource user'!C2</f>
        <v>0</v>
      </c>
      <c r="T17" s="19">
        <f>$AE$13*'Resource user'!D2</f>
        <v>184582.20600344313</v>
      </c>
      <c r="U17" s="20">
        <f>SUM(R17:T17)</f>
        <v>184582.20600344313</v>
      </c>
      <c r="V17" s="8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s="12" t="s">
        <v>45</v>
      </c>
      <c r="AG17" s="8" t="s">
        <v>46</v>
      </c>
      <c r="AH17" s="19">
        <f>R17*'USD to KSh'!$B$1</f>
        <v>0</v>
      </c>
      <c r="AI17" s="19">
        <f>S17*'USD to KSh'!$B$1</f>
        <v>0</v>
      </c>
      <c r="AJ17" s="19">
        <f>T17*'USD to KSh'!$B$1</f>
        <v>1421.2829862265121</v>
      </c>
      <c r="AK17" s="20">
        <f>U17*'USD to KSh'!$B$1</f>
        <v>1421.2829862265121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  <c r="AS17" t="s">
        <v>45</v>
      </c>
      <c r="AT17" t="s">
        <v>45</v>
      </c>
      <c r="AU17" s="12" t="s">
        <v>45</v>
      </c>
    </row>
    <row r="18" spans="1:47">
      <c r="A18" s="8" t="s">
        <v>54</v>
      </c>
      <c r="B18" s="19">
        <f>$O$14*'Resource user'!B3</f>
        <v>0</v>
      </c>
      <c r="C18" s="19">
        <f>$O$14*'Resource user'!C3</f>
        <v>622.67023585926904</v>
      </c>
      <c r="D18" s="19">
        <f>$O$14*'Resource user'!D3</f>
        <v>0</v>
      </c>
      <c r="E18" s="20">
        <f t="shared" ref="E18:E19" si="4">SUM(B18:D18)</f>
        <v>622.67023585926904</v>
      </c>
      <c r="F18" s="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s="12" t="s">
        <v>45</v>
      </c>
      <c r="Q18" s="8" t="s">
        <v>48</v>
      </c>
      <c r="R18" s="19">
        <f>$AE$14*'Resource user'!B3</f>
        <v>0</v>
      </c>
      <c r="S18" s="19">
        <f>$AE$14*'Resource user'!C3</f>
        <v>23911.652043321752</v>
      </c>
      <c r="T18" s="19">
        <f>$AE$14*'Resource user'!D3</f>
        <v>0</v>
      </c>
      <c r="U18" s="20">
        <f t="shared" ref="U18:U19" si="5">SUM(R18:T18)</f>
        <v>23911.652043321752</v>
      </c>
      <c r="V18" s="8" t="s">
        <v>45</v>
      </c>
      <c r="W18" t="s">
        <v>45</v>
      </c>
      <c r="X18" t="s">
        <v>45</v>
      </c>
      <c r="Y18" t="s">
        <v>45</v>
      </c>
      <c r="AC18" t="s">
        <v>45</v>
      </c>
      <c r="AD18" t="s">
        <v>45</v>
      </c>
      <c r="AE18" s="12" t="s">
        <v>45</v>
      </c>
      <c r="AG18" s="8" t="s">
        <v>48</v>
      </c>
      <c r="AH18" s="19">
        <f>R18*'USD to KSh'!$B$1</f>
        <v>0</v>
      </c>
      <c r="AI18" s="19">
        <f>S18*'USD to KSh'!$B$1</f>
        <v>184.11972073357751</v>
      </c>
      <c r="AJ18" s="19">
        <f>T18*'USD to KSh'!$B$1</f>
        <v>0</v>
      </c>
      <c r="AK18" s="20">
        <f>U18*'USD to KSh'!$B$1</f>
        <v>184.11972073357751</v>
      </c>
      <c r="AL18" t="s">
        <v>45</v>
      </c>
      <c r="AM18" t="s">
        <v>45</v>
      </c>
      <c r="AN18" t="s">
        <v>45</v>
      </c>
      <c r="AO18" t="s">
        <v>45</v>
      </c>
      <c r="AS18" t="s">
        <v>45</v>
      </c>
      <c r="AT18" t="s">
        <v>45</v>
      </c>
      <c r="AU18" s="12" t="s">
        <v>45</v>
      </c>
    </row>
    <row r="19" spans="1:47">
      <c r="A19" s="9" t="s">
        <v>49</v>
      </c>
      <c r="B19" s="25">
        <f>$O$15*'Resource user'!B5</f>
        <v>36594.437788492942</v>
      </c>
      <c r="C19" s="25">
        <f>$O$15*'Resource user'!C5</f>
        <v>1524.7682411872061</v>
      </c>
      <c r="D19" s="25">
        <f>$O$15*'Resource user'!D5</f>
        <v>0</v>
      </c>
      <c r="E19" s="26">
        <f t="shared" si="4"/>
        <v>38119.20602968015</v>
      </c>
      <c r="F19" s="9" t="s">
        <v>45</v>
      </c>
      <c r="G19" s="10" t="s">
        <v>45</v>
      </c>
      <c r="H19" s="10" t="s">
        <v>45</v>
      </c>
      <c r="I19" s="10" t="s">
        <v>45</v>
      </c>
      <c r="J19" s="10" t="s">
        <v>45</v>
      </c>
      <c r="K19" s="10" t="s">
        <v>45</v>
      </c>
      <c r="L19" s="10" t="s">
        <v>45</v>
      </c>
      <c r="M19" s="10" t="s">
        <v>45</v>
      </c>
      <c r="N19" s="10" t="s">
        <v>45</v>
      </c>
      <c r="O19" s="14" t="s">
        <v>45</v>
      </c>
      <c r="Q19" s="9" t="s">
        <v>50</v>
      </c>
      <c r="R19" s="25">
        <f>$AE$15*'Resource user'!B5</f>
        <v>36594.437788492942</v>
      </c>
      <c r="S19" s="25">
        <f>$AE$15*'Resource user'!C5</f>
        <v>1524.7682411872061</v>
      </c>
      <c r="T19" s="25">
        <f>$AE$15*'Resource user'!D5</f>
        <v>0</v>
      </c>
      <c r="U19" s="26">
        <f t="shared" si="5"/>
        <v>38119.20602968015</v>
      </c>
      <c r="V19" s="9" t="s">
        <v>45</v>
      </c>
      <c r="W19" s="10" t="s">
        <v>45</v>
      </c>
      <c r="X19" s="10" t="s">
        <v>45</v>
      </c>
      <c r="Y19" s="10" t="s">
        <v>45</v>
      </c>
      <c r="Z19" s="10"/>
      <c r="AA19" s="10"/>
      <c r="AB19" s="10"/>
      <c r="AC19" s="10" t="s">
        <v>45</v>
      </c>
      <c r="AD19" s="10" t="s">
        <v>45</v>
      </c>
      <c r="AE19" s="14" t="s">
        <v>45</v>
      </c>
      <c r="AG19" s="9" t="s">
        <v>50</v>
      </c>
      <c r="AH19" s="25">
        <f>R19*'USD to KSh'!$B$1</f>
        <v>281.77717097139566</v>
      </c>
      <c r="AI19" s="25">
        <f>S19*'USD to KSh'!$B$1</f>
        <v>11.740715457141487</v>
      </c>
      <c r="AJ19" s="25">
        <f>T19*'USD to KSh'!$B$1</f>
        <v>0</v>
      </c>
      <c r="AK19" s="26">
        <f>U19*'USD to KSh'!$B$1</f>
        <v>293.51788642853717</v>
      </c>
      <c r="AL19" s="10" t="s">
        <v>45</v>
      </c>
      <c r="AM19" s="10" t="s">
        <v>45</v>
      </c>
      <c r="AN19" s="10" t="s">
        <v>45</v>
      </c>
      <c r="AO19" s="10" t="s">
        <v>45</v>
      </c>
      <c r="AP19" s="10"/>
      <c r="AQ19" s="10"/>
      <c r="AR19" s="10"/>
      <c r="AS19" s="10" t="s">
        <v>45</v>
      </c>
      <c r="AT19" s="10" t="s">
        <v>45</v>
      </c>
      <c r="AU19" s="14" t="s">
        <v>45</v>
      </c>
    </row>
    <row r="20" spans="1:47">
      <c r="R20" s="3"/>
      <c r="V20"/>
      <c r="AH20" s="3"/>
      <c r="AL20"/>
    </row>
    <row r="21" spans="1:47">
      <c r="S21"/>
      <c r="T21"/>
      <c r="U21"/>
      <c r="V21"/>
      <c r="AE21" s="19"/>
      <c r="AI21"/>
      <c r="AJ21"/>
      <c r="AK21"/>
      <c r="AL21"/>
      <c r="AU21" s="19"/>
    </row>
    <row r="22" spans="1:47">
      <c r="S22"/>
      <c r="T22"/>
      <c r="U22"/>
      <c r="V22"/>
      <c r="AI22"/>
      <c r="AJ22"/>
      <c r="AK22"/>
      <c r="AL22"/>
    </row>
    <row r="23" spans="1:47">
      <c r="S23"/>
      <c r="T23"/>
      <c r="U23"/>
      <c r="V23"/>
      <c r="AI23"/>
      <c r="AJ23"/>
      <c r="AK23"/>
      <c r="AL23"/>
    </row>
    <row r="24" spans="1:47">
      <c r="S24"/>
      <c r="T24"/>
      <c r="U24"/>
      <c r="V24"/>
      <c r="AI24"/>
      <c r="AJ24"/>
      <c r="AK24"/>
      <c r="AL24"/>
    </row>
    <row r="25" spans="1:47">
      <c r="S25"/>
      <c r="T25"/>
      <c r="U25"/>
      <c r="V25"/>
      <c r="AI25"/>
      <c r="AJ25"/>
      <c r="AK25"/>
      <c r="AL25"/>
    </row>
    <row r="26" spans="1:47">
      <c r="S26"/>
      <c r="T26"/>
      <c r="U26"/>
      <c r="V26"/>
      <c r="AI26"/>
      <c r="AJ26"/>
      <c r="AK26"/>
      <c r="AL26"/>
    </row>
    <row r="27" spans="1:47">
      <c r="S27"/>
      <c r="T27"/>
      <c r="U27"/>
      <c r="V27"/>
      <c r="AI27"/>
      <c r="AJ27"/>
      <c r="AK27"/>
      <c r="AL27"/>
    </row>
    <row r="28" spans="1:47">
      <c r="S28"/>
      <c r="T28"/>
      <c r="U28"/>
      <c r="V28"/>
      <c r="AI28"/>
      <c r="AJ28"/>
      <c r="AK28"/>
      <c r="AL28"/>
    </row>
    <row r="29" spans="1:47">
      <c r="S29"/>
      <c r="T29"/>
      <c r="U29"/>
      <c r="V29"/>
      <c r="AI29"/>
      <c r="AJ29"/>
      <c r="AK29"/>
      <c r="AL29"/>
    </row>
    <row r="30" spans="1:47">
      <c r="S30"/>
      <c r="T30"/>
      <c r="U30"/>
      <c r="V30"/>
      <c r="AI30"/>
      <c r="AJ30"/>
      <c r="AK30"/>
      <c r="AL30"/>
    </row>
    <row r="31" spans="1:47">
      <c r="S31"/>
      <c r="T31"/>
      <c r="U31"/>
      <c r="V31"/>
      <c r="AI31"/>
      <c r="AJ31"/>
      <c r="AK31"/>
      <c r="AL31"/>
    </row>
    <row r="32" spans="1:47">
      <c r="S32"/>
      <c r="T32"/>
      <c r="U32"/>
      <c r="V32"/>
      <c r="AI32"/>
      <c r="AJ32"/>
      <c r="AK32"/>
      <c r="AL32"/>
    </row>
    <row r="33" spans="18:38">
      <c r="S33"/>
      <c r="T33"/>
      <c r="U33"/>
      <c r="V33"/>
      <c r="AI33"/>
      <c r="AJ33"/>
      <c r="AK33"/>
      <c r="AL33"/>
    </row>
    <row r="34" spans="18:38">
      <c r="S34"/>
      <c r="T34"/>
      <c r="U34"/>
      <c r="V34"/>
      <c r="AI34"/>
      <c r="AJ34"/>
      <c r="AK34"/>
      <c r="AL34"/>
    </row>
    <row r="35" spans="18:38">
      <c r="S35"/>
      <c r="T35"/>
      <c r="U35"/>
      <c r="V35"/>
      <c r="AI35"/>
      <c r="AJ35"/>
      <c r="AK35"/>
      <c r="AL35"/>
    </row>
    <row r="36" spans="18:38">
      <c r="R36" s="3"/>
      <c r="V36"/>
      <c r="AH36" s="3"/>
      <c r="AL36"/>
    </row>
    <row r="37" spans="18:38">
      <c r="S37"/>
      <c r="T37"/>
      <c r="U37"/>
      <c r="V37"/>
      <c r="AI37"/>
      <c r="AJ37"/>
      <c r="AK37"/>
      <c r="AL37"/>
    </row>
    <row r="38" spans="18:38">
      <c r="S38"/>
      <c r="T38"/>
      <c r="U38"/>
      <c r="V38"/>
      <c r="AI38"/>
      <c r="AJ38"/>
      <c r="AK38"/>
      <c r="AL38"/>
    </row>
    <row r="39" spans="18:38">
      <c r="S39"/>
      <c r="T39"/>
      <c r="U39"/>
      <c r="V39"/>
      <c r="AI39"/>
      <c r="AJ39"/>
      <c r="AK39"/>
      <c r="AL39"/>
    </row>
    <row r="40" spans="18:38">
      <c r="S40"/>
      <c r="T40"/>
      <c r="U40"/>
      <c r="V40"/>
      <c r="AI40"/>
      <c r="AJ40"/>
      <c r="AK40"/>
      <c r="AL40"/>
    </row>
    <row r="41" spans="18:38">
      <c r="S41"/>
      <c r="T41"/>
      <c r="U41"/>
      <c r="V41"/>
      <c r="AI41"/>
      <c r="AJ41"/>
      <c r="AK41"/>
      <c r="AL41"/>
    </row>
    <row r="42" spans="18:38">
      <c r="S42"/>
      <c r="T42"/>
      <c r="U42"/>
      <c r="V42"/>
      <c r="AI42"/>
      <c r="AJ42"/>
      <c r="AK42"/>
      <c r="AL42"/>
    </row>
    <row r="43" spans="18:38">
      <c r="S43"/>
      <c r="T43"/>
      <c r="U43"/>
      <c r="V43"/>
      <c r="AI43"/>
      <c r="AJ43"/>
      <c r="AK43"/>
      <c r="AL43"/>
    </row>
    <row r="44" spans="18:38">
      <c r="S44"/>
      <c r="T44"/>
      <c r="U44"/>
      <c r="V44"/>
      <c r="AI44"/>
      <c r="AJ44"/>
      <c r="AK44"/>
      <c r="AL44"/>
    </row>
    <row r="45" spans="18:38">
      <c r="S45"/>
      <c r="T45"/>
      <c r="U45"/>
      <c r="V45"/>
      <c r="AI45"/>
      <c r="AJ45"/>
      <c r="AK45"/>
      <c r="AL45"/>
    </row>
    <row r="46" spans="18:38">
      <c r="S46"/>
      <c r="T46"/>
      <c r="U46"/>
      <c r="V46"/>
      <c r="AI46"/>
      <c r="AJ46"/>
      <c r="AK46"/>
      <c r="AL46"/>
    </row>
    <row r="47" spans="18:38">
      <c r="S47"/>
      <c r="T47"/>
      <c r="U47"/>
      <c r="V47"/>
      <c r="AI47"/>
      <c r="AJ47"/>
      <c r="AK47"/>
      <c r="AL47"/>
    </row>
    <row r="48" spans="18:38">
      <c r="S48"/>
      <c r="T48"/>
      <c r="U48"/>
      <c r="V48"/>
      <c r="AI48"/>
      <c r="AJ48"/>
      <c r="AK48"/>
      <c r="AL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</sheetData>
  <sheetProtection algorithmName="SHA-512" hashValue="EWIzbaLWRUBAOyOZkGQJ1edaTXiQ/Y94MXAVK0pfZZf5VI+d0qO4ZSyjVFLvnuFGG3HPzlfbZHfFcdO36Jr8fw==" saltValue="ThyIEbGik3Bnzc7eDkLyQw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4F14-8557-4F85-AE3F-9A4FF2FDE511}">
  <dimension ref="A1:C11"/>
  <sheetViews>
    <sheetView tabSelected="1" workbookViewId="0"/>
  </sheetViews>
  <sheetFormatPr defaultRowHeight="14.45"/>
  <cols>
    <col min="1" max="1" width="26.7109375" customWidth="1"/>
    <col min="2" max="2" width="16.28515625" customWidth="1"/>
    <col min="3" max="3" width="11" bestFit="1" customWidth="1"/>
  </cols>
  <sheetData>
    <row r="1" spans="1:3">
      <c r="A1" t="s">
        <v>61</v>
      </c>
    </row>
    <row r="2" spans="1:3">
      <c r="B2" s="1">
        <v>2002</v>
      </c>
      <c r="C2" s="1">
        <v>2018</v>
      </c>
    </row>
    <row r="3" spans="1:3">
      <c r="A3" s="1" t="s">
        <v>62</v>
      </c>
      <c r="B3" s="3">
        <v>1035373</v>
      </c>
      <c r="C3" s="3">
        <v>9340307</v>
      </c>
    </row>
    <row r="4" spans="1:3">
      <c r="A4" s="1" t="s">
        <v>63</v>
      </c>
      <c r="B4" s="3">
        <f>FVSCHEDULE(B3,Inflation!B6:B28)</f>
        <v>6616167.2139861705</v>
      </c>
      <c r="C4" s="3">
        <f>FVSCHEDULE(C3,Inflation!B22:B28)</f>
        <v>13940638.250633631</v>
      </c>
    </row>
    <row r="7" spans="1:3">
      <c r="A7" s="1" t="s">
        <v>64</v>
      </c>
    </row>
    <row r="8" spans="1:3">
      <c r="A8" t="s">
        <v>65</v>
      </c>
      <c r="B8" s="3">
        <f>SUM('Ecosystem services'!AE3:AE5)</f>
        <v>187664.91422777373</v>
      </c>
      <c r="C8" s="3">
        <f>SUM('Ecosystem services'!AE13:AE15)</f>
        <v>246613.06407644504</v>
      </c>
    </row>
    <row r="9" spans="1:3">
      <c r="A9" t="s">
        <v>66</v>
      </c>
      <c r="B9" s="28">
        <f>B8*'USD to KSh'!$B$1</f>
        <v>1445.0198395538578</v>
      </c>
      <c r="C9" s="28">
        <f>C8*'USD to KSh'!$B$1</f>
        <v>1898.9205933886269</v>
      </c>
    </row>
    <row r="11" spans="1:3">
      <c r="A11" t="s">
        <v>67</v>
      </c>
      <c r="B11" s="27">
        <f>B8/B4</f>
        <v>2.8364596624925326E-2</v>
      </c>
      <c r="C11" s="27">
        <f>C8/C4</f>
        <v>1.7690227638267275E-2</v>
      </c>
    </row>
  </sheetData>
  <sheetProtection algorithmName="SHA-512" hashValue="Sm6mPJBIcklx0evA4SsIwnotXyTbUqbn034q7srIcVqvmeBnbOy3QyMGbSJAZLR8OjlDuldZwD4SE+5cscpgkA==" saltValue="XUYBvocavEIw0MRtiqolug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5BE9-8E24-4492-8988-313C16C87ADC}">
  <dimension ref="A1:B28"/>
  <sheetViews>
    <sheetView workbookViewId="0"/>
  </sheetViews>
  <sheetFormatPr defaultRowHeight="14.45"/>
  <cols>
    <col min="1" max="1" width="15.7109375" customWidth="1"/>
  </cols>
  <sheetData>
    <row r="1" spans="1:2">
      <c r="A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t="s">
        <v>74</v>
      </c>
    </row>
    <row r="5" spans="1:2">
      <c r="A5" t="s">
        <v>75</v>
      </c>
      <c r="B5" t="s">
        <v>76</v>
      </c>
    </row>
    <row r="6" spans="1:2">
      <c r="A6" t="s">
        <v>77</v>
      </c>
      <c r="B6">
        <v>1.9613082173916201E-2</v>
      </c>
    </row>
    <row r="7" spans="1:2">
      <c r="A7" t="s">
        <v>78</v>
      </c>
      <c r="B7">
        <v>9.8156906297965404E-2</v>
      </c>
    </row>
    <row r="8" spans="1:2">
      <c r="A8" t="s">
        <v>79</v>
      </c>
      <c r="B8">
        <v>0.116240355442426</v>
      </c>
    </row>
    <row r="9" spans="1:2">
      <c r="A9" t="s">
        <v>80</v>
      </c>
      <c r="B9">
        <v>0.103127783574683</v>
      </c>
    </row>
    <row r="10" spans="1:2">
      <c r="A10" t="s">
        <v>81</v>
      </c>
      <c r="B10">
        <v>0.14453734208170801</v>
      </c>
    </row>
    <row r="11" spans="1:2">
      <c r="A11" t="s">
        <v>82</v>
      </c>
      <c r="B11">
        <v>9.7588802302752894E-2</v>
      </c>
    </row>
    <row r="12" spans="1:2">
      <c r="A12" t="s">
        <v>83</v>
      </c>
      <c r="B12">
        <v>0.26239816644506297</v>
      </c>
    </row>
    <row r="13" spans="1:2">
      <c r="A13" t="s">
        <v>84</v>
      </c>
      <c r="B13">
        <v>9.2341259239465193E-2</v>
      </c>
    </row>
    <row r="14" spans="1:2">
      <c r="A14" t="s">
        <v>85</v>
      </c>
      <c r="B14">
        <v>3.9613888911538504E-2</v>
      </c>
    </row>
    <row r="15" spans="1:2">
      <c r="A15" t="s">
        <v>86</v>
      </c>
      <c r="B15">
        <v>0.14022491301470399</v>
      </c>
    </row>
    <row r="16" spans="1:2">
      <c r="A16" t="s">
        <v>87</v>
      </c>
      <c r="B16">
        <v>9.3777700354759796E-2</v>
      </c>
    </row>
    <row r="17" spans="1:2">
      <c r="A17" t="s">
        <v>88</v>
      </c>
      <c r="B17">
        <v>5.7174935703773307E-2</v>
      </c>
    </row>
    <row r="18" spans="1:2">
      <c r="A18" t="s">
        <v>89</v>
      </c>
      <c r="B18">
        <v>6.8781549927594901E-2</v>
      </c>
    </row>
    <row r="19" spans="1:2">
      <c r="A19" t="s">
        <v>90</v>
      </c>
      <c r="B19">
        <v>6.5821542928477902E-2</v>
      </c>
    </row>
    <row r="20" spans="1:2">
      <c r="A20" t="s">
        <v>91</v>
      </c>
      <c r="B20">
        <v>6.2972495381462504E-2</v>
      </c>
    </row>
    <row r="21" spans="1:2">
      <c r="A21" t="s">
        <v>92</v>
      </c>
      <c r="B21">
        <v>8.0056496770994509E-2</v>
      </c>
    </row>
    <row r="22" spans="1:2">
      <c r="A22" t="s">
        <v>93</v>
      </c>
      <c r="B22">
        <v>4.6898064677633002E-2</v>
      </c>
    </row>
    <row r="23" spans="1:2">
      <c r="A23" t="s">
        <v>94</v>
      </c>
      <c r="B23">
        <v>5.2396379576479205E-2</v>
      </c>
    </row>
    <row r="24" spans="1:2">
      <c r="A24" t="s">
        <v>95</v>
      </c>
      <c r="B24">
        <v>5.4051620793339195E-2</v>
      </c>
    </row>
    <row r="25" spans="1:2">
      <c r="A25" t="s">
        <v>96</v>
      </c>
      <c r="B25">
        <v>6.1079360365917601E-2</v>
      </c>
    </row>
    <row r="26" spans="1:2">
      <c r="A26" t="s">
        <v>97</v>
      </c>
      <c r="B26">
        <v>7.6598626827222405E-2</v>
      </c>
    </row>
    <row r="27" spans="1:2">
      <c r="A27" t="s">
        <v>98</v>
      </c>
      <c r="B27">
        <v>7.6713963402940205E-2</v>
      </c>
    </row>
    <row r="28" spans="1:2">
      <c r="A28" t="s">
        <v>99</v>
      </c>
      <c r="B28">
        <v>4.4897885424344801E-2</v>
      </c>
    </row>
  </sheetData>
  <sheetProtection algorithmName="SHA-512" hashValue="FWOuIQ/4RWLJHGOWQ0QNIfEJ5RI7+2TdzxturnSQ5zt8N2xBmzEeTPDzIqTm4l/0BFLqq3aoJotv53UzIQJt6A==" saltValue="ee43yi117ibd3ue6OyoHGA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ACAE-C246-45AE-B5A1-5AEC7ED2609E}">
  <dimension ref="A1:B1"/>
  <sheetViews>
    <sheetView workbookViewId="0"/>
  </sheetViews>
  <sheetFormatPr defaultRowHeight="14.45"/>
  <cols>
    <col min="1" max="1" width="10.28515625" bestFit="1" customWidth="1"/>
  </cols>
  <sheetData>
    <row r="1" spans="1:2">
      <c r="A1" t="s">
        <v>100</v>
      </c>
      <c r="B1">
        <v>7.7000000000000002E-3</v>
      </c>
    </row>
  </sheetData>
  <sheetProtection algorithmName="SHA-512" hashValue="XDkMQ3AL+Xa62RjCOvbL5Kn+PA9l189SxQYMx5/CvVHeiuVmsGLYDZsiNmKcrBtEU2pRD9+DEGmdopUduGZFlA==" saltValue="JUKje/A1X7i99QzbZ7//Gg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5558-E6C3-4517-AC29-91B09022B827}">
  <dimension ref="A1:F7"/>
  <sheetViews>
    <sheetView workbookViewId="0"/>
  </sheetViews>
  <sheetFormatPr defaultColWidth="8.7109375" defaultRowHeight="14.45"/>
  <cols>
    <col min="1" max="1" width="27.42578125" bestFit="1" customWidth="1"/>
    <col min="3" max="3" width="10.7109375" bestFit="1" customWidth="1"/>
    <col min="4" max="4" width="10.42578125" bestFit="1" customWidth="1"/>
  </cols>
  <sheetData>
    <row r="1" spans="1:6">
      <c r="A1" s="1" t="s">
        <v>101</v>
      </c>
      <c r="B1" t="s">
        <v>37</v>
      </c>
      <c r="C1" t="s">
        <v>38</v>
      </c>
      <c r="D1" t="s">
        <v>39</v>
      </c>
    </row>
    <row r="2" spans="1:6">
      <c r="A2" t="s">
        <v>102</v>
      </c>
      <c r="B2">
        <v>0</v>
      </c>
      <c r="C2">
        <v>0</v>
      </c>
      <c r="D2">
        <v>1</v>
      </c>
    </row>
    <row r="3" spans="1:6">
      <c r="A3" t="s">
        <v>103</v>
      </c>
      <c r="B3">
        <v>0</v>
      </c>
      <c r="C3">
        <v>1</v>
      </c>
      <c r="D3">
        <v>0</v>
      </c>
    </row>
    <row r="4" spans="1:6">
      <c r="A4" t="s">
        <v>104</v>
      </c>
      <c r="B4">
        <v>0</v>
      </c>
      <c r="C4">
        <v>1</v>
      </c>
      <c r="D4">
        <v>0</v>
      </c>
    </row>
    <row r="5" spans="1:6">
      <c r="A5" t="s">
        <v>105</v>
      </c>
      <c r="B5">
        <v>0.96</v>
      </c>
      <c r="C5">
        <v>0.04</v>
      </c>
      <c r="D5">
        <v>0</v>
      </c>
    </row>
    <row r="7" spans="1:6">
      <c r="F7" s="2"/>
    </row>
  </sheetData>
  <sheetProtection algorithmName="SHA-512" hashValue="NbxjGDi7TkEkFRBR5F1dNWGYrbaqm+5ed0VmMACXiX9lSUPEW2n9+E9qpAjZZr+olfSbaiLYBiDH1ChhdYExjA==" saltValue="xR97239uw2yLwOMynQKnEw==" spinCount="100000" sheet="1" objects="1" scenarios="1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Brühl</dc:creator>
  <cp:keywords/>
  <dc:description/>
  <cp:lastModifiedBy>Dawit Woubishet Mulatu</cp:lastModifiedBy>
  <cp:revision/>
  <dcterms:created xsi:type="dcterms:W3CDTF">2025-07-04T07:20:46Z</dcterms:created>
  <dcterms:modified xsi:type="dcterms:W3CDTF">2026-02-02T06:28:54Z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2026-02-02T06:28:45Z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1f5b091c-1ada-4c91-a5b5-0cf84ab3355c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