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6.xml" ContentType="application/vnd.ms-excel.threadedcomments+xml"/>
  <Override PartName="/xl/comments1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1f26457384c04c48/Documents/311 World Bank Water and Energy Accounts/"/>
    </mc:Choice>
  </mc:AlternateContent>
  <xr:revisionPtr revIDLastSave="858" documentId="8_{8B39EE51-7457-46FE-A53C-454D6BB755B7}" xr6:coauthVersionLast="47" xr6:coauthVersionMax="47" xr10:uidLastSave="{4622B7A6-2603-4945-B623-38ED9626DE75}"/>
  <bookViews>
    <workbookView xWindow="28680" yWindow="-15" windowWidth="29040" windowHeight="15720" tabRatio="889" xr2:uid="{898F3E6C-80FB-4ED8-8178-878118047856}"/>
  </bookViews>
  <sheets>
    <sheet name="Cover Page" sheetId="21" r:id="rId1"/>
    <sheet name="Colour coding" sheetId="8" r:id="rId2"/>
    <sheet name="Notes to Water Accounts" sheetId="22" r:id="rId3"/>
    <sheet name="Metadata and definitions " sheetId="23" r:id="rId4"/>
    <sheet name="NIA Irrigation Data" sheetId="3" r:id="rId5"/>
    <sheet name="Irrigation Calculations" sheetId="26" r:id="rId6"/>
    <sheet name="WRA Report Data" sheetId="24" r:id="rId7"/>
    <sheet name="WASREB 20-21" sheetId="13" r:id="rId8"/>
    <sheet name="WASREB 21-2022" sheetId="15" r:id="rId9"/>
    <sheet name="WASREB 22-23" sheetId="16" r:id="rId10"/>
    <sheet name="NWHSA Data" sheetId="12" state="hidden" r:id="rId11"/>
    <sheet name="WRA 2021-2024" sheetId="5" r:id="rId12"/>
    <sheet name="Ph IO Table 2021" sheetId="14" r:id="rId13"/>
    <sheet name="Ph Water SUT- 2021" sheetId="2" r:id="rId14"/>
    <sheet name="Ph IO Table 2022" sheetId="17" r:id="rId15"/>
    <sheet name="Ph Water SUT- 2022" sheetId="18" r:id="rId16"/>
    <sheet name="Ph IO Table 2023" sheetId="19" r:id="rId17"/>
    <sheet name="Ph Water SUT- 2023" sheetId="20" r:id="rId18"/>
  </sheets>
  <externalReferences>
    <externalReference r:id="rId19"/>
    <externalReference r:id="rId20"/>
    <externalReference r:id="rId21"/>
  </externalReferences>
  <definedNames>
    <definedName name="DBDef1">#REF!</definedName>
    <definedName name="DBDef2">#REF!</definedName>
    <definedName name="DBDef2a">#REF!</definedName>
    <definedName name="DBDef3">#REF!</definedName>
    <definedName name="DBLinks">#REF!</definedName>
    <definedName name="dbsourcefiles">#REF!</definedName>
    <definedName name="FinalUse">#REF!</definedName>
    <definedName name="Input_A">#REF!</definedName>
    <definedName name="Output">#REF!</definedName>
    <definedName name="Prod_acc">#REF!</definedName>
    <definedName name="Supply">#REF!</definedName>
    <definedName name="TabDef1">#REF!</definedName>
    <definedName name="TabDef2">#REF!</definedName>
    <definedName name="TabDef3">#REF!</definedName>
    <definedName name="TabDef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9" l="1"/>
  <c r="B68" i="24"/>
  <c r="B67" i="24"/>
  <c r="K4" i="17"/>
  <c r="L4" i="17"/>
  <c r="M4" i="17"/>
  <c r="N4" i="17"/>
  <c r="K5" i="17"/>
  <c r="L5" i="17"/>
  <c r="M5" i="17"/>
  <c r="N5" i="17"/>
  <c r="P101" i="5"/>
  <c r="P102" i="5"/>
  <c r="P103" i="5"/>
  <c r="P100" i="5"/>
  <c r="O101" i="5"/>
  <c r="O102" i="5"/>
  <c r="O103" i="5"/>
  <c r="O100" i="5"/>
  <c r="N103" i="5"/>
  <c r="N102" i="5"/>
  <c r="N101" i="5"/>
  <c r="N100" i="5"/>
  <c r="M101" i="5"/>
  <c r="M102" i="5"/>
  <c r="M103" i="5"/>
  <c r="M100" i="5"/>
  <c r="K106" i="5"/>
  <c r="L101" i="5"/>
  <c r="L102" i="5"/>
  <c r="L103" i="5"/>
  <c r="L100" i="5"/>
  <c r="K103" i="5"/>
  <c r="K102" i="5"/>
  <c r="K101" i="5"/>
  <c r="K100" i="5"/>
  <c r="C43" i="24"/>
  <c r="D43" i="24"/>
  <c r="E43" i="24"/>
  <c r="F43" i="24"/>
  <c r="G43" i="24"/>
  <c r="H43" i="24"/>
  <c r="I43" i="24"/>
  <c r="J43" i="24"/>
  <c r="K43" i="24"/>
  <c r="L43" i="24"/>
  <c r="M43" i="24"/>
  <c r="N43" i="24"/>
  <c r="O43" i="24"/>
  <c r="B43" i="24"/>
  <c r="P38" i="24"/>
  <c r="P39" i="24"/>
  <c r="P40" i="24"/>
  <c r="P41" i="24"/>
  <c r="P42" i="24"/>
  <c r="P37" i="24"/>
  <c r="C9" i="24"/>
  <c r="D9" i="24"/>
  <c r="E9" i="24"/>
  <c r="F9" i="24"/>
  <c r="G9" i="24"/>
  <c r="H9" i="24"/>
  <c r="I9" i="24"/>
  <c r="J9" i="24"/>
  <c r="K9" i="24"/>
  <c r="L9" i="24"/>
  <c r="M9" i="24"/>
  <c r="N9" i="24"/>
  <c r="O9" i="24"/>
  <c r="B9" i="24"/>
  <c r="P4" i="24"/>
  <c r="P5" i="24"/>
  <c r="P6" i="24"/>
  <c r="P7" i="24"/>
  <c r="P8" i="24"/>
  <c r="P3" i="24"/>
  <c r="D4" i="26"/>
  <c r="P4" i="26"/>
  <c r="I4" i="26"/>
  <c r="B4" i="26"/>
  <c r="P43" i="24" l="1"/>
  <c r="P9" i="24"/>
  <c r="R7" i="26"/>
  <c r="S7" i="26" s="1"/>
  <c r="V7" i="26" s="1"/>
  <c r="Q7" i="26"/>
  <c r="R6" i="26"/>
  <c r="Q6" i="26"/>
  <c r="R5" i="26"/>
  <c r="Q5" i="26"/>
  <c r="R4" i="26"/>
  <c r="Q4" i="26"/>
  <c r="K7" i="26"/>
  <c r="J7" i="26"/>
  <c r="K6" i="26"/>
  <c r="L6" i="26" s="1"/>
  <c r="O6" i="26" s="1"/>
  <c r="J6" i="26"/>
  <c r="K5" i="26"/>
  <c r="J5" i="26"/>
  <c r="K4" i="26"/>
  <c r="J4" i="26"/>
  <c r="H7" i="26"/>
  <c r="E7" i="26"/>
  <c r="D7" i="26"/>
  <c r="C7" i="26"/>
  <c r="E6" i="26"/>
  <c r="H6" i="26" s="1"/>
  <c r="D6" i="26"/>
  <c r="C6" i="26"/>
  <c r="E5" i="26"/>
  <c r="H5" i="26" s="1"/>
  <c r="D5" i="26"/>
  <c r="C5" i="26"/>
  <c r="C4" i="26"/>
  <c r="E4" i="26" s="1"/>
  <c r="H4" i="26" s="1"/>
  <c r="J29" i="3"/>
  <c r="J25" i="3"/>
  <c r="J21" i="3"/>
  <c r="J18" i="3"/>
  <c r="J17" i="3"/>
  <c r="J10" i="3"/>
  <c r="J9" i="3"/>
  <c r="J6" i="3"/>
  <c r="J7" i="3"/>
  <c r="J5" i="3"/>
  <c r="L7" i="26" l="1"/>
  <c r="O7" i="26" s="1"/>
  <c r="S6" i="26"/>
  <c r="V6" i="26" s="1"/>
  <c r="S5" i="26"/>
  <c r="V5" i="26" s="1"/>
  <c r="L5" i="26"/>
  <c r="O5" i="26" s="1"/>
  <c r="S4" i="26"/>
  <c r="V4" i="26" s="1"/>
  <c r="V16" i="26" s="1"/>
  <c r="L4" i="26"/>
  <c r="O4" i="26" s="1"/>
  <c r="O16" i="26" s="1"/>
  <c r="H16" i="26"/>
  <c r="G21" i="3" l="1"/>
  <c r="I21" i="3" s="1"/>
  <c r="I9" i="3"/>
  <c r="G29" i="3"/>
  <c r="I29" i="3" s="1"/>
  <c r="I25" i="3"/>
  <c r="G25" i="3"/>
  <c r="G18" i="3"/>
  <c r="I18" i="3" s="1"/>
  <c r="G17" i="3"/>
  <c r="I17" i="3" s="1"/>
  <c r="G14" i="3"/>
  <c r="G13" i="3"/>
  <c r="I6" i="3"/>
  <c r="I7" i="3"/>
  <c r="G10" i="3"/>
  <c r="G9" i="3"/>
  <c r="G6" i="3"/>
  <c r="G7" i="3"/>
  <c r="G5" i="3"/>
  <c r="I5" i="3" s="1"/>
  <c r="R33" i="3"/>
  <c r="O33" i="3"/>
  <c r="F33" i="3"/>
  <c r="B14" i="24"/>
  <c r="C14" i="24"/>
  <c r="D14" i="24"/>
  <c r="E14" i="24"/>
  <c r="F14" i="24"/>
  <c r="G14" i="24"/>
  <c r="H14" i="24"/>
  <c r="I14" i="24"/>
  <c r="J14" i="24"/>
  <c r="K14" i="24"/>
  <c r="L14" i="24"/>
  <c r="M14" i="24"/>
  <c r="N14" i="24"/>
  <c r="O14" i="24"/>
  <c r="B15" i="24"/>
  <c r="C15" i="24"/>
  <c r="D15" i="24"/>
  <c r="E15" i="24"/>
  <c r="F15" i="24"/>
  <c r="G15" i="24"/>
  <c r="H15" i="24"/>
  <c r="I15" i="24"/>
  <c r="J15" i="24"/>
  <c r="K15" i="24"/>
  <c r="L15" i="24"/>
  <c r="M15" i="24"/>
  <c r="N15" i="24"/>
  <c r="O15" i="24"/>
  <c r="B16" i="24"/>
  <c r="C16" i="24"/>
  <c r="D16" i="24"/>
  <c r="E16" i="24"/>
  <c r="F16" i="24"/>
  <c r="G16" i="24"/>
  <c r="H16" i="24"/>
  <c r="I16" i="24"/>
  <c r="J16" i="24"/>
  <c r="K16" i="24"/>
  <c r="L16" i="24"/>
  <c r="M16" i="24"/>
  <c r="N16" i="24"/>
  <c r="O16" i="24"/>
  <c r="B17" i="24"/>
  <c r="C17" i="24"/>
  <c r="D17" i="24"/>
  <c r="E17" i="24"/>
  <c r="F17" i="24"/>
  <c r="G17" i="24"/>
  <c r="H17" i="24"/>
  <c r="I17" i="24"/>
  <c r="J17" i="24"/>
  <c r="K17" i="24"/>
  <c r="L17" i="24"/>
  <c r="M17" i="24"/>
  <c r="N17" i="24"/>
  <c r="O17" i="24"/>
  <c r="B18" i="24"/>
  <c r="C18" i="24"/>
  <c r="D18" i="24"/>
  <c r="E18" i="24"/>
  <c r="F18" i="24"/>
  <c r="G18" i="24"/>
  <c r="H18" i="24"/>
  <c r="I18" i="24"/>
  <c r="J18" i="24"/>
  <c r="K18" i="24"/>
  <c r="L18" i="24"/>
  <c r="M18" i="24"/>
  <c r="N18" i="24"/>
  <c r="O18" i="24"/>
  <c r="C13" i="24"/>
  <c r="D13" i="24"/>
  <c r="E13" i="24"/>
  <c r="F13" i="24"/>
  <c r="G13" i="24"/>
  <c r="H13" i="24"/>
  <c r="I13" i="24"/>
  <c r="J13" i="24"/>
  <c r="K13" i="24"/>
  <c r="L13" i="24"/>
  <c r="M13" i="24"/>
  <c r="N13" i="24"/>
  <c r="O13" i="24"/>
  <c r="B13" i="24"/>
  <c r="C47" i="24"/>
  <c r="D47" i="24"/>
  <c r="E47" i="24"/>
  <c r="F47" i="24"/>
  <c r="G47" i="24"/>
  <c r="H47" i="24"/>
  <c r="I47" i="24"/>
  <c r="J47" i="24"/>
  <c r="K47" i="24"/>
  <c r="L47" i="24"/>
  <c r="M47" i="24"/>
  <c r="N47" i="24"/>
  <c r="O47" i="24"/>
  <c r="C48" i="24"/>
  <c r="D48" i="24"/>
  <c r="E48" i="24"/>
  <c r="F48" i="24"/>
  <c r="G48" i="24"/>
  <c r="H48" i="24"/>
  <c r="I48" i="24"/>
  <c r="J48" i="24"/>
  <c r="K48" i="24"/>
  <c r="L48" i="24"/>
  <c r="M48" i="24"/>
  <c r="N48" i="24"/>
  <c r="O48" i="24"/>
  <c r="C49" i="24"/>
  <c r="D49" i="24"/>
  <c r="E49" i="24"/>
  <c r="F49" i="24"/>
  <c r="G49" i="24"/>
  <c r="H49" i="24"/>
  <c r="I49" i="24"/>
  <c r="J49" i="24"/>
  <c r="K49" i="24"/>
  <c r="L49" i="24"/>
  <c r="M49" i="24"/>
  <c r="N49" i="24"/>
  <c r="O49" i="24"/>
  <c r="C50" i="24"/>
  <c r="D50" i="24"/>
  <c r="E50" i="24"/>
  <c r="F50" i="24"/>
  <c r="G50" i="24"/>
  <c r="H50" i="24"/>
  <c r="I50" i="24"/>
  <c r="J50" i="24"/>
  <c r="K50" i="24"/>
  <c r="L50" i="24"/>
  <c r="M50" i="24"/>
  <c r="N50" i="24"/>
  <c r="O50" i="24"/>
  <c r="C51" i="24"/>
  <c r="D51" i="24"/>
  <c r="E51" i="24"/>
  <c r="F51" i="24"/>
  <c r="G51" i="24"/>
  <c r="H51" i="24"/>
  <c r="I51" i="24"/>
  <c r="J51" i="24"/>
  <c r="K51" i="24"/>
  <c r="L51" i="24"/>
  <c r="M51" i="24"/>
  <c r="N51" i="24"/>
  <c r="O51" i="24"/>
  <c r="C52" i="24"/>
  <c r="D52" i="24"/>
  <c r="E52" i="24"/>
  <c r="F52" i="24"/>
  <c r="G52" i="24"/>
  <c r="H52" i="24"/>
  <c r="I52" i="24"/>
  <c r="J52" i="24"/>
  <c r="K52" i="24"/>
  <c r="L52" i="24"/>
  <c r="M52" i="24"/>
  <c r="N52" i="24"/>
  <c r="O52" i="24"/>
  <c r="B48" i="24"/>
  <c r="B49" i="24"/>
  <c r="B50" i="24"/>
  <c r="B51" i="24"/>
  <c r="B52" i="24"/>
  <c r="B47" i="24"/>
  <c r="CO54" i="16"/>
  <c r="C55" i="16"/>
  <c r="D55" i="16"/>
  <c r="E55" i="16"/>
  <c r="F55" i="16"/>
  <c r="G55" i="16"/>
  <c r="H55" i="16"/>
  <c r="I55" i="16"/>
  <c r="J55" i="16"/>
  <c r="K55" i="16"/>
  <c r="L55" i="16"/>
  <c r="M55" i="16"/>
  <c r="N55" i="16"/>
  <c r="O55" i="16"/>
  <c r="P55" i="16"/>
  <c r="Q55" i="16"/>
  <c r="R55" i="16"/>
  <c r="S55" i="16"/>
  <c r="T55" i="16"/>
  <c r="U55" i="16"/>
  <c r="V55" i="16"/>
  <c r="W55" i="16"/>
  <c r="X55" i="16"/>
  <c r="Y55" i="16"/>
  <c r="Z55" i="16"/>
  <c r="AA55" i="16"/>
  <c r="AB55" i="16"/>
  <c r="AC55" i="16"/>
  <c r="AD55" i="16"/>
  <c r="AE55" i="16"/>
  <c r="AF55" i="16"/>
  <c r="AG55" i="16"/>
  <c r="AH55" i="16"/>
  <c r="AI55" i="16"/>
  <c r="AJ55" i="16"/>
  <c r="AK55" i="16"/>
  <c r="AL55" i="16"/>
  <c r="AM55" i="16"/>
  <c r="AN55" i="16"/>
  <c r="AO55" i="16"/>
  <c r="AP55" i="16"/>
  <c r="AQ55" i="16"/>
  <c r="AR55" i="16"/>
  <c r="AS55" i="16"/>
  <c r="AT55" i="16"/>
  <c r="AU55" i="16"/>
  <c r="AV55" i="16"/>
  <c r="AW55" i="16"/>
  <c r="AX55" i="16"/>
  <c r="AY55" i="16"/>
  <c r="AZ55" i="16"/>
  <c r="BA55" i="16"/>
  <c r="BB55" i="16"/>
  <c r="BC55" i="16"/>
  <c r="BD55" i="16"/>
  <c r="BE55" i="16"/>
  <c r="BF55" i="16"/>
  <c r="BG55" i="16"/>
  <c r="BH55" i="16"/>
  <c r="BI55" i="16"/>
  <c r="BJ55" i="16"/>
  <c r="BK55" i="16"/>
  <c r="BL55" i="16"/>
  <c r="BM55" i="16"/>
  <c r="BN55" i="16"/>
  <c r="BO55" i="16"/>
  <c r="BP55" i="16"/>
  <c r="BQ55" i="16"/>
  <c r="BR55" i="16"/>
  <c r="BS55" i="16"/>
  <c r="BT55" i="16"/>
  <c r="BU55" i="16"/>
  <c r="BV55" i="16"/>
  <c r="BW55" i="16"/>
  <c r="BX55" i="16"/>
  <c r="BY55" i="16"/>
  <c r="BZ55" i="16"/>
  <c r="CA55" i="16"/>
  <c r="CB55" i="16"/>
  <c r="CC55" i="16"/>
  <c r="CD55" i="16"/>
  <c r="CE55" i="16"/>
  <c r="CF55" i="16"/>
  <c r="CG55" i="16"/>
  <c r="CH55" i="16"/>
  <c r="CI55" i="16"/>
  <c r="CJ55" i="16"/>
  <c r="CK55" i="16"/>
  <c r="CL55" i="16"/>
  <c r="CM55" i="16"/>
  <c r="CN55" i="16"/>
  <c r="CO55" i="16"/>
  <c r="B55" i="16"/>
  <c r="C41" i="16"/>
  <c r="D41" i="16"/>
  <c r="E41" i="16"/>
  <c r="F41" i="16"/>
  <c r="G41" i="16"/>
  <c r="H41" i="16"/>
  <c r="I41" i="16"/>
  <c r="J41" i="16"/>
  <c r="K41" i="16"/>
  <c r="L41" i="16"/>
  <c r="M41" i="16"/>
  <c r="N41" i="16"/>
  <c r="O41" i="16"/>
  <c r="P41" i="16"/>
  <c r="Q41" i="16"/>
  <c r="R41" i="16"/>
  <c r="S41" i="16"/>
  <c r="T41" i="16"/>
  <c r="U41" i="16"/>
  <c r="V41" i="16"/>
  <c r="W41" i="16"/>
  <c r="X41" i="16"/>
  <c r="Y41" i="16"/>
  <c r="Z41" i="16"/>
  <c r="AA41" i="16"/>
  <c r="AB41" i="16"/>
  <c r="AC41" i="16"/>
  <c r="AD41" i="16"/>
  <c r="AE41" i="16"/>
  <c r="AF41" i="16"/>
  <c r="AG41" i="16"/>
  <c r="AH41" i="16"/>
  <c r="AI41" i="16"/>
  <c r="AJ41" i="16"/>
  <c r="AK41" i="16"/>
  <c r="AL41" i="16"/>
  <c r="AM41" i="16"/>
  <c r="AN41" i="16"/>
  <c r="AO41" i="16"/>
  <c r="AP41" i="16"/>
  <c r="AQ41" i="16"/>
  <c r="AR41" i="16"/>
  <c r="AS41" i="16"/>
  <c r="AT41" i="16"/>
  <c r="AU41" i="16"/>
  <c r="AV41" i="16"/>
  <c r="AW41" i="16"/>
  <c r="AX41" i="16"/>
  <c r="AY41" i="16"/>
  <c r="AZ41" i="16"/>
  <c r="BA41" i="16"/>
  <c r="BB41" i="16"/>
  <c r="BC41" i="16"/>
  <c r="BD41" i="16"/>
  <c r="BE41" i="16"/>
  <c r="BF41" i="16"/>
  <c r="BG41" i="16"/>
  <c r="BH41" i="16"/>
  <c r="BI41" i="16"/>
  <c r="BJ41" i="16"/>
  <c r="BK41" i="16"/>
  <c r="BL41" i="16"/>
  <c r="BM41" i="16"/>
  <c r="BN41" i="16"/>
  <c r="BO41" i="16"/>
  <c r="BP41" i="16"/>
  <c r="BQ41" i="16"/>
  <c r="BR41" i="16"/>
  <c r="BS41" i="16"/>
  <c r="BT41" i="16"/>
  <c r="BU41" i="16"/>
  <c r="BV41" i="16"/>
  <c r="BW41" i="16"/>
  <c r="BX41" i="16"/>
  <c r="BY41" i="16"/>
  <c r="BZ41" i="16"/>
  <c r="CA41" i="16"/>
  <c r="CB41" i="16"/>
  <c r="CC41" i="16"/>
  <c r="CD41" i="16"/>
  <c r="CE41" i="16"/>
  <c r="CF41" i="16"/>
  <c r="CG41" i="16"/>
  <c r="CH41" i="16"/>
  <c r="CI41" i="16"/>
  <c r="CJ41" i="16"/>
  <c r="CK41" i="16"/>
  <c r="CL41" i="16"/>
  <c r="CM41" i="16"/>
  <c r="CN41" i="16"/>
  <c r="CO41" i="16"/>
  <c r="CP41" i="16"/>
  <c r="B41" i="16"/>
  <c r="G131" i="5"/>
  <c r="H131" i="5" s="1"/>
  <c r="G130" i="5"/>
  <c r="F131" i="5"/>
  <c r="F130" i="5"/>
  <c r="E131" i="5"/>
  <c r="E130" i="5"/>
  <c r="D131" i="5"/>
  <c r="D130" i="5"/>
  <c r="C131" i="5"/>
  <c r="C130" i="5"/>
  <c r="B131" i="5"/>
  <c r="B130" i="5"/>
  <c r="G135" i="5"/>
  <c r="G134" i="5"/>
  <c r="F135" i="5"/>
  <c r="F134" i="5"/>
  <c r="E135" i="5"/>
  <c r="E134" i="5"/>
  <c r="D135" i="5"/>
  <c r="D134" i="5"/>
  <c r="C135" i="5"/>
  <c r="C134" i="5"/>
  <c r="B135" i="5"/>
  <c r="B134" i="5"/>
  <c r="H134" i="5" s="1"/>
  <c r="G139" i="5"/>
  <c r="H139" i="5" s="1"/>
  <c r="G138" i="5"/>
  <c r="F139" i="5"/>
  <c r="F138" i="5"/>
  <c r="E139" i="5"/>
  <c r="E138" i="5"/>
  <c r="D139" i="5"/>
  <c r="D138" i="5"/>
  <c r="C139" i="5"/>
  <c r="C138" i="5"/>
  <c r="B139" i="5"/>
  <c r="B138" i="5"/>
  <c r="H138" i="5" s="1"/>
  <c r="G144" i="5"/>
  <c r="G143" i="5"/>
  <c r="F144" i="5"/>
  <c r="F143" i="5"/>
  <c r="E144" i="5"/>
  <c r="E143" i="5"/>
  <c r="D143" i="5"/>
  <c r="C144" i="5"/>
  <c r="C143" i="5"/>
  <c r="B144" i="5"/>
  <c r="H144" i="5" s="1"/>
  <c r="B143" i="5"/>
  <c r="D144" i="5"/>
  <c r="G149" i="5"/>
  <c r="G148" i="5"/>
  <c r="F149" i="5"/>
  <c r="F148" i="5"/>
  <c r="E149" i="5"/>
  <c r="E148" i="5"/>
  <c r="D149" i="5"/>
  <c r="D148" i="5"/>
  <c r="C149" i="5"/>
  <c r="C148" i="5"/>
  <c r="B149" i="5"/>
  <c r="B148" i="5"/>
  <c r="H148" i="5" s="1"/>
  <c r="G153" i="5"/>
  <c r="H153" i="5" s="1"/>
  <c r="F153" i="5"/>
  <c r="E153" i="5"/>
  <c r="D153" i="5"/>
  <c r="C153" i="5"/>
  <c r="B153" i="5"/>
  <c r="G152" i="5"/>
  <c r="F152" i="5"/>
  <c r="E152" i="5"/>
  <c r="D152" i="5"/>
  <c r="C152" i="5"/>
  <c r="B152" i="5"/>
  <c r="B121" i="5"/>
  <c r="K49" i="20"/>
  <c r="A46" i="20"/>
  <c r="M45" i="20"/>
  <c r="M42" i="20"/>
  <c r="M41" i="20"/>
  <c r="A38" i="20"/>
  <c r="F34" i="20"/>
  <c r="I33" i="20"/>
  <c r="M33" i="20" s="1"/>
  <c r="L22" i="20"/>
  <c r="K22" i="20"/>
  <c r="M18" i="20"/>
  <c r="M7" i="20"/>
  <c r="I18" i="19"/>
  <c r="G18" i="19"/>
  <c r="C18" i="19"/>
  <c r="U17" i="19"/>
  <c r="B15" i="19"/>
  <c r="B14" i="19"/>
  <c r="B8" i="19"/>
  <c r="U6" i="19"/>
  <c r="V6" i="19" s="1"/>
  <c r="B6" i="19"/>
  <c r="B3" i="19"/>
  <c r="S2" i="19"/>
  <c r="I18" i="17"/>
  <c r="I33" i="18"/>
  <c r="M33" i="18" s="1"/>
  <c r="K7" i="18"/>
  <c r="K8" i="18" s="1"/>
  <c r="K49" i="18"/>
  <c r="A46" i="18"/>
  <c r="M45" i="18"/>
  <c r="M42" i="18"/>
  <c r="M41" i="18"/>
  <c r="A38" i="18"/>
  <c r="F34" i="18"/>
  <c r="L22" i="18"/>
  <c r="K22" i="18"/>
  <c r="M18" i="18"/>
  <c r="C18" i="17"/>
  <c r="U17" i="17"/>
  <c r="B15" i="17"/>
  <c r="B14" i="17"/>
  <c r="B8" i="17"/>
  <c r="G18" i="17"/>
  <c r="B6" i="17"/>
  <c r="B3" i="17"/>
  <c r="S2" i="17"/>
  <c r="CQ65" i="16"/>
  <c r="CP65" i="16"/>
  <c r="CO65" i="16"/>
  <c r="CN65" i="16"/>
  <c r="CM65" i="16"/>
  <c r="CL65" i="16"/>
  <c r="CK65" i="16"/>
  <c r="CJ65" i="16"/>
  <c r="CI65" i="16"/>
  <c r="CH65" i="16"/>
  <c r="CG65" i="16"/>
  <c r="CF65" i="16"/>
  <c r="CE65" i="16"/>
  <c r="CD65" i="16"/>
  <c r="CC65" i="16"/>
  <c r="CB65" i="16"/>
  <c r="CA65" i="16"/>
  <c r="BZ65" i="16"/>
  <c r="BY65" i="16"/>
  <c r="BX65" i="16"/>
  <c r="BW65" i="16"/>
  <c r="BV65" i="16"/>
  <c r="BU65" i="16"/>
  <c r="BT65" i="16"/>
  <c r="BS65" i="16"/>
  <c r="BR65" i="16"/>
  <c r="BQ65" i="16"/>
  <c r="BP65" i="16"/>
  <c r="BO65" i="16"/>
  <c r="BN65" i="16"/>
  <c r="BM65" i="16"/>
  <c r="BL65" i="16"/>
  <c r="BK65" i="16"/>
  <c r="BJ65" i="16"/>
  <c r="BI65" i="16"/>
  <c r="BH65" i="16"/>
  <c r="BG65" i="16"/>
  <c r="BF65" i="16"/>
  <c r="BE65" i="16"/>
  <c r="BD65" i="16"/>
  <c r="BB65" i="16"/>
  <c r="AZ65" i="16"/>
  <c r="AY65" i="16"/>
  <c r="AX65" i="16"/>
  <c r="AW65" i="16"/>
  <c r="AV65" i="16"/>
  <c r="AU65" i="16"/>
  <c r="AT65" i="16"/>
  <c r="AR65" i="16"/>
  <c r="AQ65" i="16"/>
  <c r="AP65" i="16"/>
  <c r="AM65" i="16"/>
  <c r="AK65" i="16"/>
  <c r="AJ65" i="16"/>
  <c r="AI65" i="16"/>
  <c r="AH65" i="16"/>
  <c r="AF65" i="16"/>
  <c r="AE65" i="16"/>
  <c r="AD65" i="16"/>
  <c r="AC65" i="16"/>
  <c r="X65" i="16"/>
  <c r="V65" i="16"/>
  <c r="U65" i="16"/>
  <c r="T65" i="16"/>
  <c r="S65" i="16"/>
  <c r="P65" i="16"/>
  <c r="O65" i="16"/>
  <c r="M65" i="16"/>
  <c r="L65" i="16"/>
  <c r="J65" i="16"/>
  <c r="CR58" i="16"/>
  <c r="CR57" i="16"/>
  <c r="CR44" i="16"/>
  <c r="CR43" i="16"/>
  <c r="CR42" i="16"/>
  <c r="CR23" i="16"/>
  <c r="AS21" i="16"/>
  <c r="AS59" i="16" s="1"/>
  <c r="AN21" i="16"/>
  <c r="AN59" i="16" s="1"/>
  <c r="AB21" i="16"/>
  <c r="AB60" i="16" s="1"/>
  <c r="AA21" i="16"/>
  <c r="Z21" i="16"/>
  <c r="Z64" i="16" s="1"/>
  <c r="W21" i="16"/>
  <c r="Q21" i="16"/>
  <c r="Q59" i="16" s="1"/>
  <c r="N21" i="16"/>
  <c r="N59" i="16" s="1"/>
  <c r="K21" i="16"/>
  <c r="K60" i="16" s="1"/>
  <c r="I21" i="16"/>
  <c r="I59" i="16" s="1"/>
  <c r="H21" i="16"/>
  <c r="H62" i="16" s="1"/>
  <c r="G21" i="16"/>
  <c r="G63" i="16" s="1"/>
  <c r="F21" i="16"/>
  <c r="F62" i="16" s="1"/>
  <c r="E21" i="16"/>
  <c r="E62" i="16" s="1"/>
  <c r="D21" i="16"/>
  <c r="D62" i="16" s="1"/>
  <c r="C21" i="16"/>
  <c r="B21" i="16"/>
  <c r="A21" i="16"/>
  <c r="CO20" i="16"/>
  <c r="CN20" i="16"/>
  <c r="CN45" i="16" s="1"/>
  <c r="CM20" i="16"/>
  <c r="CM45" i="16" s="1"/>
  <c r="CL20" i="16"/>
  <c r="CL45" i="16" s="1"/>
  <c r="CK20" i="16"/>
  <c r="CK46" i="16" s="1"/>
  <c r="CJ20" i="16"/>
  <c r="CJ53" i="16" s="1"/>
  <c r="CI20" i="16"/>
  <c r="CI53" i="16" s="1"/>
  <c r="CH20" i="16"/>
  <c r="CH53" i="16" s="1"/>
  <c r="CG20" i="16"/>
  <c r="CG47" i="16" s="1"/>
  <c r="CF20" i="16"/>
  <c r="CF52" i="16" s="1"/>
  <c r="CE20" i="16"/>
  <c r="CE45" i="16" s="1"/>
  <c r="CD20" i="16"/>
  <c r="CD50" i="16" s="1"/>
  <c r="CC20" i="16"/>
  <c r="CC50" i="16" s="1"/>
  <c r="CB20" i="16"/>
  <c r="CB47" i="16" s="1"/>
  <c r="CA20" i="16"/>
  <c r="CA48" i="16" s="1"/>
  <c r="BZ20" i="16"/>
  <c r="BZ48" i="16" s="1"/>
  <c r="BY20" i="16"/>
  <c r="BY48" i="16" s="1"/>
  <c r="BX20" i="16"/>
  <c r="BX48" i="16" s="1"/>
  <c r="BW20" i="16"/>
  <c r="BW48" i="16" s="1"/>
  <c r="BV20" i="16"/>
  <c r="BU20" i="16"/>
  <c r="BU46" i="16" s="1"/>
  <c r="BT20" i="16"/>
  <c r="BT45" i="16" s="1"/>
  <c r="BT54" i="16" s="1"/>
  <c r="BT56" i="16" s="1"/>
  <c r="BS20" i="16"/>
  <c r="BS45" i="16" s="1"/>
  <c r="BS54" i="16" s="1"/>
  <c r="BR20" i="16"/>
  <c r="BR52" i="16" s="1"/>
  <c r="BQ20" i="16"/>
  <c r="BQ52" i="16" s="1"/>
  <c r="BP20" i="16"/>
  <c r="BP50" i="16" s="1"/>
  <c r="BO20" i="16"/>
  <c r="BO45" i="16" s="1"/>
  <c r="BO54" i="16" s="1"/>
  <c r="BN20" i="16"/>
  <c r="BN52" i="16" s="1"/>
  <c r="BM20" i="16"/>
  <c r="BM52" i="16" s="1"/>
  <c r="BL20" i="16"/>
  <c r="BL50" i="16" s="1"/>
  <c r="BK20" i="16"/>
  <c r="BK50" i="16" s="1"/>
  <c r="BJ20" i="16"/>
  <c r="BJ46" i="16" s="1"/>
  <c r="BI20" i="16"/>
  <c r="BI46" i="16" s="1"/>
  <c r="BH20" i="16"/>
  <c r="BG20" i="16"/>
  <c r="BG53" i="16" s="1"/>
  <c r="BF20" i="16"/>
  <c r="BF46" i="16" s="1"/>
  <c r="BE20" i="16"/>
  <c r="BE45" i="16" s="1"/>
  <c r="BD20" i="16"/>
  <c r="BD52" i="16" s="1"/>
  <c r="BC20" i="16"/>
  <c r="BC45" i="16" s="1"/>
  <c r="BB20" i="16"/>
  <c r="BB45" i="16" s="1"/>
  <c r="BA20" i="16"/>
  <c r="BA52" i="16" s="1"/>
  <c r="AZ20" i="16"/>
  <c r="AZ53" i="16" s="1"/>
  <c r="AY20" i="16"/>
  <c r="AY53" i="16" s="1"/>
  <c r="AX20" i="16"/>
  <c r="AW20" i="16"/>
  <c r="AW53" i="16" s="1"/>
  <c r="AV20" i="16"/>
  <c r="AU20" i="16"/>
  <c r="AU49" i="16" s="1"/>
  <c r="AT20" i="16"/>
  <c r="AT51" i="16" s="1"/>
  <c r="AS20" i="16"/>
  <c r="AS51" i="16" s="1"/>
  <c r="AR20" i="16"/>
  <c r="AR49" i="16" s="1"/>
  <c r="AQ20" i="16"/>
  <c r="AQ50" i="16" s="1"/>
  <c r="AP20" i="16"/>
  <c r="AP50" i="16" s="1"/>
  <c r="AO20" i="16"/>
  <c r="AO45" i="16" s="1"/>
  <c r="AN20" i="16"/>
  <c r="AN45" i="16" s="1"/>
  <c r="AM20" i="16"/>
  <c r="AM45" i="16" s="1"/>
  <c r="AL20" i="16"/>
  <c r="AL45" i="16" s="1"/>
  <c r="AK20" i="16"/>
  <c r="AJ20" i="16"/>
  <c r="AJ48" i="16" s="1"/>
  <c r="AI20" i="16"/>
  <c r="AH20" i="16"/>
  <c r="AH45" i="16" s="1"/>
  <c r="AG20" i="16"/>
  <c r="AG45" i="16" s="1"/>
  <c r="AF20" i="16"/>
  <c r="AF52" i="16" s="1"/>
  <c r="AE20" i="16"/>
  <c r="AE45" i="16" s="1"/>
  <c r="AD20" i="16"/>
  <c r="AD52" i="16" s="1"/>
  <c r="AC20" i="16"/>
  <c r="AC46" i="16" s="1"/>
  <c r="AB20" i="16"/>
  <c r="AB53" i="16" s="1"/>
  <c r="AA20" i="16"/>
  <c r="AA53" i="16" s="1"/>
  <c r="Z20" i="16"/>
  <c r="Z51" i="16" s="1"/>
  <c r="Y20" i="16"/>
  <c r="Y46" i="16" s="1"/>
  <c r="X20" i="16"/>
  <c r="X49" i="16" s="1"/>
  <c r="W20" i="16"/>
  <c r="W53" i="16" s="1"/>
  <c r="V20" i="16"/>
  <c r="V51" i="16" s="1"/>
  <c r="U20" i="16"/>
  <c r="U51" i="16" s="1"/>
  <c r="T20" i="16"/>
  <c r="T49" i="16" s="1"/>
  <c r="S20" i="16"/>
  <c r="S49" i="16" s="1"/>
  <c r="R20" i="16"/>
  <c r="R47" i="16" s="1"/>
  <c r="Q20" i="16"/>
  <c r="Q45" i="16" s="1"/>
  <c r="P20" i="16"/>
  <c r="P45" i="16" s="1"/>
  <c r="O20" i="16"/>
  <c r="O45" i="16" s="1"/>
  <c r="N20" i="16"/>
  <c r="N45" i="16" s="1"/>
  <c r="M20" i="16"/>
  <c r="M46" i="16" s="1"/>
  <c r="L20" i="16"/>
  <c r="L48" i="16" s="1"/>
  <c r="K20" i="16"/>
  <c r="K51" i="16" s="1"/>
  <c r="J20" i="16"/>
  <c r="J45" i="16" s="1"/>
  <c r="I20" i="16"/>
  <c r="I52" i="16" s="1"/>
  <c r="H20" i="16"/>
  <c r="H52" i="16" s="1"/>
  <c r="G20" i="16"/>
  <c r="G45" i="16" s="1"/>
  <c r="F20" i="16"/>
  <c r="F52" i="16" s="1"/>
  <c r="E20" i="16"/>
  <c r="E52" i="16" s="1"/>
  <c r="D20" i="16"/>
  <c r="D52" i="16" s="1"/>
  <c r="C20" i="16"/>
  <c r="C45" i="16" s="1"/>
  <c r="B20" i="16"/>
  <c r="B50" i="16" s="1"/>
  <c r="CO19" i="16"/>
  <c r="CN19" i="16"/>
  <c r="CM19" i="16"/>
  <c r="CL19" i="16"/>
  <c r="CK19" i="16"/>
  <c r="CJ19" i="16"/>
  <c r="CI19" i="16"/>
  <c r="CH19" i="16"/>
  <c r="CG19" i="16"/>
  <c r="CF19" i="16"/>
  <c r="CE19" i="16"/>
  <c r="CD19" i="16"/>
  <c r="CC19" i="16"/>
  <c r="CB19" i="16"/>
  <c r="CA19" i="16"/>
  <c r="BZ19" i="16"/>
  <c r="BY19" i="16"/>
  <c r="BX19" i="16"/>
  <c r="BW19" i="16"/>
  <c r="BV19" i="16"/>
  <c r="BU19" i="16"/>
  <c r="BT19" i="16"/>
  <c r="BS19" i="16"/>
  <c r="BR19" i="16"/>
  <c r="BQ19" i="16"/>
  <c r="BP19" i="16"/>
  <c r="BO19" i="16"/>
  <c r="BN19" i="16"/>
  <c r="BM19" i="16"/>
  <c r="BL19" i="16"/>
  <c r="BK19" i="16"/>
  <c r="BJ19" i="16"/>
  <c r="BI19" i="16"/>
  <c r="BH19" i="16"/>
  <c r="BG19" i="16"/>
  <c r="BF19" i="16"/>
  <c r="BE19" i="16"/>
  <c r="BD19" i="16"/>
  <c r="BC19" i="16"/>
  <c r="BB19" i="16"/>
  <c r="BA19" i="16"/>
  <c r="AZ19" i="16"/>
  <c r="AY19" i="16"/>
  <c r="AX19" i="16"/>
  <c r="AW19" i="16"/>
  <c r="AV19" i="16"/>
  <c r="AU19" i="16"/>
  <c r="AT19" i="16"/>
  <c r="AS19" i="16"/>
  <c r="AR19" i="16"/>
  <c r="AQ19" i="16"/>
  <c r="AP19" i="16"/>
  <c r="AO19" i="16"/>
  <c r="AN19" i="16"/>
  <c r="AM19" i="16"/>
  <c r="AL19" i="16"/>
  <c r="AK19" i="16"/>
  <c r="AJ19" i="16"/>
  <c r="AI19" i="16"/>
  <c r="AH19" i="16"/>
  <c r="AG19" i="16"/>
  <c r="AF19" i="16"/>
  <c r="AE19" i="16"/>
  <c r="AD19" i="16"/>
  <c r="AC19" i="16"/>
  <c r="AB19" i="16"/>
  <c r="AA19" i="16"/>
  <c r="Z19" i="16"/>
  <c r="Y19" i="16"/>
  <c r="X19" i="16"/>
  <c r="W19" i="16"/>
  <c r="V19" i="16"/>
  <c r="U19" i="16"/>
  <c r="T19" i="16"/>
  <c r="S19" i="16"/>
  <c r="R19" i="16"/>
  <c r="Q19" i="16"/>
  <c r="P19" i="16"/>
  <c r="O19" i="16"/>
  <c r="N19" i="16"/>
  <c r="M19" i="16"/>
  <c r="L19" i="16"/>
  <c r="K19" i="16"/>
  <c r="J19" i="16"/>
  <c r="I19" i="16"/>
  <c r="H19" i="16"/>
  <c r="G19" i="16"/>
  <c r="F19" i="16"/>
  <c r="E19" i="16"/>
  <c r="D19" i="16"/>
  <c r="C19" i="16"/>
  <c r="B19" i="16"/>
  <c r="CR14" i="16"/>
  <c r="CR13" i="16"/>
  <c r="CR12" i="16"/>
  <c r="CR11" i="16"/>
  <c r="CR10" i="16"/>
  <c r="CR9" i="16"/>
  <c r="CR8" i="16"/>
  <c r="CR7" i="16"/>
  <c r="CR6" i="16"/>
  <c r="CR5" i="16"/>
  <c r="CR4" i="16"/>
  <c r="H4" i="19" s="1"/>
  <c r="B31" i="24" s="1"/>
  <c r="BC64" i="15"/>
  <c r="BA64" i="15"/>
  <c r="AZ64" i="15"/>
  <c r="AY64" i="15"/>
  <c r="AX64" i="15"/>
  <c r="AW64" i="15"/>
  <c r="AV64" i="15"/>
  <c r="AT64" i="15"/>
  <c r="AS64" i="15"/>
  <c r="AR64" i="15"/>
  <c r="AP64" i="15"/>
  <c r="AN64" i="15"/>
  <c r="AM64" i="15"/>
  <c r="AK64" i="15"/>
  <c r="AJ64" i="15"/>
  <c r="AI64" i="15"/>
  <c r="AH64" i="15"/>
  <c r="AF64" i="15"/>
  <c r="AE64" i="15"/>
  <c r="AD64" i="15"/>
  <c r="AC64" i="15"/>
  <c r="Y64" i="15"/>
  <c r="V64" i="15"/>
  <c r="U64" i="15"/>
  <c r="T64" i="15"/>
  <c r="S64" i="15"/>
  <c r="P64" i="15"/>
  <c r="O64" i="15"/>
  <c r="M64" i="15"/>
  <c r="L64" i="15"/>
  <c r="J64" i="15"/>
  <c r="CQ57" i="15"/>
  <c r="CQ56" i="15"/>
  <c r="CO55" i="15"/>
  <c r="CN55" i="15"/>
  <c r="CM55" i="15"/>
  <c r="CL55" i="15"/>
  <c r="CK55" i="15"/>
  <c r="CJ55" i="15"/>
  <c r="CI55" i="15"/>
  <c r="CH55" i="15"/>
  <c r="CG55" i="15"/>
  <c r="CF55" i="15"/>
  <c r="CE55" i="15"/>
  <c r="CD55" i="15"/>
  <c r="CC55" i="15"/>
  <c r="CB55" i="15"/>
  <c r="CA55" i="15"/>
  <c r="BZ55" i="15"/>
  <c r="BY55" i="15"/>
  <c r="BX55" i="15"/>
  <c r="BW55" i="15"/>
  <c r="BV55" i="15"/>
  <c r="BU55" i="15"/>
  <c r="BT55" i="15"/>
  <c r="BS55" i="15"/>
  <c r="BR55" i="15"/>
  <c r="BQ55" i="15"/>
  <c r="BP55" i="15"/>
  <c r="BO55" i="15"/>
  <c r="BN55" i="15"/>
  <c r="BM55" i="15"/>
  <c r="BL55" i="15"/>
  <c r="BK55" i="15"/>
  <c r="BJ55" i="15"/>
  <c r="BI55" i="15"/>
  <c r="BH55" i="15"/>
  <c r="BG55" i="15"/>
  <c r="BF55" i="15"/>
  <c r="BE55" i="15"/>
  <c r="BD55" i="15"/>
  <c r="BC55" i="15"/>
  <c r="BB55" i="15"/>
  <c r="BA55" i="15"/>
  <c r="AZ55" i="15"/>
  <c r="AY55" i="15"/>
  <c r="AX55" i="15"/>
  <c r="AW55" i="15"/>
  <c r="AV55" i="15"/>
  <c r="AU55" i="15"/>
  <c r="AT55" i="15"/>
  <c r="AS55" i="15"/>
  <c r="AR55" i="15"/>
  <c r="AQ55" i="15"/>
  <c r="AP55" i="15"/>
  <c r="AO55" i="15"/>
  <c r="AN55" i="15"/>
  <c r="AM55" i="15"/>
  <c r="AL55" i="15"/>
  <c r="AK55" i="15"/>
  <c r="AJ55" i="15"/>
  <c r="AI55" i="15"/>
  <c r="AH55" i="15"/>
  <c r="AG55" i="15"/>
  <c r="AF55" i="15"/>
  <c r="AE55" i="15"/>
  <c r="AD55" i="15"/>
  <c r="AC55" i="15"/>
  <c r="AB55" i="15"/>
  <c r="AA55" i="15"/>
  <c r="Z55" i="15"/>
  <c r="Y55" i="15"/>
  <c r="X55" i="15"/>
  <c r="W55" i="15"/>
  <c r="V55" i="15"/>
  <c r="U55" i="15"/>
  <c r="T55" i="15"/>
  <c r="S55" i="15"/>
  <c r="R55" i="15"/>
  <c r="Q55" i="15"/>
  <c r="P55" i="15"/>
  <c r="O55" i="15"/>
  <c r="N55" i="15"/>
  <c r="M55" i="15"/>
  <c r="L55" i="15"/>
  <c r="K55" i="15"/>
  <c r="J55" i="15"/>
  <c r="I55" i="15"/>
  <c r="H55" i="15"/>
  <c r="G55" i="15"/>
  <c r="F55" i="15"/>
  <c r="E55" i="15"/>
  <c r="D55" i="15"/>
  <c r="C55" i="15"/>
  <c r="B55" i="15"/>
  <c r="CO52" i="15"/>
  <c r="CN52" i="15"/>
  <c r="CM52" i="15"/>
  <c r="CL52" i="15"/>
  <c r="CK52" i="15"/>
  <c r="CJ52" i="15"/>
  <c r="CI52" i="15"/>
  <c r="CH52" i="15"/>
  <c r="CG52" i="15"/>
  <c r="CF52" i="15"/>
  <c r="CE52" i="15"/>
  <c r="CD52" i="15"/>
  <c r="CC52" i="15"/>
  <c r="CB52" i="15"/>
  <c r="CA52" i="15"/>
  <c r="BZ52" i="15"/>
  <c r="BY52" i="15"/>
  <c r="BX52" i="15"/>
  <c r="BW52" i="15"/>
  <c r="BV52" i="15"/>
  <c r="BU52" i="15"/>
  <c r="BT52" i="15"/>
  <c r="BS52" i="15"/>
  <c r="BR52" i="15"/>
  <c r="BQ52" i="15"/>
  <c r="BP52" i="15"/>
  <c r="BO52" i="15"/>
  <c r="BN52" i="15"/>
  <c r="BM52" i="15"/>
  <c r="BL52" i="15"/>
  <c r="BK52" i="15"/>
  <c r="BJ52" i="15"/>
  <c r="BI52" i="15"/>
  <c r="BH52" i="15"/>
  <c r="BG52" i="15"/>
  <c r="BF52" i="15"/>
  <c r="BE52" i="15"/>
  <c r="BD52" i="15"/>
  <c r="BC52" i="15"/>
  <c r="BB52" i="15"/>
  <c r="BA52" i="15"/>
  <c r="AZ52" i="15"/>
  <c r="AY52" i="15"/>
  <c r="AX52" i="15"/>
  <c r="AW52" i="15"/>
  <c r="AV52" i="15"/>
  <c r="AU52" i="15"/>
  <c r="AT52" i="15"/>
  <c r="AS52" i="15"/>
  <c r="AR52" i="15"/>
  <c r="AQ52" i="15"/>
  <c r="AP52" i="15"/>
  <c r="AO52" i="15"/>
  <c r="AN52" i="15"/>
  <c r="AM52" i="15"/>
  <c r="AL52" i="15"/>
  <c r="AK52" i="15"/>
  <c r="AJ52" i="15"/>
  <c r="AI52" i="15"/>
  <c r="AH52" i="15"/>
  <c r="AG52" i="15"/>
  <c r="AF52" i="15"/>
  <c r="AE52" i="15"/>
  <c r="AD52" i="15"/>
  <c r="AC52" i="15"/>
  <c r="AB52" i="15"/>
  <c r="AA52" i="15"/>
  <c r="Z52" i="15"/>
  <c r="Y52" i="15"/>
  <c r="X52" i="15"/>
  <c r="W52" i="15"/>
  <c r="V52" i="15"/>
  <c r="U52" i="15"/>
  <c r="T52" i="15"/>
  <c r="S52" i="15"/>
  <c r="R52" i="15"/>
  <c r="Q52" i="15"/>
  <c r="P52" i="15"/>
  <c r="O52" i="15"/>
  <c r="N52" i="15"/>
  <c r="M52" i="15"/>
  <c r="L52" i="15"/>
  <c r="K52" i="15"/>
  <c r="J52" i="15"/>
  <c r="I52" i="15"/>
  <c r="H52" i="15"/>
  <c r="G52" i="15"/>
  <c r="F52" i="15"/>
  <c r="E52" i="15"/>
  <c r="D52" i="15"/>
  <c r="C52" i="15"/>
  <c r="B52" i="15"/>
  <c r="CO50" i="15"/>
  <c r="CN50" i="15"/>
  <c r="CM50" i="15"/>
  <c r="CL50" i="15"/>
  <c r="CK50" i="15"/>
  <c r="CJ50" i="15"/>
  <c r="CI50" i="15"/>
  <c r="CH50" i="15"/>
  <c r="CG50" i="15"/>
  <c r="CF50" i="15"/>
  <c r="CE50" i="15"/>
  <c r="CD50" i="15"/>
  <c r="CC50" i="15"/>
  <c r="CA50" i="15"/>
  <c r="BZ50" i="15"/>
  <c r="BY50" i="15"/>
  <c r="BX50" i="15"/>
  <c r="BW50" i="15"/>
  <c r="BV50" i="15"/>
  <c r="BS50" i="15"/>
  <c r="BR50" i="15"/>
  <c r="BQ50" i="15"/>
  <c r="BP50" i="15"/>
  <c r="BO50" i="15"/>
  <c r="BN50" i="15"/>
  <c r="BM50" i="15"/>
  <c r="BL50" i="15"/>
  <c r="BK50" i="15"/>
  <c r="BJ50" i="15"/>
  <c r="BI50" i="15"/>
  <c r="BH50" i="15"/>
  <c r="BG50" i="15"/>
  <c r="BF50" i="15"/>
  <c r="BE50" i="15"/>
  <c r="BD50" i="15"/>
  <c r="BC50" i="15"/>
  <c r="BB50" i="15"/>
  <c r="BA50" i="15"/>
  <c r="AZ50" i="15"/>
  <c r="AY50" i="15"/>
  <c r="AX50" i="15"/>
  <c r="AW50" i="15"/>
  <c r="AV50" i="15"/>
  <c r="AU50" i="15"/>
  <c r="AT50" i="15"/>
  <c r="AS50" i="15"/>
  <c r="AR50" i="15"/>
  <c r="AQ50" i="15"/>
  <c r="AP50" i="15"/>
  <c r="AO50" i="15"/>
  <c r="AN50" i="15"/>
  <c r="AM50" i="15"/>
  <c r="AL50" i="15"/>
  <c r="AK50" i="15"/>
  <c r="AJ50" i="15"/>
  <c r="AI50" i="15"/>
  <c r="AH50" i="15"/>
  <c r="AG50" i="15"/>
  <c r="AF50" i="15"/>
  <c r="AE50" i="15"/>
  <c r="AD50" i="15"/>
  <c r="AC50" i="15"/>
  <c r="AB50" i="15"/>
  <c r="AA50" i="15"/>
  <c r="Z50" i="15"/>
  <c r="Y50" i="15"/>
  <c r="X50" i="15"/>
  <c r="W50" i="15"/>
  <c r="V50" i="15"/>
  <c r="U50" i="15"/>
  <c r="T50" i="15"/>
  <c r="S50" i="15"/>
  <c r="R50" i="15"/>
  <c r="Q50" i="15"/>
  <c r="P50" i="15"/>
  <c r="O50" i="15"/>
  <c r="N50" i="15"/>
  <c r="M50" i="15"/>
  <c r="L50" i="15"/>
  <c r="K50" i="15"/>
  <c r="J50" i="15"/>
  <c r="I50" i="15"/>
  <c r="H50" i="15"/>
  <c r="G50" i="15"/>
  <c r="F50" i="15"/>
  <c r="E50" i="15"/>
  <c r="D50" i="15"/>
  <c r="C50" i="15"/>
  <c r="B50" i="15"/>
  <c r="M8" i="17" s="1"/>
  <c r="H36" i="18" s="1"/>
  <c r="CO49" i="15"/>
  <c r="CN49" i="15"/>
  <c r="CM49" i="15"/>
  <c r="CL49" i="15"/>
  <c r="CK49" i="15"/>
  <c r="CJ49" i="15"/>
  <c r="CI49" i="15"/>
  <c r="CH49" i="15"/>
  <c r="CG49" i="15"/>
  <c r="CF49" i="15"/>
  <c r="CE49" i="15"/>
  <c r="CD49" i="15"/>
  <c r="CC49" i="15"/>
  <c r="CA49" i="15"/>
  <c r="BZ49" i="15"/>
  <c r="BY49" i="15"/>
  <c r="BX49" i="15"/>
  <c r="BW49" i="15"/>
  <c r="BV49" i="15"/>
  <c r="BS49" i="15"/>
  <c r="BR49" i="15"/>
  <c r="BQ49" i="15"/>
  <c r="BP49" i="15"/>
  <c r="BO49" i="15"/>
  <c r="BN49" i="15"/>
  <c r="BM49" i="15"/>
  <c r="BL49" i="15"/>
  <c r="BK49" i="15"/>
  <c r="BJ49" i="15"/>
  <c r="BI49" i="15"/>
  <c r="BH49" i="15"/>
  <c r="BG49" i="15"/>
  <c r="BF49" i="15"/>
  <c r="BE49" i="15"/>
  <c r="BD49" i="15"/>
  <c r="BC49" i="15"/>
  <c r="BB49" i="15"/>
  <c r="BA49" i="15"/>
  <c r="AZ49" i="15"/>
  <c r="AY49" i="15"/>
  <c r="AX49" i="15"/>
  <c r="AW49" i="15"/>
  <c r="AV49" i="15"/>
  <c r="AU49" i="15"/>
  <c r="AT49" i="15"/>
  <c r="AS49" i="15"/>
  <c r="AR49" i="15"/>
  <c r="AQ49" i="15"/>
  <c r="AP49" i="15"/>
  <c r="AO49" i="15"/>
  <c r="AN49" i="15"/>
  <c r="AM49" i="15"/>
  <c r="AL49" i="15"/>
  <c r="AK49" i="15"/>
  <c r="AJ49" i="15"/>
  <c r="AI49" i="15"/>
  <c r="AH49" i="15"/>
  <c r="AG49" i="15"/>
  <c r="AF49" i="15"/>
  <c r="AE49" i="15"/>
  <c r="AD49" i="15"/>
  <c r="AC49" i="15"/>
  <c r="AB49" i="15"/>
  <c r="AA49" i="15"/>
  <c r="Z49" i="15"/>
  <c r="Y49" i="15"/>
  <c r="X49" i="15"/>
  <c r="W49" i="15"/>
  <c r="V49" i="15"/>
  <c r="U49" i="15"/>
  <c r="T49" i="15"/>
  <c r="S49" i="15"/>
  <c r="R49" i="15"/>
  <c r="Q49" i="15"/>
  <c r="P49" i="15"/>
  <c r="O49" i="15"/>
  <c r="N49" i="15"/>
  <c r="M49" i="15"/>
  <c r="L49" i="15"/>
  <c r="K49" i="15"/>
  <c r="J49" i="15"/>
  <c r="I49" i="15"/>
  <c r="H49" i="15"/>
  <c r="G49" i="15"/>
  <c r="F49" i="15"/>
  <c r="E49" i="15"/>
  <c r="D49" i="15"/>
  <c r="C49" i="15"/>
  <c r="B49" i="15"/>
  <c r="CO48" i="15"/>
  <c r="CN48" i="15"/>
  <c r="CM48" i="15"/>
  <c r="CL48" i="15"/>
  <c r="CK48" i="15"/>
  <c r="CJ48" i="15"/>
  <c r="CI48" i="15"/>
  <c r="CH48" i="15"/>
  <c r="CG48" i="15"/>
  <c r="CF48" i="15"/>
  <c r="CE48" i="15"/>
  <c r="CD48" i="15"/>
  <c r="CC48" i="15"/>
  <c r="CA48" i="15"/>
  <c r="BZ48" i="15"/>
  <c r="BY48" i="15"/>
  <c r="BX48" i="15"/>
  <c r="BW48" i="15"/>
  <c r="BV48" i="15"/>
  <c r="BS48" i="15"/>
  <c r="BR48" i="15"/>
  <c r="BQ48" i="15"/>
  <c r="BP48" i="15"/>
  <c r="BO48" i="15"/>
  <c r="BN48" i="15"/>
  <c r="BM48" i="15"/>
  <c r="BL48" i="15"/>
  <c r="BK48" i="15"/>
  <c r="BJ48" i="15"/>
  <c r="BI48" i="15"/>
  <c r="BH48" i="15"/>
  <c r="BG48" i="15"/>
  <c r="BF48" i="15"/>
  <c r="BE48" i="15"/>
  <c r="BD48" i="15"/>
  <c r="BC48" i="15"/>
  <c r="BB48" i="15"/>
  <c r="BA48" i="15"/>
  <c r="AZ48" i="15"/>
  <c r="AY48" i="15"/>
  <c r="AX48" i="15"/>
  <c r="AW48" i="15"/>
  <c r="AV48" i="15"/>
  <c r="AU48" i="15"/>
  <c r="AT48" i="15"/>
  <c r="AS48" i="15"/>
  <c r="AR48" i="15"/>
  <c r="AQ48" i="15"/>
  <c r="AP48" i="15"/>
  <c r="AO48" i="15"/>
  <c r="AN48" i="15"/>
  <c r="AM48" i="15"/>
  <c r="AL48" i="15"/>
  <c r="AK48" i="15"/>
  <c r="AJ48" i="15"/>
  <c r="AI48" i="15"/>
  <c r="AH48" i="15"/>
  <c r="AG48" i="15"/>
  <c r="AF48" i="15"/>
  <c r="AE48" i="15"/>
  <c r="AD48" i="15"/>
  <c r="AC48" i="15"/>
  <c r="AB48" i="15"/>
  <c r="AA48" i="15"/>
  <c r="Z48" i="15"/>
  <c r="Y48" i="15"/>
  <c r="X48" i="15"/>
  <c r="W48" i="15"/>
  <c r="V48" i="15"/>
  <c r="U48" i="15"/>
  <c r="T48" i="15"/>
  <c r="S48" i="15"/>
  <c r="R48" i="15"/>
  <c r="Q48" i="15"/>
  <c r="P48" i="15"/>
  <c r="O48" i="15"/>
  <c r="N48" i="15"/>
  <c r="M48" i="15"/>
  <c r="L48" i="15"/>
  <c r="K48" i="15"/>
  <c r="J48" i="15"/>
  <c r="I48" i="15"/>
  <c r="H48" i="15"/>
  <c r="G48" i="15"/>
  <c r="F48" i="15"/>
  <c r="E48" i="15"/>
  <c r="D48" i="15"/>
  <c r="C48" i="15"/>
  <c r="B48" i="15"/>
  <c r="CO47" i="15"/>
  <c r="CN47" i="15"/>
  <c r="CM47" i="15"/>
  <c r="CL47" i="15"/>
  <c r="CK47" i="15"/>
  <c r="CJ47" i="15"/>
  <c r="CI47" i="15"/>
  <c r="CH47" i="15"/>
  <c r="CG47" i="15"/>
  <c r="CF47" i="15"/>
  <c r="CE47" i="15"/>
  <c r="CD47" i="15"/>
  <c r="CC47" i="15"/>
  <c r="CA47" i="15"/>
  <c r="BZ47" i="15"/>
  <c r="BY47" i="15"/>
  <c r="BX47" i="15"/>
  <c r="BW47" i="15"/>
  <c r="BV47" i="15"/>
  <c r="BS47" i="15"/>
  <c r="BR47" i="15"/>
  <c r="BQ47" i="15"/>
  <c r="BP47" i="15"/>
  <c r="BO47" i="15"/>
  <c r="BN47" i="15"/>
  <c r="BM47" i="15"/>
  <c r="BL47" i="15"/>
  <c r="BK47" i="15"/>
  <c r="BJ47" i="15"/>
  <c r="BI47" i="15"/>
  <c r="BH47" i="15"/>
  <c r="BG47" i="15"/>
  <c r="BF47" i="15"/>
  <c r="BE47" i="15"/>
  <c r="BD47" i="15"/>
  <c r="BC47" i="15"/>
  <c r="BB47" i="15"/>
  <c r="BA47" i="15"/>
  <c r="AZ47" i="15"/>
  <c r="AY47" i="15"/>
  <c r="AX47" i="15"/>
  <c r="AW47" i="15"/>
  <c r="AV47" i="15"/>
  <c r="AU47" i="15"/>
  <c r="AT47" i="15"/>
  <c r="AS47" i="15"/>
  <c r="AR47" i="15"/>
  <c r="AQ47" i="15"/>
  <c r="AP47" i="15"/>
  <c r="AO47" i="15"/>
  <c r="AN47" i="15"/>
  <c r="AM47" i="15"/>
  <c r="AL47" i="15"/>
  <c r="AK47" i="15"/>
  <c r="AJ47" i="15"/>
  <c r="AI47" i="15"/>
  <c r="AH47" i="15"/>
  <c r="AG47" i="15"/>
  <c r="AF47" i="15"/>
  <c r="AE47" i="15"/>
  <c r="AD47" i="15"/>
  <c r="AC47" i="15"/>
  <c r="AB47" i="15"/>
  <c r="AA47" i="15"/>
  <c r="Z47" i="15"/>
  <c r="Y47" i="15"/>
  <c r="X47" i="15"/>
  <c r="W47" i="15"/>
  <c r="V47" i="15"/>
  <c r="U47" i="15"/>
  <c r="T47" i="15"/>
  <c r="S47" i="15"/>
  <c r="R47" i="15"/>
  <c r="Q47" i="15"/>
  <c r="P47" i="15"/>
  <c r="O47" i="15"/>
  <c r="N47" i="15"/>
  <c r="M47" i="15"/>
  <c r="L47" i="15"/>
  <c r="K47" i="15"/>
  <c r="J47" i="15"/>
  <c r="I47" i="15"/>
  <c r="H47" i="15"/>
  <c r="G47" i="15"/>
  <c r="F47" i="15"/>
  <c r="E47" i="15"/>
  <c r="D47" i="15"/>
  <c r="C47" i="15"/>
  <c r="B47" i="15"/>
  <c r="CO46" i="15"/>
  <c r="CN46" i="15"/>
  <c r="CM46" i="15"/>
  <c r="CL46" i="15"/>
  <c r="CK46" i="15"/>
  <c r="CJ46" i="15"/>
  <c r="CI46" i="15"/>
  <c r="CH46" i="15"/>
  <c r="CG46" i="15"/>
  <c r="CF46" i="15"/>
  <c r="CE46" i="15"/>
  <c r="CD46" i="15"/>
  <c r="CC46" i="15"/>
  <c r="CA46" i="15"/>
  <c r="BZ46" i="15"/>
  <c r="BY46" i="15"/>
  <c r="BX46" i="15"/>
  <c r="BW46" i="15"/>
  <c r="BV46" i="15"/>
  <c r="BS46" i="15"/>
  <c r="BR46" i="15"/>
  <c r="BQ46" i="15"/>
  <c r="BP46" i="15"/>
  <c r="BO46" i="15"/>
  <c r="BN46" i="15"/>
  <c r="BM46" i="15"/>
  <c r="BL46" i="15"/>
  <c r="BK46" i="15"/>
  <c r="BJ46" i="15"/>
  <c r="BI46" i="15"/>
  <c r="BH46" i="15"/>
  <c r="BG46" i="15"/>
  <c r="BF46" i="15"/>
  <c r="BE46" i="15"/>
  <c r="BD46" i="15"/>
  <c r="BC46" i="15"/>
  <c r="BB46" i="15"/>
  <c r="BA46" i="15"/>
  <c r="AZ46" i="15"/>
  <c r="AY46" i="15"/>
  <c r="AX46" i="15"/>
  <c r="AW46" i="15"/>
  <c r="AV46" i="15"/>
  <c r="AU46" i="15"/>
  <c r="AT46" i="15"/>
  <c r="AS46" i="15"/>
  <c r="AR46" i="15"/>
  <c r="AQ46" i="15"/>
  <c r="AP46" i="15"/>
  <c r="AO46" i="15"/>
  <c r="AN46" i="15"/>
  <c r="AM46" i="15"/>
  <c r="AL46" i="15"/>
  <c r="AK46" i="15"/>
  <c r="AJ46" i="15"/>
  <c r="AI46" i="15"/>
  <c r="AH46" i="15"/>
  <c r="AG46" i="15"/>
  <c r="AF46" i="15"/>
  <c r="AE46" i="15"/>
  <c r="AD46" i="15"/>
  <c r="AC46" i="15"/>
  <c r="AB46" i="15"/>
  <c r="AA46" i="15"/>
  <c r="Z46" i="15"/>
  <c r="Y46" i="15"/>
  <c r="X46" i="15"/>
  <c r="W46" i="15"/>
  <c r="V46" i="15"/>
  <c r="U46" i="15"/>
  <c r="T46" i="15"/>
  <c r="S46" i="15"/>
  <c r="R46" i="15"/>
  <c r="Q46" i="15"/>
  <c r="P46" i="15"/>
  <c r="O46" i="15"/>
  <c r="N46" i="15"/>
  <c r="M46" i="15"/>
  <c r="L46" i="15"/>
  <c r="K46" i="15"/>
  <c r="J46" i="15"/>
  <c r="I46" i="15"/>
  <c r="H46" i="15"/>
  <c r="G46" i="15"/>
  <c r="F46" i="15"/>
  <c r="E46" i="15"/>
  <c r="D46" i="15"/>
  <c r="C46" i="15"/>
  <c r="B46" i="15"/>
  <c r="CO45" i="15"/>
  <c r="CN45" i="15"/>
  <c r="CM45" i="15"/>
  <c r="CL45" i="15"/>
  <c r="CK45" i="15"/>
  <c r="CJ45" i="15"/>
  <c r="CI45" i="15"/>
  <c r="CH45" i="15"/>
  <c r="CG45" i="15"/>
  <c r="CF45" i="15"/>
  <c r="CE45" i="15"/>
  <c r="CD45" i="15"/>
  <c r="CC45" i="15"/>
  <c r="CA45" i="15"/>
  <c r="BZ45" i="15"/>
  <c r="BY45" i="15"/>
  <c r="BX45" i="15"/>
  <c r="BW45" i="15"/>
  <c r="BV45" i="15"/>
  <c r="BS45" i="15"/>
  <c r="BR45" i="15"/>
  <c r="BQ45" i="15"/>
  <c r="BP45" i="15"/>
  <c r="BO45" i="15"/>
  <c r="BN45" i="15"/>
  <c r="BM45" i="15"/>
  <c r="BL45" i="15"/>
  <c r="BK45" i="15"/>
  <c r="BJ45" i="15"/>
  <c r="BI45" i="15"/>
  <c r="BH45" i="15"/>
  <c r="BG45" i="15"/>
  <c r="BF45" i="15"/>
  <c r="BE45" i="15"/>
  <c r="BD45" i="15"/>
  <c r="BC45" i="15"/>
  <c r="BB45" i="15"/>
  <c r="BA45" i="15"/>
  <c r="AZ45" i="15"/>
  <c r="AY45" i="15"/>
  <c r="AX45" i="15"/>
  <c r="AW45" i="15"/>
  <c r="AV45" i="15"/>
  <c r="AU45" i="15"/>
  <c r="AT45" i="15"/>
  <c r="AS45" i="15"/>
  <c r="AR45" i="15"/>
  <c r="AQ45" i="15"/>
  <c r="AP45" i="15"/>
  <c r="AO45" i="15"/>
  <c r="AN45" i="15"/>
  <c r="AM45" i="15"/>
  <c r="AL45" i="15"/>
  <c r="AK45" i="15"/>
  <c r="AJ45" i="15"/>
  <c r="AI45" i="15"/>
  <c r="AH45" i="15"/>
  <c r="AG45" i="15"/>
  <c r="AF45" i="15"/>
  <c r="AE45" i="15"/>
  <c r="AD45" i="15"/>
  <c r="AC45" i="15"/>
  <c r="AB45" i="15"/>
  <c r="AA45" i="15"/>
  <c r="Z45" i="15"/>
  <c r="Y45" i="15"/>
  <c r="X45" i="15"/>
  <c r="W45" i="15"/>
  <c r="V45" i="15"/>
  <c r="U45" i="15"/>
  <c r="T45" i="15"/>
  <c r="S45" i="15"/>
  <c r="R45" i="15"/>
  <c r="Q45" i="15"/>
  <c r="P45" i="15"/>
  <c r="O45" i="15"/>
  <c r="N45" i="15"/>
  <c r="M45" i="15"/>
  <c r="L45" i="15"/>
  <c r="K45" i="15"/>
  <c r="J45" i="15"/>
  <c r="I45" i="15"/>
  <c r="H45" i="15"/>
  <c r="G45" i="15"/>
  <c r="F45" i="15"/>
  <c r="E45" i="15"/>
  <c r="D45" i="15"/>
  <c r="C45" i="15"/>
  <c r="B45" i="15"/>
  <c r="CO44" i="15"/>
  <c r="CN44" i="15"/>
  <c r="CM44" i="15"/>
  <c r="CL44" i="15"/>
  <c r="CK44" i="15"/>
  <c r="CJ44" i="15"/>
  <c r="CI44" i="15"/>
  <c r="CH44" i="15"/>
  <c r="CG44" i="15"/>
  <c r="CF44" i="15"/>
  <c r="CE44" i="15"/>
  <c r="CD44" i="15"/>
  <c r="CC44" i="15"/>
  <c r="CA44" i="15"/>
  <c r="BZ44" i="15"/>
  <c r="BY44" i="15"/>
  <c r="BX44" i="15"/>
  <c r="BW44" i="15"/>
  <c r="BV44" i="15"/>
  <c r="BS44" i="15"/>
  <c r="BR44" i="15"/>
  <c r="BQ44" i="15"/>
  <c r="BP44" i="15"/>
  <c r="BO44" i="15"/>
  <c r="BN44" i="15"/>
  <c r="BM44" i="15"/>
  <c r="BL44" i="15"/>
  <c r="BK44" i="15"/>
  <c r="BJ44" i="15"/>
  <c r="BI44" i="15"/>
  <c r="BH44" i="15"/>
  <c r="BG44" i="15"/>
  <c r="BF44" i="15"/>
  <c r="BE44" i="15"/>
  <c r="BD44" i="15"/>
  <c r="BC44" i="15"/>
  <c r="BB44" i="15"/>
  <c r="BA44" i="15"/>
  <c r="AZ44" i="15"/>
  <c r="AY44" i="15"/>
  <c r="AX44" i="15"/>
  <c r="AW44" i="15"/>
  <c r="AV44" i="15"/>
  <c r="AU44" i="15"/>
  <c r="AT44" i="15"/>
  <c r="AS44" i="15"/>
  <c r="AR44" i="15"/>
  <c r="AQ44" i="15"/>
  <c r="AP44" i="15"/>
  <c r="AO44" i="15"/>
  <c r="AN44" i="15"/>
  <c r="AM44" i="15"/>
  <c r="AL44" i="15"/>
  <c r="AK44" i="15"/>
  <c r="AJ44" i="15"/>
  <c r="AI44" i="15"/>
  <c r="AH44" i="15"/>
  <c r="AG44" i="15"/>
  <c r="AF44" i="15"/>
  <c r="AE44" i="15"/>
  <c r="AD44" i="15"/>
  <c r="AC44" i="15"/>
  <c r="AB44" i="15"/>
  <c r="AA44" i="15"/>
  <c r="Z44" i="15"/>
  <c r="Y44" i="15"/>
  <c r="X44" i="15"/>
  <c r="W44" i="15"/>
  <c r="V44" i="15"/>
  <c r="U44" i="15"/>
  <c r="T44" i="15"/>
  <c r="S44" i="15"/>
  <c r="R44" i="15"/>
  <c r="Q44" i="15"/>
  <c r="P44" i="15"/>
  <c r="O44" i="15"/>
  <c r="N44" i="15"/>
  <c r="M44" i="15"/>
  <c r="L44" i="15"/>
  <c r="K44" i="15"/>
  <c r="J44" i="15"/>
  <c r="I44" i="15"/>
  <c r="H44" i="15"/>
  <c r="G44" i="15"/>
  <c r="F44" i="15"/>
  <c r="E44" i="15"/>
  <c r="D44" i="15"/>
  <c r="C44" i="15"/>
  <c r="B44" i="15"/>
  <c r="CO43" i="15"/>
  <c r="CN43" i="15"/>
  <c r="CM43" i="15"/>
  <c r="CL43" i="15"/>
  <c r="CK43" i="15"/>
  <c r="CJ43" i="15"/>
  <c r="CI43" i="15"/>
  <c r="CH43" i="15"/>
  <c r="CG43" i="15"/>
  <c r="CF43" i="15"/>
  <c r="CE43" i="15"/>
  <c r="CD43" i="15"/>
  <c r="CC43" i="15"/>
  <c r="CA43" i="15"/>
  <c r="BZ43" i="15"/>
  <c r="BY43" i="15"/>
  <c r="BX43" i="15"/>
  <c r="BW43" i="15"/>
  <c r="BV43" i="15"/>
  <c r="BS43" i="15"/>
  <c r="BR43" i="15"/>
  <c r="BQ43" i="15"/>
  <c r="BP43" i="15"/>
  <c r="BO43" i="15"/>
  <c r="BN43" i="15"/>
  <c r="BM43" i="15"/>
  <c r="BL43" i="15"/>
  <c r="BK43" i="15"/>
  <c r="BJ43" i="15"/>
  <c r="BI43" i="15"/>
  <c r="BH43" i="15"/>
  <c r="BG43" i="15"/>
  <c r="BF43" i="15"/>
  <c r="BE43" i="15"/>
  <c r="BD43" i="15"/>
  <c r="BC43" i="15"/>
  <c r="BB43" i="15"/>
  <c r="BA43" i="15"/>
  <c r="AZ43" i="15"/>
  <c r="AY43" i="15"/>
  <c r="AX43" i="15"/>
  <c r="AW43" i="15"/>
  <c r="AV43" i="15"/>
  <c r="AU43" i="15"/>
  <c r="AT43" i="15"/>
  <c r="AS43" i="15"/>
  <c r="AR43" i="15"/>
  <c r="AQ43" i="15"/>
  <c r="AP43" i="15"/>
  <c r="AO43" i="15"/>
  <c r="AN43" i="15"/>
  <c r="AM43" i="15"/>
  <c r="AL43" i="15"/>
  <c r="AK43" i="15"/>
  <c r="AJ43" i="15"/>
  <c r="AI43" i="15"/>
  <c r="AH43" i="15"/>
  <c r="AG43" i="15"/>
  <c r="AF43" i="15"/>
  <c r="AE43" i="15"/>
  <c r="AD43" i="15"/>
  <c r="AC43" i="15"/>
  <c r="AB43" i="15"/>
  <c r="AA43" i="15"/>
  <c r="Z43" i="15"/>
  <c r="Y43" i="15"/>
  <c r="X43" i="15"/>
  <c r="W43" i="15"/>
  <c r="V43" i="15"/>
  <c r="U43" i="15"/>
  <c r="T43" i="15"/>
  <c r="S43" i="15"/>
  <c r="R43" i="15"/>
  <c r="Q43" i="15"/>
  <c r="P43" i="15"/>
  <c r="O43" i="15"/>
  <c r="N43" i="15"/>
  <c r="M43" i="15"/>
  <c r="L43" i="15"/>
  <c r="K43" i="15"/>
  <c r="J43" i="15"/>
  <c r="I43" i="15"/>
  <c r="H43" i="15"/>
  <c r="G43" i="15"/>
  <c r="F43" i="15"/>
  <c r="E43" i="15"/>
  <c r="D43" i="15"/>
  <c r="C43" i="15"/>
  <c r="B43" i="15"/>
  <c r="CO42" i="15"/>
  <c r="CO51" i="15" s="1"/>
  <c r="CN42" i="15"/>
  <c r="CM42" i="15"/>
  <c r="CL42" i="15"/>
  <c r="CK42" i="15"/>
  <c r="CJ42" i="15"/>
  <c r="CI42" i="15"/>
  <c r="CH42" i="15"/>
  <c r="CG42" i="15"/>
  <c r="CF42" i="15"/>
  <c r="CE42" i="15"/>
  <c r="CD42" i="15"/>
  <c r="CC42" i="15"/>
  <c r="CC51" i="15" s="1"/>
  <c r="CB42" i="15"/>
  <c r="CB51" i="15" s="1"/>
  <c r="CA42" i="15"/>
  <c r="BZ42" i="15"/>
  <c r="BZ51" i="15" s="1"/>
  <c r="BY42" i="15"/>
  <c r="BX42" i="15"/>
  <c r="BW42" i="15"/>
  <c r="BV42" i="15"/>
  <c r="BU42" i="15"/>
  <c r="BU51" i="15" s="1"/>
  <c r="BU53" i="15" s="1"/>
  <c r="BT42" i="15"/>
  <c r="BT51" i="15" s="1"/>
  <c r="BS42" i="15"/>
  <c r="BR42" i="15"/>
  <c r="BQ42" i="15"/>
  <c r="BP42" i="15"/>
  <c r="BO42" i="15"/>
  <c r="BN42" i="15"/>
  <c r="BM42" i="15"/>
  <c r="BL42" i="15"/>
  <c r="BK42" i="15"/>
  <c r="BJ42" i="15"/>
  <c r="BI42" i="15"/>
  <c r="BH42" i="15"/>
  <c r="BG42" i="15"/>
  <c r="BF42" i="15"/>
  <c r="BE42" i="15"/>
  <c r="BD42" i="15"/>
  <c r="BC42" i="15"/>
  <c r="BB42" i="15"/>
  <c r="BA42" i="15"/>
  <c r="AZ42" i="15"/>
  <c r="AY42" i="15"/>
  <c r="AX42" i="15"/>
  <c r="AW42" i="15"/>
  <c r="AV42" i="15"/>
  <c r="AU42" i="15"/>
  <c r="AT42" i="15"/>
  <c r="AS42" i="15"/>
  <c r="AR42" i="15"/>
  <c r="AQ42" i="15"/>
  <c r="AP42" i="15"/>
  <c r="AO42" i="15"/>
  <c r="AN42" i="15"/>
  <c r="AM42" i="15"/>
  <c r="AL42" i="15"/>
  <c r="AK42" i="15"/>
  <c r="AJ42" i="15"/>
  <c r="AI42" i="15"/>
  <c r="AH42" i="15"/>
  <c r="AG42" i="15"/>
  <c r="AF42" i="15"/>
  <c r="AE42" i="15"/>
  <c r="AD42" i="15"/>
  <c r="AC42" i="15"/>
  <c r="AB42" i="15"/>
  <c r="AA42" i="15"/>
  <c r="Z42" i="15"/>
  <c r="Y42" i="15"/>
  <c r="X42" i="15"/>
  <c r="W42" i="15"/>
  <c r="V42" i="15"/>
  <c r="U42" i="15"/>
  <c r="T42" i="15"/>
  <c r="S42" i="15"/>
  <c r="R42" i="15"/>
  <c r="Q42" i="15"/>
  <c r="P42" i="15"/>
  <c r="O42" i="15"/>
  <c r="N42" i="15"/>
  <c r="M42" i="15"/>
  <c r="L42" i="15"/>
  <c r="K42" i="15"/>
  <c r="J42" i="15"/>
  <c r="I42" i="15"/>
  <c r="H42" i="15"/>
  <c r="G42" i="15"/>
  <c r="F42" i="15"/>
  <c r="E42" i="15"/>
  <c r="D42" i="15"/>
  <c r="C42" i="15"/>
  <c r="B42" i="15"/>
  <c r="CQ41" i="15"/>
  <c r="CQ32" i="15"/>
  <c r="CQ31" i="15"/>
  <c r="CQ21" i="15"/>
  <c r="CQ20" i="15"/>
  <c r="BD19" i="15"/>
  <c r="BD60" i="15" s="1"/>
  <c r="BB19" i="15"/>
  <c r="BB61" i="15" s="1"/>
  <c r="AU19" i="15"/>
  <c r="AU62" i="15" s="1"/>
  <c r="AQ19" i="15"/>
  <c r="AQ63" i="15" s="1"/>
  <c r="AO19" i="15"/>
  <c r="AO63" i="15" s="1"/>
  <c r="AL19" i="15"/>
  <c r="AL63" i="15" s="1"/>
  <c r="AG19" i="15"/>
  <c r="AG63" i="15" s="1"/>
  <c r="AB19" i="15"/>
  <c r="AB63" i="15" s="1"/>
  <c r="AA19" i="15"/>
  <c r="AA63" i="15" s="1"/>
  <c r="Z19" i="15"/>
  <c r="Z63" i="15" s="1"/>
  <c r="X19" i="15"/>
  <c r="X58" i="15" s="1"/>
  <c r="W19" i="15"/>
  <c r="W59" i="15" s="1"/>
  <c r="R19" i="15"/>
  <c r="R60" i="15" s="1"/>
  <c r="Q19" i="15"/>
  <c r="Q61" i="15" s="1"/>
  <c r="N19" i="15"/>
  <c r="N62" i="15" s="1"/>
  <c r="K19" i="15"/>
  <c r="K63" i="15" s="1"/>
  <c r="I19" i="15"/>
  <c r="I63" i="15" s="1"/>
  <c r="H19" i="15"/>
  <c r="H63" i="15" s="1"/>
  <c r="G19" i="15"/>
  <c r="G63" i="15" s="1"/>
  <c r="F19" i="15"/>
  <c r="F63" i="15" s="1"/>
  <c r="E19" i="15"/>
  <c r="E63" i="15" s="1"/>
  <c r="D19" i="15"/>
  <c r="D63" i="15" s="1"/>
  <c r="C19" i="15"/>
  <c r="C58" i="15" s="1"/>
  <c r="B19" i="15"/>
  <c r="B59" i="15" s="1"/>
  <c r="A19" i="15"/>
  <c r="CQ18" i="15"/>
  <c r="CQ13" i="15"/>
  <c r="CQ12" i="15"/>
  <c r="CQ11" i="15"/>
  <c r="CQ10" i="15"/>
  <c r="CQ9" i="15"/>
  <c r="CQ8" i="15"/>
  <c r="CQ7" i="15"/>
  <c r="CQ6" i="15"/>
  <c r="CQ5" i="15"/>
  <c r="CQ4" i="15"/>
  <c r="H4" i="17" s="1"/>
  <c r="E10" i="18" s="1"/>
  <c r="H152" i="5"/>
  <c r="H149" i="5"/>
  <c r="H143" i="5"/>
  <c r="H135" i="5"/>
  <c r="H130" i="5"/>
  <c r="G122" i="5"/>
  <c r="F122" i="5"/>
  <c r="E122" i="5"/>
  <c r="D122" i="5"/>
  <c r="C122" i="5"/>
  <c r="B122" i="5"/>
  <c r="G121" i="5"/>
  <c r="F121" i="5"/>
  <c r="E121" i="5"/>
  <c r="D121" i="5"/>
  <c r="C121" i="5"/>
  <c r="G118" i="5"/>
  <c r="F118" i="5"/>
  <c r="E118" i="5"/>
  <c r="D118" i="5"/>
  <c r="C118" i="5"/>
  <c r="B118" i="5"/>
  <c r="G117" i="5"/>
  <c r="F117" i="5"/>
  <c r="E117" i="5"/>
  <c r="D117" i="5"/>
  <c r="C117" i="5"/>
  <c r="B117" i="5"/>
  <c r="G113" i="5"/>
  <c r="F113" i="5"/>
  <c r="E113" i="5"/>
  <c r="D113" i="5"/>
  <c r="C113" i="5"/>
  <c r="B113" i="5"/>
  <c r="G112" i="5"/>
  <c r="F112" i="5"/>
  <c r="E112" i="5"/>
  <c r="D112" i="5"/>
  <c r="C112" i="5"/>
  <c r="B112" i="5"/>
  <c r="G108" i="5"/>
  <c r="F108" i="5"/>
  <c r="E108" i="5"/>
  <c r="D108" i="5"/>
  <c r="C108" i="5"/>
  <c r="B108" i="5"/>
  <c r="G107" i="5"/>
  <c r="F107" i="5"/>
  <c r="E107" i="5"/>
  <c r="D107" i="5"/>
  <c r="C107" i="5"/>
  <c r="B107" i="5"/>
  <c r="G104" i="5"/>
  <c r="F104" i="5"/>
  <c r="E104" i="5"/>
  <c r="D104" i="5"/>
  <c r="C104" i="5"/>
  <c r="B104" i="5"/>
  <c r="G103" i="5"/>
  <c r="F103" i="5"/>
  <c r="E103" i="5"/>
  <c r="D103" i="5"/>
  <c r="C103" i="5"/>
  <c r="B103" i="5"/>
  <c r="G100" i="5"/>
  <c r="F100" i="5"/>
  <c r="E100" i="5"/>
  <c r="D100" i="5"/>
  <c r="C100" i="5"/>
  <c r="B100" i="5"/>
  <c r="G99" i="5"/>
  <c r="F99" i="5"/>
  <c r="E99" i="5"/>
  <c r="D99" i="5"/>
  <c r="C99" i="5"/>
  <c r="B99" i="5"/>
  <c r="G98" i="5"/>
  <c r="F98" i="5"/>
  <c r="E98" i="5"/>
  <c r="D98" i="5"/>
  <c r="C98" i="5"/>
  <c r="B98" i="5"/>
  <c r="M45" i="2"/>
  <c r="A46" i="2"/>
  <c r="K49" i="2"/>
  <c r="F34" i="2"/>
  <c r="U17" i="14"/>
  <c r="B15" i="14"/>
  <c r="B14" i="14"/>
  <c r="C52" i="13"/>
  <c r="D52" i="13"/>
  <c r="E52" i="13"/>
  <c r="F52" i="13"/>
  <c r="G52" i="13"/>
  <c r="H52" i="13"/>
  <c r="I52" i="13"/>
  <c r="J52" i="13"/>
  <c r="K52" i="13"/>
  <c r="L52" i="13"/>
  <c r="M52" i="13"/>
  <c r="O52" i="13"/>
  <c r="P52" i="13"/>
  <c r="Q52" i="13"/>
  <c r="R52" i="13"/>
  <c r="S52" i="13"/>
  <c r="V52" i="13"/>
  <c r="W52" i="13"/>
  <c r="X52" i="13"/>
  <c r="Z52" i="13"/>
  <c r="AA52" i="13"/>
  <c r="AB52" i="13"/>
  <c r="AC52" i="13"/>
  <c r="AD52" i="13"/>
  <c r="AE52" i="13"/>
  <c r="AF52" i="13"/>
  <c r="AG52" i="13"/>
  <c r="AH52" i="13"/>
  <c r="AI52" i="13"/>
  <c r="AJ52" i="13"/>
  <c r="AK52" i="13"/>
  <c r="AL52" i="13"/>
  <c r="AM52" i="13"/>
  <c r="AN52" i="13"/>
  <c r="AO52" i="13"/>
  <c r="AQ52" i="13"/>
  <c r="AR52" i="13"/>
  <c r="AS52" i="13"/>
  <c r="AT52" i="13"/>
  <c r="AU52" i="13"/>
  <c r="AV52" i="13"/>
  <c r="AW52" i="13"/>
  <c r="BA52" i="13"/>
  <c r="BB52" i="13"/>
  <c r="BC52" i="13"/>
  <c r="BD52" i="13"/>
  <c r="BE52" i="13"/>
  <c r="BF52" i="13"/>
  <c r="BG52" i="13"/>
  <c r="BH52" i="13"/>
  <c r="BI52" i="13"/>
  <c r="BJ52" i="13"/>
  <c r="BK52" i="13"/>
  <c r="BL52" i="13"/>
  <c r="BN52" i="13"/>
  <c r="BO52" i="13"/>
  <c r="BP52" i="13"/>
  <c r="BQ52" i="13"/>
  <c r="BR52" i="13"/>
  <c r="BS52" i="13"/>
  <c r="BU52" i="13"/>
  <c r="BV52" i="13"/>
  <c r="BW52" i="13"/>
  <c r="BX52" i="13"/>
  <c r="BY52" i="13"/>
  <c r="BZ52" i="13"/>
  <c r="CA52" i="13"/>
  <c r="CB52" i="13"/>
  <c r="CC52" i="13"/>
  <c r="CD52" i="13"/>
  <c r="CE52" i="13"/>
  <c r="CF52" i="13"/>
  <c r="CG52" i="13"/>
  <c r="CH52" i="13"/>
  <c r="CI52" i="13"/>
  <c r="CJ52" i="13"/>
  <c r="CK52" i="13"/>
  <c r="CM52" i="13"/>
  <c r="B52" i="13"/>
  <c r="CO48" i="13"/>
  <c r="B8" i="14"/>
  <c r="C18" i="14"/>
  <c r="B6" i="14"/>
  <c r="B3" i="14"/>
  <c r="CL4" i="13"/>
  <c r="BT10" i="13"/>
  <c r="BT52" i="13" s="1"/>
  <c r="BM10" i="13"/>
  <c r="BM11" i="13" s="1"/>
  <c r="AZ10" i="13"/>
  <c r="AZ52" i="13" s="1"/>
  <c r="AY10" i="13"/>
  <c r="AY52" i="13" s="1"/>
  <c r="AX10" i="13"/>
  <c r="AX52" i="13" s="1"/>
  <c r="AO4" i="13"/>
  <c r="AP10" i="13"/>
  <c r="AP52" i="13" s="1"/>
  <c r="Y10" i="13"/>
  <c r="Y52" i="13" s="1"/>
  <c r="U10" i="13"/>
  <c r="U52" i="13" s="1"/>
  <c r="T10" i="13"/>
  <c r="T52" i="13" s="1"/>
  <c r="N10" i="13"/>
  <c r="N52" i="13" s="1"/>
  <c r="C11" i="13"/>
  <c r="D11" i="13"/>
  <c r="E11" i="13"/>
  <c r="F11" i="13"/>
  <c r="G11" i="13"/>
  <c r="H11" i="13"/>
  <c r="I11" i="13"/>
  <c r="J11" i="13"/>
  <c r="K11" i="13"/>
  <c r="L11" i="13"/>
  <c r="M11" i="13"/>
  <c r="N11" i="13"/>
  <c r="O11" i="13"/>
  <c r="P11" i="13"/>
  <c r="Q11" i="13"/>
  <c r="R11" i="13"/>
  <c r="S11" i="13"/>
  <c r="U11" i="13"/>
  <c r="V11" i="13"/>
  <c r="W11" i="13"/>
  <c r="X11" i="13"/>
  <c r="Y11" i="13"/>
  <c r="Z11" i="13"/>
  <c r="AA11" i="13"/>
  <c r="AB11" i="13"/>
  <c r="AC11" i="13"/>
  <c r="AD11" i="13"/>
  <c r="AE11" i="13"/>
  <c r="AF11" i="13"/>
  <c r="AG11" i="13"/>
  <c r="AH11" i="13"/>
  <c r="AI11" i="13"/>
  <c r="AJ11" i="13"/>
  <c r="AK11" i="13"/>
  <c r="AL11" i="13"/>
  <c r="AM11" i="13"/>
  <c r="AN11" i="13"/>
  <c r="AQ11" i="13"/>
  <c r="AR11" i="13"/>
  <c r="AS11" i="13"/>
  <c r="AT11" i="13"/>
  <c r="AU11" i="13"/>
  <c r="AV11" i="13"/>
  <c r="AW11" i="13"/>
  <c r="AZ11" i="13"/>
  <c r="BA11" i="13"/>
  <c r="BB11" i="13"/>
  <c r="BC11" i="13"/>
  <c r="BD11" i="13"/>
  <c r="BE11" i="13"/>
  <c r="BF11" i="13"/>
  <c r="BG11" i="13"/>
  <c r="BH11" i="13"/>
  <c r="BI11" i="13"/>
  <c r="BJ11" i="13"/>
  <c r="BK11" i="13"/>
  <c r="BL11" i="13"/>
  <c r="BN11" i="13"/>
  <c r="BO11" i="13"/>
  <c r="BP11" i="13"/>
  <c r="BQ11" i="13"/>
  <c r="BR11" i="13"/>
  <c r="BS11" i="13"/>
  <c r="BU11" i="13"/>
  <c r="BV11" i="13"/>
  <c r="BW11" i="13"/>
  <c r="BX11" i="13"/>
  <c r="BY11" i="13"/>
  <c r="BZ11" i="13"/>
  <c r="CA11" i="13"/>
  <c r="CB11" i="13"/>
  <c r="CC11" i="13"/>
  <c r="CD11" i="13"/>
  <c r="CE11" i="13"/>
  <c r="CF11" i="13"/>
  <c r="CG11" i="13"/>
  <c r="CH11" i="13"/>
  <c r="CI11" i="13"/>
  <c r="CJ11" i="13"/>
  <c r="CK11" i="13"/>
  <c r="CM11" i="13"/>
  <c r="B11" i="13"/>
  <c r="S2" i="14"/>
  <c r="M41" i="2"/>
  <c r="M42" i="2"/>
  <c r="A38" i="2"/>
  <c r="B15" i="5"/>
  <c r="N14" i="5"/>
  <c r="G79" i="5"/>
  <c r="G78" i="5"/>
  <c r="F79" i="5"/>
  <c r="F78" i="5"/>
  <c r="E79" i="5"/>
  <c r="E78" i="5"/>
  <c r="D79" i="5"/>
  <c r="D78" i="5"/>
  <c r="C79" i="5"/>
  <c r="C78" i="5"/>
  <c r="B79" i="5"/>
  <c r="B78" i="5"/>
  <c r="C13" i="5"/>
  <c r="C14" i="5" s="1"/>
  <c r="B13" i="5"/>
  <c r="B14" i="5" s="1"/>
  <c r="CO16" i="13"/>
  <c r="CO17" i="13"/>
  <c r="R16" i="14" s="1"/>
  <c r="F40" i="2" s="1"/>
  <c r="F49" i="2" s="1"/>
  <c r="CL80" i="13"/>
  <c r="CL81" i="13"/>
  <c r="CL82" i="13"/>
  <c r="CL83" i="13"/>
  <c r="CL84" i="13"/>
  <c r="CL85" i="13"/>
  <c r="CL86" i="13"/>
  <c r="CL87" i="13"/>
  <c r="CM6" i="13"/>
  <c r="CO6" i="13" s="1"/>
  <c r="I4" i="14" s="1"/>
  <c r="I18" i="14" s="1"/>
  <c r="CO5" i="13"/>
  <c r="H5" i="14" s="1"/>
  <c r="E32" i="2" s="1"/>
  <c r="CO7" i="13"/>
  <c r="G6" i="14" s="1"/>
  <c r="U6" i="14" s="1"/>
  <c r="CO8" i="13"/>
  <c r="CO9" i="13"/>
  <c r="K22" i="2"/>
  <c r="L22" i="2"/>
  <c r="CO56" i="16" l="1"/>
  <c r="CF51" i="15"/>
  <c r="CK51" i="15"/>
  <c r="CM51" i="15"/>
  <c r="CL10" i="13"/>
  <c r="CL52" i="13" s="1"/>
  <c r="BB62" i="15"/>
  <c r="AY11" i="13"/>
  <c r="K51" i="15"/>
  <c r="K53" i="15" s="1"/>
  <c r="W51" i="15"/>
  <c r="W53" i="15" s="1"/>
  <c r="AI51" i="15"/>
  <c r="AU51" i="15"/>
  <c r="BG51" i="15"/>
  <c r="BS51" i="15"/>
  <c r="CO4" i="13"/>
  <c r="H78" i="5"/>
  <c r="H121" i="5"/>
  <c r="B51" i="15"/>
  <c r="B53" i="15" s="1"/>
  <c r="N51" i="15"/>
  <c r="N53" i="15" s="1"/>
  <c r="Z51" i="15"/>
  <c r="Z53" i="15" s="1"/>
  <c r="AL51" i="15"/>
  <c r="AL53" i="15" s="1"/>
  <c r="AX51" i="15"/>
  <c r="AX53" i="15" s="1"/>
  <c r="BJ51" i="15"/>
  <c r="BJ53" i="15" s="1"/>
  <c r="BV51" i="15"/>
  <c r="BV53" i="15" s="1"/>
  <c r="CH51" i="15"/>
  <c r="CH53" i="15" s="1"/>
  <c r="BS56" i="16"/>
  <c r="D51" i="15"/>
  <c r="D53" i="15" s="1"/>
  <c r="P51" i="15"/>
  <c r="P53" i="15" s="1"/>
  <c r="AB51" i="15"/>
  <c r="AB53" i="15" s="1"/>
  <c r="AN51" i="15"/>
  <c r="AN53" i="15" s="1"/>
  <c r="AZ51" i="15"/>
  <c r="AZ53" i="15" s="1"/>
  <c r="BL51" i="15"/>
  <c r="BL53" i="15" s="1"/>
  <c r="N19" i="24"/>
  <c r="B28" i="24" s="1"/>
  <c r="M19" i="24"/>
  <c r="L19" i="24"/>
  <c r="B19" i="24"/>
  <c r="D19" i="24"/>
  <c r="B27" i="24" s="1"/>
  <c r="O19" i="24"/>
  <c r="M5" i="19" s="1"/>
  <c r="H32" i="20" s="1"/>
  <c r="C19" i="24"/>
  <c r="H19" i="24"/>
  <c r="P16" i="24"/>
  <c r="G19" i="24"/>
  <c r="P15" i="24"/>
  <c r="P18" i="24"/>
  <c r="P17" i="24"/>
  <c r="J19" i="24"/>
  <c r="B25" i="24" s="1"/>
  <c r="I19" i="24"/>
  <c r="F19" i="24"/>
  <c r="K19" i="24"/>
  <c r="K5" i="19" s="1"/>
  <c r="C32" i="20" s="1"/>
  <c r="E19" i="24"/>
  <c r="N5" i="19" s="1"/>
  <c r="J32" i="20" s="1"/>
  <c r="P14" i="24"/>
  <c r="BO56" i="16"/>
  <c r="CQ55" i="15"/>
  <c r="P8" i="17" s="1"/>
  <c r="R15" i="17" s="1"/>
  <c r="U15" i="17" s="1"/>
  <c r="T11" i="13"/>
  <c r="H103" i="5"/>
  <c r="H122" i="5"/>
  <c r="H32" i="18" s="1"/>
  <c r="C51" i="15"/>
  <c r="C53" i="15" s="1"/>
  <c r="O51" i="15"/>
  <c r="O53" i="15" s="1"/>
  <c r="AA51" i="15"/>
  <c r="AA53" i="15" s="1"/>
  <c r="AM51" i="15"/>
  <c r="AM53" i="15" s="1"/>
  <c r="AY51" i="15"/>
  <c r="AY53" i="15" s="1"/>
  <c r="BK51" i="15"/>
  <c r="BK53" i="15" s="1"/>
  <c r="BW51" i="15"/>
  <c r="BW53" i="15" s="1"/>
  <c r="CI51" i="15"/>
  <c r="CI53" i="15" s="1"/>
  <c r="G51" i="15"/>
  <c r="S51" i="15"/>
  <c r="S53" i="15" s="1"/>
  <c r="AE51" i="15"/>
  <c r="AQ51" i="15"/>
  <c r="BC51" i="15"/>
  <c r="BO51" i="15"/>
  <c r="BO53" i="15" s="1"/>
  <c r="CQ44" i="15"/>
  <c r="BD45" i="16"/>
  <c r="CH51" i="16"/>
  <c r="L8" i="17"/>
  <c r="G36" i="18" s="1"/>
  <c r="CR55" i="16"/>
  <c r="H104" i="5"/>
  <c r="C32" i="18" s="1"/>
  <c r="H108" i="5"/>
  <c r="BX51" i="15"/>
  <c r="BX53" i="15" s="1"/>
  <c r="CJ51" i="15"/>
  <c r="CJ53" i="15" s="1"/>
  <c r="BY51" i="15"/>
  <c r="BN45" i="16"/>
  <c r="CJ51" i="16"/>
  <c r="P13" i="24"/>
  <c r="H100" i="5"/>
  <c r="J5" i="17" s="1"/>
  <c r="B32" i="18" s="1"/>
  <c r="H118" i="5"/>
  <c r="G32" i="18" s="1"/>
  <c r="I51" i="15"/>
  <c r="I53" i="15" s="1"/>
  <c r="U51" i="15"/>
  <c r="AG51" i="15"/>
  <c r="AG53" i="15" s="1"/>
  <c r="AS51" i="15"/>
  <c r="AS53" i="15" s="1"/>
  <c r="BE51" i="15"/>
  <c r="BE53" i="15" s="1"/>
  <c r="BQ51" i="15"/>
  <c r="N8" i="17"/>
  <c r="J36" i="18" s="1"/>
  <c r="AP11" i="13"/>
  <c r="F51" i="15"/>
  <c r="F53" i="15" s="1"/>
  <c r="R51" i="15"/>
  <c r="R53" i="15" s="1"/>
  <c r="AD51" i="15"/>
  <c r="AD53" i="15" s="1"/>
  <c r="AP51" i="15"/>
  <c r="AP53" i="15" s="1"/>
  <c r="BB51" i="15"/>
  <c r="BN51" i="15"/>
  <c r="BN53" i="15" s="1"/>
  <c r="CL51" i="15"/>
  <c r="AP46" i="16"/>
  <c r="CQ49" i="15"/>
  <c r="BC21" i="16"/>
  <c r="BC63" i="16" s="1"/>
  <c r="CL46" i="16"/>
  <c r="H113" i="5"/>
  <c r="J32" i="18" s="1"/>
  <c r="H51" i="15"/>
  <c r="H53" i="15" s="1"/>
  <c r="T51" i="15"/>
  <c r="T53" i="15" s="1"/>
  <c r="AF51" i="15"/>
  <c r="AF53" i="15" s="1"/>
  <c r="AR51" i="15"/>
  <c r="AR53" i="15" s="1"/>
  <c r="BD51" i="15"/>
  <c r="BD53" i="15" s="1"/>
  <c r="BP51" i="15"/>
  <c r="CN51" i="15"/>
  <c r="L47" i="16"/>
  <c r="CQ47" i="15"/>
  <c r="CQ50" i="15"/>
  <c r="CK53" i="15"/>
  <c r="T47" i="16"/>
  <c r="H99" i="5"/>
  <c r="J4" i="17" s="1"/>
  <c r="B31" i="18" s="1"/>
  <c r="H112" i="5"/>
  <c r="H117" i="5"/>
  <c r="G31" i="18" s="1"/>
  <c r="J51" i="15"/>
  <c r="J53" i="15" s="1"/>
  <c r="V51" i="15"/>
  <c r="V53" i="15" s="1"/>
  <c r="AH51" i="15"/>
  <c r="AT51" i="15"/>
  <c r="BF51" i="15"/>
  <c r="BR51" i="15"/>
  <c r="CD51" i="15"/>
  <c r="BB53" i="15"/>
  <c r="BZ53" i="15"/>
  <c r="CL53" i="15"/>
  <c r="CN47" i="16"/>
  <c r="CQ45" i="15"/>
  <c r="CQ48" i="15"/>
  <c r="CM53" i="15"/>
  <c r="Q48" i="16"/>
  <c r="CE51" i="15"/>
  <c r="H107" i="5"/>
  <c r="L51" i="15"/>
  <c r="L53" i="15" s="1"/>
  <c r="X51" i="15"/>
  <c r="X53" i="15" s="1"/>
  <c r="AJ51" i="15"/>
  <c r="AJ53" i="15" s="1"/>
  <c r="AV51" i="15"/>
  <c r="AV53" i="15" s="1"/>
  <c r="BH51" i="15"/>
  <c r="BH53" i="15" s="1"/>
  <c r="BP53" i="15"/>
  <c r="CB53" i="15"/>
  <c r="CN53" i="15"/>
  <c r="AL58" i="15"/>
  <c r="T45" i="16"/>
  <c r="C50" i="16"/>
  <c r="M51" i="15"/>
  <c r="M53" i="15" s="1"/>
  <c r="Y51" i="15"/>
  <c r="Y53" i="15" s="1"/>
  <c r="AK51" i="15"/>
  <c r="AK53" i="15" s="1"/>
  <c r="AW51" i="15"/>
  <c r="AW53" i="15" s="1"/>
  <c r="BI51" i="15"/>
  <c r="BI53" i="15" s="1"/>
  <c r="CG51" i="15"/>
  <c r="CG53" i="15" s="1"/>
  <c r="CQ43" i="15"/>
  <c r="Q51" i="15"/>
  <c r="AC51" i="15"/>
  <c r="AC53" i="15" s="1"/>
  <c r="AO51" i="15"/>
  <c r="BA51" i="15"/>
  <c r="BM51" i="15"/>
  <c r="BM53" i="15" s="1"/>
  <c r="CA51" i="15"/>
  <c r="CA53" i="15" s="1"/>
  <c r="CQ46" i="15"/>
  <c r="U53" i="15"/>
  <c r="BQ53" i="15"/>
  <c r="CC53" i="15"/>
  <c r="CO53" i="15"/>
  <c r="AG59" i="15"/>
  <c r="AD45" i="16"/>
  <c r="AB50" i="16"/>
  <c r="AZ45" i="16"/>
  <c r="BC50" i="16"/>
  <c r="K8" i="17"/>
  <c r="C36" i="18" s="1"/>
  <c r="I36" i="18" s="1"/>
  <c r="M36" i="18" s="1"/>
  <c r="M53" i="24"/>
  <c r="P52" i="24"/>
  <c r="L53" i="24"/>
  <c r="B53" i="24"/>
  <c r="K53" i="24"/>
  <c r="B61" i="24" s="1"/>
  <c r="P49" i="24"/>
  <c r="J53" i="24"/>
  <c r="E61" i="24" s="1"/>
  <c r="P48" i="24"/>
  <c r="I53" i="24"/>
  <c r="H53" i="24"/>
  <c r="G53" i="24"/>
  <c r="P51" i="24"/>
  <c r="F53" i="24"/>
  <c r="E53" i="24"/>
  <c r="B63" i="24" s="1"/>
  <c r="D53" i="24"/>
  <c r="E63" i="24" s="1"/>
  <c r="O53" i="24"/>
  <c r="B64" i="24" s="1"/>
  <c r="C53" i="24"/>
  <c r="B62" i="24" s="1"/>
  <c r="P47" i="24"/>
  <c r="N53" i="24"/>
  <c r="E64" i="24" s="1"/>
  <c r="P50" i="24"/>
  <c r="H59" i="16"/>
  <c r="AX11" i="13"/>
  <c r="BM52" i="13"/>
  <c r="BT11" i="13"/>
  <c r="H18" i="19"/>
  <c r="E31" i="20"/>
  <c r="E34" i="20" s="1"/>
  <c r="E49" i="20" s="1"/>
  <c r="E10" i="20"/>
  <c r="AA45" i="16"/>
  <c r="BF45" i="16"/>
  <c r="AD46" i="16"/>
  <c r="Q47" i="16"/>
  <c r="AO48" i="16"/>
  <c r="AD50" i="16"/>
  <c r="U52" i="16"/>
  <c r="B45" i="16"/>
  <c r="AB45" i="16"/>
  <c r="BM48" i="16"/>
  <c r="AB52" i="16"/>
  <c r="AT46" i="16"/>
  <c r="V47" i="16"/>
  <c r="BJ50" i="16"/>
  <c r="N60" i="16"/>
  <c r="D45" i="16"/>
  <c r="AF45" i="16"/>
  <c r="BR45" i="16"/>
  <c r="AW46" i="16"/>
  <c r="AH47" i="16"/>
  <c r="BN50" i="16"/>
  <c r="BB52" i="16"/>
  <c r="AN61" i="16"/>
  <c r="Z46" i="16"/>
  <c r="F45" i="16"/>
  <c r="CC45" i="16"/>
  <c r="AO47" i="16"/>
  <c r="CN48" i="16"/>
  <c r="CL50" i="16"/>
  <c r="BL52" i="16"/>
  <c r="E63" i="16"/>
  <c r="H45" i="16"/>
  <c r="CD45" i="16"/>
  <c r="AR47" i="16"/>
  <c r="G49" i="16"/>
  <c r="CM50" i="16"/>
  <c r="CH45" i="16"/>
  <c r="AT47" i="16"/>
  <c r="AF49" i="16"/>
  <c r="Y51" i="16"/>
  <c r="CA53" i="16"/>
  <c r="Z45" i="16"/>
  <c r="R21" i="16"/>
  <c r="R60" i="16" s="1"/>
  <c r="AP45" i="16"/>
  <c r="F46" i="16"/>
  <c r="CH46" i="16"/>
  <c r="BF47" i="16"/>
  <c r="AG49" i="16"/>
  <c r="AB64" i="16"/>
  <c r="AR45" i="16"/>
  <c r="J46" i="16"/>
  <c r="CI46" i="16"/>
  <c r="BM47" i="16"/>
  <c r="BR49" i="16"/>
  <c r="BE51" i="16"/>
  <c r="R45" i="16"/>
  <c r="AY45" i="16"/>
  <c r="CJ46" i="16"/>
  <c r="BF51" i="16"/>
  <c r="CR41" i="16"/>
  <c r="P8" i="19" s="1"/>
  <c r="H145" i="5"/>
  <c r="H150" i="5"/>
  <c r="H154" i="5"/>
  <c r="E22" i="18"/>
  <c r="I10" i="18"/>
  <c r="M10" i="18" s="1"/>
  <c r="E31" i="18"/>
  <c r="M7" i="18"/>
  <c r="G18" i="14"/>
  <c r="V6" i="14" s="1"/>
  <c r="U16" i="14"/>
  <c r="F17" i="2"/>
  <c r="H18" i="17"/>
  <c r="U6" i="17"/>
  <c r="V6" i="17" s="1"/>
  <c r="AI48" i="16"/>
  <c r="AI50" i="16"/>
  <c r="AI52" i="16"/>
  <c r="AI47" i="16"/>
  <c r="AV50" i="16"/>
  <c r="AV52" i="16"/>
  <c r="AV47" i="16"/>
  <c r="AV45" i="16"/>
  <c r="AV51" i="16"/>
  <c r="BH50" i="16"/>
  <c r="BH52" i="16"/>
  <c r="BH47" i="16"/>
  <c r="BH45" i="16"/>
  <c r="BH51" i="16"/>
  <c r="W63" i="16"/>
  <c r="W62" i="16"/>
  <c r="W61" i="16"/>
  <c r="W60" i="16"/>
  <c r="W59" i="16"/>
  <c r="X48" i="16"/>
  <c r="AV48" i="16"/>
  <c r="BH49" i="16"/>
  <c r="X53" i="16"/>
  <c r="BG49" i="16"/>
  <c r="B63" i="16"/>
  <c r="B62" i="16"/>
  <c r="B61" i="16"/>
  <c r="B60" i="16"/>
  <c r="B59" i="16"/>
  <c r="M50" i="16"/>
  <c r="M52" i="16"/>
  <c r="M47" i="16"/>
  <c r="M49" i="16"/>
  <c r="Y50" i="16"/>
  <c r="Y52" i="16"/>
  <c r="Y47" i="16"/>
  <c r="Y49" i="16"/>
  <c r="AK50" i="16"/>
  <c r="AK52" i="16"/>
  <c r="AK47" i="16"/>
  <c r="AK49" i="16"/>
  <c r="AW50" i="16"/>
  <c r="AW52" i="16"/>
  <c r="AW47" i="16"/>
  <c r="AW49" i="16"/>
  <c r="BI50" i="16"/>
  <c r="BI52" i="16"/>
  <c r="BI47" i="16"/>
  <c r="BI49" i="16"/>
  <c r="BU53" i="16"/>
  <c r="BU48" i="16"/>
  <c r="BU50" i="16"/>
  <c r="BU52" i="16"/>
  <c r="BU49" i="16"/>
  <c r="CG53" i="16"/>
  <c r="CG48" i="16"/>
  <c r="CG50" i="16"/>
  <c r="CG52" i="16"/>
  <c r="CG49" i="16"/>
  <c r="C62" i="16"/>
  <c r="C61" i="16"/>
  <c r="C60" i="16"/>
  <c r="C59" i="16"/>
  <c r="Y21" i="16"/>
  <c r="BP45" i="16"/>
  <c r="K46" i="16"/>
  <c r="AA46" i="16"/>
  <c r="AU46" i="16"/>
  <c r="BK46" i="16"/>
  <c r="AP47" i="16"/>
  <c r="BN47" i="16"/>
  <c r="Y48" i="16"/>
  <c r="AW48" i="16"/>
  <c r="H49" i="16"/>
  <c r="AI49" i="16"/>
  <c r="BP49" i="16"/>
  <c r="D50" i="16"/>
  <c r="AE50" i="16"/>
  <c r="AG51" i="16"/>
  <c r="BG51" i="16"/>
  <c r="CK51" i="16"/>
  <c r="AC52" i="16"/>
  <c r="CM52" i="16"/>
  <c r="Y53" i="16"/>
  <c r="W48" i="16"/>
  <c r="W50" i="16"/>
  <c r="W52" i="16"/>
  <c r="W47" i="16"/>
  <c r="CF46" i="16"/>
  <c r="CF53" i="16"/>
  <c r="CF48" i="16"/>
  <c r="CF50" i="16"/>
  <c r="CF45" i="16"/>
  <c r="B52" i="16"/>
  <c r="B47" i="16"/>
  <c r="B49" i="16"/>
  <c r="B53" i="16"/>
  <c r="N52" i="16"/>
  <c r="N47" i="16"/>
  <c r="N49" i="16"/>
  <c r="N53" i="16"/>
  <c r="Z52" i="16"/>
  <c r="Z47" i="16"/>
  <c r="Z49" i="16"/>
  <c r="Z53" i="16"/>
  <c r="AL52" i="16"/>
  <c r="AL47" i="16"/>
  <c r="AL49" i="16"/>
  <c r="AL53" i="16"/>
  <c r="AX52" i="16"/>
  <c r="AX47" i="16"/>
  <c r="AX49" i="16"/>
  <c r="AX53" i="16"/>
  <c r="BJ52" i="16"/>
  <c r="BJ47" i="16"/>
  <c r="BJ49" i="16"/>
  <c r="BJ53" i="16"/>
  <c r="BV48" i="16"/>
  <c r="BV50" i="16"/>
  <c r="BV52" i="16"/>
  <c r="BV47" i="16"/>
  <c r="CH48" i="16"/>
  <c r="CH50" i="16"/>
  <c r="CH52" i="16"/>
  <c r="CH47" i="16"/>
  <c r="D61" i="16"/>
  <c r="D60" i="16"/>
  <c r="D59" i="16"/>
  <c r="Z61" i="16"/>
  <c r="Z60" i="16"/>
  <c r="Z59" i="16"/>
  <c r="E45" i="16"/>
  <c r="AC45" i="16"/>
  <c r="BQ45" i="16"/>
  <c r="CG45" i="16"/>
  <c r="L46" i="16"/>
  <c r="AV46" i="16"/>
  <c r="BM46" i="16"/>
  <c r="S47" i="16"/>
  <c r="AQ47" i="16"/>
  <c r="BP47" i="16"/>
  <c r="B48" i="16"/>
  <c r="Z48" i="16"/>
  <c r="AX48" i="16"/>
  <c r="I49" i="16"/>
  <c r="AJ49" i="16"/>
  <c r="BQ49" i="16"/>
  <c r="F50" i="16"/>
  <c r="AL50" i="16"/>
  <c r="B51" i="16"/>
  <c r="AH51" i="16"/>
  <c r="BI51" i="16"/>
  <c r="BE52" i="16"/>
  <c r="CN52" i="16"/>
  <c r="Z63" i="16"/>
  <c r="CE51" i="16"/>
  <c r="CE46" i="16"/>
  <c r="CE53" i="16"/>
  <c r="CE48" i="16"/>
  <c r="CE50" i="16"/>
  <c r="C52" i="16"/>
  <c r="C47" i="16"/>
  <c r="C49" i="16"/>
  <c r="C51" i="16"/>
  <c r="O52" i="16"/>
  <c r="O47" i="16"/>
  <c r="O49" i="16"/>
  <c r="O51" i="16"/>
  <c r="AA52" i="16"/>
  <c r="AA47" i="16"/>
  <c r="AA49" i="16"/>
  <c r="AA51" i="16"/>
  <c r="AM52" i="16"/>
  <c r="AM47" i="16"/>
  <c r="AM49" i="16"/>
  <c r="AM51" i="16"/>
  <c r="AY52" i="16"/>
  <c r="AY47" i="16"/>
  <c r="AY49" i="16"/>
  <c r="AY51" i="16"/>
  <c r="BK52" i="16"/>
  <c r="BK47" i="16"/>
  <c r="BK49" i="16"/>
  <c r="BK51" i="16"/>
  <c r="BW50" i="16"/>
  <c r="BW45" i="16"/>
  <c r="BW52" i="16"/>
  <c r="BW47" i="16"/>
  <c r="BW51" i="16"/>
  <c r="CI50" i="16"/>
  <c r="CI45" i="16"/>
  <c r="CI52" i="16"/>
  <c r="CI47" i="16"/>
  <c r="CI51" i="16"/>
  <c r="E60" i="16"/>
  <c r="E59" i="16"/>
  <c r="E64" i="16"/>
  <c r="AA60" i="16"/>
  <c r="AA59" i="16"/>
  <c r="AA64" i="16"/>
  <c r="BQ47" i="16"/>
  <c r="C48" i="16"/>
  <c r="AA48" i="16"/>
  <c r="AY48" i="16"/>
  <c r="K49" i="16"/>
  <c r="AQ49" i="16"/>
  <c r="G50" i="16"/>
  <c r="AM50" i="16"/>
  <c r="I51" i="16"/>
  <c r="AI51" i="16"/>
  <c r="BJ51" i="16"/>
  <c r="BH53" i="16"/>
  <c r="CL53" i="16"/>
  <c r="AA63" i="16"/>
  <c r="D47" i="16"/>
  <c r="D49" i="16"/>
  <c r="D51" i="16"/>
  <c r="D46" i="16"/>
  <c r="P47" i="16"/>
  <c r="P49" i="16"/>
  <c r="P51" i="16"/>
  <c r="P46" i="16"/>
  <c r="AB47" i="16"/>
  <c r="AB49" i="16"/>
  <c r="AB51" i="16"/>
  <c r="AB46" i="16"/>
  <c r="AN47" i="16"/>
  <c r="AN49" i="16"/>
  <c r="AN51" i="16"/>
  <c r="AN46" i="16"/>
  <c r="AZ47" i="16"/>
  <c r="AZ49" i="16"/>
  <c r="AZ51" i="16"/>
  <c r="AZ46" i="16"/>
  <c r="BL47" i="16"/>
  <c r="BL49" i="16"/>
  <c r="BL51" i="16"/>
  <c r="BL46" i="16"/>
  <c r="BX50" i="16"/>
  <c r="BX52" i="16"/>
  <c r="BX47" i="16"/>
  <c r="BX49" i="16"/>
  <c r="CJ50" i="16"/>
  <c r="CJ45" i="16"/>
  <c r="CJ52" i="16"/>
  <c r="CJ47" i="16"/>
  <c r="CJ49" i="16"/>
  <c r="F59" i="16"/>
  <c r="F63" i="16"/>
  <c r="AB59" i="16"/>
  <c r="AB63" i="16"/>
  <c r="S45" i="16"/>
  <c r="AQ45" i="16"/>
  <c r="N46" i="16"/>
  <c r="AH46" i="16"/>
  <c r="AX46" i="16"/>
  <c r="BV46" i="16"/>
  <c r="CN46" i="16"/>
  <c r="U47" i="16"/>
  <c r="AS47" i="16"/>
  <c r="BR47" i="16"/>
  <c r="D48" i="16"/>
  <c r="AB48" i="16"/>
  <c r="AZ48" i="16"/>
  <c r="L49" i="16"/>
  <c r="BV49" i="16"/>
  <c r="N50" i="16"/>
  <c r="AN50" i="16"/>
  <c r="J51" i="16"/>
  <c r="AK51" i="16"/>
  <c r="BR51" i="16"/>
  <c r="AG52" i="16"/>
  <c r="C53" i="16"/>
  <c r="AI53" i="16"/>
  <c r="BI53" i="16"/>
  <c r="CM53" i="16"/>
  <c r="BG48" i="16"/>
  <c r="BG50" i="16"/>
  <c r="BG52" i="16"/>
  <c r="BG47" i="16"/>
  <c r="E49" i="16"/>
  <c r="E51" i="16"/>
  <c r="E53" i="16"/>
  <c r="E50" i="16"/>
  <c r="Q49" i="16"/>
  <c r="Q51" i="16"/>
  <c r="Q53" i="16"/>
  <c r="Q50" i="16"/>
  <c r="AC49" i="16"/>
  <c r="AC51" i="16"/>
  <c r="AC53" i="16"/>
  <c r="AC50" i="16"/>
  <c r="AO49" i="16"/>
  <c r="AO51" i="16"/>
  <c r="AO53" i="16"/>
  <c r="AO50" i="16"/>
  <c r="BA45" i="16"/>
  <c r="BA49" i="16"/>
  <c r="BA51" i="16"/>
  <c r="BA53" i="16"/>
  <c r="BA50" i="16"/>
  <c r="BM45" i="16"/>
  <c r="BM49" i="16"/>
  <c r="BM51" i="16"/>
  <c r="BM53" i="16"/>
  <c r="BM50" i="16"/>
  <c r="BY45" i="16"/>
  <c r="BY52" i="16"/>
  <c r="BY47" i="16"/>
  <c r="BY49" i="16"/>
  <c r="BY53" i="16"/>
  <c r="CK45" i="16"/>
  <c r="CK52" i="16"/>
  <c r="CK47" i="16"/>
  <c r="CK49" i="16"/>
  <c r="CK53" i="16"/>
  <c r="G64" i="16"/>
  <c r="G62" i="16"/>
  <c r="AG21" i="16"/>
  <c r="BU45" i="16"/>
  <c r="O46" i="16"/>
  <c r="AI46" i="16"/>
  <c r="AY46" i="16"/>
  <c r="BW46" i="16"/>
  <c r="E47" i="16"/>
  <c r="BU47" i="16"/>
  <c r="E48" i="16"/>
  <c r="AC48" i="16"/>
  <c r="BA48" i="16"/>
  <c r="CB48" i="16"/>
  <c r="AS49" i="16"/>
  <c r="BW49" i="16"/>
  <c r="O50" i="16"/>
  <c r="BY50" i="16"/>
  <c r="AL51" i="16"/>
  <c r="BU51" i="16"/>
  <c r="AN52" i="16"/>
  <c r="D53" i="16"/>
  <c r="AJ53" i="16"/>
  <c r="BK53" i="16"/>
  <c r="E61" i="16"/>
  <c r="Z62" i="16"/>
  <c r="B64" i="16"/>
  <c r="K48" i="16"/>
  <c r="K50" i="16"/>
  <c r="K52" i="16"/>
  <c r="K47" i="16"/>
  <c r="BC64" i="16"/>
  <c r="BC62" i="16"/>
  <c r="BC61" i="16"/>
  <c r="BC60" i="16"/>
  <c r="BC59" i="16"/>
  <c r="F49" i="16"/>
  <c r="F51" i="16"/>
  <c r="F53" i="16"/>
  <c r="F48" i="16"/>
  <c r="R49" i="16"/>
  <c r="R51" i="16"/>
  <c r="R53" i="16"/>
  <c r="R48" i="16"/>
  <c r="AD49" i="16"/>
  <c r="AD51" i="16"/>
  <c r="AD53" i="16"/>
  <c r="AD48" i="16"/>
  <c r="AP49" i="16"/>
  <c r="AP51" i="16"/>
  <c r="AP53" i="16"/>
  <c r="AP48" i="16"/>
  <c r="BB49" i="16"/>
  <c r="BB51" i="16"/>
  <c r="BB53" i="16"/>
  <c r="BB48" i="16"/>
  <c r="BN49" i="16"/>
  <c r="BN51" i="16"/>
  <c r="BN46" i="16"/>
  <c r="BN53" i="16"/>
  <c r="BN48" i="16"/>
  <c r="BZ52" i="16"/>
  <c r="BZ47" i="16"/>
  <c r="BZ49" i="16"/>
  <c r="BZ51" i="16"/>
  <c r="CL52" i="16"/>
  <c r="CL47" i="16"/>
  <c r="CL49" i="16"/>
  <c r="CL51" i="16"/>
  <c r="H64" i="16"/>
  <c r="H63" i="16"/>
  <c r="H61" i="16"/>
  <c r="AL21" i="16"/>
  <c r="I45" i="16"/>
  <c r="U45" i="16"/>
  <c r="AS45" i="16"/>
  <c r="BG45" i="16"/>
  <c r="BV45" i="16"/>
  <c r="Q46" i="16"/>
  <c r="AJ46" i="16"/>
  <c r="BA46" i="16"/>
  <c r="BX46" i="16"/>
  <c r="F47" i="16"/>
  <c r="AC47" i="16"/>
  <c r="BA47" i="16"/>
  <c r="BH48" i="16"/>
  <c r="CI48" i="16"/>
  <c r="CD49" i="16"/>
  <c r="P50" i="16"/>
  <c r="BZ50" i="16"/>
  <c r="M51" i="16"/>
  <c r="BV51" i="16"/>
  <c r="AO52" i="16"/>
  <c r="K53" i="16"/>
  <c r="AK53" i="16"/>
  <c r="BL53" i="16"/>
  <c r="F61" i="16"/>
  <c r="AA62" i="16"/>
  <c r="C64" i="16"/>
  <c r="L50" i="16"/>
  <c r="L52" i="16"/>
  <c r="L51" i="16"/>
  <c r="G51" i="16"/>
  <c r="G46" i="16"/>
  <c r="G53" i="16"/>
  <c r="G48" i="16"/>
  <c r="G52" i="16"/>
  <c r="S51" i="16"/>
  <c r="S46" i="16"/>
  <c r="S53" i="16"/>
  <c r="S48" i="16"/>
  <c r="S52" i="16"/>
  <c r="AE51" i="16"/>
  <c r="AE46" i="16"/>
  <c r="AE53" i="16"/>
  <c r="AE48" i="16"/>
  <c r="AE52" i="16"/>
  <c r="AQ51" i="16"/>
  <c r="AQ46" i="16"/>
  <c r="AQ53" i="16"/>
  <c r="AQ48" i="16"/>
  <c r="AQ52" i="16"/>
  <c r="BC51" i="16"/>
  <c r="BC46" i="16"/>
  <c r="BC53" i="16"/>
  <c r="BC48" i="16"/>
  <c r="BC52" i="16"/>
  <c r="CA47" i="16"/>
  <c r="CA49" i="16"/>
  <c r="CA51" i="16"/>
  <c r="CA46" i="16"/>
  <c r="CM47" i="16"/>
  <c r="CM49" i="16"/>
  <c r="CM51" i="16"/>
  <c r="CM46" i="16"/>
  <c r="I64" i="16"/>
  <c r="I63" i="16"/>
  <c r="I62" i="16"/>
  <c r="I60" i="16"/>
  <c r="AN64" i="16"/>
  <c r="AN63" i="16"/>
  <c r="AN62" i="16"/>
  <c r="AN60" i="16"/>
  <c r="V45" i="16"/>
  <c r="AT45" i="16"/>
  <c r="BI45" i="16"/>
  <c r="BX45" i="16"/>
  <c r="R46" i="16"/>
  <c r="AK46" i="16"/>
  <c r="BB46" i="16"/>
  <c r="BY46" i="16"/>
  <c r="G47" i="16"/>
  <c r="AD47" i="16"/>
  <c r="BB47" i="16"/>
  <c r="CC47" i="16"/>
  <c r="M48" i="16"/>
  <c r="AK48" i="16"/>
  <c r="BI48" i="16"/>
  <c r="CJ48" i="16"/>
  <c r="U49" i="16"/>
  <c r="AV49" i="16"/>
  <c r="CE49" i="16"/>
  <c r="R50" i="16"/>
  <c r="AX50" i="16"/>
  <c r="CA50" i="16"/>
  <c r="N51" i="16"/>
  <c r="BX51" i="16"/>
  <c r="P52" i="16"/>
  <c r="AP52" i="16"/>
  <c r="L53" i="16"/>
  <c r="AM53" i="16"/>
  <c r="BV53" i="16"/>
  <c r="G61" i="16"/>
  <c r="AB62" i="16"/>
  <c r="D64" i="16"/>
  <c r="AU48" i="16"/>
  <c r="AU50" i="16"/>
  <c r="AU52" i="16"/>
  <c r="AU47" i="16"/>
  <c r="CE52" i="16"/>
  <c r="AJ50" i="16"/>
  <c r="AJ52" i="16"/>
  <c r="AJ47" i="16"/>
  <c r="AJ51" i="16"/>
  <c r="H51" i="16"/>
  <c r="H46" i="16"/>
  <c r="H53" i="16"/>
  <c r="H48" i="16"/>
  <c r="H50" i="16"/>
  <c r="T51" i="16"/>
  <c r="T46" i="16"/>
  <c r="T53" i="16"/>
  <c r="T48" i="16"/>
  <c r="T50" i="16"/>
  <c r="AF51" i="16"/>
  <c r="AF46" i="16"/>
  <c r="AF53" i="16"/>
  <c r="AF48" i="16"/>
  <c r="AF50" i="16"/>
  <c r="AR51" i="16"/>
  <c r="AR46" i="16"/>
  <c r="AR53" i="16"/>
  <c r="AR48" i="16"/>
  <c r="AR50" i="16"/>
  <c r="BD51" i="16"/>
  <c r="BD46" i="16"/>
  <c r="BD53" i="16"/>
  <c r="BD48" i="16"/>
  <c r="BD50" i="16"/>
  <c r="BP51" i="16"/>
  <c r="BP46" i="16"/>
  <c r="BP53" i="16"/>
  <c r="BP48" i="16"/>
  <c r="BP52" i="16"/>
  <c r="CB49" i="16"/>
  <c r="CB51" i="16"/>
  <c r="CB53" i="16"/>
  <c r="CB50" i="16"/>
  <c r="CN49" i="16"/>
  <c r="CN51" i="16"/>
  <c r="CN53" i="16"/>
  <c r="CN50" i="16"/>
  <c r="K64" i="16"/>
  <c r="K63" i="16"/>
  <c r="K62" i="16"/>
  <c r="K61" i="16"/>
  <c r="K59" i="16"/>
  <c r="AO21" i="16"/>
  <c r="K45" i="16"/>
  <c r="W45" i="16"/>
  <c r="AI45" i="16"/>
  <c r="AU45" i="16"/>
  <c r="BJ45" i="16"/>
  <c r="BZ45" i="16"/>
  <c r="B46" i="16"/>
  <c r="V46" i="16"/>
  <c r="AL46" i="16"/>
  <c r="BZ46" i="16"/>
  <c r="H47" i="16"/>
  <c r="AE47" i="16"/>
  <c r="BC47" i="16"/>
  <c r="CD47" i="16"/>
  <c r="N48" i="16"/>
  <c r="AL48" i="16"/>
  <c r="BJ48" i="16"/>
  <c r="CK48" i="16"/>
  <c r="W49" i="16"/>
  <c r="BC49" i="16"/>
  <c r="CF49" i="16"/>
  <c r="S50" i="16"/>
  <c r="AY50" i="16"/>
  <c r="AU51" i="16"/>
  <c r="BY51" i="16"/>
  <c r="Q52" i="16"/>
  <c r="AR52" i="16"/>
  <c r="CA52" i="16"/>
  <c r="M53" i="16"/>
  <c r="AN53" i="16"/>
  <c r="BW53" i="16"/>
  <c r="F60" i="16"/>
  <c r="I61" i="16"/>
  <c r="F64" i="16"/>
  <c r="I46" i="16"/>
  <c r="I53" i="16"/>
  <c r="I48" i="16"/>
  <c r="I50" i="16"/>
  <c r="U46" i="16"/>
  <c r="U53" i="16"/>
  <c r="U48" i="16"/>
  <c r="U50" i="16"/>
  <c r="AG46" i="16"/>
  <c r="AG53" i="16"/>
  <c r="AG48" i="16"/>
  <c r="AG50" i="16"/>
  <c r="AS46" i="16"/>
  <c r="AS53" i="16"/>
  <c r="AS48" i="16"/>
  <c r="AS50" i="16"/>
  <c r="BE46" i="16"/>
  <c r="BE53" i="16"/>
  <c r="BE48" i="16"/>
  <c r="BE50" i="16"/>
  <c r="BQ51" i="16"/>
  <c r="BQ46" i="16"/>
  <c r="BQ53" i="16"/>
  <c r="BQ48" i="16"/>
  <c r="BQ50" i="16"/>
  <c r="CC49" i="16"/>
  <c r="CC51" i="16"/>
  <c r="CC46" i="16"/>
  <c r="CC53" i="16"/>
  <c r="CC48" i="16"/>
  <c r="N64" i="16"/>
  <c r="N63" i="16"/>
  <c r="N62" i="16"/>
  <c r="N61" i="16"/>
  <c r="AS64" i="16"/>
  <c r="AS63" i="16"/>
  <c r="AS62" i="16"/>
  <c r="AS61" i="16"/>
  <c r="AS60" i="16"/>
  <c r="L45" i="16"/>
  <c r="X45" i="16"/>
  <c r="AJ45" i="16"/>
  <c r="AW45" i="16"/>
  <c r="BK45" i="16"/>
  <c r="CA45" i="16"/>
  <c r="C46" i="16"/>
  <c r="W46" i="16"/>
  <c r="AM46" i="16"/>
  <c r="BG46" i="16"/>
  <c r="CB46" i="16"/>
  <c r="I47" i="16"/>
  <c r="AF47" i="16"/>
  <c r="BD47" i="16"/>
  <c r="CE47" i="16"/>
  <c r="O48" i="16"/>
  <c r="AM48" i="16"/>
  <c r="BK48" i="16"/>
  <c r="CL48" i="16"/>
  <c r="BD49" i="16"/>
  <c r="CH49" i="16"/>
  <c r="Z50" i="16"/>
  <c r="AZ50" i="16"/>
  <c r="AW51" i="16"/>
  <c r="CF51" i="16"/>
  <c r="R52" i="16"/>
  <c r="AS52" i="16"/>
  <c r="CB52" i="16"/>
  <c r="O53" i="16"/>
  <c r="AU53" i="16"/>
  <c r="BX53" i="16"/>
  <c r="G60" i="16"/>
  <c r="AA61" i="16"/>
  <c r="C63" i="16"/>
  <c r="W64" i="16"/>
  <c r="X50" i="16"/>
  <c r="X52" i="16"/>
  <c r="X47" i="16"/>
  <c r="X51" i="16"/>
  <c r="J53" i="16"/>
  <c r="J48" i="16"/>
  <c r="J50" i="16"/>
  <c r="J52" i="16"/>
  <c r="J49" i="16"/>
  <c r="V53" i="16"/>
  <c r="V48" i="16"/>
  <c r="V50" i="16"/>
  <c r="V52" i="16"/>
  <c r="V49" i="16"/>
  <c r="AH53" i="16"/>
  <c r="AH48" i="16"/>
  <c r="AH50" i="16"/>
  <c r="AH52" i="16"/>
  <c r="AH49" i="16"/>
  <c r="AT53" i="16"/>
  <c r="AT48" i="16"/>
  <c r="AT50" i="16"/>
  <c r="AT52" i="16"/>
  <c r="AT49" i="16"/>
  <c r="BF53" i="16"/>
  <c r="BF48" i="16"/>
  <c r="BF50" i="16"/>
  <c r="BF52" i="16"/>
  <c r="BF49" i="16"/>
  <c r="BR46" i="16"/>
  <c r="BR53" i="16"/>
  <c r="BR48" i="16"/>
  <c r="BR50" i="16"/>
  <c r="CD51" i="16"/>
  <c r="CD46" i="16"/>
  <c r="CD53" i="16"/>
  <c r="CD48" i="16"/>
  <c r="CD52" i="16"/>
  <c r="CR20" i="16"/>
  <c r="Q64" i="16"/>
  <c r="Q63" i="16"/>
  <c r="Q62" i="16"/>
  <c r="Q61" i="16"/>
  <c r="Q60" i="16"/>
  <c r="BA21" i="16"/>
  <c r="M45" i="16"/>
  <c r="Y45" i="16"/>
  <c r="AK45" i="16"/>
  <c r="AX45" i="16"/>
  <c r="BL45" i="16"/>
  <c r="CB45" i="16"/>
  <c r="E46" i="16"/>
  <c r="X46" i="16"/>
  <c r="AO46" i="16"/>
  <c r="BH46" i="16"/>
  <c r="CG46" i="16"/>
  <c r="J47" i="16"/>
  <c r="AG47" i="16"/>
  <c r="BE47" i="16"/>
  <c r="CF47" i="16"/>
  <c r="P48" i="16"/>
  <c r="AN48" i="16"/>
  <c r="BL48" i="16"/>
  <c r="CM48" i="16"/>
  <c r="AE49" i="16"/>
  <c r="BE49" i="16"/>
  <c r="CI49" i="16"/>
  <c r="AA50" i="16"/>
  <c r="BB50" i="16"/>
  <c r="CK50" i="16"/>
  <c r="W51" i="16"/>
  <c r="AX51" i="16"/>
  <c r="CG51" i="16"/>
  <c r="T52" i="16"/>
  <c r="AZ52" i="16"/>
  <c r="CC52" i="16"/>
  <c r="P53" i="16"/>
  <c r="AV53" i="16"/>
  <c r="BZ53" i="16"/>
  <c r="G59" i="16"/>
  <c r="H60" i="16"/>
  <c r="AB61" i="16"/>
  <c r="D63" i="16"/>
  <c r="G53" i="15"/>
  <c r="AE53" i="15"/>
  <c r="AQ53" i="15"/>
  <c r="BC53" i="15"/>
  <c r="BT53" i="15"/>
  <c r="CF53" i="15"/>
  <c r="AI53" i="15"/>
  <c r="BS53" i="15"/>
  <c r="CE53" i="15"/>
  <c r="BF53" i="15"/>
  <c r="AU53" i="15"/>
  <c r="AT53" i="15"/>
  <c r="AH53" i="15"/>
  <c r="BR53" i="15"/>
  <c r="CD53" i="15"/>
  <c r="BG53" i="15"/>
  <c r="Q53" i="15"/>
  <c r="AO53" i="15"/>
  <c r="BA53" i="15"/>
  <c r="BY53" i="15"/>
  <c r="E51" i="15"/>
  <c r="D58" i="15"/>
  <c r="Z58" i="15"/>
  <c r="C59" i="15"/>
  <c r="X59" i="15"/>
  <c r="B60" i="15"/>
  <c r="W60" i="15"/>
  <c r="R61" i="15"/>
  <c r="BD61" i="15"/>
  <c r="Q62" i="15"/>
  <c r="N63" i="15"/>
  <c r="AU63" i="15"/>
  <c r="CQ19" i="15"/>
  <c r="E58" i="15"/>
  <c r="AA58" i="15"/>
  <c r="D59" i="15"/>
  <c r="Z59" i="15"/>
  <c r="C60" i="15"/>
  <c r="X60" i="15"/>
  <c r="B61" i="15"/>
  <c r="W61" i="15"/>
  <c r="R62" i="15"/>
  <c r="BD62" i="15"/>
  <c r="Q63" i="15"/>
  <c r="BB63" i="15"/>
  <c r="F58" i="15"/>
  <c r="AB58" i="15"/>
  <c r="E59" i="15"/>
  <c r="AA59" i="15"/>
  <c r="D60" i="15"/>
  <c r="Z60" i="15"/>
  <c r="C61" i="15"/>
  <c r="X61" i="15"/>
  <c r="B62" i="15"/>
  <c r="W62" i="15"/>
  <c r="R63" i="15"/>
  <c r="BD63" i="15"/>
  <c r="G58" i="15"/>
  <c r="AG58" i="15"/>
  <c r="F59" i="15"/>
  <c r="AB59" i="15"/>
  <c r="E60" i="15"/>
  <c r="AA60" i="15"/>
  <c r="D61" i="15"/>
  <c r="Z61" i="15"/>
  <c r="C62" i="15"/>
  <c r="X62" i="15"/>
  <c r="B63" i="15"/>
  <c r="W63" i="15"/>
  <c r="H58" i="15"/>
  <c r="G59" i="15"/>
  <c r="F60" i="15"/>
  <c r="AB60" i="15"/>
  <c r="E61" i="15"/>
  <c r="AA61" i="15"/>
  <c r="D62" i="15"/>
  <c r="Z62" i="15"/>
  <c r="C63" i="15"/>
  <c r="X63" i="15"/>
  <c r="I58" i="15"/>
  <c r="AO58" i="15"/>
  <c r="H59" i="15"/>
  <c r="AL59" i="15"/>
  <c r="G60" i="15"/>
  <c r="AG60" i="15"/>
  <c r="F61" i="15"/>
  <c r="AB61" i="15"/>
  <c r="E62" i="15"/>
  <c r="AA62" i="15"/>
  <c r="K58" i="15"/>
  <c r="AQ58" i="15"/>
  <c r="I59" i="15"/>
  <c r="AO59" i="15"/>
  <c r="H60" i="15"/>
  <c r="AL60" i="15"/>
  <c r="G61" i="15"/>
  <c r="AG61" i="15"/>
  <c r="F62" i="15"/>
  <c r="AB62" i="15"/>
  <c r="N58" i="15"/>
  <c r="AU58" i="15"/>
  <c r="K59" i="15"/>
  <c r="AQ59" i="15"/>
  <c r="I60" i="15"/>
  <c r="AO60" i="15"/>
  <c r="H61" i="15"/>
  <c r="AL61" i="15"/>
  <c r="G62" i="15"/>
  <c r="AG62" i="15"/>
  <c r="CQ42" i="15"/>
  <c r="Q58" i="15"/>
  <c r="BB58" i="15"/>
  <c r="N59" i="15"/>
  <c r="AU59" i="15"/>
  <c r="K60" i="15"/>
  <c r="AQ60" i="15"/>
  <c r="I61" i="15"/>
  <c r="AO61" i="15"/>
  <c r="H62" i="15"/>
  <c r="AL62" i="15"/>
  <c r="R58" i="15"/>
  <c r="BD58" i="15"/>
  <c r="Q59" i="15"/>
  <c r="BB59" i="15"/>
  <c r="N60" i="15"/>
  <c r="AU60" i="15"/>
  <c r="K61" i="15"/>
  <c r="AQ61" i="15"/>
  <c r="I62" i="15"/>
  <c r="AO62" i="15"/>
  <c r="B58" i="15"/>
  <c r="W58" i="15"/>
  <c r="R59" i="15"/>
  <c r="BD59" i="15"/>
  <c r="Q60" i="15"/>
  <c r="BB60" i="15"/>
  <c r="N61" i="15"/>
  <c r="AU61" i="15"/>
  <c r="K62" i="15"/>
  <c r="AQ62" i="15"/>
  <c r="H140" i="5"/>
  <c r="K158" i="5"/>
  <c r="H158" i="5"/>
  <c r="K157" i="5"/>
  <c r="H157" i="5"/>
  <c r="H132" i="5"/>
  <c r="H136" i="5"/>
  <c r="H4" i="14"/>
  <c r="AO11" i="13"/>
  <c r="CO10" i="13"/>
  <c r="E33" i="2"/>
  <c r="I33" i="2" s="1"/>
  <c r="M33" i="2" s="1"/>
  <c r="K7" i="2"/>
  <c r="B65" i="24" l="1"/>
  <c r="C61" i="24"/>
  <c r="C64" i="24"/>
  <c r="E3" i="14"/>
  <c r="E62" i="24"/>
  <c r="E65" i="24"/>
  <c r="F63" i="24"/>
  <c r="C63" i="24"/>
  <c r="F64" i="24"/>
  <c r="I32" i="18"/>
  <c r="M32" i="18" s="1"/>
  <c r="B26" i="24"/>
  <c r="E3" i="19"/>
  <c r="F3" i="14"/>
  <c r="L5" i="19"/>
  <c r="G32" i="20" s="1"/>
  <c r="F3" i="19"/>
  <c r="B11" i="18"/>
  <c r="J5" i="19"/>
  <c r="B32" i="20" s="1"/>
  <c r="I32" i="20" s="1"/>
  <c r="M32" i="20" s="1"/>
  <c r="H31" i="18"/>
  <c r="H34" i="18" s="1"/>
  <c r="H37" i="18"/>
  <c r="H49" i="18" s="1"/>
  <c r="H11" i="18"/>
  <c r="M18" i="17"/>
  <c r="M19" i="17" s="1"/>
  <c r="H101" i="5"/>
  <c r="CD54" i="16"/>
  <c r="CD56" i="16" s="1"/>
  <c r="R59" i="16"/>
  <c r="J18" i="17"/>
  <c r="B37" i="18" s="1"/>
  <c r="B49" i="18" s="1"/>
  <c r="R62" i="16"/>
  <c r="G34" i="18"/>
  <c r="H119" i="5"/>
  <c r="K126" i="5"/>
  <c r="F3" i="17" s="1"/>
  <c r="L6" i="18" s="1"/>
  <c r="M6" i="18" s="1"/>
  <c r="AL64" i="15"/>
  <c r="H125" i="5"/>
  <c r="H126" i="5"/>
  <c r="H123" i="5"/>
  <c r="CL11" i="13"/>
  <c r="B29" i="24"/>
  <c r="C26" i="24" s="1"/>
  <c r="J4" i="19"/>
  <c r="B32" i="24"/>
  <c r="D7" i="14"/>
  <c r="P19" i="24"/>
  <c r="J5" i="14"/>
  <c r="E18" i="19"/>
  <c r="U3" i="19"/>
  <c r="F18" i="17"/>
  <c r="P18" i="17"/>
  <c r="V15" i="17" s="1"/>
  <c r="L18" i="17"/>
  <c r="L19" i="17" s="1"/>
  <c r="G37" i="18"/>
  <c r="G49" i="18" s="1"/>
  <c r="H105" i="5"/>
  <c r="D17" i="20"/>
  <c r="D22" i="20" s="1"/>
  <c r="D18" i="19"/>
  <c r="D11" i="20"/>
  <c r="D37" i="20"/>
  <c r="U7" i="19"/>
  <c r="CQ51" i="15"/>
  <c r="CH54" i="16"/>
  <c r="CH56" i="16" s="1"/>
  <c r="R61" i="16"/>
  <c r="G11" i="18"/>
  <c r="H109" i="5"/>
  <c r="D7" i="17" s="1"/>
  <c r="C54" i="16"/>
  <c r="C56" i="16" s="1"/>
  <c r="R63" i="16"/>
  <c r="U5" i="17"/>
  <c r="H114" i="5"/>
  <c r="Q54" i="16"/>
  <c r="Q56" i="16" s="1"/>
  <c r="R64" i="16"/>
  <c r="D31" i="20"/>
  <c r="D34" i="20" s="1"/>
  <c r="J4" i="14"/>
  <c r="BR54" i="16"/>
  <c r="BR56" i="16" s="1"/>
  <c r="BK54" i="16"/>
  <c r="BK56" i="16" s="1"/>
  <c r="H54" i="16"/>
  <c r="H56" i="16" s="1"/>
  <c r="BB54" i="16"/>
  <c r="BB56" i="16" s="1"/>
  <c r="AE54" i="16"/>
  <c r="AE56" i="16" s="1"/>
  <c r="AY54" i="16"/>
  <c r="AY56" i="16" s="1"/>
  <c r="BB64" i="15"/>
  <c r="AW54" i="16"/>
  <c r="AW56" i="16" s="1"/>
  <c r="AP54" i="16"/>
  <c r="AP56" i="16" s="1"/>
  <c r="L5" i="20"/>
  <c r="M5" i="20" s="1"/>
  <c r="K125" i="5"/>
  <c r="E3" i="17" s="1"/>
  <c r="E53" i="15"/>
  <c r="AA54" i="16"/>
  <c r="AA56" i="16" s="1"/>
  <c r="B34" i="18"/>
  <c r="AO54" i="16"/>
  <c r="AO56" i="16" s="1"/>
  <c r="F18" i="19"/>
  <c r="L6" i="20"/>
  <c r="M6" i="20" s="1"/>
  <c r="P53" i="24"/>
  <c r="C64" i="15"/>
  <c r="CQ63" i="15"/>
  <c r="H65" i="16"/>
  <c r="N65" i="16"/>
  <c r="CQ59" i="15"/>
  <c r="AU64" i="15"/>
  <c r="X64" i="15"/>
  <c r="G65" i="16"/>
  <c r="Q65" i="16"/>
  <c r="G54" i="16"/>
  <c r="G56" i="16" s="1"/>
  <c r="CE54" i="16"/>
  <c r="CE56" i="16" s="1"/>
  <c r="AG54" i="16"/>
  <c r="AG56" i="16" s="1"/>
  <c r="I65" i="16"/>
  <c r="CL54" i="16"/>
  <c r="CL56" i="16" s="1"/>
  <c r="AF54" i="16"/>
  <c r="AF56" i="16" s="1"/>
  <c r="R54" i="16"/>
  <c r="R56" i="16" s="1"/>
  <c r="BC54" i="16"/>
  <c r="BC56" i="16" s="1"/>
  <c r="O54" i="16"/>
  <c r="O56" i="16" s="1"/>
  <c r="AI54" i="16"/>
  <c r="AI56" i="16" s="1"/>
  <c r="BX54" i="16"/>
  <c r="BX56" i="16" s="1"/>
  <c r="CM54" i="16"/>
  <c r="CM56" i="16" s="1"/>
  <c r="U54" i="16"/>
  <c r="U56" i="16" s="1"/>
  <c r="BU54" i="16"/>
  <c r="BU56" i="16" s="1"/>
  <c r="BE54" i="16"/>
  <c r="BE56" i="16" s="1"/>
  <c r="BF54" i="16"/>
  <c r="BF56" i="16" s="1"/>
  <c r="CC54" i="16"/>
  <c r="CC56" i="16" s="1"/>
  <c r="BD54" i="16"/>
  <c r="BD56" i="16" s="1"/>
  <c r="AB54" i="16"/>
  <c r="AB56" i="16" s="1"/>
  <c r="AX54" i="16"/>
  <c r="AX56" i="16" s="1"/>
  <c r="AS65" i="16"/>
  <c r="K54" i="16"/>
  <c r="K56" i="16" s="1"/>
  <c r="CN54" i="16"/>
  <c r="CN56" i="16" s="1"/>
  <c r="AZ54" i="16"/>
  <c r="AZ56" i="16" s="1"/>
  <c r="P54" i="16"/>
  <c r="P56" i="16" s="1"/>
  <c r="CR50" i="16"/>
  <c r="R15" i="19"/>
  <c r="P18" i="19"/>
  <c r="Z54" i="16"/>
  <c r="Z56" i="16" s="1"/>
  <c r="AN65" i="16"/>
  <c r="F54" i="16"/>
  <c r="F56" i="16" s="1"/>
  <c r="BN54" i="16"/>
  <c r="BN56" i="16" s="1"/>
  <c r="I10" i="20"/>
  <c r="M10" i="20" s="1"/>
  <c r="E22" i="20"/>
  <c r="E50" i="20" s="1"/>
  <c r="Y54" i="16"/>
  <c r="Y56" i="16" s="1"/>
  <c r="M54" i="16"/>
  <c r="M56" i="16" s="1"/>
  <c r="AM54" i="16"/>
  <c r="AM56" i="16" s="1"/>
  <c r="N54" i="16"/>
  <c r="N56" i="16" s="1"/>
  <c r="AH54" i="16"/>
  <c r="AH56" i="16" s="1"/>
  <c r="J54" i="16"/>
  <c r="J56" i="16" s="1"/>
  <c r="AL54" i="16"/>
  <c r="AL56" i="16" s="1"/>
  <c r="AR54" i="16"/>
  <c r="AR56" i="16" s="1"/>
  <c r="AD54" i="16"/>
  <c r="AD56" i="16" s="1"/>
  <c r="AN54" i="16"/>
  <c r="AN56" i="16" s="1"/>
  <c r="D54" i="16"/>
  <c r="D56" i="16" s="1"/>
  <c r="E34" i="18"/>
  <c r="E49" i="18" s="1"/>
  <c r="E50" i="18" s="1"/>
  <c r="E31" i="2"/>
  <c r="E34" i="2" s="1"/>
  <c r="E49" i="2" s="1"/>
  <c r="E10" i="2"/>
  <c r="C65" i="16"/>
  <c r="AO64" i="16"/>
  <c r="AO63" i="16"/>
  <c r="AO62" i="16"/>
  <c r="AO61" i="16"/>
  <c r="AO59" i="16"/>
  <c r="AO60" i="16"/>
  <c r="BI54" i="16"/>
  <c r="BI56" i="16" s="1"/>
  <c r="I54" i="16"/>
  <c r="I56" i="16" s="1"/>
  <c r="AG64" i="16"/>
  <c r="AG62" i="16"/>
  <c r="AG63" i="16"/>
  <c r="AG59" i="16"/>
  <c r="AG61" i="16"/>
  <c r="AG60" i="16"/>
  <c r="BY54" i="16"/>
  <c r="BY56" i="16" s="1"/>
  <c r="F65" i="16"/>
  <c r="CF54" i="16"/>
  <c r="CF56" i="16" s="1"/>
  <c r="CR48" i="16"/>
  <c r="K65" i="16"/>
  <c r="T54" i="16"/>
  <c r="T56" i="16" s="1"/>
  <c r="AT54" i="16"/>
  <c r="AT56" i="16" s="1"/>
  <c r="AL64" i="16"/>
  <c r="AL63" i="16"/>
  <c r="AL61" i="16"/>
  <c r="AL62" i="16"/>
  <c r="AL59" i="16"/>
  <c r="AL60" i="16"/>
  <c r="D65" i="16"/>
  <c r="AV54" i="16"/>
  <c r="AV56" i="16" s="1"/>
  <c r="BA64" i="16"/>
  <c r="BA63" i="16"/>
  <c r="BA62" i="16"/>
  <c r="BA61" i="16"/>
  <c r="BA60" i="16"/>
  <c r="BA59" i="16"/>
  <c r="V54" i="16"/>
  <c r="V56" i="16" s="1"/>
  <c r="BC65" i="16"/>
  <c r="AA65" i="16"/>
  <c r="W65" i="16"/>
  <c r="BW54" i="16"/>
  <c r="BW56" i="16" s="1"/>
  <c r="CR51" i="16"/>
  <c r="CR52" i="16"/>
  <c r="CA54" i="16"/>
  <c r="CA56" i="16" s="1"/>
  <c r="CJ54" i="16"/>
  <c r="CJ56" i="16" s="1"/>
  <c r="CR46" i="16"/>
  <c r="BM54" i="16"/>
  <c r="BM56" i="16" s="1"/>
  <c r="E65" i="16"/>
  <c r="B54" i="16"/>
  <c r="B56" i="16" s="1"/>
  <c r="BP54" i="16"/>
  <c r="BP56" i="16" s="1"/>
  <c r="BZ54" i="16"/>
  <c r="BZ56" i="16" s="1"/>
  <c r="CG54" i="16"/>
  <c r="CG56" i="16" s="1"/>
  <c r="BJ54" i="16"/>
  <c r="BJ56" i="16" s="1"/>
  <c r="CK54" i="16"/>
  <c r="CK56" i="16" s="1"/>
  <c r="AQ54" i="16"/>
  <c r="AQ56" i="16" s="1"/>
  <c r="BQ54" i="16"/>
  <c r="BQ56" i="16" s="1"/>
  <c r="CB54" i="16"/>
  <c r="CB56" i="16" s="1"/>
  <c r="BL54" i="16"/>
  <c r="BL56" i="16" s="1"/>
  <c r="X54" i="16"/>
  <c r="X56" i="16" s="1"/>
  <c r="AU54" i="16"/>
  <c r="AU56" i="16" s="1"/>
  <c r="BV54" i="16"/>
  <c r="BV56" i="16" s="1"/>
  <c r="S54" i="16"/>
  <c r="S56" i="16" s="1"/>
  <c r="AC54" i="16"/>
  <c r="AC56" i="16" s="1"/>
  <c r="CR53" i="16"/>
  <c r="M8" i="19" s="1"/>
  <c r="BH54" i="16"/>
  <c r="BH56" i="16" s="1"/>
  <c r="L54" i="16"/>
  <c r="L56" i="16" s="1"/>
  <c r="BG54" i="16"/>
  <c r="BG56" i="16" s="1"/>
  <c r="E54" i="16"/>
  <c r="E56" i="16" s="1"/>
  <c r="CR49" i="16"/>
  <c r="B65" i="16"/>
  <c r="AJ54" i="16"/>
  <c r="AJ56" i="16" s="1"/>
  <c r="AK54" i="16"/>
  <c r="AK56" i="16" s="1"/>
  <c r="W54" i="16"/>
  <c r="W56" i="16" s="1"/>
  <c r="CR45" i="16"/>
  <c r="AS54" i="16"/>
  <c r="AS56" i="16" s="1"/>
  <c r="BA54" i="16"/>
  <c r="BA56" i="16" s="1"/>
  <c r="AB65" i="16"/>
  <c r="CI54" i="16"/>
  <c r="CI56" i="16" s="1"/>
  <c r="Z65" i="16"/>
  <c r="CR47" i="16"/>
  <c r="Y62" i="16"/>
  <c r="Y61" i="16"/>
  <c r="Y60" i="16"/>
  <c r="Y59" i="16"/>
  <c r="Y64" i="16"/>
  <c r="Y63" i="16"/>
  <c r="CQ60" i="15"/>
  <c r="N64" i="15"/>
  <c r="W64" i="15"/>
  <c r="R64" i="15"/>
  <c r="CQ58" i="15"/>
  <c r="B64" i="15"/>
  <c r="AG64" i="15"/>
  <c r="AB64" i="15"/>
  <c r="AA64" i="15"/>
  <c r="Z64" i="15"/>
  <c r="Q64" i="15"/>
  <c r="H64" i="15"/>
  <c r="G64" i="15"/>
  <c r="F64" i="15"/>
  <c r="E64" i="15"/>
  <c r="D64" i="15"/>
  <c r="BD64" i="15"/>
  <c r="AO64" i="15"/>
  <c r="CQ53" i="15"/>
  <c r="O8" i="17" s="1"/>
  <c r="U8" i="17" s="1"/>
  <c r="V8" i="17" s="1"/>
  <c r="CQ61" i="15"/>
  <c r="I64" i="15"/>
  <c r="AQ64" i="15"/>
  <c r="K64" i="15"/>
  <c r="CQ62" i="15"/>
  <c r="H18" i="14"/>
  <c r="K8" i="2"/>
  <c r="M7" i="2"/>
  <c r="M18" i="2"/>
  <c r="O12" i="5"/>
  <c r="N12" i="5"/>
  <c r="N13" i="5" s="1"/>
  <c r="C67" i="13"/>
  <c r="D67" i="13"/>
  <c r="E67" i="13"/>
  <c r="F67" i="13"/>
  <c r="G67" i="13"/>
  <c r="H67" i="13"/>
  <c r="I67" i="13"/>
  <c r="J67" i="13"/>
  <c r="K67" i="13"/>
  <c r="L67" i="13"/>
  <c r="M67" i="13"/>
  <c r="N67" i="13"/>
  <c r="O67" i="13"/>
  <c r="P67" i="13"/>
  <c r="Q67" i="13"/>
  <c r="R67" i="13"/>
  <c r="S67" i="13"/>
  <c r="T67" i="13"/>
  <c r="U67" i="13"/>
  <c r="V67" i="13"/>
  <c r="W67" i="13"/>
  <c r="X67" i="13"/>
  <c r="Y67" i="13"/>
  <c r="Z67" i="13"/>
  <c r="AA67" i="13"/>
  <c r="AB67" i="13"/>
  <c r="AC67" i="13"/>
  <c r="AD67" i="13"/>
  <c r="AE67" i="13"/>
  <c r="AF67" i="13"/>
  <c r="AG67" i="13"/>
  <c r="AH67" i="13"/>
  <c r="AI67" i="13"/>
  <c r="AJ67" i="13"/>
  <c r="AK67" i="13"/>
  <c r="AL67" i="13"/>
  <c r="AM67" i="13"/>
  <c r="AN67" i="13"/>
  <c r="AO67" i="13"/>
  <c r="AP67" i="13"/>
  <c r="AQ67" i="13"/>
  <c r="AR67" i="13"/>
  <c r="AS67" i="13"/>
  <c r="AT67" i="13"/>
  <c r="AU67" i="13"/>
  <c r="AV67" i="13"/>
  <c r="AW67" i="13"/>
  <c r="AX67" i="13"/>
  <c r="AY67" i="13"/>
  <c r="AZ67" i="13"/>
  <c r="BA67" i="13"/>
  <c r="BB67" i="13"/>
  <c r="BC67" i="13"/>
  <c r="BD67" i="13"/>
  <c r="BE67" i="13"/>
  <c r="BF67" i="13"/>
  <c r="BG67" i="13"/>
  <c r="BH67" i="13"/>
  <c r="BI67" i="13"/>
  <c r="BJ67" i="13"/>
  <c r="BK67" i="13"/>
  <c r="BL67" i="13"/>
  <c r="BM67" i="13"/>
  <c r="BN67" i="13"/>
  <c r="BO67" i="13"/>
  <c r="BP67" i="13"/>
  <c r="BQ67" i="13"/>
  <c r="BR67" i="13"/>
  <c r="BS67" i="13"/>
  <c r="BT67" i="13"/>
  <c r="BU67" i="13"/>
  <c r="BV67" i="13"/>
  <c r="BW67" i="13"/>
  <c r="BX67" i="13"/>
  <c r="BY67" i="13"/>
  <c r="BZ67" i="13"/>
  <c r="CA67" i="13"/>
  <c r="CB67" i="13"/>
  <c r="CC67" i="13"/>
  <c r="CD67" i="13"/>
  <c r="CE67" i="13"/>
  <c r="CF67" i="13"/>
  <c r="CG67" i="13"/>
  <c r="CH67" i="13"/>
  <c r="CI67" i="13"/>
  <c r="CJ67" i="13"/>
  <c r="CK67" i="13"/>
  <c r="CL67" i="13"/>
  <c r="CM67" i="13"/>
  <c r="B67" i="13"/>
  <c r="AY39" i="13"/>
  <c r="AY81" i="13" s="1"/>
  <c r="AY38" i="13"/>
  <c r="AY80" i="13" s="1"/>
  <c r="H79" i="5"/>
  <c r="H80" i="5" s="1"/>
  <c r="J78" i="5" s="1"/>
  <c r="CL47" i="13"/>
  <c r="CK39" i="13"/>
  <c r="CK81" i="13" s="1"/>
  <c r="CK40" i="13"/>
  <c r="CK82" i="13" s="1"/>
  <c r="CK41" i="13"/>
  <c r="CK83" i="13" s="1"/>
  <c r="CK42" i="13"/>
  <c r="CK84" i="13" s="1"/>
  <c r="CK43" i="13"/>
  <c r="CK85" i="13" s="1"/>
  <c r="CK44" i="13"/>
  <c r="CK86" i="13" s="1"/>
  <c r="CK45" i="13"/>
  <c r="CK87" i="13" s="1"/>
  <c r="CK46" i="13"/>
  <c r="CK38" i="13"/>
  <c r="CK80" i="13" s="1"/>
  <c r="CJ39" i="13"/>
  <c r="CJ81" i="13" s="1"/>
  <c r="CJ40" i="13"/>
  <c r="CJ82" i="13" s="1"/>
  <c r="CJ41" i="13"/>
  <c r="CJ83" i="13" s="1"/>
  <c r="CJ42" i="13"/>
  <c r="CJ84" i="13" s="1"/>
  <c r="CJ43" i="13"/>
  <c r="CJ85" i="13" s="1"/>
  <c r="CJ44" i="13"/>
  <c r="CJ86" i="13" s="1"/>
  <c r="CJ45" i="13"/>
  <c r="CJ87" i="13" s="1"/>
  <c r="CJ46" i="13"/>
  <c r="CJ38" i="13"/>
  <c r="CJ80" i="13" s="1"/>
  <c r="CI39" i="13"/>
  <c r="CI81" i="13" s="1"/>
  <c r="CI40" i="13"/>
  <c r="CI82" i="13" s="1"/>
  <c r="CI41" i="13"/>
  <c r="CI83" i="13" s="1"/>
  <c r="CI42" i="13"/>
  <c r="CI84" i="13" s="1"/>
  <c r="CI43" i="13"/>
  <c r="CI85" i="13" s="1"/>
  <c r="CI44" i="13"/>
  <c r="CI86" i="13" s="1"/>
  <c r="CI45" i="13"/>
  <c r="CI87" i="13" s="1"/>
  <c r="CI46" i="13"/>
  <c r="CI38" i="13"/>
  <c r="CI80" i="13" s="1"/>
  <c r="CH39" i="13"/>
  <c r="CH81" i="13" s="1"/>
  <c r="CH40" i="13"/>
  <c r="CH82" i="13" s="1"/>
  <c r="CH41" i="13"/>
  <c r="CH83" i="13" s="1"/>
  <c r="CH42" i="13"/>
  <c r="CH84" i="13" s="1"/>
  <c r="CH43" i="13"/>
  <c r="CH85" i="13" s="1"/>
  <c r="CH44" i="13"/>
  <c r="CH86" i="13" s="1"/>
  <c r="CH45" i="13"/>
  <c r="CH87" i="13" s="1"/>
  <c r="CH46" i="13"/>
  <c r="CH38" i="13"/>
  <c r="CH80" i="13" s="1"/>
  <c r="CG39" i="13"/>
  <c r="CG81" i="13" s="1"/>
  <c r="CG40" i="13"/>
  <c r="CG82" i="13" s="1"/>
  <c r="CG41" i="13"/>
  <c r="CG83" i="13" s="1"/>
  <c r="CG42" i="13"/>
  <c r="CG84" i="13" s="1"/>
  <c r="CG43" i="13"/>
  <c r="CG85" i="13" s="1"/>
  <c r="CG44" i="13"/>
  <c r="CG86" i="13" s="1"/>
  <c r="CG45" i="13"/>
  <c r="CG87" i="13" s="1"/>
  <c r="CG46" i="13"/>
  <c r="CG38" i="13"/>
  <c r="CG80" i="13" s="1"/>
  <c r="CF39" i="13"/>
  <c r="CF81" i="13" s="1"/>
  <c r="CF40" i="13"/>
  <c r="CF82" i="13" s="1"/>
  <c r="CF41" i="13"/>
  <c r="CF83" i="13" s="1"/>
  <c r="CF42" i="13"/>
  <c r="CF84" i="13" s="1"/>
  <c r="CF43" i="13"/>
  <c r="CF85" i="13" s="1"/>
  <c r="CF44" i="13"/>
  <c r="CF86" i="13" s="1"/>
  <c r="CF45" i="13"/>
  <c r="CF87" i="13" s="1"/>
  <c r="CF46" i="13"/>
  <c r="CF38" i="13"/>
  <c r="CF80" i="13" s="1"/>
  <c r="CE39" i="13"/>
  <c r="CE81" i="13" s="1"/>
  <c r="CE40" i="13"/>
  <c r="CE82" i="13" s="1"/>
  <c r="CE41" i="13"/>
  <c r="CE83" i="13" s="1"/>
  <c r="CE42" i="13"/>
  <c r="CE84" i="13" s="1"/>
  <c r="CE43" i="13"/>
  <c r="CE85" i="13" s="1"/>
  <c r="CE44" i="13"/>
  <c r="CE86" i="13" s="1"/>
  <c r="CE45" i="13"/>
  <c r="CE87" i="13" s="1"/>
  <c r="CE46" i="13"/>
  <c r="CE38" i="13"/>
  <c r="CE80" i="13" s="1"/>
  <c r="CD39" i="13"/>
  <c r="CD81" i="13" s="1"/>
  <c r="CD40" i="13"/>
  <c r="CD82" i="13" s="1"/>
  <c r="CD41" i="13"/>
  <c r="CD83" i="13" s="1"/>
  <c r="CD42" i="13"/>
  <c r="CD84" i="13" s="1"/>
  <c r="CD43" i="13"/>
  <c r="CD85" i="13" s="1"/>
  <c r="CD44" i="13"/>
  <c r="CD86" i="13" s="1"/>
  <c r="CD45" i="13"/>
  <c r="CD87" i="13" s="1"/>
  <c r="CD46" i="13"/>
  <c r="CD38" i="13"/>
  <c r="CD80" i="13" s="1"/>
  <c r="CC39" i="13"/>
  <c r="CC81" i="13" s="1"/>
  <c r="CC40" i="13"/>
  <c r="CC82" i="13" s="1"/>
  <c r="CC41" i="13"/>
  <c r="CC83" i="13" s="1"/>
  <c r="CC42" i="13"/>
  <c r="CC84" i="13" s="1"/>
  <c r="CC43" i="13"/>
  <c r="CC85" i="13" s="1"/>
  <c r="CC44" i="13"/>
  <c r="CC86" i="13" s="1"/>
  <c r="CC45" i="13"/>
  <c r="CC87" i="13" s="1"/>
  <c r="CC46" i="13"/>
  <c r="CC38" i="13"/>
  <c r="CC80" i="13" s="1"/>
  <c r="CB39" i="13"/>
  <c r="CB81" i="13" s="1"/>
  <c r="CB40" i="13"/>
  <c r="CB82" i="13" s="1"/>
  <c r="CB41" i="13"/>
  <c r="CB83" i="13" s="1"/>
  <c r="CB42" i="13"/>
  <c r="CB84" i="13" s="1"/>
  <c r="CB43" i="13"/>
  <c r="CB85" i="13" s="1"/>
  <c r="CB44" i="13"/>
  <c r="CB86" i="13" s="1"/>
  <c r="CB45" i="13"/>
  <c r="CB87" i="13" s="1"/>
  <c r="CB46" i="13"/>
  <c r="CB38" i="13"/>
  <c r="CB80" i="13" s="1"/>
  <c r="CA39" i="13"/>
  <c r="CA81" i="13" s="1"/>
  <c r="CA40" i="13"/>
  <c r="CA82" i="13" s="1"/>
  <c r="CA41" i="13"/>
  <c r="CA83" i="13" s="1"/>
  <c r="CA42" i="13"/>
  <c r="CA84" i="13" s="1"/>
  <c r="CA43" i="13"/>
  <c r="CA85" i="13" s="1"/>
  <c r="CA44" i="13"/>
  <c r="CA86" i="13" s="1"/>
  <c r="CA45" i="13"/>
  <c r="CA87" i="13" s="1"/>
  <c r="CA46" i="13"/>
  <c r="CA38" i="13"/>
  <c r="CA80" i="13" s="1"/>
  <c r="BZ39" i="13"/>
  <c r="BZ81" i="13" s="1"/>
  <c r="BZ40" i="13"/>
  <c r="BZ82" i="13" s="1"/>
  <c r="BZ41" i="13"/>
  <c r="BZ83" i="13" s="1"/>
  <c r="BZ42" i="13"/>
  <c r="BZ84" i="13" s="1"/>
  <c r="BZ43" i="13"/>
  <c r="BZ85" i="13" s="1"/>
  <c r="BZ44" i="13"/>
  <c r="BZ86" i="13" s="1"/>
  <c r="BZ45" i="13"/>
  <c r="BZ87" i="13" s="1"/>
  <c r="BZ46" i="13"/>
  <c r="BZ38" i="13"/>
  <c r="BZ80" i="13" s="1"/>
  <c r="BY39" i="13"/>
  <c r="BY81" i="13" s="1"/>
  <c r="BY40" i="13"/>
  <c r="BY82" i="13" s="1"/>
  <c r="BY41" i="13"/>
  <c r="BY83" i="13" s="1"/>
  <c r="BY42" i="13"/>
  <c r="BY84" i="13" s="1"/>
  <c r="BY43" i="13"/>
  <c r="BY85" i="13" s="1"/>
  <c r="BY44" i="13"/>
  <c r="BY86" i="13" s="1"/>
  <c r="BY45" i="13"/>
  <c r="BY87" i="13" s="1"/>
  <c r="BY46" i="13"/>
  <c r="BY38" i="13"/>
  <c r="BY80" i="13" s="1"/>
  <c r="BX39" i="13"/>
  <c r="BX81" i="13" s="1"/>
  <c r="BX40" i="13"/>
  <c r="BX82" i="13" s="1"/>
  <c r="BX41" i="13"/>
  <c r="BX83" i="13" s="1"/>
  <c r="BX42" i="13"/>
  <c r="BX84" i="13" s="1"/>
  <c r="BX43" i="13"/>
  <c r="BX85" i="13" s="1"/>
  <c r="BX44" i="13"/>
  <c r="BX86" i="13" s="1"/>
  <c r="BX45" i="13"/>
  <c r="BX87" i="13" s="1"/>
  <c r="BX46" i="13"/>
  <c r="BX38" i="13"/>
  <c r="BX80" i="13" s="1"/>
  <c r="BW39" i="13"/>
  <c r="BW81" i="13" s="1"/>
  <c r="BW40" i="13"/>
  <c r="BW82" i="13" s="1"/>
  <c r="BW41" i="13"/>
  <c r="BW83" i="13" s="1"/>
  <c r="BW42" i="13"/>
  <c r="BW84" i="13" s="1"/>
  <c r="BW43" i="13"/>
  <c r="BW85" i="13" s="1"/>
  <c r="BW44" i="13"/>
  <c r="BW86" i="13" s="1"/>
  <c r="BW45" i="13"/>
  <c r="BW87" i="13" s="1"/>
  <c r="BW46" i="13"/>
  <c r="BW38" i="13"/>
  <c r="BW80" i="13" s="1"/>
  <c r="BV39" i="13"/>
  <c r="BV81" i="13" s="1"/>
  <c r="BV40" i="13"/>
  <c r="BV82" i="13" s="1"/>
  <c r="BV41" i="13"/>
  <c r="BV83" i="13" s="1"/>
  <c r="BV42" i="13"/>
  <c r="BV84" i="13" s="1"/>
  <c r="BV43" i="13"/>
  <c r="BV85" i="13" s="1"/>
  <c r="BV44" i="13"/>
  <c r="BV86" i="13" s="1"/>
  <c r="BV45" i="13"/>
  <c r="BV87" i="13" s="1"/>
  <c r="BV46" i="13"/>
  <c r="BV38" i="13"/>
  <c r="BV80" i="13" s="1"/>
  <c r="BU39" i="13"/>
  <c r="BU81" i="13" s="1"/>
  <c r="BU40" i="13"/>
  <c r="BU82" i="13" s="1"/>
  <c r="BU41" i="13"/>
  <c r="BU83" i="13" s="1"/>
  <c r="BU42" i="13"/>
  <c r="BU84" i="13" s="1"/>
  <c r="BU43" i="13"/>
  <c r="BU85" i="13" s="1"/>
  <c r="BU44" i="13"/>
  <c r="BU86" i="13" s="1"/>
  <c r="BU45" i="13"/>
  <c r="BU87" i="13" s="1"/>
  <c r="BU46" i="13"/>
  <c r="BU38" i="13"/>
  <c r="BU80" i="13" s="1"/>
  <c r="BT39" i="13"/>
  <c r="BT81" i="13" s="1"/>
  <c r="BT40" i="13"/>
  <c r="BT82" i="13" s="1"/>
  <c r="BT41" i="13"/>
  <c r="BT83" i="13" s="1"/>
  <c r="BT42" i="13"/>
  <c r="BT84" i="13" s="1"/>
  <c r="BT43" i="13"/>
  <c r="BT85" i="13" s="1"/>
  <c r="BT44" i="13"/>
  <c r="BT86" i="13" s="1"/>
  <c r="BT45" i="13"/>
  <c r="BT87" i="13" s="1"/>
  <c r="BT46" i="13"/>
  <c r="BT38" i="13"/>
  <c r="BT80" i="13" s="1"/>
  <c r="BS39" i="13"/>
  <c r="BS81" i="13" s="1"/>
  <c r="BS40" i="13"/>
  <c r="BS82" i="13" s="1"/>
  <c r="BS41" i="13"/>
  <c r="BS83" i="13" s="1"/>
  <c r="BS42" i="13"/>
  <c r="BS84" i="13" s="1"/>
  <c r="BS43" i="13"/>
  <c r="BS85" i="13" s="1"/>
  <c r="BS44" i="13"/>
  <c r="BS86" i="13" s="1"/>
  <c r="BS45" i="13"/>
  <c r="BS87" i="13" s="1"/>
  <c r="BS46" i="13"/>
  <c r="BS38" i="13"/>
  <c r="BS80" i="13" s="1"/>
  <c r="BR39" i="13"/>
  <c r="BR81" i="13" s="1"/>
  <c r="BR40" i="13"/>
  <c r="BR82" i="13" s="1"/>
  <c r="BR41" i="13"/>
  <c r="BR83" i="13" s="1"/>
  <c r="BR42" i="13"/>
  <c r="BR84" i="13" s="1"/>
  <c r="BR43" i="13"/>
  <c r="BR85" i="13" s="1"/>
  <c r="BR44" i="13"/>
  <c r="BR86" i="13" s="1"/>
  <c r="BR45" i="13"/>
  <c r="BR87" i="13" s="1"/>
  <c r="BR46" i="13"/>
  <c r="BR38" i="13"/>
  <c r="BR80" i="13" s="1"/>
  <c r="BQ39" i="13"/>
  <c r="BQ81" i="13" s="1"/>
  <c r="BQ40" i="13"/>
  <c r="BQ82" i="13" s="1"/>
  <c r="BQ41" i="13"/>
  <c r="BQ83" i="13" s="1"/>
  <c r="BQ42" i="13"/>
  <c r="BQ84" i="13" s="1"/>
  <c r="BQ43" i="13"/>
  <c r="BQ85" i="13" s="1"/>
  <c r="BQ44" i="13"/>
  <c r="BQ86" i="13" s="1"/>
  <c r="BQ45" i="13"/>
  <c r="BQ87" i="13" s="1"/>
  <c r="BQ46" i="13"/>
  <c r="BQ38" i="13"/>
  <c r="BQ80" i="13" s="1"/>
  <c r="BP39" i="13"/>
  <c r="BP81" i="13" s="1"/>
  <c r="BP40" i="13"/>
  <c r="BP82" i="13" s="1"/>
  <c r="BP41" i="13"/>
  <c r="BP83" i="13" s="1"/>
  <c r="BP42" i="13"/>
  <c r="BP84" i="13" s="1"/>
  <c r="BP43" i="13"/>
  <c r="BP85" i="13" s="1"/>
  <c r="BP44" i="13"/>
  <c r="BP86" i="13" s="1"/>
  <c r="BP45" i="13"/>
  <c r="BP87" i="13" s="1"/>
  <c r="BP46" i="13"/>
  <c r="BP38" i="13"/>
  <c r="BP80" i="13" s="1"/>
  <c r="BO39" i="13"/>
  <c r="BO81" i="13" s="1"/>
  <c r="BO40" i="13"/>
  <c r="BO82" i="13" s="1"/>
  <c r="BO41" i="13"/>
  <c r="BO83" i="13" s="1"/>
  <c r="BO42" i="13"/>
  <c r="BO84" i="13" s="1"/>
  <c r="BO43" i="13"/>
  <c r="BO85" i="13" s="1"/>
  <c r="BO44" i="13"/>
  <c r="BO86" i="13" s="1"/>
  <c r="BO45" i="13"/>
  <c r="BO87" i="13" s="1"/>
  <c r="BO46" i="13"/>
  <c r="BO38" i="13"/>
  <c r="BO80" i="13" s="1"/>
  <c r="BN39" i="13"/>
  <c r="BN81" i="13" s="1"/>
  <c r="BN40" i="13"/>
  <c r="BN82" i="13" s="1"/>
  <c r="BN41" i="13"/>
  <c r="BN83" i="13" s="1"/>
  <c r="BN42" i="13"/>
  <c r="BN84" i="13" s="1"/>
  <c r="BN43" i="13"/>
  <c r="BN85" i="13" s="1"/>
  <c r="BN44" i="13"/>
  <c r="BN86" i="13" s="1"/>
  <c r="BN45" i="13"/>
  <c r="BN87" i="13" s="1"/>
  <c r="BN46" i="13"/>
  <c r="BN38" i="13"/>
  <c r="BN80" i="13" s="1"/>
  <c r="BM39" i="13"/>
  <c r="BM81" i="13" s="1"/>
  <c r="BM40" i="13"/>
  <c r="BM82" i="13" s="1"/>
  <c r="BM41" i="13"/>
  <c r="BM83" i="13" s="1"/>
  <c r="BM42" i="13"/>
  <c r="BM84" i="13" s="1"/>
  <c r="BM43" i="13"/>
  <c r="BM85" i="13" s="1"/>
  <c r="BM44" i="13"/>
  <c r="BM86" i="13" s="1"/>
  <c r="BM45" i="13"/>
  <c r="BM87" i="13" s="1"/>
  <c r="BM46" i="13"/>
  <c r="BM38" i="13"/>
  <c r="BM80" i="13" s="1"/>
  <c r="BL39" i="13"/>
  <c r="BL81" i="13" s="1"/>
  <c r="BL40" i="13"/>
  <c r="BL82" i="13" s="1"/>
  <c r="BL41" i="13"/>
  <c r="BL83" i="13" s="1"/>
  <c r="BL42" i="13"/>
  <c r="BL84" i="13" s="1"/>
  <c r="BL43" i="13"/>
  <c r="BL85" i="13" s="1"/>
  <c r="BL44" i="13"/>
  <c r="BL86" i="13" s="1"/>
  <c r="BL45" i="13"/>
  <c r="BL87" i="13" s="1"/>
  <c r="BL46" i="13"/>
  <c r="BL38" i="13"/>
  <c r="BL80" i="13" s="1"/>
  <c r="BK39" i="13"/>
  <c r="BK81" i="13" s="1"/>
  <c r="BK40" i="13"/>
  <c r="BK82" i="13" s="1"/>
  <c r="BK41" i="13"/>
  <c r="BK83" i="13" s="1"/>
  <c r="BK42" i="13"/>
  <c r="BK84" i="13" s="1"/>
  <c r="BK43" i="13"/>
  <c r="BK85" i="13" s="1"/>
  <c r="BK44" i="13"/>
  <c r="BK86" i="13" s="1"/>
  <c r="BK45" i="13"/>
  <c r="BK87" i="13" s="1"/>
  <c r="BK46" i="13"/>
  <c r="BK38" i="13"/>
  <c r="BK80" i="13" s="1"/>
  <c r="BJ39" i="13"/>
  <c r="BJ81" i="13" s="1"/>
  <c r="BJ40" i="13"/>
  <c r="BJ82" i="13" s="1"/>
  <c r="BJ41" i="13"/>
  <c r="BJ83" i="13" s="1"/>
  <c r="BJ42" i="13"/>
  <c r="BJ84" i="13" s="1"/>
  <c r="BJ43" i="13"/>
  <c r="BJ85" i="13" s="1"/>
  <c r="BJ44" i="13"/>
  <c r="BJ86" i="13" s="1"/>
  <c r="BJ45" i="13"/>
  <c r="BJ87" i="13" s="1"/>
  <c r="BJ46" i="13"/>
  <c r="BJ38" i="13"/>
  <c r="BJ80" i="13" s="1"/>
  <c r="BI39" i="13"/>
  <c r="BI81" i="13" s="1"/>
  <c r="BI40" i="13"/>
  <c r="BI82" i="13" s="1"/>
  <c r="BI41" i="13"/>
  <c r="BI83" i="13" s="1"/>
  <c r="BI42" i="13"/>
  <c r="BI84" i="13" s="1"/>
  <c r="BI43" i="13"/>
  <c r="BI85" i="13" s="1"/>
  <c r="BI44" i="13"/>
  <c r="BI86" i="13" s="1"/>
  <c r="BI45" i="13"/>
  <c r="BI87" i="13" s="1"/>
  <c r="BI46" i="13"/>
  <c r="BI38" i="13"/>
  <c r="BI80" i="13" s="1"/>
  <c r="BH39" i="13"/>
  <c r="BH81" i="13" s="1"/>
  <c r="BH40" i="13"/>
  <c r="BH82" i="13" s="1"/>
  <c r="BH41" i="13"/>
  <c r="BH83" i="13" s="1"/>
  <c r="BH42" i="13"/>
  <c r="BH84" i="13" s="1"/>
  <c r="BH43" i="13"/>
  <c r="BH85" i="13" s="1"/>
  <c r="BH44" i="13"/>
  <c r="BH86" i="13" s="1"/>
  <c r="BH45" i="13"/>
  <c r="BH87" i="13" s="1"/>
  <c r="BH46" i="13"/>
  <c r="BH38" i="13"/>
  <c r="BH80" i="13" s="1"/>
  <c r="BG39" i="13"/>
  <c r="BG81" i="13" s="1"/>
  <c r="BG40" i="13"/>
  <c r="BG82" i="13" s="1"/>
  <c r="BG41" i="13"/>
  <c r="BG83" i="13" s="1"/>
  <c r="BG42" i="13"/>
  <c r="BG84" i="13" s="1"/>
  <c r="BG43" i="13"/>
  <c r="BG85" i="13" s="1"/>
  <c r="BG44" i="13"/>
  <c r="BG86" i="13" s="1"/>
  <c r="BG45" i="13"/>
  <c r="BG87" i="13" s="1"/>
  <c r="BG46" i="13"/>
  <c r="BG38" i="13"/>
  <c r="BG80" i="13" s="1"/>
  <c r="BF46" i="13"/>
  <c r="BF39" i="13"/>
  <c r="BF81" i="13" s="1"/>
  <c r="BF40" i="13"/>
  <c r="BF82" i="13" s="1"/>
  <c r="BF41" i="13"/>
  <c r="BF83" i="13" s="1"/>
  <c r="BF42" i="13"/>
  <c r="BF84" i="13" s="1"/>
  <c r="BF43" i="13"/>
  <c r="BF85" i="13" s="1"/>
  <c r="BF44" i="13"/>
  <c r="BF86" i="13" s="1"/>
  <c r="BF45" i="13"/>
  <c r="BF87" i="13" s="1"/>
  <c r="BF38" i="13"/>
  <c r="BF80" i="13" s="1"/>
  <c r="BE39" i="13"/>
  <c r="BE81" i="13" s="1"/>
  <c r="BE40" i="13"/>
  <c r="BE82" i="13" s="1"/>
  <c r="BE41" i="13"/>
  <c r="BE83" i="13" s="1"/>
  <c r="BE42" i="13"/>
  <c r="BE84" i="13" s="1"/>
  <c r="BE43" i="13"/>
  <c r="BE85" i="13" s="1"/>
  <c r="BE44" i="13"/>
  <c r="BE86" i="13" s="1"/>
  <c r="BE45" i="13"/>
  <c r="BE87" i="13" s="1"/>
  <c r="BE46" i="13"/>
  <c r="BE38" i="13"/>
  <c r="BE80" i="13" s="1"/>
  <c r="BD39" i="13"/>
  <c r="BD81" i="13" s="1"/>
  <c r="BD40" i="13"/>
  <c r="BD82" i="13" s="1"/>
  <c r="BD41" i="13"/>
  <c r="BD83" i="13" s="1"/>
  <c r="BD42" i="13"/>
  <c r="BD84" i="13" s="1"/>
  <c r="BD43" i="13"/>
  <c r="BD85" i="13" s="1"/>
  <c r="BD44" i="13"/>
  <c r="BD86" i="13" s="1"/>
  <c r="BD45" i="13"/>
  <c r="BD87" i="13" s="1"/>
  <c r="BD46" i="13"/>
  <c r="BD38" i="13"/>
  <c r="BD80" i="13" s="1"/>
  <c r="BC39" i="13"/>
  <c r="BC81" i="13" s="1"/>
  <c r="BC40" i="13"/>
  <c r="BC82" i="13" s="1"/>
  <c r="BC41" i="13"/>
  <c r="BC83" i="13" s="1"/>
  <c r="BC42" i="13"/>
  <c r="BC84" i="13" s="1"/>
  <c r="BC43" i="13"/>
  <c r="BC85" i="13" s="1"/>
  <c r="BC44" i="13"/>
  <c r="BC86" i="13" s="1"/>
  <c r="BC45" i="13"/>
  <c r="BC87" i="13" s="1"/>
  <c r="BC46" i="13"/>
  <c r="BC38" i="13"/>
  <c r="BC80" i="13" s="1"/>
  <c r="BB39" i="13"/>
  <c r="BB81" i="13" s="1"/>
  <c r="BB40" i="13"/>
  <c r="BB82" i="13" s="1"/>
  <c r="BB41" i="13"/>
  <c r="BB83" i="13" s="1"/>
  <c r="BB42" i="13"/>
  <c r="BB84" i="13" s="1"/>
  <c r="BB43" i="13"/>
  <c r="BB85" i="13" s="1"/>
  <c r="BB44" i="13"/>
  <c r="BB86" i="13" s="1"/>
  <c r="BB45" i="13"/>
  <c r="BB87" i="13" s="1"/>
  <c r="BB46" i="13"/>
  <c r="BB38" i="13"/>
  <c r="BB80" i="13" s="1"/>
  <c r="BA39" i="13"/>
  <c r="BA81" i="13" s="1"/>
  <c r="BA40" i="13"/>
  <c r="BA82" i="13" s="1"/>
  <c r="BA41" i="13"/>
  <c r="BA83" i="13" s="1"/>
  <c r="BA42" i="13"/>
  <c r="BA84" i="13" s="1"/>
  <c r="BA43" i="13"/>
  <c r="BA85" i="13" s="1"/>
  <c r="BA44" i="13"/>
  <c r="BA86" i="13" s="1"/>
  <c r="BA45" i="13"/>
  <c r="BA87" i="13" s="1"/>
  <c r="BA46" i="13"/>
  <c r="BA38" i="13"/>
  <c r="BA80" i="13" s="1"/>
  <c r="AZ39" i="13"/>
  <c r="AZ81" i="13" s="1"/>
  <c r="AZ40" i="13"/>
  <c r="AZ82" i="13" s="1"/>
  <c r="AZ41" i="13"/>
  <c r="AZ83" i="13" s="1"/>
  <c r="AZ42" i="13"/>
  <c r="AZ84" i="13" s="1"/>
  <c r="AZ43" i="13"/>
  <c r="AZ85" i="13" s="1"/>
  <c r="AZ44" i="13"/>
  <c r="AZ86" i="13" s="1"/>
  <c r="AZ45" i="13"/>
  <c r="AZ87" i="13" s="1"/>
  <c r="AZ46" i="13"/>
  <c r="AZ38" i="13"/>
  <c r="AZ80" i="13" s="1"/>
  <c r="AY40" i="13"/>
  <c r="AY82" i="13" s="1"/>
  <c r="AY41" i="13"/>
  <c r="AY83" i="13" s="1"/>
  <c r="AY42" i="13"/>
  <c r="AY84" i="13" s="1"/>
  <c r="AY43" i="13"/>
  <c r="AY85" i="13" s="1"/>
  <c r="AY44" i="13"/>
  <c r="AY86" i="13" s="1"/>
  <c r="AY45" i="13"/>
  <c r="AY87" i="13" s="1"/>
  <c r="AY46" i="13"/>
  <c r="AX39" i="13"/>
  <c r="AX81" i="13" s="1"/>
  <c r="AX40" i="13"/>
  <c r="AX82" i="13" s="1"/>
  <c r="AX41" i="13"/>
  <c r="AX83" i="13" s="1"/>
  <c r="AX42" i="13"/>
  <c r="AX84" i="13" s="1"/>
  <c r="AX43" i="13"/>
  <c r="AX85" i="13" s="1"/>
  <c r="AX44" i="13"/>
  <c r="AX86" i="13" s="1"/>
  <c r="AX45" i="13"/>
  <c r="AX87" i="13" s="1"/>
  <c r="AX46" i="13"/>
  <c r="AX38" i="13"/>
  <c r="AX80" i="13" s="1"/>
  <c r="AW39" i="13"/>
  <c r="AW81" i="13" s="1"/>
  <c r="AW40" i="13"/>
  <c r="AW82" i="13" s="1"/>
  <c r="AW41" i="13"/>
  <c r="AW83" i="13" s="1"/>
  <c r="AW42" i="13"/>
  <c r="AW84" i="13" s="1"/>
  <c r="AW43" i="13"/>
  <c r="AW85" i="13" s="1"/>
  <c r="AW44" i="13"/>
  <c r="AW86" i="13" s="1"/>
  <c r="AW45" i="13"/>
  <c r="AW87" i="13" s="1"/>
  <c r="AW46" i="13"/>
  <c r="AW38" i="13"/>
  <c r="AW80" i="13" s="1"/>
  <c r="AV46" i="13"/>
  <c r="AV39" i="13"/>
  <c r="AV81" i="13" s="1"/>
  <c r="AV40" i="13"/>
  <c r="AV82" i="13" s="1"/>
  <c r="AV41" i="13"/>
  <c r="AV83" i="13" s="1"/>
  <c r="AV42" i="13"/>
  <c r="AV84" i="13" s="1"/>
  <c r="AV43" i="13"/>
  <c r="AV85" i="13" s="1"/>
  <c r="AV44" i="13"/>
  <c r="AV86" i="13" s="1"/>
  <c r="AV45" i="13"/>
  <c r="AV87" i="13" s="1"/>
  <c r="AV38" i="13"/>
  <c r="AV80" i="13" s="1"/>
  <c r="AU39" i="13"/>
  <c r="AU81" i="13" s="1"/>
  <c r="AU40" i="13"/>
  <c r="AU82" i="13" s="1"/>
  <c r="AU41" i="13"/>
  <c r="AU83" i="13" s="1"/>
  <c r="AU42" i="13"/>
  <c r="AU84" i="13" s="1"/>
  <c r="AU43" i="13"/>
  <c r="AU85" i="13" s="1"/>
  <c r="AU44" i="13"/>
  <c r="AU86" i="13" s="1"/>
  <c r="AU45" i="13"/>
  <c r="AU87" i="13" s="1"/>
  <c r="AU46" i="13"/>
  <c r="AU38" i="13"/>
  <c r="AU80" i="13" s="1"/>
  <c r="AT39" i="13"/>
  <c r="AT81" i="13" s="1"/>
  <c r="AT40" i="13"/>
  <c r="AT82" i="13" s="1"/>
  <c r="AT41" i="13"/>
  <c r="AT83" i="13" s="1"/>
  <c r="AT42" i="13"/>
  <c r="AT84" i="13" s="1"/>
  <c r="AT43" i="13"/>
  <c r="AT85" i="13" s="1"/>
  <c r="AT44" i="13"/>
  <c r="AT86" i="13" s="1"/>
  <c r="AT45" i="13"/>
  <c r="AT87" i="13" s="1"/>
  <c r="AT46" i="13"/>
  <c r="AT38" i="13"/>
  <c r="AT80" i="13" s="1"/>
  <c r="AS39" i="13"/>
  <c r="AS81" i="13" s="1"/>
  <c r="AS40" i="13"/>
  <c r="AS82" i="13" s="1"/>
  <c r="AS41" i="13"/>
  <c r="AS83" i="13" s="1"/>
  <c r="AS42" i="13"/>
  <c r="AS84" i="13" s="1"/>
  <c r="AS43" i="13"/>
  <c r="AS85" i="13" s="1"/>
  <c r="AS44" i="13"/>
  <c r="AS86" i="13" s="1"/>
  <c r="AS45" i="13"/>
  <c r="AS87" i="13" s="1"/>
  <c r="AS46" i="13"/>
  <c r="AS38" i="13"/>
  <c r="AS80" i="13" s="1"/>
  <c r="AR39" i="13"/>
  <c r="AR81" i="13" s="1"/>
  <c r="AR40" i="13"/>
  <c r="AR82" i="13" s="1"/>
  <c r="AR41" i="13"/>
  <c r="AR83" i="13" s="1"/>
  <c r="AR42" i="13"/>
  <c r="AR84" i="13" s="1"/>
  <c r="AR43" i="13"/>
  <c r="AR85" i="13" s="1"/>
  <c r="AR44" i="13"/>
  <c r="AR86" i="13" s="1"/>
  <c r="AR45" i="13"/>
  <c r="AR87" i="13" s="1"/>
  <c r="AR46" i="13"/>
  <c r="AR38" i="13"/>
  <c r="AR80" i="13" s="1"/>
  <c r="AQ39" i="13"/>
  <c r="AQ81" i="13" s="1"/>
  <c r="AQ40" i="13"/>
  <c r="AQ82" i="13" s="1"/>
  <c r="AQ41" i="13"/>
  <c r="AQ83" i="13" s="1"/>
  <c r="AQ42" i="13"/>
  <c r="AQ84" i="13" s="1"/>
  <c r="AQ43" i="13"/>
  <c r="AQ85" i="13" s="1"/>
  <c r="AQ44" i="13"/>
  <c r="AQ86" i="13" s="1"/>
  <c r="AQ45" i="13"/>
  <c r="AQ87" i="13" s="1"/>
  <c r="AQ46" i="13"/>
  <c r="AQ38" i="13"/>
  <c r="AQ80" i="13" s="1"/>
  <c r="AP39" i="13"/>
  <c r="AP81" i="13" s="1"/>
  <c r="AP40" i="13"/>
  <c r="AP82" i="13" s="1"/>
  <c r="AP41" i="13"/>
  <c r="AP83" i="13" s="1"/>
  <c r="AP42" i="13"/>
  <c r="AP84" i="13" s="1"/>
  <c r="AP43" i="13"/>
  <c r="AP85" i="13" s="1"/>
  <c r="AP44" i="13"/>
  <c r="AP86" i="13" s="1"/>
  <c r="AP45" i="13"/>
  <c r="AP87" i="13" s="1"/>
  <c r="AP46" i="13"/>
  <c r="AP38" i="13"/>
  <c r="AP80" i="13" s="1"/>
  <c r="AO39" i="13"/>
  <c r="AO81" i="13" s="1"/>
  <c r="AO40" i="13"/>
  <c r="AO82" i="13" s="1"/>
  <c r="AO41" i="13"/>
  <c r="AO83" i="13" s="1"/>
  <c r="AO42" i="13"/>
  <c r="AO84" i="13" s="1"/>
  <c r="AO43" i="13"/>
  <c r="AO85" i="13" s="1"/>
  <c r="AO44" i="13"/>
  <c r="AO86" i="13" s="1"/>
  <c r="AO45" i="13"/>
  <c r="AO87" i="13" s="1"/>
  <c r="AO46" i="13"/>
  <c r="AO38" i="13"/>
  <c r="AO80" i="13" s="1"/>
  <c r="AN39" i="13"/>
  <c r="AN81" i="13" s="1"/>
  <c r="AN40" i="13"/>
  <c r="AN82" i="13" s="1"/>
  <c r="AN41" i="13"/>
  <c r="AN83" i="13" s="1"/>
  <c r="AN42" i="13"/>
  <c r="AN84" i="13" s="1"/>
  <c r="AN43" i="13"/>
  <c r="AN85" i="13" s="1"/>
  <c r="AN44" i="13"/>
  <c r="AN86" i="13" s="1"/>
  <c r="AN45" i="13"/>
  <c r="AN87" i="13" s="1"/>
  <c r="AN46" i="13"/>
  <c r="AN38" i="13"/>
  <c r="AN80" i="13" s="1"/>
  <c r="AM39" i="13"/>
  <c r="AM81" i="13" s="1"/>
  <c r="AM40" i="13"/>
  <c r="AM82" i="13" s="1"/>
  <c r="AM41" i="13"/>
  <c r="AM83" i="13" s="1"/>
  <c r="AM42" i="13"/>
  <c r="AM84" i="13" s="1"/>
  <c r="AM43" i="13"/>
  <c r="AM85" i="13" s="1"/>
  <c r="AM44" i="13"/>
  <c r="AM86" i="13" s="1"/>
  <c r="AM45" i="13"/>
  <c r="AM87" i="13" s="1"/>
  <c r="AM46" i="13"/>
  <c r="AM38" i="13"/>
  <c r="AM80" i="13" s="1"/>
  <c r="AL39" i="13"/>
  <c r="AL81" i="13" s="1"/>
  <c r="AL40" i="13"/>
  <c r="AL82" i="13" s="1"/>
  <c r="AL41" i="13"/>
  <c r="AL83" i="13" s="1"/>
  <c r="AL42" i="13"/>
  <c r="AL84" i="13" s="1"/>
  <c r="AL43" i="13"/>
  <c r="AL85" i="13" s="1"/>
  <c r="AL44" i="13"/>
  <c r="AL86" i="13" s="1"/>
  <c r="AL45" i="13"/>
  <c r="AL87" i="13" s="1"/>
  <c r="AL46" i="13"/>
  <c r="AL38" i="13"/>
  <c r="AL80" i="13" s="1"/>
  <c r="AK39" i="13"/>
  <c r="AK81" i="13" s="1"/>
  <c r="AK40" i="13"/>
  <c r="AK82" i="13" s="1"/>
  <c r="AK41" i="13"/>
  <c r="AK83" i="13" s="1"/>
  <c r="AK42" i="13"/>
  <c r="AK84" i="13" s="1"/>
  <c r="AK43" i="13"/>
  <c r="AK85" i="13" s="1"/>
  <c r="AK44" i="13"/>
  <c r="AK86" i="13" s="1"/>
  <c r="AK45" i="13"/>
  <c r="AK87" i="13" s="1"/>
  <c r="AK46" i="13"/>
  <c r="AK38" i="13"/>
  <c r="AK80" i="13" s="1"/>
  <c r="AJ39" i="13"/>
  <c r="AJ81" i="13" s="1"/>
  <c r="AJ40" i="13"/>
  <c r="AJ82" i="13" s="1"/>
  <c r="AJ41" i="13"/>
  <c r="AJ83" i="13" s="1"/>
  <c r="AJ42" i="13"/>
  <c r="AJ84" i="13" s="1"/>
  <c r="AJ43" i="13"/>
  <c r="AJ85" i="13" s="1"/>
  <c r="AJ44" i="13"/>
  <c r="AJ86" i="13" s="1"/>
  <c r="AJ45" i="13"/>
  <c r="AJ87" i="13" s="1"/>
  <c r="AJ46" i="13"/>
  <c r="AJ38" i="13"/>
  <c r="AJ80" i="13" s="1"/>
  <c r="AI39" i="13"/>
  <c r="AI81" i="13" s="1"/>
  <c r="AI40" i="13"/>
  <c r="AI82" i="13" s="1"/>
  <c r="AI41" i="13"/>
  <c r="AI83" i="13" s="1"/>
  <c r="AI42" i="13"/>
  <c r="AI84" i="13" s="1"/>
  <c r="AI43" i="13"/>
  <c r="AI85" i="13" s="1"/>
  <c r="AI44" i="13"/>
  <c r="AI86" i="13" s="1"/>
  <c r="AI45" i="13"/>
  <c r="AI87" i="13" s="1"/>
  <c r="AI46" i="13"/>
  <c r="AI38" i="13"/>
  <c r="AI80" i="13" s="1"/>
  <c r="AH39" i="13"/>
  <c r="AH81" i="13" s="1"/>
  <c r="AH40" i="13"/>
  <c r="AH82" i="13" s="1"/>
  <c r="AH41" i="13"/>
  <c r="AH83" i="13" s="1"/>
  <c r="AH42" i="13"/>
  <c r="AH84" i="13" s="1"/>
  <c r="AH43" i="13"/>
  <c r="AH85" i="13" s="1"/>
  <c r="AH44" i="13"/>
  <c r="AH86" i="13" s="1"/>
  <c r="AH45" i="13"/>
  <c r="AH87" i="13" s="1"/>
  <c r="AH46" i="13"/>
  <c r="AH38" i="13"/>
  <c r="AH80" i="13" s="1"/>
  <c r="AG39" i="13"/>
  <c r="AG81" i="13" s="1"/>
  <c r="AG40" i="13"/>
  <c r="AG82" i="13" s="1"/>
  <c r="AG41" i="13"/>
  <c r="AG83" i="13" s="1"/>
  <c r="AG42" i="13"/>
  <c r="AG84" i="13" s="1"/>
  <c r="AG43" i="13"/>
  <c r="AG85" i="13" s="1"/>
  <c r="AG44" i="13"/>
  <c r="AG86" i="13" s="1"/>
  <c r="AG45" i="13"/>
  <c r="AG87" i="13" s="1"/>
  <c r="AG46" i="13"/>
  <c r="AG38" i="13"/>
  <c r="AG80" i="13" s="1"/>
  <c r="AF39" i="13"/>
  <c r="AF81" i="13" s="1"/>
  <c r="AF40" i="13"/>
  <c r="AF82" i="13" s="1"/>
  <c r="AF41" i="13"/>
  <c r="AF83" i="13" s="1"/>
  <c r="AF42" i="13"/>
  <c r="AF84" i="13" s="1"/>
  <c r="AF43" i="13"/>
  <c r="AF85" i="13" s="1"/>
  <c r="AF44" i="13"/>
  <c r="AF86" i="13" s="1"/>
  <c r="AF45" i="13"/>
  <c r="AF87" i="13" s="1"/>
  <c r="AF46" i="13"/>
  <c r="AF38" i="13"/>
  <c r="AF80" i="13" s="1"/>
  <c r="AE39" i="13"/>
  <c r="AE81" i="13" s="1"/>
  <c r="AE40" i="13"/>
  <c r="AE82" i="13" s="1"/>
  <c r="AE41" i="13"/>
  <c r="AE83" i="13" s="1"/>
  <c r="AE42" i="13"/>
  <c r="AE84" i="13" s="1"/>
  <c r="AE43" i="13"/>
  <c r="AE85" i="13" s="1"/>
  <c r="AE44" i="13"/>
  <c r="AE86" i="13" s="1"/>
  <c r="AE45" i="13"/>
  <c r="AE87" i="13" s="1"/>
  <c r="AE46" i="13"/>
  <c r="AE38" i="13"/>
  <c r="AE80" i="13" s="1"/>
  <c r="AD39" i="13"/>
  <c r="AD81" i="13" s="1"/>
  <c r="AD40" i="13"/>
  <c r="AD82" i="13" s="1"/>
  <c r="AD41" i="13"/>
  <c r="AD83" i="13" s="1"/>
  <c r="AD42" i="13"/>
  <c r="AD84" i="13" s="1"/>
  <c r="AD43" i="13"/>
  <c r="AD85" i="13" s="1"/>
  <c r="AD44" i="13"/>
  <c r="AD86" i="13" s="1"/>
  <c r="AD45" i="13"/>
  <c r="AD87" i="13" s="1"/>
  <c r="AD46" i="13"/>
  <c r="AD38" i="13"/>
  <c r="AD80" i="13" s="1"/>
  <c r="AC39" i="13"/>
  <c r="AC81" i="13" s="1"/>
  <c r="AC40" i="13"/>
  <c r="AC82" i="13" s="1"/>
  <c r="AC41" i="13"/>
  <c r="AC83" i="13" s="1"/>
  <c r="AC42" i="13"/>
  <c r="AC84" i="13" s="1"/>
  <c r="AC43" i="13"/>
  <c r="AC85" i="13" s="1"/>
  <c r="AC44" i="13"/>
  <c r="AC86" i="13" s="1"/>
  <c r="AC45" i="13"/>
  <c r="AC87" i="13" s="1"/>
  <c r="AC46" i="13"/>
  <c r="AC38" i="13"/>
  <c r="AC80" i="13" s="1"/>
  <c r="AB39" i="13"/>
  <c r="AB81" i="13" s="1"/>
  <c r="AB40" i="13"/>
  <c r="AB82" i="13" s="1"/>
  <c r="AB41" i="13"/>
  <c r="AB83" i="13" s="1"/>
  <c r="AB42" i="13"/>
  <c r="AB84" i="13" s="1"/>
  <c r="AB43" i="13"/>
  <c r="AB85" i="13" s="1"/>
  <c r="AB44" i="13"/>
  <c r="AB86" i="13" s="1"/>
  <c r="AB45" i="13"/>
  <c r="AB87" i="13" s="1"/>
  <c r="AB46" i="13"/>
  <c r="AB38" i="13"/>
  <c r="AB80" i="13" s="1"/>
  <c r="AA39" i="13"/>
  <c r="AA81" i="13" s="1"/>
  <c r="AA40" i="13"/>
  <c r="AA82" i="13" s="1"/>
  <c r="AA41" i="13"/>
  <c r="AA83" i="13" s="1"/>
  <c r="AA42" i="13"/>
  <c r="AA84" i="13" s="1"/>
  <c r="AA43" i="13"/>
  <c r="AA85" i="13" s="1"/>
  <c r="AA44" i="13"/>
  <c r="AA86" i="13" s="1"/>
  <c r="AA45" i="13"/>
  <c r="AA87" i="13" s="1"/>
  <c r="AA46" i="13"/>
  <c r="AA38" i="13"/>
  <c r="AA80" i="13" s="1"/>
  <c r="Z39" i="13"/>
  <c r="Z81" i="13" s="1"/>
  <c r="Z40" i="13"/>
  <c r="Z82" i="13" s="1"/>
  <c r="Z41" i="13"/>
  <c r="Z83" i="13" s="1"/>
  <c r="Z42" i="13"/>
  <c r="Z84" i="13" s="1"/>
  <c r="Z43" i="13"/>
  <c r="Z85" i="13" s="1"/>
  <c r="Z44" i="13"/>
  <c r="Z86" i="13" s="1"/>
  <c r="Z45" i="13"/>
  <c r="Z87" i="13" s="1"/>
  <c r="Z46" i="13"/>
  <c r="Z38" i="13"/>
  <c r="Z80" i="13" s="1"/>
  <c r="Y39" i="13"/>
  <c r="Y81" i="13" s="1"/>
  <c r="Y40" i="13"/>
  <c r="Y82" i="13" s="1"/>
  <c r="Y41" i="13"/>
  <c r="Y83" i="13" s="1"/>
  <c r="Y42" i="13"/>
  <c r="Y84" i="13" s="1"/>
  <c r="Y43" i="13"/>
  <c r="Y85" i="13" s="1"/>
  <c r="Y44" i="13"/>
  <c r="Y86" i="13" s="1"/>
  <c r="Y45" i="13"/>
  <c r="Y87" i="13" s="1"/>
  <c r="Y46" i="13"/>
  <c r="Y38" i="13"/>
  <c r="Y80" i="13" s="1"/>
  <c r="X39" i="13"/>
  <c r="X81" i="13" s="1"/>
  <c r="X40" i="13"/>
  <c r="X82" i="13" s="1"/>
  <c r="X41" i="13"/>
  <c r="X83" i="13" s="1"/>
  <c r="X42" i="13"/>
  <c r="X84" i="13" s="1"/>
  <c r="X43" i="13"/>
  <c r="X85" i="13" s="1"/>
  <c r="X44" i="13"/>
  <c r="X86" i="13" s="1"/>
  <c r="X45" i="13"/>
  <c r="X87" i="13" s="1"/>
  <c r="X46" i="13"/>
  <c r="X38" i="13"/>
  <c r="X80" i="13" s="1"/>
  <c r="W39" i="13"/>
  <c r="W81" i="13" s="1"/>
  <c r="W40" i="13"/>
  <c r="W82" i="13" s="1"/>
  <c r="W41" i="13"/>
  <c r="W83" i="13" s="1"/>
  <c r="W42" i="13"/>
  <c r="W84" i="13" s="1"/>
  <c r="W43" i="13"/>
  <c r="W85" i="13" s="1"/>
  <c r="W44" i="13"/>
  <c r="W86" i="13" s="1"/>
  <c r="W45" i="13"/>
  <c r="W87" i="13" s="1"/>
  <c r="W46" i="13"/>
  <c r="W38" i="13"/>
  <c r="W80" i="13" s="1"/>
  <c r="V39" i="13"/>
  <c r="V81" i="13" s="1"/>
  <c r="V40" i="13"/>
  <c r="V82" i="13" s="1"/>
  <c r="V41" i="13"/>
  <c r="V83" i="13" s="1"/>
  <c r="V42" i="13"/>
  <c r="V84" i="13" s="1"/>
  <c r="V43" i="13"/>
  <c r="V85" i="13" s="1"/>
  <c r="V44" i="13"/>
  <c r="V86" i="13" s="1"/>
  <c r="V45" i="13"/>
  <c r="V87" i="13" s="1"/>
  <c r="V46" i="13"/>
  <c r="V38" i="13"/>
  <c r="V80" i="13" s="1"/>
  <c r="T46" i="13"/>
  <c r="U39" i="13"/>
  <c r="U81" i="13" s="1"/>
  <c r="U40" i="13"/>
  <c r="U82" i="13" s="1"/>
  <c r="U41" i="13"/>
  <c r="U83" i="13" s="1"/>
  <c r="U42" i="13"/>
  <c r="U84" i="13" s="1"/>
  <c r="U43" i="13"/>
  <c r="U85" i="13" s="1"/>
  <c r="U44" i="13"/>
  <c r="U86" i="13" s="1"/>
  <c r="U45" i="13"/>
  <c r="U87" i="13" s="1"/>
  <c r="U46" i="13"/>
  <c r="U38" i="13"/>
  <c r="U80" i="13" s="1"/>
  <c r="T39" i="13"/>
  <c r="T81" i="13" s="1"/>
  <c r="T40" i="13"/>
  <c r="T82" i="13" s="1"/>
  <c r="T41" i="13"/>
  <c r="T83" i="13" s="1"/>
  <c r="T42" i="13"/>
  <c r="T84" i="13" s="1"/>
  <c r="T43" i="13"/>
  <c r="T85" i="13" s="1"/>
  <c r="T44" i="13"/>
  <c r="T86" i="13" s="1"/>
  <c r="T45" i="13"/>
  <c r="T87" i="13" s="1"/>
  <c r="T38" i="13"/>
  <c r="T80" i="13" s="1"/>
  <c r="S39" i="13"/>
  <c r="S81" i="13" s="1"/>
  <c r="S40" i="13"/>
  <c r="S82" i="13" s="1"/>
  <c r="S41" i="13"/>
  <c r="S83" i="13" s="1"/>
  <c r="S42" i="13"/>
  <c r="S84" i="13" s="1"/>
  <c r="S43" i="13"/>
  <c r="S85" i="13" s="1"/>
  <c r="S44" i="13"/>
  <c r="S86" i="13" s="1"/>
  <c r="S45" i="13"/>
  <c r="S87" i="13" s="1"/>
  <c r="S46" i="13"/>
  <c r="S38" i="13"/>
  <c r="S80" i="13" s="1"/>
  <c r="R39" i="13"/>
  <c r="R81" i="13" s="1"/>
  <c r="R40" i="13"/>
  <c r="R82" i="13" s="1"/>
  <c r="R41" i="13"/>
  <c r="R83" i="13" s="1"/>
  <c r="R42" i="13"/>
  <c r="R84" i="13" s="1"/>
  <c r="R43" i="13"/>
  <c r="R85" i="13" s="1"/>
  <c r="R44" i="13"/>
  <c r="R86" i="13" s="1"/>
  <c r="R45" i="13"/>
  <c r="R87" i="13" s="1"/>
  <c r="R46" i="13"/>
  <c r="R38" i="13"/>
  <c r="R80" i="13" s="1"/>
  <c r="Q39" i="13"/>
  <c r="Q81" i="13" s="1"/>
  <c r="Q40" i="13"/>
  <c r="Q82" i="13" s="1"/>
  <c r="Q41" i="13"/>
  <c r="Q83" i="13" s="1"/>
  <c r="Q42" i="13"/>
  <c r="Q84" i="13" s="1"/>
  <c r="Q43" i="13"/>
  <c r="Q85" i="13" s="1"/>
  <c r="Q44" i="13"/>
  <c r="Q86" i="13" s="1"/>
  <c r="Q45" i="13"/>
  <c r="Q87" i="13" s="1"/>
  <c r="Q46" i="13"/>
  <c r="Q38" i="13"/>
  <c r="Q80" i="13" s="1"/>
  <c r="P39" i="13"/>
  <c r="P81" i="13" s="1"/>
  <c r="P40" i="13"/>
  <c r="P82" i="13" s="1"/>
  <c r="P41" i="13"/>
  <c r="P83" i="13" s="1"/>
  <c r="P42" i="13"/>
  <c r="P84" i="13" s="1"/>
  <c r="P43" i="13"/>
  <c r="P85" i="13" s="1"/>
  <c r="P44" i="13"/>
  <c r="P86" i="13" s="1"/>
  <c r="P45" i="13"/>
  <c r="P87" i="13" s="1"/>
  <c r="P46" i="13"/>
  <c r="P38" i="13"/>
  <c r="P80" i="13" s="1"/>
  <c r="O39" i="13"/>
  <c r="O81" i="13" s="1"/>
  <c r="O40" i="13"/>
  <c r="O82" i="13" s="1"/>
  <c r="O41" i="13"/>
  <c r="O83" i="13" s="1"/>
  <c r="O42" i="13"/>
  <c r="O84" i="13" s="1"/>
  <c r="O43" i="13"/>
  <c r="O85" i="13" s="1"/>
  <c r="O44" i="13"/>
  <c r="O86" i="13" s="1"/>
  <c r="O45" i="13"/>
  <c r="O87" i="13" s="1"/>
  <c r="O46" i="13"/>
  <c r="O38" i="13"/>
  <c r="O80" i="13" s="1"/>
  <c r="N39" i="13"/>
  <c r="N81" i="13" s="1"/>
  <c r="N40" i="13"/>
  <c r="N82" i="13" s="1"/>
  <c r="N41" i="13"/>
  <c r="N83" i="13" s="1"/>
  <c r="N42" i="13"/>
  <c r="N84" i="13" s="1"/>
  <c r="N43" i="13"/>
  <c r="N85" i="13" s="1"/>
  <c r="N44" i="13"/>
  <c r="N86" i="13" s="1"/>
  <c r="N45" i="13"/>
  <c r="N87" i="13" s="1"/>
  <c r="N46" i="13"/>
  <c r="N38" i="13"/>
  <c r="N80" i="13" s="1"/>
  <c r="M39" i="13"/>
  <c r="M81" i="13" s="1"/>
  <c r="M40" i="13"/>
  <c r="M82" i="13" s="1"/>
  <c r="M41" i="13"/>
  <c r="M83" i="13" s="1"/>
  <c r="M42" i="13"/>
  <c r="M84" i="13" s="1"/>
  <c r="M43" i="13"/>
  <c r="M85" i="13" s="1"/>
  <c r="M44" i="13"/>
  <c r="M86" i="13" s="1"/>
  <c r="M45" i="13"/>
  <c r="M87" i="13" s="1"/>
  <c r="M46" i="13"/>
  <c r="M38" i="13"/>
  <c r="M80" i="13" s="1"/>
  <c r="L39" i="13"/>
  <c r="L81" i="13" s="1"/>
  <c r="L40" i="13"/>
  <c r="L82" i="13" s="1"/>
  <c r="L41" i="13"/>
  <c r="L83" i="13" s="1"/>
  <c r="L42" i="13"/>
  <c r="L84" i="13" s="1"/>
  <c r="L43" i="13"/>
  <c r="L85" i="13" s="1"/>
  <c r="L44" i="13"/>
  <c r="L86" i="13" s="1"/>
  <c r="L45" i="13"/>
  <c r="L87" i="13" s="1"/>
  <c r="L46" i="13"/>
  <c r="L38" i="13"/>
  <c r="L80" i="13" s="1"/>
  <c r="K39" i="13"/>
  <c r="K81" i="13" s="1"/>
  <c r="K40" i="13"/>
  <c r="K82" i="13" s="1"/>
  <c r="K41" i="13"/>
  <c r="K83" i="13" s="1"/>
  <c r="K42" i="13"/>
  <c r="K84" i="13" s="1"/>
  <c r="K43" i="13"/>
  <c r="K85" i="13" s="1"/>
  <c r="K44" i="13"/>
  <c r="K86" i="13" s="1"/>
  <c r="K45" i="13"/>
  <c r="K87" i="13" s="1"/>
  <c r="K46" i="13"/>
  <c r="K38" i="13"/>
  <c r="K80" i="13" s="1"/>
  <c r="J39" i="13"/>
  <c r="J81" i="13" s="1"/>
  <c r="J40" i="13"/>
  <c r="J82" i="13" s="1"/>
  <c r="J41" i="13"/>
  <c r="J83" i="13" s="1"/>
  <c r="J42" i="13"/>
  <c r="J84" i="13" s="1"/>
  <c r="J43" i="13"/>
  <c r="J85" i="13" s="1"/>
  <c r="J44" i="13"/>
  <c r="J86" i="13" s="1"/>
  <c r="J45" i="13"/>
  <c r="J87" i="13" s="1"/>
  <c r="J46" i="13"/>
  <c r="J38" i="13"/>
  <c r="J80" i="13" s="1"/>
  <c r="I39" i="13"/>
  <c r="I81" i="13" s="1"/>
  <c r="I40" i="13"/>
  <c r="I82" i="13" s="1"/>
  <c r="I41" i="13"/>
  <c r="I83" i="13" s="1"/>
  <c r="I42" i="13"/>
  <c r="I84" i="13" s="1"/>
  <c r="I43" i="13"/>
  <c r="I85" i="13" s="1"/>
  <c r="I44" i="13"/>
  <c r="I86" i="13" s="1"/>
  <c r="I45" i="13"/>
  <c r="I87" i="13" s="1"/>
  <c r="I46" i="13"/>
  <c r="I38" i="13"/>
  <c r="I80" i="13" s="1"/>
  <c r="H39" i="13"/>
  <c r="H81" i="13" s="1"/>
  <c r="H40" i="13"/>
  <c r="H82" i="13" s="1"/>
  <c r="H41" i="13"/>
  <c r="H83" i="13" s="1"/>
  <c r="H42" i="13"/>
  <c r="H84" i="13" s="1"/>
  <c r="H43" i="13"/>
  <c r="H85" i="13" s="1"/>
  <c r="H44" i="13"/>
  <c r="H86" i="13" s="1"/>
  <c r="H45" i="13"/>
  <c r="H87" i="13" s="1"/>
  <c r="H46" i="13"/>
  <c r="H38" i="13"/>
  <c r="H80" i="13" s="1"/>
  <c r="G39" i="13"/>
  <c r="G81" i="13" s="1"/>
  <c r="G40" i="13"/>
  <c r="G82" i="13" s="1"/>
  <c r="G41" i="13"/>
  <c r="G83" i="13" s="1"/>
  <c r="G42" i="13"/>
  <c r="G84" i="13" s="1"/>
  <c r="G43" i="13"/>
  <c r="G85" i="13" s="1"/>
  <c r="G44" i="13"/>
  <c r="G86" i="13" s="1"/>
  <c r="G45" i="13"/>
  <c r="G87" i="13" s="1"/>
  <c r="G46" i="13"/>
  <c r="G38" i="13"/>
  <c r="G80" i="13" s="1"/>
  <c r="F39" i="13"/>
  <c r="F81" i="13" s="1"/>
  <c r="F40" i="13"/>
  <c r="F82" i="13" s="1"/>
  <c r="F41" i="13"/>
  <c r="F83" i="13" s="1"/>
  <c r="F42" i="13"/>
  <c r="F84" i="13" s="1"/>
  <c r="F43" i="13"/>
  <c r="F85" i="13" s="1"/>
  <c r="F44" i="13"/>
  <c r="F86" i="13" s="1"/>
  <c r="F45" i="13"/>
  <c r="F87" i="13" s="1"/>
  <c r="F46" i="13"/>
  <c r="F38" i="13"/>
  <c r="F80" i="13" s="1"/>
  <c r="E39" i="13"/>
  <c r="E81" i="13" s="1"/>
  <c r="E40" i="13"/>
  <c r="E82" i="13" s="1"/>
  <c r="E41" i="13"/>
  <c r="E83" i="13" s="1"/>
  <c r="E42" i="13"/>
  <c r="E84" i="13" s="1"/>
  <c r="E43" i="13"/>
  <c r="E85" i="13" s="1"/>
  <c r="E44" i="13"/>
  <c r="E86" i="13" s="1"/>
  <c r="E45" i="13"/>
  <c r="E87" i="13" s="1"/>
  <c r="E46" i="13"/>
  <c r="E38" i="13"/>
  <c r="E80" i="13" s="1"/>
  <c r="D39" i="13"/>
  <c r="D81" i="13" s="1"/>
  <c r="D40" i="13"/>
  <c r="D82" i="13" s="1"/>
  <c r="D41" i="13"/>
  <c r="D83" i="13" s="1"/>
  <c r="D42" i="13"/>
  <c r="D84" i="13" s="1"/>
  <c r="D43" i="13"/>
  <c r="D85" i="13" s="1"/>
  <c r="D44" i="13"/>
  <c r="D86" i="13" s="1"/>
  <c r="D45" i="13"/>
  <c r="D87" i="13" s="1"/>
  <c r="D46" i="13"/>
  <c r="D38" i="13"/>
  <c r="C38" i="13"/>
  <c r="C80" i="13" s="1"/>
  <c r="C40" i="13"/>
  <c r="C82" i="13" s="1"/>
  <c r="C46" i="13"/>
  <c r="C45" i="13"/>
  <c r="C87" i="13" s="1"/>
  <c r="C44" i="13"/>
  <c r="C86" i="13" s="1"/>
  <c r="C43" i="13"/>
  <c r="C85" i="13" s="1"/>
  <c r="C42" i="13"/>
  <c r="C84" i="13" s="1"/>
  <c r="C41" i="13"/>
  <c r="C83" i="13" s="1"/>
  <c r="C39" i="13"/>
  <c r="C81" i="13" s="1"/>
  <c r="B39" i="13"/>
  <c r="B38" i="13"/>
  <c r="B46" i="13"/>
  <c r="B45" i="13"/>
  <c r="B44" i="13"/>
  <c r="B43" i="13"/>
  <c r="B42" i="13"/>
  <c r="B41" i="13"/>
  <c r="B40" i="13"/>
  <c r="B70" i="5"/>
  <c r="B75" i="5"/>
  <c r="C74" i="5"/>
  <c r="C75" i="5"/>
  <c r="D74" i="5"/>
  <c r="D75" i="5"/>
  <c r="E74" i="5"/>
  <c r="E75" i="5"/>
  <c r="F74" i="5"/>
  <c r="F75" i="5"/>
  <c r="G74" i="5"/>
  <c r="G75" i="5"/>
  <c r="H74" i="5"/>
  <c r="H75" i="5"/>
  <c r="B74" i="5"/>
  <c r="C70" i="5"/>
  <c r="C71" i="5"/>
  <c r="D70" i="5"/>
  <c r="D71" i="5"/>
  <c r="E70" i="5"/>
  <c r="E71" i="5"/>
  <c r="F70" i="5"/>
  <c r="F71" i="5"/>
  <c r="G70" i="5"/>
  <c r="G71" i="5"/>
  <c r="H70" i="5"/>
  <c r="H71" i="5"/>
  <c r="B71" i="5"/>
  <c r="B67" i="5"/>
  <c r="C66" i="5"/>
  <c r="C67" i="5"/>
  <c r="D66" i="5"/>
  <c r="D67" i="5"/>
  <c r="E66" i="5"/>
  <c r="E67" i="5"/>
  <c r="F66" i="5"/>
  <c r="F67" i="5"/>
  <c r="G66" i="5"/>
  <c r="G67" i="5"/>
  <c r="H66" i="5"/>
  <c r="H67" i="5"/>
  <c r="B66" i="5"/>
  <c r="B63" i="5"/>
  <c r="C62" i="5"/>
  <c r="C63" i="5"/>
  <c r="D62" i="5"/>
  <c r="D63" i="5"/>
  <c r="E62" i="5"/>
  <c r="E63" i="5"/>
  <c r="F62" i="5"/>
  <c r="F63" i="5"/>
  <c r="G62" i="5"/>
  <c r="G63" i="5"/>
  <c r="H62" i="5"/>
  <c r="H63" i="5"/>
  <c r="B62" i="5"/>
  <c r="H59" i="5"/>
  <c r="H58" i="5"/>
  <c r="B59" i="5"/>
  <c r="C58" i="5"/>
  <c r="C59" i="5"/>
  <c r="D58" i="5"/>
  <c r="D59" i="5"/>
  <c r="E58" i="5"/>
  <c r="E59" i="5"/>
  <c r="F58" i="5"/>
  <c r="F59" i="5"/>
  <c r="G58" i="5"/>
  <c r="G59" i="5"/>
  <c r="B58" i="5"/>
  <c r="CM33" i="13"/>
  <c r="CL33" i="13"/>
  <c r="CK33" i="13"/>
  <c r="CJ33" i="13"/>
  <c r="CI33" i="13"/>
  <c r="CH33" i="13"/>
  <c r="CG33" i="13"/>
  <c r="CF33" i="13"/>
  <c r="CE33" i="13"/>
  <c r="CD33" i="13"/>
  <c r="CC33" i="13"/>
  <c r="CB33" i="13"/>
  <c r="CA33" i="13"/>
  <c r="BZ33" i="13"/>
  <c r="BY33" i="13"/>
  <c r="BX33" i="13"/>
  <c r="BW33" i="13"/>
  <c r="BV33" i="13"/>
  <c r="BU33" i="13"/>
  <c r="BT33" i="13"/>
  <c r="BS33" i="13"/>
  <c r="BR33" i="13"/>
  <c r="BQ33" i="13"/>
  <c r="BP33" i="13"/>
  <c r="BO33" i="13"/>
  <c r="BN33" i="13"/>
  <c r="BM33" i="13"/>
  <c r="BL33" i="13"/>
  <c r="BK33" i="13"/>
  <c r="BJ33" i="13"/>
  <c r="BI33" i="13"/>
  <c r="BH33" i="13"/>
  <c r="BG33" i="13"/>
  <c r="BF33" i="13"/>
  <c r="BE33" i="13"/>
  <c r="BD33" i="13"/>
  <c r="BC33" i="13"/>
  <c r="BB33" i="13"/>
  <c r="BA33" i="13"/>
  <c r="AZ33" i="13"/>
  <c r="AY33" i="13"/>
  <c r="AX33" i="13"/>
  <c r="AW33" i="13"/>
  <c r="AV33" i="13"/>
  <c r="AU33" i="13"/>
  <c r="AT33" i="13"/>
  <c r="AS33" i="13"/>
  <c r="AR33" i="13"/>
  <c r="AQ33" i="13"/>
  <c r="AP33" i="13"/>
  <c r="AO33" i="13"/>
  <c r="AN33" i="13"/>
  <c r="AM33" i="13"/>
  <c r="AL33" i="13"/>
  <c r="AK33" i="13"/>
  <c r="AJ33" i="13"/>
  <c r="AI33" i="13"/>
  <c r="AH33" i="13"/>
  <c r="AG33" i="13"/>
  <c r="AF33" i="13"/>
  <c r="AE33" i="13"/>
  <c r="AD33" i="13"/>
  <c r="AC33" i="13"/>
  <c r="AB33" i="13"/>
  <c r="AA33" i="13"/>
  <c r="Z33" i="13"/>
  <c r="Y33" i="13"/>
  <c r="X33" i="13"/>
  <c r="W33" i="13"/>
  <c r="V33" i="13"/>
  <c r="U33" i="13"/>
  <c r="T33" i="13"/>
  <c r="S33" i="13"/>
  <c r="R33" i="13"/>
  <c r="Q33" i="13"/>
  <c r="P33" i="13"/>
  <c r="O33" i="13"/>
  <c r="N33" i="13"/>
  <c r="M33" i="13"/>
  <c r="L33" i="13"/>
  <c r="K33" i="13"/>
  <c r="J33" i="13"/>
  <c r="I33" i="13"/>
  <c r="H33" i="13"/>
  <c r="G33" i="13"/>
  <c r="F33" i="13"/>
  <c r="E33" i="13"/>
  <c r="D33" i="13"/>
  <c r="C33" i="13"/>
  <c r="B33" i="13"/>
  <c r="CM21" i="13"/>
  <c r="CJ15" i="13"/>
  <c r="BS15" i="13"/>
  <c r="BR15" i="13"/>
  <c r="E33" i="3"/>
  <c r="R65" i="16" l="1"/>
  <c r="G63" i="24"/>
  <c r="N4" i="14" s="1"/>
  <c r="G64" i="24"/>
  <c r="M4" i="14" s="1"/>
  <c r="F61" i="24"/>
  <c r="G61" i="24" s="1"/>
  <c r="K4" i="14" s="1"/>
  <c r="F62" i="24"/>
  <c r="G62" i="24" s="1"/>
  <c r="L4" i="14" s="1"/>
  <c r="D64" i="24"/>
  <c r="M5" i="14" s="1"/>
  <c r="D61" i="24"/>
  <c r="K5" i="14" s="1"/>
  <c r="D63" i="24"/>
  <c r="N5" i="14" s="1"/>
  <c r="C62" i="24"/>
  <c r="D62" i="24" s="1"/>
  <c r="L5" i="14" s="1"/>
  <c r="U5" i="19"/>
  <c r="V5" i="19" s="1"/>
  <c r="V5" i="17"/>
  <c r="V7" i="19"/>
  <c r="L8" i="20"/>
  <c r="M8" i="20" s="1"/>
  <c r="C25" i="24"/>
  <c r="L8" i="19"/>
  <c r="D26" i="24"/>
  <c r="L4" i="19" s="1"/>
  <c r="D25" i="24"/>
  <c r="K4" i="19" s="1"/>
  <c r="C27" i="24"/>
  <c r="D27" i="24" s="1"/>
  <c r="N4" i="19" s="1"/>
  <c r="C28" i="24"/>
  <c r="D28" i="24" s="1"/>
  <c r="M4" i="19" s="1"/>
  <c r="M18" i="19" s="1"/>
  <c r="R9" i="17"/>
  <c r="B17" i="18" s="1"/>
  <c r="K104" i="5"/>
  <c r="B31" i="20"/>
  <c r="J18" i="19"/>
  <c r="B11" i="20"/>
  <c r="B11" i="2"/>
  <c r="H87" i="5"/>
  <c r="C11" i="18"/>
  <c r="C31" i="18"/>
  <c r="U4" i="17"/>
  <c r="C37" i="18"/>
  <c r="K18" i="17"/>
  <c r="K19" i="17" s="1"/>
  <c r="D37" i="18"/>
  <c r="D49" i="18" s="1"/>
  <c r="D31" i="18"/>
  <c r="D34" i="18" s="1"/>
  <c r="D17" i="18"/>
  <c r="D22" i="18" s="1"/>
  <c r="D11" i="18"/>
  <c r="U7" i="17"/>
  <c r="D18" i="17"/>
  <c r="CR56" i="16"/>
  <c r="O8" i="19" s="1"/>
  <c r="K82" i="5"/>
  <c r="CR60" i="16"/>
  <c r="CR61" i="16"/>
  <c r="L5" i="18"/>
  <c r="E18" i="17"/>
  <c r="U3" i="17"/>
  <c r="R14" i="17"/>
  <c r="O18" i="17"/>
  <c r="K8" i="19"/>
  <c r="C36" i="20" s="1"/>
  <c r="H83" i="5"/>
  <c r="H84" i="5"/>
  <c r="J11" i="18"/>
  <c r="J31" i="18"/>
  <c r="J34" i="18" s="1"/>
  <c r="N18" i="17"/>
  <c r="N19" i="17" s="1"/>
  <c r="J37" i="18"/>
  <c r="J49" i="18" s="1"/>
  <c r="D49" i="20"/>
  <c r="D50" i="20" s="1"/>
  <c r="CR62" i="16"/>
  <c r="U15" i="19"/>
  <c r="V15" i="19" s="1"/>
  <c r="CR64" i="16"/>
  <c r="H36" i="20"/>
  <c r="CR63" i="16"/>
  <c r="N8" i="19"/>
  <c r="Y65" i="16"/>
  <c r="AO65" i="16"/>
  <c r="AL65" i="16"/>
  <c r="CR54" i="16"/>
  <c r="CR59" i="16"/>
  <c r="BA65" i="16"/>
  <c r="AG65" i="16"/>
  <c r="CQ64" i="15"/>
  <c r="CO52" i="13"/>
  <c r="B83" i="13"/>
  <c r="B86" i="13"/>
  <c r="B87" i="13"/>
  <c r="B85" i="13"/>
  <c r="CO46" i="13"/>
  <c r="M8" i="14" s="1"/>
  <c r="H36" i="2" s="1"/>
  <c r="D47" i="13"/>
  <c r="D80" i="13"/>
  <c r="B82" i="13"/>
  <c r="B84" i="13"/>
  <c r="B80" i="13"/>
  <c r="B81" i="13"/>
  <c r="CM46" i="13"/>
  <c r="CL55" i="13"/>
  <c r="CL64" i="13" s="1"/>
  <c r="CL88" i="13"/>
  <c r="H88" i="5"/>
  <c r="J79" i="5"/>
  <c r="H72" i="5"/>
  <c r="J71" i="5" s="1"/>
  <c r="AI47" i="13"/>
  <c r="AI88" i="13" s="1"/>
  <c r="AF47" i="13"/>
  <c r="AF59" i="13" s="1"/>
  <c r="AV47" i="13"/>
  <c r="L47" i="13"/>
  <c r="L63" i="13" s="1"/>
  <c r="X47" i="13"/>
  <c r="X60" i="13" s="1"/>
  <c r="CG47" i="13"/>
  <c r="CG63" i="13" s="1"/>
  <c r="CI47" i="13"/>
  <c r="BL61" i="13"/>
  <c r="BL74" i="13" s="1"/>
  <c r="BL56" i="13"/>
  <c r="BL69" i="13" s="1"/>
  <c r="G47" i="13"/>
  <c r="T47" i="13"/>
  <c r="T58" i="13" s="1"/>
  <c r="T71" i="13" s="1"/>
  <c r="AI59" i="13"/>
  <c r="AR47" i="13"/>
  <c r="AR62" i="13" s="1"/>
  <c r="BL47" i="13"/>
  <c r="BL57" i="13" s="1"/>
  <c r="BL70" i="13" s="1"/>
  <c r="BX47" i="13"/>
  <c r="CJ47" i="13"/>
  <c r="CJ60" i="13" s="1"/>
  <c r="BH47" i="13"/>
  <c r="AK47" i="13"/>
  <c r="AZ47" i="13"/>
  <c r="AZ61" i="13" s="1"/>
  <c r="AZ74" i="13" s="1"/>
  <c r="E47" i="13"/>
  <c r="L55" i="13"/>
  <c r="F47" i="13"/>
  <c r="AV63" i="13"/>
  <c r="AI61" i="13"/>
  <c r="C47" i="13"/>
  <c r="I47" i="13"/>
  <c r="BV47" i="13"/>
  <c r="CH47" i="13"/>
  <c r="BI47" i="13"/>
  <c r="D60" i="13"/>
  <c r="H47" i="13"/>
  <c r="H63" i="13" s="1"/>
  <c r="AJ47" i="13"/>
  <c r="CA47" i="13"/>
  <c r="CA62" i="13" s="1"/>
  <c r="BO47" i="13"/>
  <c r="Y47" i="13"/>
  <c r="BS47" i="13"/>
  <c r="AY47" i="13"/>
  <c r="M47" i="13"/>
  <c r="M59" i="13" s="1"/>
  <c r="Q47" i="13"/>
  <c r="AC47" i="13"/>
  <c r="AC55" i="13" s="1"/>
  <c r="AI58" i="13"/>
  <c r="AS47" i="13"/>
  <c r="AW47" i="13"/>
  <c r="BW47" i="13"/>
  <c r="BW58" i="13" s="1"/>
  <c r="BG47" i="13"/>
  <c r="BG88" i="13" s="1"/>
  <c r="K47" i="13"/>
  <c r="K58" i="13" s="1"/>
  <c r="O47" i="13"/>
  <c r="S47" i="13"/>
  <c r="W47" i="13"/>
  <c r="AA47" i="13"/>
  <c r="AE47" i="13"/>
  <c r="AE88" i="13" s="1"/>
  <c r="AM47" i="13"/>
  <c r="AQ47" i="13"/>
  <c r="AU47" i="13"/>
  <c r="AU62" i="13" s="1"/>
  <c r="AU75" i="13" s="1"/>
  <c r="AV60" i="13"/>
  <c r="BD47" i="13"/>
  <c r="BD61" i="13" s="1"/>
  <c r="BE47" i="13"/>
  <c r="BE57" i="13" s="1"/>
  <c r="BL59" i="13"/>
  <c r="BL72" i="13" s="1"/>
  <c r="BP47" i="13"/>
  <c r="AL47" i="13"/>
  <c r="AG47" i="13"/>
  <c r="AG88" i="13" s="1"/>
  <c r="AO47" i="13"/>
  <c r="AO58" i="13" s="1"/>
  <c r="C62" i="13"/>
  <c r="U47" i="13"/>
  <c r="BB47" i="13"/>
  <c r="BB88" i="13" s="1"/>
  <c r="BF47" i="13"/>
  <c r="BF55" i="13" s="1"/>
  <c r="BN47" i="13"/>
  <c r="BR47" i="13"/>
  <c r="BZ47" i="13"/>
  <c r="AV62" i="13"/>
  <c r="BC47" i="13"/>
  <c r="BK47" i="13"/>
  <c r="CE47" i="13"/>
  <c r="CF47" i="13"/>
  <c r="AX47" i="13"/>
  <c r="BD60" i="13"/>
  <c r="CB47" i="13"/>
  <c r="CB62" i="13" s="1"/>
  <c r="CB75" i="13" s="1"/>
  <c r="CM38" i="13"/>
  <c r="CM80" i="13" s="1"/>
  <c r="CM41" i="13"/>
  <c r="CM83" i="13" s="1"/>
  <c r="CM44" i="13"/>
  <c r="CM86" i="13" s="1"/>
  <c r="CM45" i="13"/>
  <c r="CM87" i="13" s="1"/>
  <c r="D55" i="13"/>
  <c r="E62" i="13"/>
  <c r="N47" i="13"/>
  <c r="N56" i="13" s="1"/>
  <c r="AV57" i="13"/>
  <c r="CM42" i="13"/>
  <c r="CM84" i="13" s="1"/>
  <c r="BU47" i="13"/>
  <c r="CD47" i="13"/>
  <c r="B47" i="13"/>
  <c r="D63" i="13"/>
  <c r="X57" i="13"/>
  <c r="AV56" i="13"/>
  <c r="BA47" i="13"/>
  <c r="BA58" i="13" s="1"/>
  <c r="BA71" i="13" s="1"/>
  <c r="BM47" i="13"/>
  <c r="BM58" i="13" s="1"/>
  <c r="BQ47" i="13"/>
  <c r="BY47" i="13"/>
  <c r="BY55" i="13"/>
  <c r="CC47" i="13"/>
  <c r="CC59" i="13" s="1"/>
  <c r="CK47" i="13"/>
  <c r="CK62" i="13" s="1"/>
  <c r="CM40" i="13"/>
  <c r="CM82" i="13" s="1"/>
  <c r="X59" i="13"/>
  <c r="AV58" i="13"/>
  <c r="CM43" i="13"/>
  <c r="CM85" i="13" s="1"/>
  <c r="X56" i="13"/>
  <c r="CI57" i="13"/>
  <c r="CM39" i="13"/>
  <c r="CM81" i="13" s="1"/>
  <c r="P47" i="13"/>
  <c r="P59" i="13" s="1"/>
  <c r="AB47" i="13"/>
  <c r="AN47" i="13"/>
  <c r="AN55" i="13" s="1"/>
  <c r="BL62" i="13"/>
  <c r="BL75" i="13" s="1"/>
  <c r="BX62" i="13"/>
  <c r="BT47" i="13"/>
  <c r="BT61" i="13" s="1"/>
  <c r="CI63" i="13"/>
  <c r="J47" i="13"/>
  <c r="R47" i="13"/>
  <c r="V47" i="13"/>
  <c r="X58" i="13"/>
  <c r="AD47" i="13"/>
  <c r="AH47" i="13"/>
  <c r="AP47" i="13"/>
  <c r="AT47" i="13"/>
  <c r="BJ47" i="13"/>
  <c r="BJ60" i="13" s="1"/>
  <c r="Z47" i="13"/>
  <c r="Z55" i="13" s="1"/>
  <c r="BX59" i="13"/>
  <c r="CB59" i="13"/>
  <c r="CB72" i="13" s="1"/>
  <c r="P8" i="14"/>
  <c r="AV59" i="13"/>
  <c r="BD58" i="13"/>
  <c r="BL58" i="13"/>
  <c r="H76" i="5"/>
  <c r="H64" i="5"/>
  <c r="J63" i="5" s="1"/>
  <c r="H68" i="5"/>
  <c r="H60" i="5"/>
  <c r="K18" i="19" l="1"/>
  <c r="U8" i="19"/>
  <c r="V8" i="19" s="1"/>
  <c r="V4" i="17"/>
  <c r="J11" i="20"/>
  <c r="J31" i="20"/>
  <c r="J34" i="20" s="1"/>
  <c r="J37" i="20"/>
  <c r="L62" i="13"/>
  <c r="L57" i="13"/>
  <c r="L60" i="13"/>
  <c r="CC56" i="13"/>
  <c r="BG60" i="13"/>
  <c r="H49" i="20"/>
  <c r="C31" i="20"/>
  <c r="C34" i="20" s="1"/>
  <c r="C11" i="20"/>
  <c r="C37" i="20"/>
  <c r="C49" i="20" s="1"/>
  <c r="L59" i="13"/>
  <c r="H37" i="20"/>
  <c r="H11" i="20"/>
  <c r="H31" i="20"/>
  <c r="H34" i="20" s="1"/>
  <c r="U4" i="19"/>
  <c r="V4" i="19" s="1"/>
  <c r="G31" i="20"/>
  <c r="G34" i="20" s="1"/>
  <c r="G37" i="20"/>
  <c r="G11" i="20"/>
  <c r="BB55" i="13"/>
  <c r="T60" i="13"/>
  <c r="T73" i="13" s="1"/>
  <c r="L61" i="13"/>
  <c r="S9" i="17"/>
  <c r="B37" i="20"/>
  <c r="R9" i="19"/>
  <c r="S9" i="19" s="1"/>
  <c r="B21" i="20" s="1"/>
  <c r="B34" i="20"/>
  <c r="H31" i="2"/>
  <c r="G32" i="2"/>
  <c r="G31" i="2"/>
  <c r="C31" i="2"/>
  <c r="J32" i="2"/>
  <c r="AG56" i="13"/>
  <c r="J70" i="5"/>
  <c r="AF62" i="13"/>
  <c r="M5" i="18"/>
  <c r="L8" i="18"/>
  <c r="M8" i="18" s="1"/>
  <c r="D50" i="18"/>
  <c r="AF57" i="13"/>
  <c r="AI60" i="13"/>
  <c r="AI63" i="13"/>
  <c r="C49" i="18"/>
  <c r="I37" i="18"/>
  <c r="M37" i="18" s="1"/>
  <c r="U14" i="17"/>
  <c r="V14" i="17" s="1"/>
  <c r="E38" i="18"/>
  <c r="I38" i="18" s="1"/>
  <c r="M38" i="18" s="1"/>
  <c r="E19" i="18"/>
  <c r="I19" i="18" s="1"/>
  <c r="AF60" i="13"/>
  <c r="CG60" i="13"/>
  <c r="C34" i="18"/>
  <c r="I31" i="18"/>
  <c r="I11" i="18"/>
  <c r="M11" i="18" s="1"/>
  <c r="N11" i="18" s="1"/>
  <c r="AF58" i="13"/>
  <c r="CG57" i="13"/>
  <c r="AI57" i="13"/>
  <c r="R14" i="19"/>
  <c r="O18" i="19"/>
  <c r="AF56" i="13"/>
  <c r="BG63" i="13"/>
  <c r="AE57" i="13"/>
  <c r="AE70" i="13" s="1"/>
  <c r="AI55" i="13"/>
  <c r="V7" i="17"/>
  <c r="CK59" i="13"/>
  <c r="BM55" i="13"/>
  <c r="AF63" i="13"/>
  <c r="AF61" i="13"/>
  <c r="AI56" i="13"/>
  <c r="AI62" i="13"/>
  <c r="U3" i="14"/>
  <c r="BA62" i="13"/>
  <c r="BA75" i="13" s="1"/>
  <c r="P57" i="13"/>
  <c r="Z62" i="13"/>
  <c r="X61" i="13"/>
  <c r="BA59" i="13"/>
  <c r="BA72" i="13" s="1"/>
  <c r="CO39" i="13"/>
  <c r="K19" i="19"/>
  <c r="CR65" i="16"/>
  <c r="J36" i="20"/>
  <c r="J49" i="20" s="1"/>
  <c r="N18" i="19"/>
  <c r="G36" i="20"/>
  <c r="L18" i="19"/>
  <c r="M19" i="19"/>
  <c r="R15" i="14"/>
  <c r="U15" i="14"/>
  <c r="P18" i="14"/>
  <c r="B31" i="2"/>
  <c r="J18" i="14"/>
  <c r="B37" i="2" s="1"/>
  <c r="B49" i="2" s="1"/>
  <c r="B32" i="2"/>
  <c r="E18" i="14"/>
  <c r="L6" i="2"/>
  <c r="M6" i="2" s="1"/>
  <c r="F18" i="14"/>
  <c r="CF62" i="13"/>
  <c r="CF88" i="13"/>
  <c r="BN63" i="13"/>
  <c r="BN88" i="13"/>
  <c r="AQ55" i="13"/>
  <c r="AQ64" i="13" s="1"/>
  <c r="AQ88" i="13"/>
  <c r="O58" i="13"/>
  <c r="O71" i="13" s="1"/>
  <c r="O88" i="13"/>
  <c r="AW59" i="13"/>
  <c r="AW88" i="13"/>
  <c r="AJ55" i="13"/>
  <c r="AJ64" i="13" s="1"/>
  <c r="AJ88" i="13"/>
  <c r="C56" i="13"/>
  <c r="C88" i="13"/>
  <c r="AK60" i="13"/>
  <c r="AK73" i="13" s="1"/>
  <c r="AK88" i="13"/>
  <c r="D62" i="13"/>
  <c r="D88" i="13"/>
  <c r="AT61" i="13"/>
  <c r="AT74" i="13" s="1"/>
  <c r="AT88" i="13"/>
  <c r="BY62" i="13"/>
  <c r="BY88" i="13"/>
  <c r="K60" i="13"/>
  <c r="CE57" i="13"/>
  <c r="CE88" i="13"/>
  <c r="BF61" i="13"/>
  <c r="BF88" i="13"/>
  <c r="AS63" i="13"/>
  <c r="AS88" i="13"/>
  <c r="O56" i="13"/>
  <c r="O69" i="13" s="1"/>
  <c r="H56" i="13"/>
  <c r="H88" i="13"/>
  <c r="H59" i="13"/>
  <c r="BH58" i="13"/>
  <c r="BH88" i="13"/>
  <c r="AO62" i="13"/>
  <c r="AO88" i="13"/>
  <c r="AC56" i="13"/>
  <c r="AC88" i="13"/>
  <c r="CH56" i="13"/>
  <c r="CH88" i="13"/>
  <c r="BX63" i="13"/>
  <c r="BX88" i="13"/>
  <c r="CI60" i="13"/>
  <c r="CI88" i="13"/>
  <c r="CO80" i="13"/>
  <c r="BJ56" i="13"/>
  <c r="K57" i="13"/>
  <c r="K88" i="13"/>
  <c r="AN56" i="13"/>
  <c r="AN88" i="13"/>
  <c r="AX60" i="13"/>
  <c r="AX88" i="13"/>
  <c r="AO57" i="13"/>
  <c r="D57" i="13"/>
  <c r="D64" i="13" s="1"/>
  <c r="Y63" i="13"/>
  <c r="Y88" i="13"/>
  <c r="CJ57" i="13"/>
  <c r="CJ88" i="13"/>
  <c r="AB55" i="13"/>
  <c r="AB88" i="13"/>
  <c r="AD55" i="13"/>
  <c r="AD88" i="13"/>
  <c r="CE63" i="13"/>
  <c r="P63" i="13"/>
  <c r="P88" i="13"/>
  <c r="BM59" i="13"/>
  <c r="BM88" i="13"/>
  <c r="AO56" i="13"/>
  <c r="AO59" i="13"/>
  <c r="BC63" i="13"/>
  <c r="BC76" i="13" s="1"/>
  <c r="BC88" i="13"/>
  <c r="AG57" i="13"/>
  <c r="AL63" i="13"/>
  <c r="AL88" i="13"/>
  <c r="Q62" i="13"/>
  <c r="Q88" i="13"/>
  <c r="D59" i="13"/>
  <c r="CG61" i="13"/>
  <c r="CG88" i="13"/>
  <c r="CO38" i="13"/>
  <c r="CO45" i="13"/>
  <c r="CO43" i="13"/>
  <c r="BT55" i="13"/>
  <c r="BT88" i="13"/>
  <c r="BA55" i="13"/>
  <c r="BA68" i="13" s="1"/>
  <c r="CD57" i="13"/>
  <c r="CD88" i="13"/>
  <c r="AG59" i="13"/>
  <c r="BP59" i="13"/>
  <c r="BP72" i="13" s="1"/>
  <c r="BP88" i="13"/>
  <c r="AC58" i="13"/>
  <c r="M60" i="13"/>
  <c r="M88" i="13"/>
  <c r="BV63" i="13"/>
  <c r="BV76" i="13" s="1"/>
  <c r="BV88" i="13"/>
  <c r="F59" i="13"/>
  <c r="F72" i="13" s="1"/>
  <c r="F88" i="13"/>
  <c r="BL55" i="13"/>
  <c r="BL68" i="13" s="1"/>
  <c r="BL88" i="13"/>
  <c r="X55" i="13"/>
  <c r="X88" i="13"/>
  <c r="CO84" i="13"/>
  <c r="K8" i="14" s="1"/>
  <c r="C36" i="2" s="1"/>
  <c r="BQ60" i="13"/>
  <c r="BQ88" i="13"/>
  <c r="BU57" i="13"/>
  <c r="BU88" i="13"/>
  <c r="AA55" i="13"/>
  <c r="AA88" i="13"/>
  <c r="AY62" i="13"/>
  <c r="AY75" i="13" s="1"/>
  <c r="AY88" i="13"/>
  <c r="BO62" i="13"/>
  <c r="BO88" i="13"/>
  <c r="BB57" i="13"/>
  <c r="AR55" i="13"/>
  <c r="AR88" i="13"/>
  <c r="L56" i="13"/>
  <c r="L88" i="13"/>
  <c r="CO42" i="13"/>
  <c r="CO44" i="13"/>
  <c r="AP57" i="13"/>
  <c r="AP70" i="13" s="1"/>
  <c r="AP88" i="13"/>
  <c r="BA56" i="13"/>
  <c r="BA69" i="13" s="1"/>
  <c r="BA88" i="13"/>
  <c r="BY56" i="13"/>
  <c r="V63" i="13"/>
  <c r="V88" i="13"/>
  <c r="CK55" i="13"/>
  <c r="AG60" i="13"/>
  <c r="U57" i="13"/>
  <c r="U88" i="13"/>
  <c r="BE59" i="13"/>
  <c r="BE88" i="13"/>
  <c r="C60" i="13"/>
  <c r="H62" i="13"/>
  <c r="V60" i="13"/>
  <c r="L58" i="13"/>
  <c r="AV61" i="13"/>
  <c r="AV88" i="13"/>
  <c r="CO82" i="13"/>
  <c r="L8" i="14" s="1"/>
  <c r="G36" i="2" s="1"/>
  <c r="BD62" i="13"/>
  <c r="BD88" i="13"/>
  <c r="W58" i="13"/>
  <c r="W71" i="13" s="1"/>
  <c r="W88" i="13"/>
  <c r="AG62" i="13"/>
  <c r="D58" i="13"/>
  <c r="CA63" i="13"/>
  <c r="CA88" i="13"/>
  <c r="BF60" i="13"/>
  <c r="AF55" i="13"/>
  <c r="AF88" i="13"/>
  <c r="CO40" i="13"/>
  <c r="BJ55" i="13"/>
  <c r="BJ88" i="13"/>
  <c r="AM55" i="13"/>
  <c r="AM64" i="13" s="1"/>
  <c r="AM88" i="13"/>
  <c r="R57" i="13"/>
  <c r="R70" i="13" s="1"/>
  <c r="R88" i="13"/>
  <c r="BT59" i="13"/>
  <c r="P58" i="13"/>
  <c r="BG57" i="13"/>
  <c r="CE58" i="13"/>
  <c r="N60" i="13"/>
  <c r="N88" i="13"/>
  <c r="CB58" i="13"/>
  <c r="CB71" i="13" s="1"/>
  <c r="CB88" i="13"/>
  <c r="BZ57" i="13"/>
  <c r="BZ88" i="13"/>
  <c r="D61" i="13"/>
  <c r="BS59" i="13"/>
  <c r="BS88" i="13"/>
  <c r="CG62" i="13"/>
  <c r="BB61" i="13"/>
  <c r="E61" i="13"/>
  <c r="E88" i="13"/>
  <c r="T62" i="13"/>
  <c r="T75" i="13" s="1"/>
  <c r="T88" i="13"/>
  <c r="CO41" i="13"/>
  <c r="AH56" i="13"/>
  <c r="AH88" i="13"/>
  <c r="B60" i="13"/>
  <c r="B88" i="13"/>
  <c r="BK60" i="13"/>
  <c r="BK73" i="13" s="1"/>
  <c r="BK88" i="13"/>
  <c r="BI58" i="13"/>
  <c r="BI71" i="13" s="1"/>
  <c r="BI88" i="13"/>
  <c r="CK56" i="13"/>
  <c r="CK88" i="13"/>
  <c r="Z63" i="13"/>
  <c r="Z88" i="13"/>
  <c r="J60" i="13"/>
  <c r="J73" i="13" s="1"/>
  <c r="J88" i="13"/>
  <c r="CC61" i="13"/>
  <c r="CC88" i="13"/>
  <c r="BH60" i="13"/>
  <c r="D56" i="13"/>
  <c r="BR59" i="13"/>
  <c r="BR88" i="13"/>
  <c r="M58" i="13"/>
  <c r="AU57" i="13"/>
  <c r="AU70" i="13" s="1"/>
  <c r="AU88" i="13"/>
  <c r="S61" i="13"/>
  <c r="S88" i="13"/>
  <c r="BW63" i="13"/>
  <c r="BW88" i="13"/>
  <c r="X63" i="13"/>
  <c r="AV55" i="13"/>
  <c r="I59" i="13"/>
  <c r="I72" i="13" s="1"/>
  <c r="I88" i="13"/>
  <c r="AZ55" i="13"/>
  <c r="AZ68" i="13" s="1"/>
  <c r="AZ88" i="13"/>
  <c r="G55" i="13"/>
  <c r="G64" i="13" s="1"/>
  <c r="G88" i="13"/>
  <c r="J75" i="5"/>
  <c r="J82" i="5"/>
  <c r="J64" i="5" s="1"/>
  <c r="J62" i="5"/>
  <c r="H82" i="5"/>
  <c r="I80" i="5" s="1"/>
  <c r="J74" i="5"/>
  <c r="F63" i="13"/>
  <c r="F76" i="13" s="1"/>
  <c r="BH62" i="13"/>
  <c r="BU55" i="13"/>
  <c r="BH56" i="13"/>
  <c r="F61" i="13"/>
  <c r="F74" i="13" s="1"/>
  <c r="F55" i="13"/>
  <c r="F68" i="13" s="1"/>
  <c r="Q56" i="13"/>
  <c r="AA63" i="13"/>
  <c r="AA59" i="13"/>
  <c r="BO58" i="13"/>
  <c r="F60" i="13"/>
  <c r="F73" i="13" s="1"/>
  <c r="AP56" i="13"/>
  <c r="AP69" i="13" s="1"/>
  <c r="AD57" i="13"/>
  <c r="W63" i="13"/>
  <c r="W76" i="13" s="1"/>
  <c r="I63" i="13"/>
  <c r="I76" i="13" s="1"/>
  <c r="Q58" i="13"/>
  <c r="M63" i="13"/>
  <c r="BT63" i="13"/>
  <c r="AX59" i="13"/>
  <c r="CI61" i="13"/>
  <c r="CJ59" i="13"/>
  <c r="CJ62" i="13"/>
  <c r="CI55" i="13"/>
  <c r="CI56" i="13"/>
  <c r="BX57" i="13"/>
  <c r="BD63" i="13"/>
  <c r="V61" i="13"/>
  <c r="CD55" i="13"/>
  <c r="CI62" i="13"/>
  <c r="CG59" i="13"/>
  <c r="U55" i="13"/>
  <c r="CI58" i="13"/>
  <c r="AK59" i="13"/>
  <c r="AK72" i="13" s="1"/>
  <c r="CG58" i="13"/>
  <c r="Q57" i="13"/>
  <c r="BX56" i="13"/>
  <c r="CG56" i="13"/>
  <c r="CG55" i="13"/>
  <c r="AK56" i="13"/>
  <c r="AK69" i="13" s="1"/>
  <c r="B56" i="13"/>
  <c r="BT60" i="13"/>
  <c r="M57" i="13"/>
  <c r="AC61" i="13"/>
  <c r="BA60" i="13"/>
  <c r="BA73" i="13" s="1"/>
  <c r="F62" i="13"/>
  <c r="F75" i="13" s="1"/>
  <c r="I61" i="13"/>
  <c r="I74" i="13" s="1"/>
  <c r="BC61" i="13"/>
  <c r="BC74" i="13" s="1"/>
  <c r="W57" i="13"/>
  <c r="W70" i="13" s="1"/>
  <c r="F57" i="13"/>
  <c r="F70" i="13" s="1"/>
  <c r="AH59" i="13"/>
  <c r="C63" i="13"/>
  <c r="Q63" i="13"/>
  <c r="AD59" i="13"/>
  <c r="BU60" i="13"/>
  <c r="BX58" i="13"/>
  <c r="CI59" i="13"/>
  <c r="N58" i="13"/>
  <c r="I55" i="13"/>
  <c r="I68" i="13" s="1"/>
  <c r="AX63" i="13"/>
  <c r="BO63" i="13"/>
  <c r="AK55" i="13"/>
  <c r="AK68" i="13" s="1"/>
  <c r="F58" i="13"/>
  <c r="F71" i="13" s="1"/>
  <c r="CD59" i="13"/>
  <c r="BT58" i="13"/>
  <c r="CD63" i="13"/>
  <c r="BY59" i="13"/>
  <c r="AA62" i="13"/>
  <c r="BL60" i="13"/>
  <c r="BL73" i="13" s="1"/>
  <c r="X62" i="13"/>
  <c r="CA55" i="13"/>
  <c r="F56" i="13"/>
  <c r="F69" i="13" s="1"/>
  <c r="CH61" i="13"/>
  <c r="AR58" i="13"/>
  <c r="BZ59" i="13"/>
  <c r="J58" i="13"/>
  <c r="J71" i="13" s="1"/>
  <c r="AZ62" i="13"/>
  <c r="AZ75" i="13" s="1"/>
  <c r="T63" i="13"/>
  <c r="T76" i="13" s="1"/>
  <c r="BK62" i="13"/>
  <c r="BK75" i="13" s="1"/>
  <c r="AR57" i="13"/>
  <c r="BV55" i="13"/>
  <c r="BV68" i="13" s="1"/>
  <c r="CK57" i="13"/>
  <c r="BH59" i="13"/>
  <c r="J59" i="13"/>
  <c r="J72" i="13" s="1"/>
  <c r="AK63" i="13"/>
  <c r="AK76" i="13" s="1"/>
  <c r="AR63" i="13"/>
  <c r="AZ63" i="13"/>
  <c r="AZ76" i="13" s="1"/>
  <c r="AZ57" i="13"/>
  <c r="AZ70" i="13" s="1"/>
  <c r="AT57" i="13"/>
  <c r="AT70" i="13" s="1"/>
  <c r="CK60" i="13"/>
  <c r="BP58" i="13"/>
  <c r="BP71" i="13" s="1"/>
  <c r="BW62" i="13"/>
  <c r="BU59" i="13"/>
  <c r="AK61" i="13"/>
  <c r="AK74" i="13" s="1"/>
  <c r="BC57" i="13"/>
  <c r="BC70" i="13" s="1"/>
  <c r="CD61" i="13"/>
  <c r="AY59" i="13"/>
  <c r="AY72" i="13" s="1"/>
  <c r="CJ56" i="13"/>
  <c r="BA57" i="13"/>
  <c r="BA70" i="13" s="1"/>
  <c r="V56" i="13"/>
  <c r="AZ59" i="13"/>
  <c r="AZ72" i="13" s="1"/>
  <c r="I62" i="13"/>
  <c r="I75" i="13" s="1"/>
  <c r="BX55" i="13"/>
  <c r="AA56" i="13"/>
  <c r="BU62" i="13"/>
  <c r="AB59" i="13"/>
  <c r="BH61" i="13"/>
  <c r="T59" i="13"/>
  <c r="T72" i="13" s="1"/>
  <c r="T55" i="13"/>
  <c r="T68" i="13" s="1"/>
  <c r="AZ58" i="13"/>
  <c r="AZ71" i="13" s="1"/>
  <c r="BW57" i="13"/>
  <c r="AK58" i="13"/>
  <c r="AK71" i="13" s="1"/>
  <c r="BH57" i="13"/>
  <c r="CK58" i="13"/>
  <c r="W56" i="13"/>
  <c r="W69" i="13" s="1"/>
  <c r="O57" i="13"/>
  <c r="O70" i="13" s="1"/>
  <c r="AW62" i="13"/>
  <c r="BO61" i="13"/>
  <c r="BU56" i="13"/>
  <c r="T57" i="13"/>
  <c r="T70" i="13" s="1"/>
  <c r="BT62" i="13"/>
  <c r="AD58" i="13"/>
  <c r="AR56" i="13"/>
  <c r="AR59" i="13"/>
  <c r="CD62" i="13"/>
  <c r="BX60" i="13"/>
  <c r="AZ60" i="13"/>
  <c r="AZ73" i="13" s="1"/>
  <c r="U58" i="13"/>
  <c r="AH57" i="13"/>
  <c r="Z61" i="13"/>
  <c r="AW58" i="13"/>
  <c r="N57" i="13"/>
  <c r="AD60" i="13"/>
  <c r="AX61" i="13"/>
  <c r="M56" i="13"/>
  <c r="BH55" i="13"/>
  <c r="AR61" i="13"/>
  <c r="AL59" i="13"/>
  <c r="BZ55" i="13"/>
  <c r="BZ63" i="13"/>
  <c r="W60" i="13"/>
  <c r="W73" i="13" s="1"/>
  <c r="BW56" i="13"/>
  <c r="BW61" i="13"/>
  <c r="T56" i="13"/>
  <c r="T69" i="13" s="1"/>
  <c r="AL60" i="13"/>
  <c r="AK62" i="13"/>
  <c r="AK75" i="13" s="1"/>
  <c r="O60" i="13"/>
  <c r="O73" i="13" s="1"/>
  <c r="AD56" i="13"/>
  <c r="CJ55" i="13"/>
  <c r="CJ61" i="13"/>
  <c r="CJ63" i="13"/>
  <c r="AR60" i="13"/>
  <c r="AW56" i="13"/>
  <c r="BW59" i="13"/>
  <c r="T61" i="13"/>
  <c r="T74" i="13" s="1"/>
  <c r="AZ56" i="13"/>
  <c r="AZ69" i="13" s="1"/>
  <c r="R61" i="13"/>
  <c r="R74" i="13" s="1"/>
  <c r="Z60" i="13"/>
  <c r="U62" i="13"/>
  <c r="BJ59" i="13"/>
  <c r="R60" i="13"/>
  <c r="R73" i="13" s="1"/>
  <c r="AH61" i="13"/>
  <c r="K62" i="13"/>
  <c r="E58" i="13"/>
  <c r="BH63" i="13"/>
  <c r="AL56" i="13"/>
  <c r="J57" i="13"/>
  <c r="J70" i="13" s="1"/>
  <c r="N62" i="13"/>
  <c r="AW57" i="13"/>
  <c r="BZ56" i="13"/>
  <c r="AW60" i="13"/>
  <c r="BS61" i="13"/>
  <c r="AL58" i="13"/>
  <c r="AK57" i="13"/>
  <c r="AK70" i="13" s="1"/>
  <c r="CJ58" i="13"/>
  <c r="AU61" i="13"/>
  <c r="AU74" i="13" s="1"/>
  <c r="AU60" i="13"/>
  <c r="AU73" i="13" s="1"/>
  <c r="AS56" i="13"/>
  <c r="BT56" i="13"/>
  <c r="AY61" i="13"/>
  <c r="AY74" i="13" s="1"/>
  <c r="P62" i="13"/>
  <c r="BP61" i="13"/>
  <c r="BP74" i="13" s="1"/>
  <c r="J61" i="13"/>
  <c r="J74" i="13" s="1"/>
  <c r="AU55" i="13"/>
  <c r="AU68" i="13" s="1"/>
  <c r="BX61" i="13"/>
  <c r="AV64" i="13"/>
  <c r="BL63" i="13"/>
  <c r="BL76" i="13" s="1"/>
  <c r="BQ58" i="13"/>
  <c r="AE61" i="13"/>
  <c r="AE74" i="13" s="1"/>
  <c r="AE59" i="13"/>
  <c r="AE72" i="13" s="1"/>
  <c r="BG59" i="13"/>
  <c r="BG55" i="13"/>
  <c r="E59" i="13"/>
  <c r="BR63" i="13"/>
  <c r="BR62" i="13"/>
  <c r="AP60" i="13"/>
  <c r="AP73" i="13" s="1"/>
  <c r="AP55" i="13"/>
  <c r="AP59" i="13"/>
  <c r="AP72" i="13" s="1"/>
  <c r="AH58" i="13"/>
  <c r="AT62" i="13"/>
  <c r="AT75" i="13" s="1"/>
  <c r="BM61" i="13"/>
  <c r="BM63" i="13"/>
  <c r="AT63" i="13"/>
  <c r="AT76" i="13" s="1"/>
  <c r="BK59" i="13"/>
  <c r="BK72" i="13" s="1"/>
  <c r="AE62" i="13"/>
  <c r="AE75" i="13" s="1"/>
  <c r="BQ57" i="13"/>
  <c r="R56" i="13"/>
  <c r="R69" i="13" s="1"/>
  <c r="U56" i="13"/>
  <c r="U59" i="13"/>
  <c r="BE61" i="13"/>
  <c r="BE63" i="13"/>
  <c r="AS58" i="13"/>
  <c r="AB61" i="13"/>
  <c r="AC57" i="13"/>
  <c r="AC63" i="13"/>
  <c r="E56" i="13"/>
  <c r="CH59" i="13"/>
  <c r="CA56" i="13"/>
  <c r="Q61" i="13"/>
  <c r="BR57" i="13"/>
  <c r="CE56" i="13"/>
  <c r="AE60" i="13"/>
  <c r="AE73" i="13" s="1"/>
  <c r="Y57" i="13"/>
  <c r="E55" i="13"/>
  <c r="CE61" i="13"/>
  <c r="AN58" i="13"/>
  <c r="R55" i="13"/>
  <c r="BJ63" i="13"/>
  <c r="CC57" i="13"/>
  <c r="BV56" i="13"/>
  <c r="BV69" i="13" s="1"/>
  <c r="BF63" i="13"/>
  <c r="K59" i="13"/>
  <c r="O62" i="13"/>
  <c r="O75" i="13" s="1"/>
  <c r="CC55" i="13"/>
  <c r="BK58" i="13"/>
  <c r="BK71" i="13" s="1"/>
  <c r="AP63" i="13"/>
  <c r="AP76" i="13" s="1"/>
  <c r="S62" i="13"/>
  <c r="BP60" i="13"/>
  <c r="BP73" i="13" s="1"/>
  <c r="Q59" i="13"/>
  <c r="BE58" i="13"/>
  <c r="AN60" i="13"/>
  <c r="S63" i="13"/>
  <c r="BS62" i="13"/>
  <c r="BE56" i="13"/>
  <c r="AA60" i="13"/>
  <c r="AA61" i="13"/>
  <c r="O55" i="13"/>
  <c r="BO55" i="13"/>
  <c r="AC62" i="13"/>
  <c r="BW60" i="13"/>
  <c r="BW55" i="13"/>
  <c r="BL71" i="13"/>
  <c r="Z59" i="13"/>
  <c r="CC62" i="13"/>
  <c r="BO56" i="13"/>
  <c r="M61" i="13"/>
  <c r="CF63" i="13"/>
  <c r="AU56" i="13"/>
  <c r="AU69" i="13" s="1"/>
  <c r="S60" i="13"/>
  <c r="CH60" i="13"/>
  <c r="BR60" i="13"/>
  <c r="U61" i="13"/>
  <c r="BQ61" i="13"/>
  <c r="BQ63" i="13"/>
  <c r="BI63" i="13"/>
  <c r="BI76" i="13" s="1"/>
  <c r="BI61" i="13"/>
  <c r="BI74" i="13" s="1"/>
  <c r="Y55" i="13"/>
  <c r="AS61" i="13"/>
  <c r="BV57" i="13"/>
  <c r="BV70" i="13" s="1"/>
  <c r="BR58" i="13"/>
  <c r="BR61" i="13"/>
  <c r="Y56" i="13"/>
  <c r="Y61" i="13"/>
  <c r="BV58" i="13"/>
  <c r="BV71" i="13" s="1"/>
  <c r="BV61" i="13"/>
  <c r="BV74" i="13" s="1"/>
  <c r="BV62" i="13"/>
  <c r="BV75" i="13" s="1"/>
  <c r="AT60" i="13"/>
  <c r="AT73" i="13" s="1"/>
  <c r="AT58" i="13"/>
  <c r="AT71" i="13" s="1"/>
  <c r="AS60" i="13"/>
  <c r="BN58" i="13"/>
  <c r="BN62" i="13"/>
  <c r="BN60" i="13"/>
  <c r="BN61" i="13"/>
  <c r="BI56" i="13"/>
  <c r="BI69" i="13" s="1"/>
  <c r="S57" i="13"/>
  <c r="AY55" i="13"/>
  <c r="AY60" i="13"/>
  <c r="AY73" i="13" s="1"/>
  <c r="S55" i="13"/>
  <c r="V55" i="13"/>
  <c r="BI59" i="13"/>
  <c r="BI72" i="13" s="1"/>
  <c r="AY58" i="13"/>
  <c r="AY71" i="13" s="1"/>
  <c r="CM47" i="13"/>
  <c r="BB58" i="13"/>
  <c r="BB62" i="13"/>
  <c r="CH57" i="13"/>
  <c r="AH62" i="13"/>
  <c r="AH63" i="13"/>
  <c r="CA57" i="13"/>
  <c r="E63" i="13"/>
  <c r="AN57" i="13"/>
  <c r="C55" i="13"/>
  <c r="AY56" i="13"/>
  <c r="AY69" i="13" s="1"/>
  <c r="C61" i="13"/>
  <c r="BV59" i="13"/>
  <c r="BV72" i="13" s="1"/>
  <c r="L64" i="13"/>
  <c r="AH55" i="13"/>
  <c r="AL55" i="13"/>
  <c r="CB56" i="13"/>
  <c r="CB69" i="13" s="1"/>
  <c r="CB55" i="13"/>
  <c r="CB57" i="13"/>
  <c r="CB70" i="13" s="1"/>
  <c r="BC59" i="13"/>
  <c r="BC72" i="13" s="1"/>
  <c r="BC55" i="13"/>
  <c r="BC60" i="13"/>
  <c r="BC73" i="13" s="1"/>
  <c r="O63" i="13"/>
  <c r="O76" i="13" s="1"/>
  <c r="AL57" i="13"/>
  <c r="Q55" i="13"/>
  <c r="BM62" i="13"/>
  <c r="CC60" i="13"/>
  <c r="BF58" i="13"/>
  <c r="AU59" i="13"/>
  <c r="AU72" i="13" s="1"/>
  <c r="B62" i="13"/>
  <c r="AU63" i="13"/>
  <c r="AU76" i="13" s="1"/>
  <c r="V58" i="13"/>
  <c r="AL62" i="13"/>
  <c r="BY61" i="13"/>
  <c r="BY63" i="13"/>
  <c r="BS55" i="13"/>
  <c r="R59" i="13"/>
  <c r="R72" i="13" s="1"/>
  <c r="AO60" i="13"/>
  <c r="AO61" i="13"/>
  <c r="BC62" i="13"/>
  <c r="BC75" i="13" s="1"/>
  <c r="K55" i="13"/>
  <c r="V57" i="13"/>
  <c r="BI62" i="13"/>
  <c r="BI75" i="13" s="1"/>
  <c r="BG56" i="13"/>
  <c r="AP61" i="13"/>
  <c r="AP74" i="13" s="1"/>
  <c r="CB63" i="13"/>
  <c r="CB76" i="13" s="1"/>
  <c r="V59" i="13"/>
  <c r="I57" i="13"/>
  <c r="I70" i="13" s="1"/>
  <c r="I58" i="13"/>
  <c r="I71" i="13" s="1"/>
  <c r="S59" i="13"/>
  <c r="V62" i="13"/>
  <c r="AS57" i="13"/>
  <c r="J62" i="13"/>
  <c r="J75" i="13" s="1"/>
  <c r="J63" i="13"/>
  <c r="J76" i="13" s="1"/>
  <c r="BQ59" i="13"/>
  <c r="U60" i="13"/>
  <c r="BS57" i="13"/>
  <c r="BC58" i="13"/>
  <c r="BC71" i="13" s="1"/>
  <c r="AB57" i="13"/>
  <c r="BS60" i="13"/>
  <c r="BU63" i="13"/>
  <c r="BU61" i="13"/>
  <c r="N63" i="13"/>
  <c r="N55" i="13"/>
  <c r="BK63" i="13"/>
  <c r="BK76" i="13" s="1"/>
  <c r="AT56" i="13"/>
  <c r="AT69" i="13" s="1"/>
  <c r="AB62" i="13"/>
  <c r="CB61" i="13"/>
  <c r="CB74" i="13" s="1"/>
  <c r="AX57" i="13"/>
  <c r="Z57" i="13"/>
  <c r="M62" i="13"/>
  <c r="AO55" i="13"/>
  <c r="W61" i="13"/>
  <c r="W74" i="13" s="1"/>
  <c r="W62" i="13"/>
  <c r="W75" i="13" s="1"/>
  <c r="H61" i="13"/>
  <c r="BC56" i="13"/>
  <c r="BC69" i="13" s="1"/>
  <c r="M55" i="13"/>
  <c r="I60" i="13"/>
  <c r="I73" i="13" s="1"/>
  <c r="BB59" i="13"/>
  <c r="BF57" i="13"/>
  <c r="AA58" i="13"/>
  <c r="BI60" i="13"/>
  <c r="BI73" i="13" s="1"/>
  <c r="N59" i="13"/>
  <c r="AL61" i="13"/>
  <c r="I56" i="13"/>
  <c r="I69" i="13" s="1"/>
  <c r="O59" i="13"/>
  <c r="O72" i="13" s="1"/>
  <c r="B63" i="13"/>
  <c r="CC63" i="13"/>
  <c r="CF58" i="13"/>
  <c r="R62" i="13"/>
  <c r="R75" i="13" s="1"/>
  <c r="R63" i="13"/>
  <c r="R76" i="13" s="1"/>
  <c r="BI55" i="13"/>
  <c r="CF61" i="13"/>
  <c r="AE56" i="13"/>
  <c r="AE69" i="13" s="1"/>
  <c r="BQ56" i="13"/>
  <c r="BD56" i="13"/>
  <c r="BD57" i="13"/>
  <c r="BD55" i="13"/>
  <c r="Q60" i="13"/>
  <c r="AS62" i="13"/>
  <c r="BF59" i="13"/>
  <c r="BM57" i="13"/>
  <c r="BP56" i="13"/>
  <c r="BP69" i="13" s="1"/>
  <c r="BP55" i="13"/>
  <c r="BP63" i="13"/>
  <c r="BP76" i="13" s="1"/>
  <c r="BP57" i="13"/>
  <c r="BP70" i="13" s="1"/>
  <c r="BN59" i="13"/>
  <c r="BE62" i="13"/>
  <c r="BK61" i="13"/>
  <c r="BK74" i="13" s="1"/>
  <c r="BJ58" i="13"/>
  <c r="BJ61" i="13"/>
  <c r="BJ62" i="13"/>
  <c r="BB56" i="13"/>
  <c r="BV60" i="13"/>
  <c r="BV73" i="13" s="1"/>
  <c r="BK55" i="13"/>
  <c r="BE55" i="13"/>
  <c r="O61" i="13"/>
  <c r="O74" i="13" s="1"/>
  <c r="CB60" i="13"/>
  <c r="CB73" i="13" s="1"/>
  <c r="AC59" i="13"/>
  <c r="AB63" i="13"/>
  <c r="C58" i="13"/>
  <c r="BO59" i="13"/>
  <c r="BO60" i="13"/>
  <c r="H55" i="13"/>
  <c r="BJ57" i="13"/>
  <c r="AY57" i="13"/>
  <c r="AY70" i="13" s="1"/>
  <c r="B61" i="13"/>
  <c r="CF59" i="13"/>
  <c r="AD62" i="13"/>
  <c r="AD63" i="13"/>
  <c r="BP62" i="13"/>
  <c r="BP75" i="13" s="1"/>
  <c r="R58" i="13"/>
  <c r="R71" i="13" s="1"/>
  <c r="BO57" i="13"/>
  <c r="AB56" i="13"/>
  <c r="BB63" i="13"/>
  <c r="BF62" i="13"/>
  <c r="J55" i="13"/>
  <c r="B55" i="13"/>
  <c r="BY57" i="13"/>
  <c r="BI57" i="13"/>
  <c r="BI70" i="13" s="1"/>
  <c r="AS59" i="13"/>
  <c r="Z56" i="13"/>
  <c r="J56" i="13"/>
  <c r="J69" i="13" s="1"/>
  <c r="BY58" i="13"/>
  <c r="Y60" i="13"/>
  <c r="AE63" i="13"/>
  <c r="AE76" i="13" s="1"/>
  <c r="K63" i="13"/>
  <c r="AG61" i="13"/>
  <c r="AG63" i="13"/>
  <c r="BM56" i="13"/>
  <c r="W55" i="13"/>
  <c r="AW63" i="13"/>
  <c r="AW61" i="13"/>
  <c r="E57" i="13"/>
  <c r="AU58" i="13"/>
  <c r="AU71" i="13" s="1"/>
  <c r="AO63" i="13"/>
  <c r="N61" i="13"/>
  <c r="BY60" i="13"/>
  <c r="BF56" i="13"/>
  <c r="AE58" i="13"/>
  <c r="AE71" i="13" s="1"/>
  <c r="AT59" i="13"/>
  <c r="AT72" i="13" s="1"/>
  <c r="C57" i="13"/>
  <c r="AX62" i="13"/>
  <c r="AN63" i="13"/>
  <c r="AN61" i="13"/>
  <c r="BQ55" i="13"/>
  <c r="AS55" i="13"/>
  <c r="AT55" i="13"/>
  <c r="AN62" i="13"/>
  <c r="CF55" i="13"/>
  <c r="CF56" i="13"/>
  <c r="CF57" i="13"/>
  <c r="AE55" i="13"/>
  <c r="S58" i="13"/>
  <c r="CA60" i="13"/>
  <c r="CA59" i="13"/>
  <c r="CH62" i="13"/>
  <c r="CH58" i="13"/>
  <c r="CH55" i="13"/>
  <c r="BR55" i="13"/>
  <c r="CF60" i="13"/>
  <c r="AN59" i="13"/>
  <c r="BS63" i="13"/>
  <c r="BG62" i="13"/>
  <c r="BN55" i="13"/>
  <c r="AP62" i="13"/>
  <c r="AP75" i="13" s="1"/>
  <c r="CA58" i="13"/>
  <c r="BS56" i="13"/>
  <c r="S56" i="13"/>
  <c r="BN57" i="13"/>
  <c r="BK56" i="13"/>
  <c r="BK69" i="13" s="1"/>
  <c r="BB60" i="13"/>
  <c r="U63" i="13"/>
  <c r="Z58" i="13"/>
  <c r="E60" i="13"/>
  <c r="BG58" i="13"/>
  <c r="AX56" i="13"/>
  <c r="CE60" i="13"/>
  <c r="CE55" i="13"/>
  <c r="AC60" i="13"/>
  <c r="Y62" i="13"/>
  <c r="BD59" i="13"/>
  <c r="Y58" i="13"/>
  <c r="B58" i="13"/>
  <c r="K56" i="13"/>
  <c r="BM60" i="13"/>
  <c r="CA61" i="13"/>
  <c r="K61" i="13"/>
  <c r="BR56" i="13"/>
  <c r="CD58" i="13"/>
  <c r="CD60" i="13"/>
  <c r="H57" i="13"/>
  <c r="CC58" i="13"/>
  <c r="BQ62" i="13"/>
  <c r="CE59" i="13"/>
  <c r="BG61" i="13"/>
  <c r="CE62" i="13"/>
  <c r="AX55" i="13"/>
  <c r="AB58" i="13"/>
  <c r="CH63" i="13"/>
  <c r="CD56" i="13"/>
  <c r="BN56" i="13"/>
  <c r="AP58" i="13"/>
  <c r="AP71" i="13" s="1"/>
  <c r="P55" i="13"/>
  <c r="P56" i="13"/>
  <c r="P60" i="13"/>
  <c r="BK57" i="13"/>
  <c r="BK70" i="13" s="1"/>
  <c r="CK61" i="13"/>
  <c r="CK63" i="13"/>
  <c r="BS58" i="13"/>
  <c r="BA61" i="13"/>
  <c r="BA74" i="13" s="1"/>
  <c r="BA63" i="13"/>
  <c r="BA76" i="13" s="1"/>
  <c r="BT57" i="13"/>
  <c r="N8" i="14"/>
  <c r="J36" i="2" s="1"/>
  <c r="Y59" i="13"/>
  <c r="BU58" i="13"/>
  <c r="BZ58" i="13"/>
  <c r="BZ62" i="13"/>
  <c r="BZ60" i="13"/>
  <c r="BZ61" i="13"/>
  <c r="AB60" i="13"/>
  <c r="H60" i="13"/>
  <c r="AG55" i="13"/>
  <c r="AY63" i="13"/>
  <c r="AY76" i="13" s="1"/>
  <c r="AG58" i="13"/>
  <c r="B59" i="13"/>
  <c r="AH60" i="13"/>
  <c r="AW55" i="13"/>
  <c r="B57" i="13"/>
  <c r="AD61" i="13"/>
  <c r="AA57" i="13"/>
  <c r="AX58" i="13"/>
  <c r="C59" i="13"/>
  <c r="BE60" i="13"/>
  <c r="H58" i="13"/>
  <c r="P61" i="13"/>
  <c r="W59" i="13"/>
  <c r="W72" i="13" s="1"/>
  <c r="C29" i="5"/>
  <c r="D29" i="5"/>
  <c r="E29" i="5"/>
  <c r="F29" i="5"/>
  <c r="G29" i="5"/>
  <c r="H29" i="5"/>
  <c r="I29" i="5"/>
  <c r="J29" i="5"/>
  <c r="K29" i="5"/>
  <c r="L29" i="5"/>
  <c r="M29" i="5"/>
  <c r="N29" i="5"/>
  <c r="O29" i="5"/>
  <c r="B29" i="5"/>
  <c r="C28" i="5"/>
  <c r="D28" i="5"/>
  <c r="E28" i="5"/>
  <c r="F28" i="5"/>
  <c r="G28" i="5"/>
  <c r="H28" i="5"/>
  <c r="I28" i="5"/>
  <c r="J28" i="5"/>
  <c r="K28" i="5"/>
  <c r="L28" i="5"/>
  <c r="M28" i="5"/>
  <c r="N28" i="5"/>
  <c r="O28" i="5"/>
  <c r="B28" i="5"/>
  <c r="I11" i="20" l="1"/>
  <c r="M11" i="20" s="1"/>
  <c r="N11" i="20" s="1"/>
  <c r="H37" i="2"/>
  <c r="H49" i="2" s="1"/>
  <c r="AI64" i="13"/>
  <c r="H32" i="2"/>
  <c r="H34" i="2" s="1"/>
  <c r="I31" i="20"/>
  <c r="I34" i="20" s="1"/>
  <c r="M34" i="20" s="1"/>
  <c r="Q11" i="19"/>
  <c r="G13" i="20" s="1"/>
  <c r="Q11" i="17"/>
  <c r="Q12" i="19"/>
  <c r="Q12" i="17"/>
  <c r="Q10" i="19"/>
  <c r="Q10" i="17"/>
  <c r="U9" i="17"/>
  <c r="V9" i="17" s="1"/>
  <c r="B21" i="18"/>
  <c r="B22" i="18" s="1"/>
  <c r="B50" i="18" s="1"/>
  <c r="AF64" i="13"/>
  <c r="S11" i="19"/>
  <c r="G49" i="20"/>
  <c r="B17" i="20"/>
  <c r="B22" i="20" s="1"/>
  <c r="U9" i="19"/>
  <c r="V9" i="19" s="1"/>
  <c r="B49" i="20"/>
  <c r="I37" i="20"/>
  <c r="M37" i="20" s="1"/>
  <c r="C37" i="2"/>
  <c r="C49" i="2" s="1"/>
  <c r="C11" i="2"/>
  <c r="U4" i="14"/>
  <c r="V4" i="14" s="1"/>
  <c r="G37" i="2"/>
  <c r="G49" i="2" s="1"/>
  <c r="G11" i="2"/>
  <c r="G34" i="2"/>
  <c r="J37" i="2"/>
  <c r="J49" i="2" s="1"/>
  <c r="J11" i="2"/>
  <c r="J31" i="2"/>
  <c r="J34" i="2" s="1"/>
  <c r="U5" i="14"/>
  <c r="V5" i="14" s="1"/>
  <c r="C32" i="2"/>
  <c r="C34" i="2" s="1"/>
  <c r="H11" i="2"/>
  <c r="U14" i="19"/>
  <c r="V14" i="19" s="1"/>
  <c r="E19" i="20"/>
  <c r="I19" i="20" s="1"/>
  <c r="E38" i="20"/>
  <c r="I38" i="20" s="1"/>
  <c r="M38" i="20" s="1"/>
  <c r="L19" i="19"/>
  <c r="V15" i="14"/>
  <c r="M49" i="18"/>
  <c r="N38" i="18"/>
  <c r="M31" i="18"/>
  <c r="N31" i="18" s="1"/>
  <c r="I34" i="18"/>
  <c r="M34" i="18" s="1"/>
  <c r="N19" i="19"/>
  <c r="L46" i="18"/>
  <c r="M46" i="18" s="1"/>
  <c r="M19" i="18"/>
  <c r="X64" i="13"/>
  <c r="Q11" i="14"/>
  <c r="CI64" i="13"/>
  <c r="BT64" i="13"/>
  <c r="I36" i="20"/>
  <c r="U11" i="19"/>
  <c r="V11" i="19" s="1"/>
  <c r="G21" i="20"/>
  <c r="B34" i="2"/>
  <c r="U7" i="14"/>
  <c r="L5" i="2"/>
  <c r="M5" i="2" s="1"/>
  <c r="D11" i="2"/>
  <c r="R9" i="14"/>
  <c r="S9" i="14" s="1"/>
  <c r="U9" i="14" s="1"/>
  <c r="V9" i="14" s="1"/>
  <c r="G13" i="2"/>
  <c r="L18" i="14"/>
  <c r="D18" i="14"/>
  <c r="D31" i="2"/>
  <c r="D17" i="2"/>
  <c r="D22" i="2" s="1"/>
  <c r="D37" i="2"/>
  <c r="D49" i="2" s="1"/>
  <c r="Q12" i="14"/>
  <c r="CG64" i="13"/>
  <c r="AD64" i="13"/>
  <c r="CM63" i="13"/>
  <c r="CM88" i="13"/>
  <c r="CO88" i="13" s="1"/>
  <c r="AC64" i="13"/>
  <c r="CO47" i="13"/>
  <c r="CO49" i="13" s="1"/>
  <c r="O8" i="14" s="1"/>
  <c r="U8" i="14" s="1"/>
  <c r="V8" i="14" s="1"/>
  <c r="CM56" i="13"/>
  <c r="CM62" i="13"/>
  <c r="Q10" i="14"/>
  <c r="I64" i="5"/>
  <c r="J80" i="5"/>
  <c r="I68" i="5"/>
  <c r="I60" i="5"/>
  <c r="J72" i="5"/>
  <c r="J76" i="5"/>
  <c r="I72" i="5"/>
  <c r="I76" i="5"/>
  <c r="BX64" i="13"/>
  <c r="BH64" i="13"/>
  <c r="AL64" i="13"/>
  <c r="BY64" i="13"/>
  <c r="AX64" i="13"/>
  <c r="F64" i="13"/>
  <c r="N64" i="13"/>
  <c r="CA64" i="13"/>
  <c r="AA64" i="13"/>
  <c r="BU64" i="13"/>
  <c r="BE64" i="13"/>
  <c r="Z64" i="13"/>
  <c r="CM57" i="13"/>
  <c r="AN64" i="13"/>
  <c r="T64" i="13"/>
  <c r="AB64" i="13"/>
  <c r="BZ64" i="13"/>
  <c r="U64" i="13"/>
  <c r="AR64" i="13"/>
  <c r="CM58" i="13"/>
  <c r="BF64" i="13"/>
  <c r="CM59" i="13"/>
  <c r="BJ64" i="13"/>
  <c r="BB64" i="13"/>
  <c r="CJ64" i="13"/>
  <c r="BW64" i="13"/>
  <c r="CK64" i="13"/>
  <c r="AK64" i="13"/>
  <c r="AZ64" i="13"/>
  <c r="CD64" i="13"/>
  <c r="CM60" i="13"/>
  <c r="AW64" i="13"/>
  <c r="CM55" i="13"/>
  <c r="BM64" i="13"/>
  <c r="M64" i="13"/>
  <c r="BL64" i="13"/>
  <c r="K64" i="13"/>
  <c r="AH64" i="13"/>
  <c r="AE64" i="13"/>
  <c r="AE68" i="13"/>
  <c r="AO64" i="13"/>
  <c r="AU64" i="13"/>
  <c r="H64" i="13"/>
  <c r="I64" i="13"/>
  <c r="Q64" i="13"/>
  <c r="CM61" i="13"/>
  <c r="Y64" i="13"/>
  <c r="CC64" i="13"/>
  <c r="BG64" i="13"/>
  <c r="BP64" i="13"/>
  <c r="BP68" i="13"/>
  <c r="S64" i="13"/>
  <c r="BI68" i="13"/>
  <c r="BI64" i="13"/>
  <c r="BS64" i="13"/>
  <c r="AY64" i="13"/>
  <c r="AY68" i="13"/>
  <c r="AP68" i="13"/>
  <c r="AP64" i="13"/>
  <c r="BV64" i="13"/>
  <c r="O64" i="13"/>
  <c r="O68" i="13"/>
  <c r="BA64" i="13"/>
  <c r="P64" i="13"/>
  <c r="AG64" i="13"/>
  <c r="J64" i="13"/>
  <c r="J68" i="13"/>
  <c r="Q13" i="19" s="1"/>
  <c r="CB64" i="13"/>
  <c r="CB68" i="13"/>
  <c r="E64" i="13"/>
  <c r="AS64" i="13"/>
  <c r="BK64" i="13"/>
  <c r="BK68" i="13"/>
  <c r="BQ64" i="13"/>
  <c r="CE64" i="13"/>
  <c r="CF64" i="13"/>
  <c r="C64" i="13"/>
  <c r="BR64" i="13"/>
  <c r="W68" i="13"/>
  <c r="W64" i="13"/>
  <c r="BD64" i="13"/>
  <c r="BC64" i="13"/>
  <c r="BC68" i="13"/>
  <c r="R68" i="13"/>
  <c r="R64" i="13"/>
  <c r="CH64" i="13"/>
  <c r="BN64" i="13"/>
  <c r="AT64" i="13"/>
  <c r="AT68" i="13"/>
  <c r="B64" i="13"/>
  <c r="V64" i="13"/>
  <c r="BO64" i="13"/>
  <c r="O38" i="18" l="1"/>
  <c r="M31" i="20"/>
  <c r="N31" i="20" s="1"/>
  <c r="J13" i="20"/>
  <c r="S13" i="19"/>
  <c r="J21" i="20" s="1"/>
  <c r="J22" i="20" s="1"/>
  <c r="J50" i="20" s="1"/>
  <c r="C13" i="20"/>
  <c r="R16" i="19"/>
  <c r="Q18" i="19"/>
  <c r="S10" i="19"/>
  <c r="H13" i="18"/>
  <c r="S12" i="17"/>
  <c r="H21" i="18" s="1"/>
  <c r="H22" i="18" s="1"/>
  <c r="H50" i="18" s="1"/>
  <c r="H13" i="20"/>
  <c r="S12" i="19"/>
  <c r="H21" i="20" s="1"/>
  <c r="H22" i="20" s="1"/>
  <c r="H50" i="20" s="1"/>
  <c r="G13" i="18"/>
  <c r="S11" i="17"/>
  <c r="G21" i="18" s="1"/>
  <c r="G22" i="18" s="1"/>
  <c r="G50" i="18" s="1"/>
  <c r="C13" i="18"/>
  <c r="I13" i="18" s="1"/>
  <c r="S10" i="17"/>
  <c r="U10" i="17" s="1"/>
  <c r="V10" i="17" s="1"/>
  <c r="Q13" i="17"/>
  <c r="Q18" i="17" s="1"/>
  <c r="B50" i="20"/>
  <c r="Q13" i="14"/>
  <c r="Q18" i="14" s="1"/>
  <c r="V16" i="14" s="1"/>
  <c r="L46" i="20"/>
  <c r="M46" i="20" s="1"/>
  <c r="M19" i="20"/>
  <c r="O18" i="14"/>
  <c r="R14" i="14"/>
  <c r="G22" i="20"/>
  <c r="G50" i="20" s="1"/>
  <c r="M36" i="20"/>
  <c r="V7" i="14"/>
  <c r="R18" i="14"/>
  <c r="B17" i="2"/>
  <c r="D34" i="2"/>
  <c r="D50" i="2" s="1"/>
  <c r="L19" i="14"/>
  <c r="S11" i="14"/>
  <c r="U11" i="14" s="1"/>
  <c r="V11" i="14" s="1"/>
  <c r="J13" i="2"/>
  <c r="K18" i="14"/>
  <c r="K19" i="14" s="1"/>
  <c r="H13" i="2"/>
  <c r="M18" i="14"/>
  <c r="M19" i="14" s="1"/>
  <c r="N18" i="14"/>
  <c r="L8" i="2"/>
  <c r="M8" i="2" s="1"/>
  <c r="CO89" i="13"/>
  <c r="C13" i="2"/>
  <c r="I37" i="2"/>
  <c r="M37" i="2" s="1"/>
  <c r="B21" i="2"/>
  <c r="CM64" i="13"/>
  <c r="U12" i="17" l="1"/>
  <c r="V12" i="17" s="1"/>
  <c r="S13" i="17"/>
  <c r="J21" i="18" s="1"/>
  <c r="J13" i="18"/>
  <c r="S18" i="17"/>
  <c r="C21" i="18"/>
  <c r="U10" i="19"/>
  <c r="V10" i="19" s="1"/>
  <c r="C21" i="20"/>
  <c r="S18" i="19"/>
  <c r="R16" i="17"/>
  <c r="M13" i="18"/>
  <c r="F17" i="20"/>
  <c r="U16" i="19"/>
  <c r="V16" i="19" s="1"/>
  <c r="R18" i="19"/>
  <c r="F40" i="20"/>
  <c r="U11" i="17"/>
  <c r="V11" i="17" s="1"/>
  <c r="I13" i="20"/>
  <c r="M13" i="20" s="1"/>
  <c r="U13" i="19"/>
  <c r="V13" i="19" s="1"/>
  <c r="U12" i="19"/>
  <c r="V12" i="19" s="1"/>
  <c r="U14" i="14"/>
  <c r="V14" i="14" s="1"/>
  <c r="E19" i="2"/>
  <c r="I19" i="2" s="1"/>
  <c r="E38" i="2"/>
  <c r="I38" i="2" s="1"/>
  <c r="M49" i="20"/>
  <c r="N38" i="20"/>
  <c r="O38" i="20" s="1"/>
  <c r="S12" i="14"/>
  <c r="U12" i="14" s="1"/>
  <c r="V12" i="14" s="1"/>
  <c r="S10" i="14"/>
  <c r="N19" i="14"/>
  <c r="S13" i="14"/>
  <c r="U13" i="14" s="1"/>
  <c r="V13" i="14" s="1"/>
  <c r="I17" i="2"/>
  <c r="I40" i="2"/>
  <c r="M40" i="2" s="1"/>
  <c r="I36" i="2"/>
  <c r="B22" i="2"/>
  <c r="B50" i="2" s="1"/>
  <c r="I11" i="2"/>
  <c r="M11" i="2" s="1"/>
  <c r="U13" i="17" l="1"/>
  <c r="V13" i="17" s="1"/>
  <c r="F22" i="20"/>
  <c r="I17" i="20"/>
  <c r="C22" i="18"/>
  <c r="C50" i="18" s="1"/>
  <c r="I21" i="18"/>
  <c r="M21" i="18" s="1"/>
  <c r="L48" i="18" s="1"/>
  <c r="M48" i="18" s="1"/>
  <c r="R18" i="17"/>
  <c r="U16" i="17"/>
  <c r="V16" i="17" s="1"/>
  <c r="F40" i="18"/>
  <c r="F17" i="18"/>
  <c r="C22" i="20"/>
  <c r="C50" i="20" s="1"/>
  <c r="I21" i="20"/>
  <c r="M21" i="20" s="1"/>
  <c r="L48" i="20" s="1"/>
  <c r="I40" i="20"/>
  <c r="F49" i="20"/>
  <c r="J22" i="18"/>
  <c r="J50" i="18" s="1"/>
  <c r="H21" i="2"/>
  <c r="H22" i="2" s="1"/>
  <c r="H50" i="2" s="1"/>
  <c r="M19" i="2"/>
  <c r="L46" i="2"/>
  <c r="M46" i="2" s="1"/>
  <c r="I49" i="2"/>
  <c r="M17" i="2"/>
  <c r="L44" i="2"/>
  <c r="S18" i="14"/>
  <c r="U10" i="14"/>
  <c r="V10" i="14" s="1"/>
  <c r="M36" i="2"/>
  <c r="J21" i="2"/>
  <c r="J22" i="2" s="1"/>
  <c r="J50" i="2" s="1"/>
  <c r="I32" i="2"/>
  <c r="M32" i="2" s="1"/>
  <c r="I31" i="2"/>
  <c r="M31" i="2" s="1"/>
  <c r="N31" i="2" s="1"/>
  <c r="F50" i="20" l="1"/>
  <c r="I22" i="20"/>
  <c r="M40" i="20"/>
  <c r="I49" i="20"/>
  <c r="I50" i="20" s="1"/>
  <c r="F49" i="18"/>
  <c r="I40" i="18"/>
  <c r="L44" i="20"/>
  <c r="M44" i="20" s="1"/>
  <c r="M17" i="20"/>
  <c r="F22" i="18"/>
  <c r="I17" i="18"/>
  <c r="L49" i="20"/>
  <c r="M48" i="20"/>
  <c r="M44" i="2"/>
  <c r="E22" i="2"/>
  <c r="I10" i="2"/>
  <c r="M10" i="2" s="1"/>
  <c r="G21" i="2"/>
  <c r="G22" i="2" s="1"/>
  <c r="G50" i="2" s="1"/>
  <c r="I34" i="2"/>
  <c r="M34" i="2" s="1"/>
  <c r="Q30" i="3"/>
  <c r="N30" i="3"/>
  <c r="Q29" i="3"/>
  <c r="Q33" i="3" s="1"/>
  <c r="N29" i="3"/>
  <c r="N21" i="20" l="1"/>
  <c r="M22" i="20"/>
  <c r="L44" i="18"/>
  <c r="I22" i="18"/>
  <c r="M17" i="18"/>
  <c r="I49" i="18"/>
  <c r="M40" i="18"/>
  <c r="F50" i="18"/>
  <c r="N33" i="3"/>
  <c r="N11" i="2"/>
  <c r="I50" i="18" l="1"/>
  <c r="N21" i="18"/>
  <c r="M22" i="18"/>
  <c r="M44" i="18"/>
  <c r="L49" i="18"/>
  <c r="N22" i="20"/>
  <c r="N34" i="20"/>
  <c r="E50" i="2"/>
  <c r="M38" i="2"/>
  <c r="I13" i="2"/>
  <c r="M13" i="2" s="1"/>
  <c r="C21" i="2"/>
  <c r="I21" i="2" s="1"/>
  <c r="M21" i="2" s="1"/>
  <c r="L48" i="2" s="1"/>
  <c r="N22" i="18" l="1"/>
  <c r="N34" i="18"/>
  <c r="M48" i="2"/>
  <c r="L49" i="2"/>
  <c r="N38" i="2"/>
  <c r="O38" i="2" s="1"/>
  <c r="M49" i="2"/>
  <c r="C22" i="2"/>
  <c r="C50" i="2" s="1"/>
  <c r="F22" i="2" l="1"/>
  <c r="F50" i="2" s="1"/>
  <c r="I22" i="2" l="1"/>
  <c r="N21" i="2" l="1"/>
  <c r="M22" i="2"/>
  <c r="I50" i="2"/>
  <c r="N22" i="2" l="1"/>
  <c r="N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tc={DDD047C3-23E0-446E-AA64-87DF2078CEDB}</author>
    <author>tc={2373A455-6BE3-4E79-91CE-9335CB49BADE}</author>
    <author>tc={00838638-EB31-40FF-951F-18C07E648904}</author>
    <author>tc={D69B03A8-3DC2-47E6-88F2-D9A6C63C6FDA}</author>
  </authors>
  <commentList>
    <comment ref="F2" authorId="0" shapeId="0" xr:uid="{DDD047C3-23E0-446E-AA64-87DF2078CEDB}">
      <text>
        <t>[Threaded comment]
Your version of Excel allows you to read this threaded comment; however, any edits to it will get removed if the file is opened in a newer version of Excel. Learn more: https://go.microsoft.com/fwlink/?linkid=870924
Comment:
    Q2: Space made for estimating water use by acreage</t>
      </text>
    </comment>
    <comment ref="M2" authorId="1" shapeId="0" xr:uid="{2373A455-6BE3-4E79-91CE-9335CB49BADE}">
      <text>
        <t>[Threaded comment]
Your version of Excel allows you to read this threaded comment; however, any edits to it will get removed if the file is opened in a newer version of Excel. Learn more: https://go.microsoft.com/fwlink/?linkid=870924
Comment:
    Q2: Space made for estimating water use by acreage</t>
      </text>
    </comment>
    <comment ref="T2" authorId="2" shapeId="0" xr:uid="{00838638-EB31-40FF-951F-18C07E648904}">
      <text>
        <t>[Threaded comment]
Your version of Excel allows you to read this threaded comment; however, any edits to it will get removed if the file is opened in a newer version of Excel. Learn more: https://go.microsoft.com/fwlink/?linkid=870924
Comment:
    Q2: Space made for estimating water use by acreage</t>
      </text>
    </comment>
    <comment ref="A8" authorId="3" shapeId="0" xr:uid="{D69B03A8-3DC2-47E6-88F2-D9A6C63C6FDA}">
      <text>
        <t>[Threaded comment]
Your version of Excel allows you to read this threaded comment; however, any edits to it will get removed if the file is opened in a newer version of Excel. Learn more: https://go.microsoft.com/fwlink/?linkid=870924
Comment:
    Q1: Space added for additional crops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tc={816D322F-9F05-4B7E-B2D6-1F4A0EB6DE88}</author>
    <author>tc={0557AD66-8353-4022-8F98-15148E77D4DD}</author>
  </authors>
  <commentList>
    <comment ref="D3" authorId="0" shapeId="0" xr:uid="{816D322F-9F05-4B7E-B2D6-1F4A0EB6DE88}">
      <text>
        <t>[Threaded comment]
Your version of Excel allows you to read this threaded comment; however, any edits to it will get removed if the file is opened in a newer version of Excel. Learn more: https://go.microsoft.com/fwlink/?linkid=870924
Comment:
    Suspected Data Problem: This value far exceeds comparable values in the same year and in other years.</t>
      </text>
    </comment>
    <comment ref="B32" authorId="1" shapeId="0" xr:uid="{0557AD66-8353-4022-8F98-15148E77D4DD}">
      <text>
        <t>[Threaded comment]
Your version of Excel allows you to read this threaded comment; however, any edits to it will get removed if the file is opened in a newer version of Excel. Learn more: https://go.microsoft.com/fwlink/?linkid=870924
Comment:
    Industry, Domestic, Public and Other surface water supply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tc={131711C8-40EC-4CB1-9EF3-121B8A2B1429}</author>
    <author>tc={7EB94368-5D2D-46DB-9ED5-D795F0D81F51}</author>
    <author>tc={DF81AC55-3021-4C88-A999-757F9C1874A9}</author>
    <author>tc={1A2F9B10-72F3-44C8-A1BD-717B1FE968DB}</author>
    <author>tc={D9E4C601-36B1-40ED-81E3-B6197283FFE7}</author>
    <author>tc={B8CC894D-7820-4294-BC07-AA356F4FBB73}</author>
    <author>tc={E2B849CE-922A-494A-A192-0A20133E0568}</author>
    <author>tc={809AD723-3C7F-4D12-86E4-A6B2D34BBD04}</author>
    <author>tc={E707C7D9-4FC0-496A-8C96-7403FE79EBB9}</author>
    <author>tc={A806B86C-A37C-4530-B7D2-55CC642972BD}</author>
    <author>tc={E222DE2A-DC60-45B1-B1BB-D3E5C5F5B407}</author>
    <author>tc={2812468B-0320-4155-826B-A3C87472824A}</author>
  </authors>
  <commentList>
    <comment ref="AO4" authorId="0" shapeId="0" xr:uid="{131711C8-40EC-4CB1-9EF3-121B8A2B1429}">
      <text>
        <t>[Threaded comment]
Your version of Excel allows you to read this threaded comment; however, any edits to it will get removed if the file is opened in a newer version of Excel. Learn more: https://go.microsoft.com/fwlink/?linkid=870924
Comment:
    Inserted Water Produced Value</t>
      </text>
    </comment>
    <comment ref="N10" authorId="1" shapeId="0" xr:uid="{7EB94368-5D2D-46DB-9ED5-D795F0D81F51}">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T10" authorId="2" shapeId="0" xr:uid="{DF81AC55-3021-4C88-A999-757F9C1874A9}">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U10" authorId="3" shapeId="0" xr:uid="{1A2F9B10-72F3-44C8-A1BD-717B1FE968DB}">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Y10" authorId="4" shapeId="0" xr:uid="{D9E4C601-36B1-40ED-81E3-B6197283FFE7}">
      <text>
        <t>[Threaded comment]
Your version of Excel allows you to read this threaded comment; however, any edits to it will get removed if the file is opened in a newer version of Excel. Learn more: https://go.microsoft.com/fwlink/?linkid=870924
Comment:
    Adjusted by using SW value</t>
      </text>
    </comment>
    <comment ref="AP10" authorId="5" shapeId="0" xr:uid="{B8CC894D-7820-4294-BC07-AA356F4FBB73}">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AX10" authorId="6" shapeId="0" xr:uid="{E2B849CE-922A-494A-A192-0A20133E0568}">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AY10" authorId="7" shapeId="0" xr:uid="{809AD723-3C7F-4D12-86E4-A6B2D34BBD04}">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AZ10" authorId="8" shapeId="0" xr:uid="{E707C7D9-4FC0-496A-8C96-7403FE79EBB9}">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BM10" authorId="9" shapeId="0" xr:uid="{A806B86C-A37C-4530-B7D2-55CC642972BD}">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BT10" authorId="10" shapeId="0" xr:uid="{E222DE2A-DC60-45B1-B1BB-D3E5C5F5B407}">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 ref="CL10" authorId="11" shapeId="0" xr:uid="{2812468B-0320-4155-826B-A3C87472824A}">
      <text>
        <t>[Threaded comment]
Your version of Excel allows you to read this threaded comment; however, any edits to it will get removed if the file is opened in a newer version of Excel. Learn more: https://go.microsoft.com/fwlink/?linkid=870924
Comment:
    Adjusted by adding GW value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82" authorId="0" shapeId="0" xr:uid="{94C07779-0D75-4D1C-AE32-ABABDC5299A8}">
      <text>
        <r>
          <rPr>
            <b/>
            <sz val="9"/>
            <color indexed="81"/>
            <rFont val="Tahoma"/>
            <family val="2"/>
          </rPr>
          <t>user:</t>
        </r>
        <r>
          <rPr>
            <sz val="9"/>
            <color indexed="81"/>
            <rFont val="Tahoma"/>
            <family val="2"/>
          </rPr>
          <t xml:space="preserve">
total of domestic, industrial, public and other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tc={2879F8AF-94B5-4D1F-A8BA-DA1A3878E3BB}</author>
  </authors>
  <commentList>
    <comment ref="R9" authorId="0" shapeId="0" xr:uid="{8A9AD79A-0AEB-44A5-9DC9-B838BE7C1A60}">
      <text>
        <r>
          <rPr>
            <b/>
            <sz val="9"/>
            <color indexed="81"/>
            <rFont val="Tahoma"/>
            <family val="2"/>
          </rPr>
          <t>user:</t>
        </r>
        <r>
          <rPr>
            <sz val="9"/>
            <color indexed="81"/>
            <rFont val="Tahoma"/>
            <family val="2"/>
          </rPr>
          <t xml:space="preserve">
study in 2009 found that paddy fields have a return of 25.7% annually</t>
        </r>
      </text>
    </comment>
    <comment ref="S14" authorId="1" shapeId="0" xr:uid="{2879F8AF-94B5-4D1F-A8BA-DA1A3878E3BB}">
      <text>
        <t>[Threaded comment]
Your version of Excel allows you to read this threaded comment; however, any edits to it will get removed if the file is opened in a newer version of Excel. Learn more: https://go.microsoft.com/fwlink/?linkid=870924
Comment:
    Both non-revenue could be lost through return flows or incorporated into products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2" authorId="0" shapeId="0" xr:uid="{6A88571D-924C-4393-A72B-1B1CEA70E567}">
      <text>
        <r>
          <rPr>
            <b/>
            <sz val="9"/>
            <color indexed="81"/>
            <rFont val="Tahoma"/>
            <family val="2"/>
          </rPr>
          <t>user:</t>
        </r>
        <r>
          <rPr>
            <sz val="9"/>
            <color indexed="81"/>
            <rFont val="Tahoma"/>
            <family val="2"/>
          </rPr>
          <t xml:space="preserve">
Hydropower
</t>
        </r>
      </text>
    </comment>
    <comment ref="B17" authorId="0" shapeId="0" xr:uid="{CAB58A00-2EFB-423E-AF8F-3AB4FC2AFF91}">
      <text>
        <r>
          <rPr>
            <b/>
            <sz val="9"/>
            <color indexed="81"/>
            <rFont val="Tahoma"/>
            <family val="2"/>
          </rPr>
          <t>user:</t>
        </r>
        <r>
          <rPr>
            <sz val="9"/>
            <color indexed="81"/>
            <rFont val="Tahoma"/>
            <family val="2"/>
          </rPr>
          <t xml:space="preserve">
study in 2009 found that paddy fields have a return of 25.7% annually</t>
        </r>
      </text>
    </comment>
    <comment ref="D28" authorId="0" shapeId="0" xr:uid="{BFB8E3F0-341B-4DF8-A911-360E6C9FBBBA}">
      <text>
        <r>
          <rPr>
            <b/>
            <sz val="9"/>
            <color indexed="81"/>
            <rFont val="Tahoma"/>
            <family val="2"/>
          </rPr>
          <t>user:</t>
        </r>
        <r>
          <rPr>
            <sz val="9"/>
            <color indexed="81"/>
            <rFont val="Tahoma"/>
            <family val="2"/>
          </rPr>
          <t xml:space="preserve">
Hydropower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tc={D0D7A268-5B6C-44A2-9006-58880F0560FE}</author>
  </authors>
  <commentList>
    <comment ref="R9" authorId="0" shapeId="0" xr:uid="{F1CABC06-523C-452F-A8D1-47338A8F5D0A}">
      <text>
        <r>
          <rPr>
            <b/>
            <sz val="9"/>
            <color indexed="81"/>
            <rFont val="Tahoma"/>
            <family val="2"/>
          </rPr>
          <t>user:</t>
        </r>
        <r>
          <rPr>
            <sz val="9"/>
            <color indexed="81"/>
            <rFont val="Tahoma"/>
            <family val="2"/>
          </rPr>
          <t xml:space="preserve">
study in 2009 found that paddy fields have a return of 25.7% annually</t>
        </r>
      </text>
    </comment>
    <comment ref="S14" authorId="1" shapeId="0" xr:uid="{D0D7A268-5B6C-44A2-9006-58880F0560FE}">
      <text>
        <t>[Threaded comment]
Your version of Excel allows you to read this threaded comment; however, any edits to it will get removed if the file is opened in a newer version of Excel. Learn more: https://go.microsoft.com/fwlink/?linkid=870924
Comment:
    Both non-revenue could be lost through return flows or incorporated into products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2" authorId="0" shapeId="0" xr:uid="{CBC5C058-0C9F-4B03-8BB4-57906B342914}">
      <text>
        <r>
          <rPr>
            <b/>
            <sz val="9"/>
            <color indexed="81"/>
            <rFont val="Tahoma"/>
            <family val="2"/>
          </rPr>
          <t>user:</t>
        </r>
        <r>
          <rPr>
            <sz val="9"/>
            <color indexed="81"/>
            <rFont val="Tahoma"/>
            <family val="2"/>
          </rPr>
          <t xml:space="preserve">
Hydropower
</t>
        </r>
      </text>
    </comment>
    <comment ref="B17" authorId="0" shapeId="0" xr:uid="{0A7247C5-97CE-45A9-AD89-931274AF4871}">
      <text>
        <r>
          <rPr>
            <b/>
            <sz val="9"/>
            <color indexed="81"/>
            <rFont val="Tahoma"/>
            <family val="2"/>
          </rPr>
          <t>user:</t>
        </r>
        <r>
          <rPr>
            <sz val="9"/>
            <color indexed="81"/>
            <rFont val="Tahoma"/>
            <family val="2"/>
          </rPr>
          <t xml:space="preserve">
study in 2009 found that paddy fields have a return of 25.7% annually</t>
        </r>
      </text>
    </comment>
    <comment ref="D28" authorId="0" shapeId="0" xr:uid="{C6CF0681-A639-48D1-A606-964A372CC78D}">
      <text>
        <r>
          <rPr>
            <b/>
            <sz val="9"/>
            <color indexed="81"/>
            <rFont val="Tahoma"/>
            <family val="2"/>
          </rPr>
          <t>user:</t>
        </r>
        <r>
          <rPr>
            <sz val="9"/>
            <color indexed="81"/>
            <rFont val="Tahoma"/>
            <family val="2"/>
          </rPr>
          <t xml:space="preserve">
Hydropower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user</author>
    <author>tc={EAA3E62D-1A65-43A3-BD8B-639618458A6C}</author>
  </authors>
  <commentList>
    <comment ref="R9" authorId="0" shapeId="0" xr:uid="{6A8FF422-51F6-40DD-B1C8-6E0B507BA0FA}">
      <text>
        <r>
          <rPr>
            <b/>
            <sz val="9"/>
            <color indexed="81"/>
            <rFont val="Tahoma"/>
            <family val="2"/>
          </rPr>
          <t>user:</t>
        </r>
        <r>
          <rPr>
            <sz val="9"/>
            <color indexed="81"/>
            <rFont val="Tahoma"/>
            <family val="2"/>
          </rPr>
          <t xml:space="preserve">
study in 2009 found that paddy fields have a return of 25.7% annually</t>
        </r>
      </text>
    </comment>
    <comment ref="S14" authorId="1" shapeId="0" xr:uid="{EAA3E62D-1A65-43A3-BD8B-639618458A6C}">
      <text>
        <t>[Threaded comment]
Your version of Excel allows you to read this threaded comment; however, any edits to it will get removed if the file is opened in a newer version of Excel. Learn more: https://go.microsoft.com/fwlink/?linkid=870924
Comment:
    Both non-revenue could be lost through return flows or incorporated into products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2" authorId="0" shapeId="0" xr:uid="{EC9BAA42-9235-420D-8C97-ABFF142C6CF0}">
      <text>
        <r>
          <rPr>
            <b/>
            <sz val="9"/>
            <color indexed="81"/>
            <rFont val="Tahoma"/>
            <family val="2"/>
          </rPr>
          <t>user:</t>
        </r>
        <r>
          <rPr>
            <sz val="9"/>
            <color indexed="81"/>
            <rFont val="Tahoma"/>
            <family val="2"/>
          </rPr>
          <t xml:space="preserve">
Hydropower
</t>
        </r>
      </text>
    </comment>
    <comment ref="B17" authorId="0" shapeId="0" xr:uid="{A073A447-93D3-47E0-B65F-07C331FDE35B}">
      <text>
        <r>
          <rPr>
            <b/>
            <sz val="9"/>
            <color indexed="81"/>
            <rFont val="Tahoma"/>
            <family val="2"/>
          </rPr>
          <t>user:</t>
        </r>
        <r>
          <rPr>
            <sz val="9"/>
            <color indexed="81"/>
            <rFont val="Tahoma"/>
            <family val="2"/>
          </rPr>
          <t xml:space="preserve">
study in 2009 found that paddy fields have a return of 25.7% annually</t>
        </r>
      </text>
    </comment>
    <comment ref="D28" authorId="0" shapeId="0" xr:uid="{58FDEAB6-E407-4DC0-A022-4DC3402EC9E0}">
      <text>
        <r>
          <rPr>
            <b/>
            <sz val="9"/>
            <color indexed="81"/>
            <rFont val="Tahoma"/>
            <family val="2"/>
          </rPr>
          <t>user:</t>
        </r>
        <r>
          <rPr>
            <sz val="9"/>
            <color indexed="81"/>
            <rFont val="Tahoma"/>
            <family val="2"/>
          </rPr>
          <t xml:space="preserve">
Hydropower
</t>
        </r>
      </text>
    </comment>
  </commentList>
</comments>
</file>

<file path=xl/sharedStrings.xml><?xml version="1.0" encoding="utf-8"?>
<sst xmlns="http://schemas.openxmlformats.org/spreadsheetml/2006/main" count="1694" uniqueCount="567">
  <si>
    <t>Residual</t>
  </si>
  <si>
    <t>Total</t>
  </si>
  <si>
    <t>Institutions</t>
  </si>
  <si>
    <t>Non-revenue water</t>
  </si>
  <si>
    <t>Surface Water</t>
  </si>
  <si>
    <t>PHYSICAL SUPPLY TABLE</t>
  </si>
  <si>
    <t>Industries (by ISIC)</t>
  </si>
  <si>
    <t>Households</t>
  </si>
  <si>
    <t>Flows from the Rest of the World (Imports)</t>
  </si>
  <si>
    <t>Flows from the Environment</t>
  </si>
  <si>
    <t>Total Supply</t>
  </si>
  <si>
    <t>Electricity, gas, steam and air conditioning</t>
  </si>
  <si>
    <t>Water collection, treatment and supply</t>
  </si>
  <si>
    <t>Sewerage</t>
  </si>
  <si>
    <t>Other Industries</t>
  </si>
  <si>
    <t>Total Industry</t>
  </si>
  <si>
    <t>1. Sources of Abstracted Water:</t>
  </si>
  <si>
    <t>Groundwater</t>
  </si>
  <si>
    <t>Other Water Sources</t>
  </si>
  <si>
    <t>Total Supply Abstracted Water</t>
  </si>
  <si>
    <t>2. Water:</t>
  </si>
  <si>
    <t>Distribution of abstracted water</t>
  </si>
  <si>
    <t>Own use of abstracted water</t>
  </si>
  <si>
    <t>3. Wastewater and re-used water:</t>
  </si>
  <si>
    <t>Wastewater to treatment</t>
  </si>
  <si>
    <t>Own treatment of wastewater</t>
  </si>
  <si>
    <t>Re-used water produced (for distribution)</t>
  </si>
  <si>
    <t>4. Return flows of water:</t>
  </si>
  <si>
    <t>To inland water resources</t>
  </si>
  <si>
    <t>To other sources</t>
  </si>
  <si>
    <t>5. Evaporation of abstracted water, transpiration and water incorporated into products:</t>
  </si>
  <si>
    <t>Total water evaporated, transpired and incorporated into products</t>
  </si>
  <si>
    <t xml:space="preserve">TOTAL SUPPLY  </t>
  </si>
  <si>
    <t>ANNUAL CROP PRODUCTION AND WATER USE DATA - PUBLIC IRRIGATION SCHEMES</t>
  </si>
  <si>
    <t>Irrigation Scheme</t>
  </si>
  <si>
    <t>County</t>
  </si>
  <si>
    <t>Crops</t>
  </si>
  <si>
    <t>Volume of Water Use (cubic meters)</t>
  </si>
  <si>
    <t>Area Cropped (acres)</t>
  </si>
  <si>
    <t>Production (Tonnes)</t>
  </si>
  <si>
    <t>Mwea</t>
  </si>
  <si>
    <t>Kirinyaga</t>
  </si>
  <si>
    <t>Rice</t>
  </si>
  <si>
    <t>Main season 1</t>
  </si>
  <si>
    <t>Crop season 2</t>
  </si>
  <si>
    <t>Ratoon</t>
  </si>
  <si>
    <t>Tana</t>
  </si>
  <si>
    <t>Tana River</t>
  </si>
  <si>
    <t>Rice, Maize</t>
  </si>
  <si>
    <t>Bura</t>
  </si>
  <si>
    <t>NIL</t>
  </si>
  <si>
    <t>Perkerra</t>
  </si>
  <si>
    <t>Baringo</t>
  </si>
  <si>
    <t>Maize</t>
  </si>
  <si>
    <t>Ahero</t>
  </si>
  <si>
    <t>Kisumu</t>
  </si>
  <si>
    <t>West Kano</t>
  </si>
  <si>
    <t>Bunyala</t>
  </si>
  <si>
    <t>Busia/Siaya</t>
  </si>
  <si>
    <t>Domestic</t>
  </si>
  <si>
    <t>Category</t>
  </si>
  <si>
    <t>ABA_SW</t>
  </si>
  <si>
    <t>ABA_GW</t>
  </si>
  <si>
    <t>TBA_SW</t>
  </si>
  <si>
    <t>TBA_GW</t>
  </si>
  <si>
    <t>LVNBA_SW</t>
  </si>
  <si>
    <t>LVNBA_GW</t>
  </si>
  <si>
    <t>LVSBA_SW</t>
  </si>
  <si>
    <t>LVSBA_GW</t>
  </si>
  <si>
    <t>RVBA_SW</t>
  </si>
  <si>
    <t>RVBA_GW</t>
  </si>
  <si>
    <t>ENNBA_SW</t>
  </si>
  <si>
    <t>ENNBA_GW</t>
  </si>
  <si>
    <t>TOTAL_SW</t>
  </si>
  <si>
    <t>TOTAL_GW</t>
  </si>
  <si>
    <t>Public</t>
  </si>
  <si>
    <t>Livestock</t>
  </si>
  <si>
    <t>Commercial Irrigation</t>
  </si>
  <si>
    <t>Industrial/commercial</t>
  </si>
  <si>
    <t>Hydropower</t>
  </si>
  <si>
    <t>Others</t>
  </si>
  <si>
    <t>TOTAL</t>
  </si>
  <si>
    <t>2023</t>
  </si>
  <si>
    <t>2024</t>
  </si>
  <si>
    <t>Nairobi</t>
  </si>
  <si>
    <t>Uasin Gishu</t>
  </si>
  <si>
    <t>Mombasa</t>
  </si>
  <si>
    <t>Nakuru</t>
  </si>
  <si>
    <t>Nyeri</t>
  </si>
  <si>
    <t>Kiambu</t>
  </si>
  <si>
    <t>Murang'a</t>
  </si>
  <si>
    <t>Bungoma</t>
  </si>
  <si>
    <t>Kilifi</t>
  </si>
  <si>
    <t>Embu</t>
  </si>
  <si>
    <t>Kakamega</t>
  </si>
  <si>
    <t xml:space="preserve">Kericho </t>
  </si>
  <si>
    <t>Taita-Taveta</t>
  </si>
  <si>
    <t>Laikipia</t>
  </si>
  <si>
    <t>Kisii</t>
  </si>
  <si>
    <t>Garissa</t>
  </si>
  <si>
    <t>Bomet</t>
  </si>
  <si>
    <t>Kwale</t>
  </si>
  <si>
    <t>Meru</t>
  </si>
  <si>
    <t>Kitui</t>
  </si>
  <si>
    <t>Siaya</t>
  </si>
  <si>
    <t>Tharaka-Nithi</t>
  </si>
  <si>
    <t>Machakos</t>
  </si>
  <si>
    <t>Isiolo</t>
  </si>
  <si>
    <t>Kajiado</t>
  </si>
  <si>
    <t>Vihiga</t>
  </si>
  <si>
    <t>Busia</t>
  </si>
  <si>
    <t>Homabay</t>
  </si>
  <si>
    <t>Nyandarua</t>
  </si>
  <si>
    <t>Makueni</t>
  </si>
  <si>
    <t>Narok</t>
  </si>
  <si>
    <t>Migori</t>
  </si>
  <si>
    <t>Nandi</t>
  </si>
  <si>
    <t>Samburu</t>
  </si>
  <si>
    <t>Lamu</t>
  </si>
  <si>
    <t>Elgeiyo Marakwet</t>
  </si>
  <si>
    <t>Mandera</t>
  </si>
  <si>
    <t>West Pokot</t>
  </si>
  <si>
    <t>Wajir</t>
  </si>
  <si>
    <t>Marsabit</t>
  </si>
  <si>
    <t>INDICATORS</t>
  </si>
  <si>
    <t>Eldoret</t>
  </si>
  <si>
    <t>Nakuru Urban</t>
  </si>
  <si>
    <t>Thika</t>
  </si>
  <si>
    <t>Ruiru-Juja</t>
  </si>
  <si>
    <t>Murang'a South</t>
  </si>
  <si>
    <t>Nzoia</t>
  </si>
  <si>
    <t>Kilifi Mariakani</t>
  </si>
  <si>
    <t>Gatundu</t>
  </si>
  <si>
    <t>Malindi</t>
  </si>
  <si>
    <t>Kericho</t>
  </si>
  <si>
    <t>Othaya Mukurweini</t>
  </si>
  <si>
    <t>Mathira</t>
  </si>
  <si>
    <t>Nakuru Rural</t>
  </si>
  <si>
    <t>Tavevo</t>
  </si>
  <si>
    <t>Nanyuki</t>
  </si>
  <si>
    <t>Murang'a West</t>
  </si>
  <si>
    <t>Murang'a Urban</t>
  </si>
  <si>
    <t>Nyahururu</t>
  </si>
  <si>
    <t>Gusii</t>
  </si>
  <si>
    <t>Ngandori Nginda</t>
  </si>
  <si>
    <t>Sibo</t>
  </si>
  <si>
    <t>Tetu Aberdare</t>
  </si>
  <si>
    <t>Nithi</t>
  </si>
  <si>
    <t>Gatamathi</t>
  </si>
  <si>
    <t>Mavoko</t>
  </si>
  <si>
    <t>Kikuyu</t>
  </si>
  <si>
    <t>Limuru</t>
  </si>
  <si>
    <t>Gatanga</t>
  </si>
  <si>
    <t>Githunguri</t>
  </si>
  <si>
    <t>Naivasha</t>
  </si>
  <si>
    <t>Ngagaka</t>
  </si>
  <si>
    <t>Oloolaiser</t>
  </si>
  <si>
    <t>Imetha</t>
  </si>
  <si>
    <t>Amatsi</t>
  </si>
  <si>
    <t>Karuri</t>
  </si>
  <si>
    <t>Kyeni</t>
  </si>
  <si>
    <t>Nol Turesh</t>
  </si>
  <si>
    <t>Tuuru</t>
  </si>
  <si>
    <t>Kibwezi Makindu</t>
  </si>
  <si>
    <t>Embe</t>
  </si>
  <si>
    <t>Kapsabet Nandi</t>
  </si>
  <si>
    <t>Kirandich</t>
  </si>
  <si>
    <t>Murugi Mugumango</t>
  </si>
  <si>
    <t>Chemususu</t>
  </si>
  <si>
    <t>Kiambere Mwingi</t>
  </si>
  <si>
    <t>Iten Tambach</t>
  </si>
  <si>
    <t>Kakamega Rural</t>
  </si>
  <si>
    <t>Ol Kalou</t>
  </si>
  <si>
    <t>Olkejuado</t>
  </si>
  <si>
    <t>Muthambi 4K</t>
  </si>
  <si>
    <t>Kapenguria</t>
  </si>
  <si>
    <t>Rukanga</t>
  </si>
  <si>
    <t>Naromoru</t>
  </si>
  <si>
    <t>Elwak</t>
  </si>
  <si>
    <t>Yatta</t>
  </si>
  <si>
    <t>Kathiani</t>
  </si>
  <si>
    <t>Kiamumbi</t>
  </si>
  <si>
    <t>Matungulu Kangundo</t>
  </si>
  <si>
    <t>Wote</t>
  </si>
  <si>
    <t>Mbooni</t>
  </si>
  <si>
    <t>Nyasare</t>
  </si>
  <si>
    <t>Tachasis</t>
  </si>
  <si>
    <t>Runda</t>
  </si>
  <si>
    <t>Mwala</t>
  </si>
  <si>
    <t>Two Rivers</t>
  </si>
  <si>
    <t>Tatu City</t>
  </si>
  <si>
    <t>Surface Water Abstracted</t>
  </si>
  <si>
    <t>Ground water abstracted</t>
  </si>
  <si>
    <t>Total volume of water treated</t>
  </si>
  <si>
    <t>Imported treated water</t>
  </si>
  <si>
    <t>Exported treated water</t>
  </si>
  <si>
    <t>Metered volume produced</t>
  </si>
  <si>
    <t>Unmeterd volume produced</t>
  </si>
  <si>
    <t>Total Billed Volume</t>
  </si>
  <si>
    <t>Total Water Produced</t>
  </si>
  <si>
    <t>Total sewage treated</t>
  </si>
  <si>
    <t>Total Expenditures</t>
  </si>
  <si>
    <t>Total Expenditures-Water</t>
  </si>
  <si>
    <t>Total expenditures-sewerage</t>
  </si>
  <si>
    <t>Actual cost of water produced</t>
  </si>
  <si>
    <t>Water Value (in Ksh.) per category</t>
  </si>
  <si>
    <t>Individual</t>
  </si>
  <si>
    <t xml:space="preserve">Multi-dwelling units </t>
  </si>
  <si>
    <t>Schools</t>
  </si>
  <si>
    <t>Commercial customers</t>
  </si>
  <si>
    <t>Industries</t>
  </si>
  <si>
    <t>Kiosks</t>
  </si>
  <si>
    <t>Bulk</t>
  </si>
  <si>
    <t>Sewer Value (in Ksh.) per category</t>
  </si>
  <si>
    <t>2021 (m3 per Day)</t>
  </si>
  <si>
    <t>Yearly Total</t>
  </si>
  <si>
    <t>Total without Hydro</t>
  </si>
  <si>
    <t>Data Cell Colour Codes within Water Accounts</t>
  </si>
  <si>
    <t>White</t>
  </si>
  <si>
    <t>Expected empty cells</t>
  </si>
  <si>
    <t>Green</t>
  </si>
  <si>
    <t>Data Text Colour Codes within Water Accounts</t>
  </si>
  <si>
    <t xml:space="preserve">Black Text </t>
  </si>
  <si>
    <t>Calculations</t>
  </si>
  <si>
    <t xml:space="preserve">Blue Text </t>
  </si>
  <si>
    <t>Data entered from data input sources</t>
  </si>
  <si>
    <t>Red Text</t>
  </si>
  <si>
    <t>Work in progress</t>
  </si>
  <si>
    <t>Orange</t>
  </si>
  <si>
    <t>Lakipia</t>
  </si>
  <si>
    <t>Turkana</t>
  </si>
  <si>
    <t>Othaya Mukurweni</t>
  </si>
  <si>
    <t>Lodwar</t>
  </si>
  <si>
    <t>Mutitu</t>
  </si>
  <si>
    <t>Ndaragwa</t>
  </si>
  <si>
    <t>Surface water abstracted</t>
  </si>
  <si>
    <t>Total Volume of water treated</t>
  </si>
  <si>
    <t>Total Expenditures-water</t>
  </si>
  <si>
    <t>Total Expenditures-sewerage</t>
  </si>
  <si>
    <t>Actual cost-water produced</t>
  </si>
  <si>
    <t>2022 (m3 per day)</t>
  </si>
  <si>
    <t>Industrial/ Commercial</t>
  </si>
  <si>
    <t>Project Name</t>
  </si>
  <si>
    <t>Storage Mode</t>
  </si>
  <si>
    <t>Capacity (m³)</t>
  </si>
  <si>
    <t>Volume Harvested/Year (m³)</t>
  </si>
  <si>
    <t>Volume Used/Year (m³)</t>
  </si>
  <si>
    <t>Table 1: Water Harvesting Projects (2021–2024)</t>
  </si>
  <si>
    <t>Habahaba Dam</t>
  </si>
  <si>
    <t>Earth dam</t>
  </si>
  <si>
    <t>Ilmiotok Pan</t>
  </si>
  <si>
    <t>Water pan</t>
  </si>
  <si>
    <t>Kijabe II Pan</t>
  </si>
  <si>
    <t>Gubatu Pan</t>
  </si>
  <si>
    <t>Lokoporuk Pan</t>
  </si>
  <si>
    <t>Napeikar Pan</t>
  </si>
  <si>
    <t>Ngakichamor Pan</t>
  </si>
  <si>
    <t>Kangatosa Pan</t>
  </si>
  <si>
    <t>Ayweche Water Pan (Kasipul)</t>
  </si>
  <si>
    <t>Homa Bay</t>
  </si>
  <si>
    <t>Ngolania Earth Dam</t>
  </si>
  <si>
    <t>Ochunyno Primary W.S. Extension (Kasipul)</t>
  </si>
  <si>
    <t>Storage tank / Supply</t>
  </si>
  <si>
    <t>Kwoyo Sec. Piping Extension (Kasipul)</t>
  </si>
  <si>
    <t>Makiama Weir &amp; Malewa-Canary Pipeline</t>
  </si>
  <si>
    <t>Murang’a/Nyandarua</t>
  </si>
  <si>
    <t>Weir + supply</t>
  </si>
  <si>
    <t>Dusebima Water Pan (Takaba)</t>
  </si>
  <si>
    <t>Matadaka Water Pan (North Horr)</t>
  </si>
  <si>
    <t>Garay “Aresa” Water Pan (Aresa)</t>
  </si>
  <si>
    <t>Osinoni Check Dam</t>
  </si>
  <si>
    <t>Reservoir</t>
  </si>
  <si>
    <t>Table 2: Boreholes Developed (FY 2020–2022)</t>
  </si>
  <si>
    <t>Yield</t>
  </si>
  <si>
    <t>Estimated Annual Volume</t>
  </si>
  <si>
    <t>Notes</t>
  </si>
  <si>
    <t>Munyai Primary School</t>
  </si>
  <si>
    <t>School borehole; operational by 2020. Provides drinking water for students and local community.</t>
  </si>
  <si>
    <t>St. John Buko Sec. School</t>
  </si>
  <si>
    <t>School/community borehole. Supports ~5,000–10,000 liters per day usage.</t>
  </si>
  <si>
    <t>Mukima Dispensary</t>
  </si>
  <si>
    <t>High-yield borehole (health facility). Supports clinic and surrounding residents.</t>
  </si>
  <si>
    <t>Kabage Primary School</t>
  </si>
  <si>
    <t>School borehole serving local community water needs.</t>
  </si>
  <si>
    <t>Tuigon Welfare Self-Help Group</t>
  </si>
  <si>
    <t>Community-managed borehole (self-help group). Moderate yield.</t>
  </si>
  <si>
    <t>Akwanya Primary School</t>
  </si>
  <si>
    <t>School borehole in Kisumu County (improves local clean water access).</t>
  </si>
  <si>
    <t>Homalime Primary School</t>
  </si>
  <si>
    <t>School borehole, higher yield. Supports community around school as well.</t>
  </si>
  <si>
    <t>Sangwe Primary School</t>
  </si>
  <si>
    <t>Small community borehole (school-based) in Siaya. Lower yield but vital in dry seasons.</t>
  </si>
  <si>
    <t>Ramoya Primary School</t>
  </si>
  <si>
    <t>School borehole, moderate yield. Provides clean water locally in Siaya.</t>
  </si>
  <si>
    <t>Baricho Primary School</t>
  </si>
  <si>
    <t>School borehole at Baricho; relatively high yield. Augments local water supply in Kilifi.</t>
  </si>
  <si>
    <t>Maili 46 Elengata Wuas Pri. School</t>
  </si>
  <si>
    <t>Small-yield borehole in a semi-arid area (Kajiado). Provides a basic supply for the school and nearby community.</t>
  </si>
  <si>
    <t>Table 3: Large Dams Developed by NWHSA</t>
  </si>
  <si>
    <t>Storage Capacity</t>
  </si>
  <si>
    <t>Annual Volume Used</t>
  </si>
  <si>
    <t>Chemususu Dam (2014)</t>
  </si>
  <si>
    <t>Supports piped water to Eldama Ravine, Kabarnet, Marigat, and Mogotio towns.</t>
  </si>
  <si>
    <t>Kirandich Dam (1994, Phase II ongoing)</t>
  </si>
  <si>
    <t>Supports Kabarnet and surrounding areas.</t>
  </si>
  <si>
    <t>Maruba Dam (1950s; rehabilitated 2010)</t>
  </si>
  <si>
    <t>Main supply to Machakos town (8,000–8,700 m³/day).</t>
  </si>
  <si>
    <t>Kiserian Dam (2013)</t>
  </si>
  <si>
    <t>Serves Ongata Rongai area (~15,700 m³/day).</t>
  </si>
  <si>
    <t>Kalundu Dam (1950s)</t>
  </si>
  <si>
    <t>N/A (small utility supply).</t>
  </si>
  <si>
    <t>Naku’etum “Peace” Dam (2018)</t>
  </si>
  <si>
    <t>Seasonal use.</t>
  </si>
  <si>
    <t>Chebara Dam (1996)</t>
  </si>
  <si>
    <t>Under construction.</t>
  </si>
  <si>
    <t>Kipkarren (ongoing)</t>
  </si>
  <si>
    <t>Planned ~9,125,000 m³/year.</t>
  </si>
  <si>
    <t>Sasumua Dam</t>
  </si>
  <si>
    <t>Major dam supplying Nairobi (~59,000 m³/day).</t>
  </si>
  <si>
    <t>Subsistence Irrigation</t>
  </si>
  <si>
    <t>Total expenditures Other</t>
  </si>
  <si>
    <t>Light Green</t>
  </si>
  <si>
    <t>Data derived from Green and Light Green statistics</t>
  </si>
  <si>
    <t>Literature estimates</t>
  </si>
  <si>
    <t>Official statistics from KNBS and other government departments</t>
  </si>
  <si>
    <t>Data Source</t>
  </si>
  <si>
    <t>WASREB</t>
  </si>
  <si>
    <t>Totals</t>
  </si>
  <si>
    <t xml:space="preserve">Eldoret </t>
  </si>
  <si>
    <t xml:space="preserve">Embe </t>
  </si>
  <si>
    <t xml:space="preserve">Embu  </t>
  </si>
  <si>
    <t xml:space="preserve">Garissa  </t>
  </si>
  <si>
    <t xml:space="preserve">Imetha </t>
  </si>
  <si>
    <t xml:space="preserve">Isiolo  </t>
  </si>
  <si>
    <t xml:space="preserve">Kahuti </t>
  </si>
  <si>
    <t xml:space="preserve">Kakamega </t>
  </si>
  <si>
    <t xml:space="preserve">Kathiani </t>
  </si>
  <si>
    <t xml:space="preserve">Kiambere Mwingi </t>
  </si>
  <si>
    <t xml:space="preserve">Kiamumbi </t>
  </si>
  <si>
    <t xml:space="preserve">Kibwezi Makindu </t>
  </si>
  <si>
    <t xml:space="preserve">Kilifi Mariakani </t>
  </si>
  <si>
    <t xml:space="preserve">Kitui </t>
  </si>
  <si>
    <t xml:space="preserve">Kwale </t>
  </si>
  <si>
    <t xml:space="preserve">Kyeni  </t>
  </si>
  <si>
    <t xml:space="preserve">Machakos  </t>
  </si>
  <si>
    <t xml:space="preserve">Malindi </t>
  </si>
  <si>
    <t xml:space="preserve">Matungulu Kangundo </t>
  </si>
  <si>
    <t xml:space="preserve">Mavoko  </t>
  </si>
  <si>
    <t xml:space="preserve">Mbooni </t>
  </si>
  <si>
    <t xml:space="preserve">Mombasa </t>
  </si>
  <si>
    <t xml:space="preserve">Murugi Mugumango </t>
  </si>
  <si>
    <t xml:space="preserve">Mwala  </t>
  </si>
  <si>
    <t xml:space="preserve">Naivasha  </t>
  </si>
  <si>
    <t xml:space="preserve">Nakuru Rural </t>
  </si>
  <si>
    <t xml:space="preserve">Narok </t>
  </si>
  <si>
    <t xml:space="preserve">Nithi </t>
  </si>
  <si>
    <t xml:space="preserve">Nol Turesh Loitokitok </t>
  </si>
  <si>
    <t xml:space="preserve">Nyahururu </t>
  </si>
  <si>
    <t xml:space="preserve">Nyasare </t>
  </si>
  <si>
    <t xml:space="preserve">Nzoia </t>
  </si>
  <si>
    <t xml:space="preserve">Olkejuado </t>
  </si>
  <si>
    <t xml:space="preserve">Oloolaiser  </t>
  </si>
  <si>
    <t xml:space="preserve">Othaya Mukurweni </t>
  </si>
  <si>
    <t xml:space="preserve">Tavevo </t>
  </si>
  <si>
    <t xml:space="preserve">Tetu Aberdare </t>
  </si>
  <si>
    <t xml:space="preserve">Thika </t>
  </si>
  <si>
    <t xml:space="preserve">Yatta </t>
  </si>
  <si>
    <t xml:space="preserve">Iten Tambach  </t>
  </si>
  <si>
    <t xml:space="preserve">Kapenguria </t>
  </si>
  <si>
    <t xml:space="preserve">Nyandarua  </t>
  </si>
  <si>
    <t xml:space="preserve">Wote </t>
  </si>
  <si>
    <t>n.d.</t>
  </si>
  <si>
    <t>Groundwater abstracted</t>
  </si>
  <si>
    <t>Value of Water Abstracted/ Produced</t>
  </si>
  <si>
    <t>NO DATA</t>
  </si>
  <si>
    <t>Value of Imported treated water</t>
  </si>
  <si>
    <t>Water Value</t>
  </si>
  <si>
    <t xml:space="preserve"> n.d. </t>
  </si>
  <si>
    <t>Total Expenditures-sewage</t>
  </si>
  <si>
    <t>No Data</t>
  </si>
  <si>
    <t xml:space="preserve">Actual unit cost- sewage treated </t>
  </si>
  <si>
    <t>Value of Water sold (in Ksh.) per category</t>
  </si>
  <si>
    <t>Total Value of water sold</t>
  </si>
  <si>
    <t>Agriculture (2021) - Surface Water</t>
  </si>
  <si>
    <t>Agriculture (2021) - Groundwater</t>
  </si>
  <si>
    <t>Industrial / Commercial (2021) - Surface Water</t>
  </si>
  <si>
    <t>Industrial / Commercial (2021) - Groundwater</t>
  </si>
  <si>
    <t xml:space="preserve">Agriculture, Forestry and Fishing </t>
  </si>
  <si>
    <t>ISIC Code</t>
  </si>
  <si>
    <t>ISIC A</t>
  </si>
  <si>
    <t>ISIC 35</t>
  </si>
  <si>
    <t>ISIC 36</t>
  </si>
  <si>
    <t>ISIC 37</t>
  </si>
  <si>
    <t>ISIC B, C, F-N</t>
  </si>
  <si>
    <t>ISIC S</t>
  </si>
  <si>
    <t>ISIC O</t>
  </si>
  <si>
    <t>PHYSICAL USE TABLE</t>
  </si>
  <si>
    <t>Total Use</t>
  </si>
  <si>
    <t>TOTAL Use</t>
  </si>
  <si>
    <t>Domestic (2021) - Surface Water</t>
  </si>
  <si>
    <t>Hydropower (2021) - Surface Water</t>
  </si>
  <si>
    <t>Hydropower (2021) - Groundwater</t>
  </si>
  <si>
    <t>Domestic (2021) - Groundwater</t>
  </si>
  <si>
    <t>Public (2021) - Surface Water</t>
  </si>
  <si>
    <t>Public (2021) - Groundwater</t>
  </si>
  <si>
    <t>Water Sold in cubic meters</t>
  </si>
  <si>
    <t>Flows to the Rest of the World (Exports)</t>
  </si>
  <si>
    <t>Flows to the Environment</t>
  </si>
  <si>
    <t>Other (2021) - Surface Water</t>
  </si>
  <si>
    <t>Other (2021) - Groundwater</t>
  </si>
  <si>
    <t>Non-Revenue Water</t>
  </si>
  <si>
    <t>Total Sewerage Treated</t>
  </si>
  <si>
    <t>Water Proportions</t>
  </si>
  <si>
    <t>Total Use Abstracted Water</t>
  </si>
  <si>
    <t>Total water</t>
  </si>
  <si>
    <t>Percentage of total</t>
  </si>
  <si>
    <t>Wastewater received from other units</t>
  </si>
  <si>
    <t>Re-used water (distributed reuse)</t>
  </si>
  <si>
    <t>cubic meters per annum</t>
  </si>
  <si>
    <t>Use of distributed water</t>
  </si>
  <si>
    <t>Total water supplied</t>
  </si>
  <si>
    <t>Total Sold</t>
  </si>
  <si>
    <t>Return Flows</t>
  </si>
  <si>
    <t>Total surface water (m3 per day)</t>
  </si>
  <si>
    <t>GW</t>
  </si>
  <si>
    <t>Surface</t>
  </si>
  <si>
    <t>Ground</t>
  </si>
  <si>
    <t>Without Hydro</t>
  </si>
  <si>
    <t>Non-revenue water and losses in distribution</t>
  </si>
  <si>
    <t>Hydropower - Non Consumptive Use</t>
  </si>
  <si>
    <t>Water collection and supply</t>
  </si>
  <si>
    <t>Non-revenue water: losses in distribution and other</t>
  </si>
  <si>
    <t>Non-revenue water: non payment</t>
  </si>
  <si>
    <t>Non-payment of billed</t>
  </si>
  <si>
    <t>Water collection and supply: Imported treated water</t>
  </si>
  <si>
    <t>Surface Water: Own Supply</t>
  </si>
  <si>
    <t>Groundwater: Own Supply</t>
  </si>
  <si>
    <t>Agriculture (2022) - Surface Water</t>
  </si>
  <si>
    <t>Agriculture (2022) - Groundwater</t>
  </si>
  <si>
    <t>Industrial / Commercial (2022) - Surface Water</t>
  </si>
  <si>
    <t>Industrial / Commercial (2022) - Groundwater</t>
  </si>
  <si>
    <t>Hydropower (2022) - Surface Water</t>
  </si>
  <si>
    <t>Hydropower (2022) - Groundwater</t>
  </si>
  <si>
    <t>Domestic (2022) - Surface Water</t>
  </si>
  <si>
    <t>Domestic (2022) - Groundwater</t>
  </si>
  <si>
    <t>Public (2022) - Surface Water</t>
  </si>
  <si>
    <t>Other (2022) - Surface Water</t>
  </si>
  <si>
    <t>Other (2022) - Groundwater</t>
  </si>
  <si>
    <t>Total Surface</t>
  </si>
  <si>
    <t>Surface without Hydro</t>
  </si>
  <si>
    <t>Total Ground</t>
  </si>
  <si>
    <t>Ground without Hydro</t>
  </si>
  <si>
    <t>Agriculture (2023) - Surface Water</t>
  </si>
  <si>
    <t>Agriculture (2023) - Groundwater</t>
  </si>
  <si>
    <t>Industrial / Commercial (2023) - Surface Water</t>
  </si>
  <si>
    <t>Industrial / Commercial (2023) - Groundwater</t>
  </si>
  <si>
    <t>Hydropower (2023) - Surface Water</t>
  </si>
  <si>
    <t>Hydropower (2023) - Groundwater</t>
  </si>
  <si>
    <t>Domestic (2023) - Surface Water</t>
  </si>
  <si>
    <t>Domestic (2023) - Groundwater</t>
  </si>
  <si>
    <t>Public (2023) - Surface Water</t>
  </si>
  <si>
    <t>Other (2023) - Surface Water</t>
  </si>
  <si>
    <t>Other (2023) - Groundwater</t>
  </si>
  <si>
    <t>Total Billed</t>
  </si>
  <si>
    <t>Difference</t>
  </si>
  <si>
    <t>Sewerage in cubic meters</t>
  </si>
  <si>
    <t>Water Sold in Cubic meters</t>
  </si>
  <si>
    <t>Sewer Value in Cubic Meters</t>
  </si>
  <si>
    <t>Red</t>
  </si>
  <si>
    <t>Prepared For:</t>
  </si>
  <si>
    <t>Prepared By:</t>
  </si>
  <si>
    <t>Data Sources</t>
  </si>
  <si>
    <t>Unbilled use by governmnet, water losses, water theft, water billed but not paid for</t>
  </si>
  <si>
    <t>Water use up to June 2023 (1000 m3/day)</t>
  </si>
  <si>
    <t>Basin</t>
  </si>
  <si>
    <t>Public_SW</t>
  </si>
  <si>
    <t>Public_GW</t>
  </si>
  <si>
    <t>Domestic_SW</t>
  </si>
  <si>
    <t>Domestic_GW</t>
  </si>
  <si>
    <t>Livestock_SW</t>
  </si>
  <si>
    <t>Livestock_GW</t>
  </si>
  <si>
    <t>Irrigation_SW</t>
  </si>
  <si>
    <t>Irrigation_GW</t>
  </si>
  <si>
    <t>Industrial_SW</t>
  </si>
  <si>
    <t>Industrial_GW</t>
  </si>
  <si>
    <t>Power_SW</t>
  </si>
  <si>
    <t>Power_GW</t>
  </si>
  <si>
    <t>Other_SW</t>
  </si>
  <si>
    <t>Other_GW</t>
  </si>
  <si>
    <t>LVN</t>
  </si>
  <si>
    <t>LVS</t>
  </si>
  <si>
    <t>RV</t>
  </si>
  <si>
    <t>Athi</t>
  </si>
  <si>
    <t>ENN</t>
  </si>
  <si>
    <t>Water Use Up to June 2021 (1000 m3/day)</t>
  </si>
  <si>
    <t>Industrial</t>
  </si>
  <si>
    <t>Other</t>
  </si>
  <si>
    <t>WASREB Total</t>
  </si>
  <si>
    <t>% of total</t>
  </si>
  <si>
    <t xml:space="preserve">Total </t>
  </si>
  <si>
    <t>Year</t>
  </si>
  <si>
    <t xml:space="preserve">Acres </t>
  </si>
  <si>
    <t>Hectares</t>
  </si>
  <si>
    <t>Source</t>
  </si>
  <si>
    <t>Google Calculator as at 20.06.2022</t>
  </si>
  <si>
    <t>Area in Hectares</t>
  </si>
  <si>
    <t>Volume of Use per Hectare</t>
  </si>
  <si>
    <t>Volume of Water use per production</t>
  </si>
  <si>
    <t>Source: Economic Survey 2023</t>
  </si>
  <si>
    <t>Alternative estimate</t>
  </si>
  <si>
    <t>Crops Produced</t>
  </si>
  <si>
    <t>Volume Produced (in tonnes)</t>
  </si>
  <si>
    <t>In Kgs</t>
  </si>
  <si>
    <t>Average Water Use per Kg (litre per Kg)</t>
  </si>
  <si>
    <t>Area under crop production (acres)</t>
  </si>
  <si>
    <t>Ave water use (m3/acre)</t>
  </si>
  <si>
    <t>Water Use m3</t>
  </si>
  <si>
    <t>Cut Flowers</t>
  </si>
  <si>
    <t>Fruits</t>
  </si>
  <si>
    <t>Vegetables</t>
  </si>
  <si>
    <t>[Add new crop]</t>
  </si>
  <si>
    <t>Rice - Irrigation</t>
  </si>
  <si>
    <t>Average Water Use per ton (m3)</t>
  </si>
  <si>
    <t>2023 Water Use in Yearly Values  (m3/year)</t>
  </si>
  <si>
    <t>2021 Water Use in Yearly Values (m3/year)</t>
  </si>
  <si>
    <t>Derived Own Supply (% of Water left after WASREB deduction)</t>
  </si>
  <si>
    <t>Definitions</t>
  </si>
  <si>
    <t xml:space="preserve">Notes </t>
  </si>
  <si>
    <t>Calculations of Values for Industry, Domestic, Public and Other own supply values outside of WASREB supply</t>
  </si>
  <si>
    <t>Sector</t>
  </si>
  <si>
    <t xml:space="preserve">Industrial </t>
  </si>
  <si>
    <t>% of Ground water</t>
  </si>
  <si>
    <t>proportion of own supply that is ground water</t>
  </si>
  <si>
    <t>Proportion of own supply that is surface water</t>
  </si>
  <si>
    <t>Ground Water Use</t>
  </si>
  <si>
    <t>% of Total</t>
  </si>
  <si>
    <t>WASREB Groundwater use</t>
  </si>
  <si>
    <t>Surface Water Use</t>
  </si>
  <si>
    <t>WASREB Surface water use</t>
  </si>
  <si>
    <t>Derived own use of Groundwater</t>
  </si>
  <si>
    <t>Derived own use for Surface water</t>
  </si>
  <si>
    <t>Data estimates by KNBS  and other government departments based on official statistics</t>
  </si>
  <si>
    <t>20-06-2025</t>
  </si>
  <si>
    <t>Kenya Water Accounts V2</t>
  </si>
  <si>
    <t xml:space="preserve">Contact People:
 </t>
  </si>
  <si>
    <t>Jackie Crafford
j.crafford@primeafrica.net</t>
  </si>
  <si>
    <t>Bernice Macquela
b.macquela@primeafrica.net</t>
  </si>
  <si>
    <t xml:space="preserve">These accounts were constructed using data reported for the Kenya government financial year which is from July to June. Key Data sources were from the Water Resources Authority (WRA) and WASREB. This data is available for 2021 and 2023. Some data is available for 2022 however, WRA data was reported on a calendar year basis, and in addition is not a full dataset as a result of a data loss that occured during a database migration in 2022.   </t>
  </si>
  <si>
    <t>For the reasons explained above the 2022 water SUT data is problematic and we recommend against it's publication.</t>
  </si>
  <si>
    <t>The Irrigation data received from the WRA does not include all the irrigation schemes therefore this still needs to be reconciled with all the hectares of irrigated land within the country. This is still work in progress</t>
  </si>
  <si>
    <t>Sewerage treatment data is problematic. The data is reported by WASREB. The 2021 WASREB data appears most comprehensive, and for this reason we used  the 2021 WASREB sewerage volumes because for the 2023 SUT.</t>
  </si>
  <si>
    <t>m3</t>
  </si>
  <si>
    <t>unit</t>
  </si>
  <si>
    <t>Tab  Colour Codes within Water Accounts</t>
  </si>
  <si>
    <t xml:space="preserve">Yellow  </t>
  </si>
  <si>
    <t>Data Inputs</t>
  </si>
  <si>
    <t>Output Tables</t>
  </si>
  <si>
    <t>Water IO tables and SUTs</t>
  </si>
  <si>
    <t>2022 Output Tables</t>
  </si>
  <si>
    <t>Problematic Data, Recommend not to publish</t>
  </si>
  <si>
    <t>The 2023 WRA data reports an extremely high Household surface water value, and is likely erroneous. Needs verification from WRA.</t>
  </si>
  <si>
    <t>This spreadsheet contains comments using the Excel comment function.The comments report on data problems identified, any key assumptions made, and other matters that need clarification.</t>
  </si>
  <si>
    <t>Different datasets sourced from WRA reported vast differences in hydropower water requirements, varying by an order of magnitude. The values used, were the lower end values as reported officially on the WRA website.</t>
  </si>
  <si>
    <t>Water Services Regualtory Board (WASREB) Data for 2021-2023</t>
  </si>
  <si>
    <t>National Irrigation Authority (NIA) Irrigation Data was received (not yet incorporated into the SUTs)</t>
  </si>
  <si>
    <t>Water Resources Authority (WRA) Data for 2021-2023 - Database download received from WRA with data summarised by calendar year</t>
  </si>
  <si>
    <t>Water Resources Authority (WRA) Data for 2021 &amp; 2023 - data sourced from their performance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</si>
</sst>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_-;\-* #,##0_-;_-* &quot;-&quot;??_-;_-@_-"/>
    <numFmt numFmtId="165" formatCode="_(* #,##0.00_);_(* \(#,##0.00\);_(* &quot;-&quot;??_);_(@_)"/>
    <numFmt numFmtId="166" formatCode="_(* #,##0_);_(* \(#,##0\);_(* &quot;-&quot;??_);_(@_)"/>
    <numFmt numFmtId="167" formatCode="_-* #,##0.0_-;\-* #,##0.0_-;_-* &quot;-&quot;??_-;_-@_-"/>
    <numFmt numFmtId="168" formatCode="_(* #,##0.0_);_(* \(#,##0.0\);_(* &quot;-&quot;??_);_(@_)"/>
    <numFmt numFmtId="169" formatCode="0.0%"/>
    <numFmt numFmtId="172" formatCode="_-* #,##0.00000_-;\-* #,##0.00000_-;_-* &quot;-&quot;??_-;_-@_-"/>
  </numFmts>
  <fonts count="40" x14ac:knownFonts="1">
    <font>
      <sz val="11"/>
      <color theme="1"/>
      <name val="Aptos Narrow"/>
      <family val="2"/>
      <scheme val="minor"/>
    </font>
    <font>
      <sz val="11"/>
      <color theme="1"/>
      <name val="Calibri"/>
      <family val="2"/>
    </font>
    <font>
      <sz val="11"/>
      <color theme="1"/>
      <name val="Aptos Narrow"/>
      <family val="2"/>
      <scheme val="minor"/>
    </font>
    <font>
      <sz val="9"/>
      <color indexed="81"/>
      <name val="Tahoma"/>
      <family val="2"/>
    </font>
    <font>
      <b/>
      <sz val="11"/>
      <color theme="0"/>
      <name val="Aptos Display"/>
      <family val="2"/>
      <scheme val="major"/>
    </font>
    <font>
      <sz val="11"/>
      <color theme="1"/>
      <name val="Aptos Display"/>
      <family val="2"/>
      <scheme val="major"/>
    </font>
    <font>
      <b/>
      <sz val="11"/>
      <color theme="1"/>
      <name val="Aptos Display"/>
      <family val="2"/>
      <scheme val="major"/>
    </font>
    <font>
      <sz val="11"/>
      <color theme="0"/>
      <name val="Aptos Display"/>
      <family val="2"/>
      <scheme val="major"/>
    </font>
    <font>
      <sz val="10"/>
      <color theme="1"/>
      <name val="Aptos Narrow"/>
      <family val="2"/>
      <scheme val="minor"/>
    </font>
    <font>
      <u/>
      <sz val="10"/>
      <color theme="10"/>
      <name val="Aptos Narrow"/>
      <family val="2"/>
      <scheme val="minor"/>
    </font>
    <font>
      <b/>
      <sz val="14"/>
      <name val="Calibri"/>
      <family val="2"/>
    </font>
    <font>
      <b/>
      <sz val="11"/>
      <color theme="1"/>
      <name val="Aptos Narrow"/>
      <family val="2"/>
      <scheme val="minor"/>
    </font>
    <font>
      <b/>
      <sz val="9"/>
      <color indexed="81"/>
      <name val="Tahoma"/>
      <family val="2"/>
    </font>
    <font>
      <sz val="11"/>
      <color rgb="FF0000FF"/>
      <name val="Aptos Narrow"/>
      <family val="2"/>
      <scheme val="minor"/>
    </font>
    <font>
      <sz val="11"/>
      <color rgb="FF000000"/>
      <name val="Aptos Display"/>
      <family val="2"/>
      <scheme val="major"/>
    </font>
    <font>
      <sz val="11"/>
      <color rgb="FF0000FF"/>
      <name val="Aptos Display"/>
      <family val="2"/>
      <scheme val="major"/>
    </font>
    <font>
      <sz val="11"/>
      <color rgb="FFFF0000"/>
      <name val="Aptos Display"/>
      <family val="2"/>
      <scheme val="major"/>
    </font>
    <font>
      <sz val="11"/>
      <name val="Aptos Display"/>
      <family val="2"/>
      <scheme val="major"/>
    </font>
    <font>
      <b/>
      <sz val="11"/>
      <name val="Aptos Display"/>
      <family val="2"/>
      <scheme val="major"/>
    </font>
    <font>
      <b/>
      <sz val="11"/>
      <color rgb="FF0000FF"/>
      <name val="Aptos Display"/>
      <family val="2"/>
      <scheme val="major"/>
    </font>
    <font>
      <sz val="10"/>
      <color rgb="FF0000FF"/>
      <name val="Aptos Display"/>
      <family val="2"/>
      <scheme val="major"/>
    </font>
    <font>
      <sz val="10"/>
      <name val="Aptos Display"/>
      <family val="2"/>
      <scheme val="major"/>
    </font>
    <font>
      <b/>
      <sz val="10"/>
      <color rgb="FF0000FF"/>
      <name val="Aptos Display"/>
      <family val="2"/>
      <scheme val="major"/>
    </font>
    <font>
      <b/>
      <sz val="10"/>
      <color theme="1"/>
      <name val="Aptos Display"/>
      <family val="2"/>
      <scheme val="major"/>
    </font>
    <font>
      <b/>
      <sz val="10"/>
      <name val="Aptos Display"/>
      <family val="2"/>
      <scheme val="major"/>
    </font>
    <font>
      <sz val="10"/>
      <color theme="1"/>
      <name val="Aptos Display"/>
      <family val="2"/>
      <scheme val="major"/>
    </font>
    <font>
      <sz val="10"/>
      <color rgb="FF000000"/>
      <name val="Aptos Display"/>
      <family val="2"/>
      <scheme val="major"/>
    </font>
    <font>
      <b/>
      <sz val="11"/>
      <color rgb="FF000000"/>
      <name val="Aptos Display"/>
      <family val="2"/>
      <scheme val="major"/>
    </font>
    <font>
      <i/>
      <sz val="11"/>
      <color rgb="FF000000"/>
      <name val="Aptos Display"/>
      <family val="2"/>
      <scheme val="major"/>
    </font>
    <font>
      <b/>
      <i/>
      <sz val="11"/>
      <color rgb="FF000000"/>
      <name val="Aptos Display"/>
      <family val="2"/>
      <scheme val="major"/>
    </font>
    <font>
      <b/>
      <sz val="36"/>
      <color theme="1"/>
      <name val="Aptos Narrow"/>
      <family val="2"/>
      <scheme val="minor"/>
    </font>
    <font>
      <sz val="11"/>
      <name val="Aptos Narrow"/>
      <family val="2"/>
      <scheme val="minor"/>
    </font>
    <font>
      <b/>
      <sz val="11"/>
      <name val="Aptos Narrow"/>
      <family val="2"/>
      <scheme val="minor"/>
    </font>
    <font>
      <sz val="8"/>
      <name val="Aptos Narrow"/>
      <family val="2"/>
      <scheme val="minor"/>
    </font>
    <font>
      <sz val="10"/>
      <color rgb="FF0000FF"/>
      <name val="Abadi Extra Light"/>
      <family val="2"/>
    </font>
    <font>
      <sz val="11"/>
      <name val="Abadi Extra Light"/>
      <family val="2"/>
    </font>
    <font>
      <sz val="11"/>
      <color rgb="FF0000FF"/>
      <name val="Abadi Extra Light"/>
      <family val="2"/>
    </font>
    <font>
      <b/>
      <sz val="11"/>
      <name val="Abadi Extra Light"/>
      <family val="2"/>
    </font>
    <font>
      <b/>
      <sz val="11"/>
      <color theme="1"/>
      <name val="Abadi Extra Light"/>
      <family val="2"/>
    </font>
    <font>
      <sz val="11"/>
      <color theme="1"/>
      <name val="Abadi Extra Light"/>
      <family val="2"/>
    </font>
  </fonts>
  <fills count="14">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0"/>
        <bgColor indexed="64"/>
      </patternFill>
    </fill>
    <fill>
      <patternFill patternType="solid">
        <fgColor rgb="FF66FF33"/>
        <bgColor indexed="64"/>
      </patternFill>
    </fill>
    <fill>
      <patternFill patternType="solid">
        <fgColor theme="4"/>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3" tint="9.9978637043366805E-2"/>
        <bgColor indexed="64"/>
      </patternFill>
    </fill>
    <fill>
      <patternFill patternType="solid">
        <fgColor rgb="FFFF0000"/>
        <bgColor indexed="64"/>
      </patternFill>
    </fill>
  </fills>
  <borders count="46">
    <border>
      <left/>
      <right/>
      <top/>
      <bottom/>
      <diagonal/>
    </border>
    <border>
      <left style="thin">
        <color indexed="64"/>
      </left>
      <right/>
      <top/>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style="thin">
        <color auto="1"/>
      </top>
      <bottom style="thin">
        <color indexed="64"/>
      </bottom>
      <diagonal/>
    </border>
    <border>
      <left/>
      <right style="thin">
        <color indexed="64"/>
      </right>
      <top style="thin">
        <color auto="1"/>
      </top>
      <bottom/>
      <diagonal/>
    </border>
    <border>
      <left/>
      <right/>
      <top style="thin">
        <color auto="1"/>
      </top>
      <bottom/>
      <diagonal/>
    </border>
    <border>
      <left style="thin">
        <color indexed="64"/>
      </left>
      <right/>
      <top style="thin">
        <color auto="1"/>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style="thin">
        <color auto="1"/>
      </top>
      <bottom/>
      <diagonal/>
    </border>
    <border>
      <left/>
      <right style="medium">
        <color indexed="64"/>
      </right>
      <top style="thin">
        <color auto="1"/>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theme="0"/>
      </bottom>
      <diagonal/>
    </border>
    <border>
      <left/>
      <right style="thin">
        <color indexed="64"/>
      </right>
      <top style="medium">
        <color indexed="64"/>
      </top>
      <bottom style="thin">
        <color theme="0"/>
      </bottom>
      <diagonal/>
    </border>
    <border>
      <left style="thin">
        <color indexed="64"/>
      </left>
      <right/>
      <top style="medium">
        <color indexed="64"/>
      </top>
      <bottom style="thin">
        <color theme="0"/>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s>
  <cellStyleXfs count="11">
    <xf numFmtId="0" fontId="0" fillId="0" borderId="0"/>
    <xf numFmtId="43" fontId="2" fillId="0" borderId="0" applyFont="0" applyFill="0" applyBorder="0" applyAlignment="0" applyProtection="0"/>
    <xf numFmtId="165" fontId="2" fillId="0" borderId="0" applyFont="0" applyFill="0" applyBorder="0" applyAlignment="0" applyProtection="0"/>
    <xf numFmtId="0" fontId="8" fillId="0" borderId="0"/>
    <xf numFmtId="0" fontId="9" fillId="0" borderId="0" applyNumberFormat="0" applyFill="0" applyBorder="0" applyAlignment="0" applyProtection="0"/>
    <xf numFmtId="165" fontId="8" fillId="0" borderId="0" applyFont="0" applyFill="0" applyBorder="0" applyAlignment="0" applyProtection="0"/>
    <xf numFmtId="9" fontId="2" fillId="0" borderId="0" applyFont="0" applyFill="0" applyBorder="0" applyAlignment="0" applyProtection="0"/>
    <xf numFmtId="0" fontId="1" fillId="0" borderId="0"/>
    <xf numFmtId="43" fontId="1"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cellStyleXfs>
  <cellXfs count="426">
    <xf numFmtId="0" fontId="0" fillId="0" borderId="0" xfId="0"/>
    <xf numFmtId="0" fontId="5" fillId="0" borderId="11" xfId="0" applyFont="1" applyBorder="1"/>
    <xf numFmtId="0" fontId="10" fillId="0" borderId="0" xfId="0" applyFont="1"/>
    <xf numFmtId="0" fontId="11" fillId="0" borderId="0" xfId="0" applyFont="1"/>
    <xf numFmtId="43" fontId="0" fillId="0" borderId="0" xfId="0" applyNumberFormat="1"/>
    <xf numFmtId="167" fontId="0" fillId="0" borderId="0" xfId="1" applyNumberFormat="1" applyFont="1"/>
    <xf numFmtId="164" fontId="0" fillId="0" borderId="0" xfId="1" applyNumberFormat="1" applyFont="1"/>
    <xf numFmtId="164" fontId="0" fillId="0" borderId="0" xfId="1" applyNumberFormat="1" applyFont="1" applyFill="1"/>
    <xf numFmtId="0" fontId="0" fillId="2" borderId="0" xfId="0" applyFill="1"/>
    <xf numFmtId="164" fontId="0" fillId="0" borderId="0" xfId="0" applyNumberFormat="1"/>
    <xf numFmtId="164" fontId="0" fillId="2" borderId="0" xfId="0" applyNumberFormat="1" applyFill="1"/>
    <xf numFmtId="0" fontId="11" fillId="0" borderId="16" xfId="0" applyFont="1" applyBorder="1" applyAlignment="1">
      <alignment horizontal="center" vertical="top"/>
    </xf>
    <xf numFmtId="43" fontId="13" fillId="0" borderId="0" xfId="1" applyFont="1"/>
    <xf numFmtId="164" fontId="13" fillId="0" borderId="0" xfId="1" applyNumberFormat="1" applyFont="1"/>
    <xf numFmtId="43" fontId="13" fillId="2" borderId="0" xfId="1" applyFont="1" applyFill="1"/>
    <xf numFmtId="43" fontId="13" fillId="0" borderId="0" xfId="0" applyNumberFormat="1" applyFont="1"/>
    <xf numFmtId="164" fontId="5" fillId="0" borderId="11" xfId="1" applyNumberFormat="1" applyFont="1" applyBorder="1"/>
    <xf numFmtId="164" fontId="7" fillId="7" borderId="12" xfId="1" applyNumberFormat="1" applyFont="1" applyFill="1" applyBorder="1"/>
    <xf numFmtId="164" fontId="5" fillId="0" borderId="11" xfId="0" applyNumberFormat="1" applyFont="1" applyBorder="1"/>
    <xf numFmtId="9" fontId="0" fillId="0" borderId="7" xfId="6" applyFont="1" applyBorder="1"/>
    <xf numFmtId="9" fontId="0" fillId="0" borderId="0" xfId="6" applyFont="1"/>
    <xf numFmtId="10" fontId="0" fillId="0" borderId="0" xfId="6" applyNumberFormat="1" applyFont="1"/>
    <xf numFmtId="10" fontId="0" fillId="0" borderId="7" xfId="6" applyNumberFormat="1" applyFont="1" applyBorder="1"/>
    <xf numFmtId="164" fontId="5" fillId="4" borderId="0" xfId="1" applyNumberFormat="1" applyFont="1" applyFill="1"/>
    <xf numFmtId="164" fontId="5" fillId="0" borderId="0" xfId="1" applyNumberFormat="1" applyFont="1" applyBorder="1"/>
    <xf numFmtId="164" fontId="6" fillId="0" borderId="1" xfId="1" applyNumberFormat="1" applyFont="1" applyBorder="1"/>
    <xf numFmtId="164" fontId="5" fillId="0" borderId="1" xfId="1" applyNumberFormat="1" applyFont="1" applyBorder="1"/>
    <xf numFmtId="164" fontId="13" fillId="2" borderId="0" xfId="1" applyNumberFormat="1" applyFont="1" applyFill="1"/>
    <xf numFmtId="164" fontId="0" fillId="0" borderId="7" xfId="1" applyNumberFormat="1" applyFont="1" applyBorder="1"/>
    <xf numFmtId="164" fontId="0" fillId="0" borderId="0" xfId="1" quotePrefix="1" applyNumberFormat="1" applyFont="1"/>
    <xf numFmtId="0" fontId="0" fillId="0" borderId="0" xfId="0" applyAlignment="1">
      <alignment horizontal="center" vertical="center" wrapText="1"/>
    </xf>
    <xf numFmtId="164" fontId="5" fillId="3" borderId="0" xfId="1" applyNumberFormat="1" applyFont="1" applyFill="1" applyBorder="1"/>
    <xf numFmtId="164" fontId="5" fillId="2" borderId="0" xfId="1" applyNumberFormat="1" applyFont="1" applyFill="1" applyBorder="1"/>
    <xf numFmtId="164" fontId="0" fillId="3" borderId="0" xfId="1" applyNumberFormat="1" applyFont="1" applyFill="1"/>
    <xf numFmtId="164" fontId="0" fillId="9" borderId="0" xfId="1" applyNumberFormat="1" applyFont="1" applyFill="1"/>
    <xf numFmtId="164" fontId="0" fillId="3" borderId="0" xfId="0" applyNumberFormat="1" applyFill="1"/>
    <xf numFmtId="164" fontId="5" fillId="0" borderId="0" xfId="1" applyNumberFormat="1" applyFont="1" applyFill="1" applyBorder="1"/>
    <xf numFmtId="0" fontId="4" fillId="7" borderId="0" xfId="0" applyFont="1" applyFill="1" applyAlignment="1">
      <alignment horizontal="center" vertical="center" wrapText="1"/>
    </xf>
    <xf numFmtId="0" fontId="4" fillId="7" borderId="0" xfId="0" applyFont="1" applyFill="1" applyAlignment="1">
      <alignment horizontal="center" wrapText="1"/>
    </xf>
    <xf numFmtId="0" fontId="5" fillId="0" borderId="0" xfId="0" applyFont="1"/>
    <xf numFmtId="0" fontId="5" fillId="2" borderId="0" xfId="0" applyFont="1" applyFill="1"/>
    <xf numFmtId="43" fontId="5" fillId="0" borderId="0" xfId="1" applyFont="1" applyBorder="1"/>
    <xf numFmtId="164" fontId="5" fillId="0" borderId="0" xfId="0" applyNumberFormat="1" applyFont="1"/>
    <xf numFmtId="164" fontId="4" fillId="7" borderId="0" xfId="1" applyNumberFormat="1" applyFont="1" applyFill="1" applyBorder="1" applyAlignment="1">
      <alignment horizontal="center" wrapText="1"/>
    </xf>
    <xf numFmtId="164" fontId="4" fillId="7" borderId="0" xfId="1" applyNumberFormat="1" applyFont="1" applyFill="1" applyBorder="1" applyAlignment="1">
      <alignment horizontal="center" vertical="center" wrapText="1"/>
    </xf>
    <xf numFmtId="164" fontId="4" fillId="7" borderId="0" xfId="1" applyNumberFormat="1" applyFont="1" applyFill="1" applyBorder="1" applyAlignment="1">
      <alignment wrapText="1"/>
    </xf>
    <xf numFmtId="0" fontId="6" fillId="0" borderId="8" xfId="0" applyFont="1" applyBorder="1"/>
    <xf numFmtId="0" fontId="5" fillId="0" borderId="7" xfId="0" applyFont="1" applyBorder="1"/>
    <xf numFmtId="0" fontId="5" fillId="0" borderId="6" xfId="0" applyFont="1" applyBorder="1"/>
    <xf numFmtId="0" fontId="5" fillId="0" borderId="1" xfId="0" applyFont="1" applyBorder="1"/>
    <xf numFmtId="164" fontId="5" fillId="0" borderId="24" xfId="1" applyNumberFormat="1" applyFont="1" applyBorder="1"/>
    <xf numFmtId="0" fontId="6" fillId="2" borderId="2" xfId="0" applyFont="1" applyFill="1" applyBorder="1"/>
    <xf numFmtId="164" fontId="6" fillId="0" borderId="2" xfId="0" applyNumberFormat="1" applyFont="1" applyBorder="1"/>
    <xf numFmtId="164" fontId="6" fillId="0" borderId="4" xfId="1" applyNumberFormat="1" applyFont="1" applyBorder="1"/>
    <xf numFmtId="164" fontId="5" fillId="0" borderId="2" xfId="1" applyNumberFormat="1" applyFont="1" applyFill="1" applyBorder="1"/>
    <xf numFmtId="164" fontId="5" fillId="0" borderId="2" xfId="1" applyNumberFormat="1" applyFont="1" applyBorder="1"/>
    <xf numFmtId="164" fontId="5" fillId="9" borderId="2" xfId="1" applyNumberFormat="1" applyFont="1" applyFill="1" applyBorder="1"/>
    <xf numFmtId="164" fontId="6" fillId="0" borderId="2" xfId="1" applyNumberFormat="1" applyFont="1" applyBorder="1"/>
    <xf numFmtId="0" fontId="5" fillId="0" borderId="2" xfId="0" applyFont="1" applyBorder="1"/>
    <xf numFmtId="0" fontId="5" fillId="2" borderId="2" xfId="0" applyFont="1" applyFill="1" applyBorder="1"/>
    <xf numFmtId="164" fontId="5" fillId="0" borderId="7" xfId="1" applyNumberFormat="1" applyFont="1" applyBorder="1"/>
    <xf numFmtId="0" fontId="5" fillId="0" borderId="24" xfId="0" applyFont="1" applyBorder="1"/>
    <xf numFmtId="164" fontId="6" fillId="0" borderId="2" xfId="1" applyNumberFormat="1" applyFont="1" applyFill="1" applyBorder="1"/>
    <xf numFmtId="0" fontId="4" fillId="7" borderId="25" xfId="0" applyFont="1" applyFill="1" applyBorder="1"/>
    <xf numFmtId="0" fontId="4" fillId="7" borderId="26" xfId="0" applyFont="1" applyFill="1" applyBorder="1"/>
    <xf numFmtId="0" fontId="6" fillId="0" borderId="27" xfId="0" applyFont="1" applyBorder="1"/>
    <xf numFmtId="0" fontId="5" fillId="0" borderId="28" xfId="0" applyFont="1" applyBorder="1"/>
    <xf numFmtId="0" fontId="5" fillId="0" borderId="26" xfId="0" applyFont="1" applyBorder="1"/>
    <xf numFmtId="0" fontId="5" fillId="0" borderId="29" xfId="0" applyFont="1" applyBorder="1"/>
    <xf numFmtId="164" fontId="5" fillId="0" borderId="30" xfId="0" applyNumberFormat="1" applyFont="1" applyBorder="1"/>
    <xf numFmtId="0" fontId="5" fillId="0" borderId="30" xfId="0" applyFont="1" applyBorder="1"/>
    <xf numFmtId="0" fontId="6" fillId="0" borderId="27" xfId="0" applyFont="1" applyBorder="1" applyAlignment="1">
      <alignment wrapText="1"/>
    </xf>
    <xf numFmtId="0" fontId="5" fillId="0" borderId="26" xfId="0" applyFont="1" applyBorder="1" applyAlignment="1">
      <alignment wrapText="1"/>
    </xf>
    <xf numFmtId="0" fontId="4" fillId="7" borderId="31" xfId="0" applyFont="1" applyFill="1" applyBorder="1"/>
    <xf numFmtId="164" fontId="7" fillId="7" borderId="23" xfId="1" applyNumberFormat="1" applyFont="1" applyFill="1" applyBorder="1"/>
    <xf numFmtId="164" fontId="7" fillId="7" borderId="32" xfId="1" applyNumberFormat="1" applyFont="1" applyFill="1" applyBorder="1"/>
    <xf numFmtId="0" fontId="6" fillId="0" borderId="26" xfId="0" applyFont="1" applyBorder="1"/>
    <xf numFmtId="0" fontId="4" fillId="7" borderId="33" xfId="0" applyFont="1" applyFill="1" applyBorder="1"/>
    <xf numFmtId="0" fontId="5" fillId="2" borderId="7" xfId="0" applyFont="1" applyFill="1" applyBorder="1"/>
    <xf numFmtId="164" fontId="5" fillId="3" borderId="2" xfId="1" applyNumberFormat="1" applyFont="1" applyFill="1" applyBorder="1"/>
    <xf numFmtId="0" fontId="5" fillId="0" borderId="8" xfId="0" applyFont="1" applyBorder="1"/>
    <xf numFmtId="0" fontId="5" fillId="2" borderId="1" xfId="0" applyFont="1" applyFill="1" applyBorder="1"/>
    <xf numFmtId="0" fontId="5" fillId="2" borderId="24" xfId="0" applyFont="1" applyFill="1" applyBorder="1"/>
    <xf numFmtId="164" fontId="5" fillId="3" borderId="1" xfId="1" applyNumberFormat="1" applyFont="1" applyFill="1" applyBorder="1"/>
    <xf numFmtId="164" fontId="5" fillId="3" borderId="24" xfId="1" applyNumberFormat="1" applyFont="1" applyFill="1" applyBorder="1"/>
    <xf numFmtId="164" fontId="5" fillId="0" borderId="3" xfId="1" applyNumberFormat="1" applyFont="1" applyFill="1" applyBorder="1"/>
    <xf numFmtId="164" fontId="5" fillId="0" borderId="4" xfId="1" applyNumberFormat="1" applyFont="1" applyFill="1" applyBorder="1"/>
    <xf numFmtId="164" fontId="5" fillId="0" borderId="8" xfId="1" applyNumberFormat="1" applyFont="1" applyBorder="1"/>
    <xf numFmtId="164" fontId="5" fillId="0" borderId="6" xfId="1" applyNumberFormat="1" applyFont="1" applyBorder="1"/>
    <xf numFmtId="164" fontId="5" fillId="0" borderId="3" xfId="1" applyNumberFormat="1" applyFont="1" applyBorder="1"/>
    <xf numFmtId="164" fontId="5" fillId="0" borderId="4" xfId="1" applyNumberFormat="1" applyFont="1" applyBorder="1"/>
    <xf numFmtId="164" fontId="5" fillId="4" borderId="1" xfId="1" applyNumberFormat="1" applyFont="1" applyFill="1" applyBorder="1"/>
    <xf numFmtId="164" fontId="5" fillId="9" borderId="3" xfId="1" applyNumberFormat="1" applyFont="1" applyFill="1" applyBorder="1"/>
    <xf numFmtId="164" fontId="5" fillId="9" borderId="4" xfId="1" applyNumberFormat="1" applyFont="1" applyFill="1" applyBorder="1"/>
    <xf numFmtId="0" fontId="6" fillId="2" borderId="1" xfId="0" applyFont="1" applyFill="1" applyBorder="1"/>
    <xf numFmtId="43" fontId="5" fillId="0" borderId="24" xfId="1" applyFont="1" applyBorder="1"/>
    <xf numFmtId="164" fontId="6" fillId="0" borderId="3" xfId="1" applyNumberFormat="1" applyFont="1" applyBorder="1"/>
    <xf numFmtId="164" fontId="6" fillId="0" borderId="8" xfId="1" applyNumberFormat="1" applyFont="1" applyBorder="1"/>
    <xf numFmtId="0" fontId="5" fillId="2" borderId="4" xfId="0" applyFont="1" applyFill="1" applyBorder="1"/>
    <xf numFmtId="164" fontId="5" fillId="2" borderId="1" xfId="1" applyNumberFormat="1" applyFont="1" applyFill="1" applyBorder="1"/>
    <xf numFmtId="164" fontId="5" fillId="2" borderId="24" xfId="1" applyNumberFormat="1" applyFont="1" applyFill="1" applyBorder="1"/>
    <xf numFmtId="0" fontId="5" fillId="2" borderId="3" xfId="0" applyFont="1" applyFill="1" applyBorder="1"/>
    <xf numFmtId="0" fontId="5" fillId="2" borderId="6" xfId="0" applyFont="1" applyFill="1" applyBorder="1"/>
    <xf numFmtId="0" fontId="6" fillId="0" borderId="29" xfId="0" applyFont="1" applyBorder="1"/>
    <xf numFmtId="0" fontId="5" fillId="0" borderId="29" xfId="0" applyFont="1" applyBorder="1" applyAlignment="1">
      <alignment wrapText="1"/>
    </xf>
    <xf numFmtId="0" fontId="6" fillId="0" borderId="1" xfId="0" applyFont="1" applyBorder="1"/>
    <xf numFmtId="0" fontId="6" fillId="0" borderId="2" xfId="0" applyFont="1" applyBorder="1"/>
    <xf numFmtId="0" fontId="6" fillId="2" borderId="3" xfId="0" applyFont="1" applyFill="1" applyBorder="1"/>
    <xf numFmtId="0" fontId="6" fillId="2" borderId="4" xfId="0" applyFont="1" applyFill="1" applyBorder="1"/>
    <xf numFmtId="164" fontId="6" fillId="0" borderId="4" xfId="0" applyNumberFormat="1" applyFont="1" applyBorder="1"/>
    <xf numFmtId="0" fontId="5" fillId="0" borderId="34" xfId="0" applyFont="1" applyBorder="1"/>
    <xf numFmtId="164" fontId="5" fillId="0" borderId="35" xfId="1" applyNumberFormat="1" applyFont="1" applyBorder="1"/>
    <xf numFmtId="164" fontId="6" fillId="0" borderId="36" xfId="1" applyNumberFormat="1" applyFont="1" applyBorder="1"/>
    <xf numFmtId="164" fontId="6" fillId="0" borderId="3" xfId="1" applyNumberFormat="1" applyFont="1" applyFill="1" applyBorder="1"/>
    <xf numFmtId="164" fontId="4" fillId="7" borderId="9" xfId="1" applyNumberFormat="1" applyFont="1" applyFill="1" applyBorder="1" applyAlignment="1"/>
    <xf numFmtId="0" fontId="4" fillId="7" borderId="9" xfId="0" applyFont="1" applyFill="1" applyBorder="1"/>
    <xf numFmtId="164" fontId="4" fillId="7" borderId="1" xfId="1" applyNumberFormat="1" applyFont="1" applyFill="1" applyBorder="1" applyAlignment="1">
      <alignment horizontal="center" vertical="center" wrapText="1"/>
    </xf>
    <xf numFmtId="164" fontId="4" fillId="7" borderId="3" xfId="1" applyNumberFormat="1" applyFont="1" applyFill="1" applyBorder="1" applyAlignment="1">
      <alignment horizontal="center" wrapText="1"/>
    </xf>
    <xf numFmtId="164" fontId="4" fillId="7" borderId="2" xfId="1" applyNumberFormat="1" applyFont="1" applyFill="1" applyBorder="1" applyAlignment="1">
      <alignment horizontal="center" wrapText="1"/>
    </xf>
    <xf numFmtId="164" fontId="4" fillId="7" borderId="24" xfId="1" applyNumberFormat="1" applyFont="1" applyFill="1" applyBorder="1" applyAlignment="1">
      <alignment horizontal="center" vertical="center" wrapText="1"/>
    </xf>
    <xf numFmtId="164" fontId="4" fillId="7" borderId="4" xfId="1" applyNumberFormat="1" applyFont="1" applyFill="1" applyBorder="1" applyAlignment="1">
      <alignment horizontal="center" wrapText="1"/>
    </xf>
    <xf numFmtId="0" fontId="4" fillId="7" borderId="24" xfId="0" applyFont="1" applyFill="1" applyBorder="1" applyAlignment="1">
      <alignment horizontal="center" vertical="center" wrapText="1"/>
    </xf>
    <xf numFmtId="0" fontId="4" fillId="7" borderId="2" xfId="0" applyFont="1" applyFill="1" applyBorder="1" applyAlignment="1">
      <alignment horizontal="center" wrapText="1"/>
    </xf>
    <xf numFmtId="0" fontId="4" fillId="7" borderId="4" xfId="0" applyFont="1" applyFill="1" applyBorder="1" applyAlignment="1">
      <alignment horizontal="center" wrapText="1"/>
    </xf>
    <xf numFmtId="0" fontId="4" fillId="7" borderId="1" xfId="0" applyFont="1" applyFill="1" applyBorder="1" applyAlignment="1">
      <alignment horizontal="center" vertical="center" wrapText="1"/>
    </xf>
    <xf numFmtId="0" fontId="4" fillId="7" borderId="3" xfId="0" applyFont="1" applyFill="1" applyBorder="1" applyAlignment="1">
      <alignment horizontal="center" wrapText="1"/>
    </xf>
    <xf numFmtId="164" fontId="5" fillId="0" borderId="0" xfId="1" applyNumberFormat="1" applyFont="1" applyFill="1"/>
    <xf numFmtId="169" fontId="0" fillId="0" borderId="0" xfId="6" applyNumberFormat="1" applyFont="1" applyFill="1"/>
    <xf numFmtId="164" fontId="0" fillId="0" borderId="0" xfId="0" applyNumberFormat="1" applyAlignment="1">
      <alignment horizontal="center" vertical="center" wrapText="1"/>
    </xf>
    <xf numFmtId="164" fontId="0" fillId="4" borderId="0" xfId="1" applyNumberFormat="1" applyFont="1" applyFill="1"/>
    <xf numFmtId="164" fontId="5" fillId="4" borderId="2" xfId="1" applyNumberFormat="1" applyFont="1" applyFill="1" applyBorder="1"/>
    <xf numFmtId="164" fontId="5" fillId="0" borderId="7" xfId="1" applyNumberFormat="1" applyFont="1" applyFill="1" applyBorder="1"/>
    <xf numFmtId="164" fontId="5" fillId="0" borderId="2" xfId="0" applyNumberFormat="1" applyFont="1" applyBorder="1"/>
    <xf numFmtId="164" fontId="0" fillId="0" borderId="7" xfId="0" applyNumberFormat="1" applyBorder="1"/>
    <xf numFmtId="0" fontId="6" fillId="0" borderId="4" xfId="0" applyFont="1" applyBorder="1"/>
    <xf numFmtId="164" fontId="6" fillId="0" borderId="24" xfId="0" applyNumberFormat="1" applyFont="1" applyBorder="1"/>
    <xf numFmtId="0" fontId="6" fillId="5" borderId="22" xfId="0" applyFont="1" applyFill="1" applyBorder="1" applyAlignment="1">
      <alignment horizontal="left"/>
    </xf>
    <xf numFmtId="0" fontId="5" fillId="5" borderId="22" xfId="0" applyFont="1" applyFill="1" applyBorder="1" applyAlignment="1">
      <alignment horizontal="left"/>
    </xf>
    <xf numFmtId="0" fontId="5" fillId="5" borderId="22" xfId="0" applyFont="1" applyFill="1" applyBorder="1"/>
    <xf numFmtId="0" fontId="5" fillId="6" borderId="22" xfId="0" applyFont="1" applyFill="1" applyBorder="1"/>
    <xf numFmtId="0" fontId="5" fillId="8" borderId="22" xfId="0" applyFont="1" applyFill="1" applyBorder="1"/>
    <xf numFmtId="0" fontId="5" fillId="9" borderId="22" xfId="0" applyFont="1" applyFill="1" applyBorder="1"/>
    <xf numFmtId="0" fontId="5" fillId="9" borderId="22" xfId="0" applyFont="1" applyFill="1" applyBorder="1" applyAlignment="1">
      <alignment horizontal="left"/>
    </xf>
    <xf numFmtId="0" fontId="5" fillId="4" borderId="22" xfId="0" applyFont="1" applyFill="1" applyBorder="1"/>
    <xf numFmtId="0" fontId="15" fillId="5" borderId="22" xfId="0" applyFont="1" applyFill="1" applyBorder="1"/>
    <xf numFmtId="0" fontId="16" fillId="5" borderId="22" xfId="0" applyFont="1" applyFill="1" applyBorder="1"/>
    <xf numFmtId="166" fontId="18" fillId="0" borderId="2" xfId="9" applyNumberFormat="1" applyFont="1" applyFill="1" applyBorder="1" applyAlignment="1">
      <alignment horizontal="left" wrapText="1"/>
    </xf>
    <xf numFmtId="164" fontId="18" fillId="0" borderId="7" xfId="1" applyNumberFormat="1" applyFont="1" applyFill="1" applyBorder="1"/>
    <xf numFmtId="164" fontId="18" fillId="0" borderId="0" xfId="1" applyNumberFormat="1" applyFont="1" applyFill="1" applyAlignment="1">
      <alignment horizontal="left"/>
    </xf>
    <xf numFmtId="165" fontId="18" fillId="0" borderId="2" xfId="0" applyNumberFormat="1" applyFont="1" applyBorder="1" applyAlignment="1">
      <alignment horizontal="left" wrapText="1"/>
    </xf>
    <xf numFmtId="0" fontId="18" fillId="0" borderId="2" xfId="0" applyFont="1" applyBorder="1" applyAlignment="1">
      <alignment horizontal="left"/>
    </xf>
    <xf numFmtId="165" fontId="18" fillId="0" borderId="2" xfId="0" applyNumberFormat="1" applyFont="1" applyBorder="1" applyAlignment="1">
      <alignment horizontal="left"/>
    </xf>
    <xf numFmtId="164" fontId="17" fillId="0" borderId="0" xfId="1" applyNumberFormat="1" applyFont="1" applyFill="1"/>
    <xf numFmtId="166" fontId="15" fillId="0" borderId="5" xfId="0" applyNumberFormat="1" applyFont="1" applyBorder="1"/>
    <xf numFmtId="0" fontId="15" fillId="0" borderId="5" xfId="0" applyFont="1" applyBorder="1"/>
    <xf numFmtId="164" fontId="17" fillId="0" borderId="24" xfId="1" applyNumberFormat="1" applyFont="1" applyFill="1" applyBorder="1"/>
    <xf numFmtId="0" fontId="17" fillId="0" borderId="5" xfId="0" applyFont="1" applyBorder="1"/>
    <xf numFmtId="164" fontId="18" fillId="0" borderId="0" xfId="1" applyNumberFormat="1" applyFont="1" applyFill="1"/>
    <xf numFmtId="164" fontId="17" fillId="0" borderId="1" xfId="1" applyNumberFormat="1" applyFont="1" applyFill="1" applyBorder="1"/>
    <xf numFmtId="0" fontId="17" fillId="0" borderId="0" xfId="0" applyFont="1"/>
    <xf numFmtId="0" fontId="15" fillId="0" borderId="0" xfId="0" applyFont="1"/>
    <xf numFmtId="164" fontId="18" fillId="0" borderId="0" xfId="1" applyNumberFormat="1" applyFont="1" applyFill="1" applyBorder="1" applyAlignment="1">
      <alignment horizontal="left"/>
    </xf>
    <xf numFmtId="164" fontId="18" fillId="0" borderId="0" xfId="1" applyNumberFormat="1" applyFont="1" applyFill="1" applyBorder="1" applyAlignment="1">
      <alignment horizontal="left" wrapText="1"/>
    </xf>
    <xf numFmtId="166" fontId="15" fillId="0" borderId="0" xfId="0" applyNumberFormat="1" applyFont="1"/>
    <xf numFmtId="166" fontId="18" fillId="0" borderId="2" xfId="9" applyNumberFormat="1" applyFont="1" applyFill="1" applyBorder="1" applyAlignment="1">
      <alignment horizontal="left"/>
    </xf>
    <xf numFmtId="0" fontId="17" fillId="0" borderId="24" xfId="0" applyFont="1" applyBorder="1"/>
    <xf numFmtId="0" fontId="18" fillId="0" borderId="4" xfId="0" applyFont="1" applyBorder="1" applyAlignment="1">
      <alignment horizontal="left"/>
    </xf>
    <xf numFmtId="0" fontId="18" fillId="0" borderId="4" xfId="0" applyFont="1" applyBorder="1" applyAlignment="1">
      <alignment horizontal="left" wrapText="1"/>
    </xf>
    <xf numFmtId="166" fontId="17" fillId="0" borderId="24" xfId="0" applyNumberFormat="1" applyFont="1" applyBorder="1"/>
    <xf numFmtId="0" fontId="18" fillId="0" borderId="24" xfId="0" applyFont="1" applyBorder="1"/>
    <xf numFmtId="3" fontId="18" fillId="0" borderId="24" xfId="0" applyNumberFormat="1" applyFont="1" applyBorder="1"/>
    <xf numFmtId="0" fontId="18" fillId="0" borderId="18" xfId="0" applyFont="1" applyBorder="1"/>
    <xf numFmtId="164" fontId="17" fillId="0" borderId="5" xfId="1" applyNumberFormat="1" applyFont="1" applyFill="1" applyBorder="1"/>
    <xf numFmtId="11" fontId="15" fillId="0" borderId="5" xfId="0" applyNumberFormat="1" applyFont="1" applyBorder="1"/>
    <xf numFmtId="43" fontId="15" fillId="0" borderId="5" xfId="0" applyNumberFormat="1" applyFont="1" applyBorder="1"/>
    <xf numFmtId="0" fontId="6" fillId="0" borderId="5" xfId="0" applyFont="1" applyBorder="1"/>
    <xf numFmtId="164" fontId="18" fillId="0" borderId="18" xfId="1" applyNumberFormat="1" applyFont="1" applyFill="1" applyBorder="1"/>
    <xf numFmtId="164" fontId="18" fillId="0" borderId="5" xfId="1" applyNumberFormat="1" applyFont="1" applyFill="1" applyBorder="1"/>
    <xf numFmtId="0" fontId="17" fillId="0" borderId="18" xfId="0" applyFont="1" applyBorder="1"/>
    <xf numFmtId="0" fontId="19" fillId="0" borderId="5" xfId="0" applyFont="1" applyBorder="1"/>
    <xf numFmtId="164" fontId="18" fillId="0" borderId="3" xfId="1" applyNumberFormat="1" applyFont="1" applyFill="1" applyBorder="1" applyAlignment="1">
      <alignment horizontal="left"/>
    </xf>
    <xf numFmtId="164" fontId="18" fillId="0" borderId="3" xfId="1" applyNumberFormat="1" applyFont="1" applyFill="1" applyBorder="1" applyAlignment="1">
      <alignment horizontal="left" wrapText="1"/>
    </xf>
    <xf numFmtId="166" fontId="17" fillId="0" borderId="18" xfId="0" applyNumberFormat="1" applyFont="1" applyBorder="1"/>
    <xf numFmtId="166" fontId="20" fillId="0" borderId="0" xfId="9" applyNumberFormat="1" applyFont="1" applyFill="1" applyBorder="1"/>
    <xf numFmtId="166" fontId="20" fillId="0" borderId="0" xfId="0" applyNumberFormat="1" applyFont="1"/>
    <xf numFmtId="166" fontId="20" fillId="0" borderId="0" xfId="10" applyNumberFormat="1" applyFont="1" applyFill="1" applyBorder="1" applyAlignment="1">
      <alignment horizontal="left"/>
    </xf>
    <xf numFmtId="166" fontId="21" fillId="0" borderId="0" xfId="9" applyNumberFormat="1" applyFont="1" applyFill="1" applyBorder="1"/>
    <xf numFmtId="164" fontId="21" fillId="0" borderId="1" xfId="1" applyNumberFormat="1" applyFont="1" applyFill="1" applyBorder="1"/>
    <xf numFmtId="166" fontId="20" fillId="0" borderId="5" xfId="9" applyNumberFormat="1" applyFont="1" applyFill="1" applyBorder="1"/>
    <xf numFmtId="166" fontId="20" fillId="0" borderId="5" xfId="10" applyNumberFormat="1" applyFont="1" applyFill="1" applyBorder="1" applyAlignment="1">
      <alignment horizontal="left"/>
    </xf>
    <xf numFmtId="166" fontId="20" fillId="0" borderId="5" xfId="0" applyNumberFormat="1" applyFont="1" applyBorder="1"/>
    <xf numFmtId="166" fontId="21" fillId="0" borderId="5" xfId="0" applyNumberFormat="1" applyFont="1" applyBorder="1"/>
    <xf numFmtId="164" fontId="21" fillId="0" borderId="17" xfId="1" applyNumberFormat="1" applyFont="1" applyFill="1" applyBorder="1"/>
    <xf numFmtId="164" fontId="20" fillId="0" borderId="5" xfId="10" applyNumberFormat="1" applyFont="1" applyFill="1" applyBorder="1" applyAlignment="1">
      <alignment horizontal="left"/>
    </xf>
    <xf numFmtId="166" fontId="21" fillId="0" borderId="5" xfId="9" applyNumberFormat="1" applyFont="1" applyFill="1" applyBorder="1"/>
    <xf numFmtId="164" fontId="20" fillId="0" borderId="0" xfId="10" applyNumberFormat="1" applyFont="1" applyFill="1" applyBorder="1" applyAlignment="1">
      <alignment horizontal="left"/>
    </xf>
    <xf numFmtId="3" fontId="20" fillId="0" borderId="5" xfId="0" applyNumberFormat="1" applyFont="1" applyBorder="1"/>
    <xf numFmtId="0" fontId="20" fillId="0" borderId="5" xfId="0" applyFont="1" applyBorder="1"/>
    <xf numFmtId="164" fontId="20" fillId="0" borderId="5" xfId="1" applyNumberFormat="1" applyFont="1" applyFill="1" applyBorder="1"/>
    <xf numFmtId="3" fontId="22" fillId="0" borderId="5" xfId="0" applyNumberFormat="1" applyFont="1" applyBorder="1"/>
    <xf numFmtId="164" fontId="20" fillId="0" borderId="0" xfId="0" applyNumberFormat="1" applyFont="1"/>
    <xf numFmtId="164" fontId="20" fillId="0" borderId="5" xfId="0" applyNumberFormat="1" applyFont="1" applyBorder="1"/>
    <xf numFmtId="0" fontId="20" fillId="0" borderId="0" xfId="0" applyFont="1"/>
    <xf numFmtId="166" fontId="23" fillId="0" borderId="5" xfId="0" applyNumberFormat="1" applyFont="1" applyBorder="1"/>
    <xf numFmtId="168" fontId="20" fillId="0" borderId="0" xfId="0" applyNumberFormat="1" applyFont="1"/>
    <xf numFmtId="165" fontId="20" fillId="0" borderId="0" xfId="0" applyNumberFormat="1" applyFont="1"/>
    <xf numFmtId="166" fontId="21" fillId="0" borderId="0" xfId="0" applyNumberFormat="1" applyFont="1"/>
    <xf numFmtId="1" fontId="20" fillId="0" borderId="0" xfId="0" applyNumberFormat="1" applyFont="1" applyAlignment="1">
      <alignment horizontal="right"/>
    </xf>
    <xf numFmtId="0" fontId="21" fillId="0" borderId="0" xfId="0" applyFont="1"/>
    <xf numFmtId="43" fontId="21" fillId="0" borderId="0" xfId="1" applyFont="1" applyFill="1" applyBorder="1"/>
    <xf numFmtId="164" fontId="20" fillId="0" borderId="0" xfId="1" applyNumberFormat="1" applyFont="1" applyFill="1" applyBorder="1"/>
    <xf numFmtId="164" fontId="21" fillId="0" borderId="0" xfId="1" applyNumberFormat="1" applyFont="1" applyFill="1" applyBorder="1"/>
    <xf numFmtId="164" fontId="24" fillId="0" borderId="5" xfId="1" applyNumberFormat="1" applyFont="1" applyFill="1" applyBorder="1"/>
    <xf numFmtId="164" fontId="24" fillId="0" borderId="5" xfId="0" applyNumberFormat="1" applyFont="1" applyBorder="1"/>
    <xf numFmtId="9" fontId="21" fillId="0" borderId="0" xfId="6" applyFont="1" applyFill="1" applyBorder="1"/>
    <xf numFmtId="9" fontId="21" fillId="0" borderId="5" xfId="6" applyFont="1" applyFill="1" applyBorder="1"/>
    <xf numFmtId="0" fontId="22" fillId="0" borderId="5" xfId="0" applyFont="1" applyBorder="1"/>
    <xf numFmtId="164" fontId="24" fillId="0" borderId="17" xfId="1" applyNumberFormat="1" applyFont="1" applyFill="1" applyBorder="1"/>
    <xf numFmtId="164" fontId="21" fillId="0" borderId="0" xfId="0" applyNumberFormat="1" applyFont="1"/>
    <xf numFmtId="0" fontId="5" fillId="0" borderId="0" xfId="0" applyFont="1" applyAlignment="1">
      <alignment horizontal="center" vertical="center" wrapText="1"/>
    </xf>
    <xf numFmtId="164" fontId="5" fillId="3" borderId="0" xfId="1" applyNumberFormat="1" applyFont="1" applyFill="1"/>
    <xf numFmtId="164" fontId="5" fillId="0" borderId="0" xfId="0" applyNumberFormat="1" applyFont="1" applyAlignment="1">
      <alignment horizontal="center" vertical="center" wrapText="1"/>
    </xf>
    <xf numFmtId="164" fontId="5" fillId="0" borderId="0" xfId="1" applyNumberFormat="1" applyFont="1"/>
    <xf numFmtId="164" fontId="5" fillId="9" borderId="0" xfId="1" applyNumberFormat="1" applyFont="1" applyFill="1"/>
    <xf numFmtId="164" fontId="5" fillId="3" borderId="0" xfId="0" applyNumberFormat="1" applyFont="1" applyFill="1"/>
    <xf numFmtId="169" fontId="5" fillId="0" borderId="0" xfId="6" applyNumberFormat="1" applyFont="1" applyFill="1"/>
    <xf numFmtId="0" fontId="5" fillId="0" borderId="2" xfId="0" applyFont="1" applyBorder="1" applyAlignment="1">
      <alignment horizontal="center" vertical="center" wrapText="1"/>
    </xf>
    <xf numFmtId="0" fontId="5" fillId="0" borderId="2" xfId="0" applyFont="1" applyBorder="1" applyAlignment="1">
      <alignment wrapText="1"/>
    </xf>
    <xf numFmtId="0" fontId="5" fillId="0" borderId="6" xfId="0" applyFont="1" applyBorder="1" applyAlignment="1">
      <alignment horizontal="left" vertical="center" wrapText="1"/>
    </xf>
    <xf numFmtId="0" fontId="5" fillId="0" borderId="18" xfId="0" applyFont="1" applyBorder="1"/>
    <xf numFmtId="164" fontId="5" fillId="0" borderId="5" xfId="0" applyNumberFormat="1" applyFont="1" applyBorder="1"/>
    <xf numFmtId="0" fontId="5" fillId="0" borderId="3" xfId="0" applyFont="1" applyBorder="1" applyAlignment="1">
      <alignment horizontal="center" vertical="center" wrapText="1"/>
    </xf>
    <xf numFmtId="164" fontId="5" fillId="0" borderId="1" xfId="1" applyNumberFormat="1" applyFont="1" applyBorder="1" applyAlignment="1">
      <alignment horizontal="center" vertical="center" wrapText="1"/>
    </xf>
    <xf numFmtId="164" fontId="5" fillId="0" borderId="1" xfId="0" applyNumberFormat="1" applyFont="1" applyBorder="1"/>
    <xf numFmtId="164" fontId="21" fillId="0" borderId="0" xfId="1" applyNumberFormat="1" applyFont="1" applyFill="1"/>
    <xf numFmtId="164" fontId="20" fillId="0" borderId="0" xfId="1" applyNumberFormat="1" applyFont="1" applyFill="1"/>
    <xf numFmtId="164" fontId="20" fillId="0" borderId="0" xfId="1" applyNumberFormat="1" applyFont="1" applyFill="1" applyAlignment="1">
      <alignment horizontal="right"/>
    </xf>
    <xf numFmtId="164" fontId="25" fillId="0" borderId="0" xfId="1" applyNumberFormat="1" applyFont="1" applyFill="1"/>
    <xf numFmtId="164" fontId="21" fillId="0" borderId="5" xfId="1" applyNumberFormat="1" applyFont="1" applyFill="1" applyBorder="1"/>
    <xf numFmtId="164" fontId="20" fillId="0" borderId="5" xfId="1" applyNumberFormat="1" applyFont="1" applyFill="1" applyBorder="1" applyAlignment="1">
      <alignment horizontal="right"/>
    </xf>
    <xf numFmtId="164" fontId="25" fillId="0" borderId="5" xfId="1" applyNumberFormat="1" applyFont="1" applyFill="1" applyBorder="1"/>
    <xf numFmtId="164" fontId="20" fillId="0" borderId="0" xfId="1" applyNumberFormat="1" applyFont="1" applyFill="1" applyBorder="1" applyAlignment="1">
      <alignment horizontal="left"/>
    </xf>
    <xf numFmtId="164" fontId="26" fillId="0" borderId="0" xfId="1" applyNumberFormat="1" applyFont="1" applyFill="1"/>
    <xf numFmtId="164" fontId="20" fillId="3" borderId="0" xfId="1" applyNumberFormat="1" applyFont="1" applyFill="1"/>
    <xf numFmtId="164" fontId="23" fillId="0" borderId="0" xfId="1" applyNumberFormat="1" applyFont="1" applyFill="1"/>
    <xf numFmtId="164" fontId="14" fillId="0" borderId="0" xfId="1" applyNumberFormat="1" applyFont="1" applyFill="1"/>
    <xf numFmtId="164" fontId="25" fillId="0" borderId="0" xfId="1" applyNumberFormat="1" applyFont="1" applyFill="1" applyAlignment="1">
      <alignment horizontal="right"/>
    </xf>
    <xf numFmtId="164" fontId="23" fillId="0" borderId="5" xfId="1" applyNumberFormat="1" applyFont="1" applyFill="1" applyBorder="1"/>
    <xf numFmtId="164" fontId="23" fillId="0" borderId="0" xfId="1" applyNumberFormat="1" applyFont="1" applyFill="1" applyBorder="1"/>
    <xf numFmtId="164" fontId="23" fillId="0" borderId="5" xfId="1" applyNumberFormat="1" applyFont="1" applyFill="1" applyBorder="1" applyAlignment="1">
      <alignment horizontal="right"/>
    </xf>
    <xf numFmtId="164" fontId="6" fillId="0" borderId="0" xfId="1" applyNumberFormat="1" applyFont="1" applyFill="1" applyAlignment="1">
      <alignment horizontal="left"/>
    </xf>
    <xf numFmtId="164" fontId="18" fillId="0" borderId="0" xfId="1" applyNumberFormat="1" applyFont="1" applyFill="1" applyAlignment="1">
      <alignment horizontal="left" wrapText="1"/>
    </xf>
    <xf numFmtId="164" fontId="18" fillId="0" borderId="0" xfId="1" applyNumberFormat="1" applyFont="1" applyFill="1" applyAlignment="1">
      <alignment horizontal="right"/>
    </xf>
    <xf numFmtId="164" fontId="18" fillId="0" borderId="0" xfId="1" applyNumberFormat="1" applyFont="1" applyFill="1" applyAlignment="1">
      <alignment horizontal="right" wrapText="1"/>
    </xf>
    <xf numFmtId="164" fontId="5" fillId="0" borderId="5" xfId="1" applyNumberFormat="1" applyFont="1" applyFill="1" applyBorder="1"/>
    <xf numFmtId="164" fontId="27" fillId="0" borderId="5" xfId="1" applyNumberFormat="1" applyFont="1" applyFill="1" applyBorder="1"/>
    <xf numFmtId="164" fontId="6" fillId="0" borderId="0" xfId="1" applyNumberFormat="1" applyFont="1" applyFill="1"/>
    <xf numFmtId="164" fontId="28" fillId="0" borderId="0" xfId="1" applyNumberFormat="1" applyFont="1" applyFill="1"/>
    <xf numFmtId="164" fontId="27" fillId="0" borderId="0" xfId="1" applyNumberFormat="1" applyFont="1" applyFill="1"/>
    <xf numFmtId="164" fontId="5" fillId="0" borderId="0" xfId="1" applyNumberFormat="1" applyFont="1" applyFill="1" applyAlignment="1">
      <alignment horizontal="right"/>
    </xf>
    <xf numFmtId="164" fontId="6" fillId="0" borderId="5" xfId="1" applyNumberFormat="1" applyFont="1" applyFill="1" applyBorder="1"/>
    <xf numFmtId="164" fontId="29" fillId="0" borderId="5" xfId="1" applyNumberFormat="1" applyFont="1" applyFill="1" applyBorder="1"/>
    <xf numFmtId="164" fontId="23" fillId="0" borderId="7" xfId="1" applyNumberFormat="1" applyFont="1" applyFill="1" applyBorder="1"/>
    <xf numFmtId="164" fontId="23" fillId="0" borderId="2" xfId="1" applyNumberFormat="1" applyFont="1" applyFill="1" applyBorder="1"/>
    <xf numFmtId="164" fontId="6" fillId="0" borderId="0" xfId="1" applyNumberFormat="1" applyFont="1" applyFill="1" applyAlignment="1">
      <alignment wrapText="1"/>
    </xf>
    <xf numFmtId="164" fontId="18" fillId="0" borderId="0" xfId="1" applyNumberFormat="1" applyFont="1" applyFill="1" applyAlignment="1">
      <alignment wrapText="1"/>
    </xf>
    <xf numFmtId="164" fontId="17" fillId="0" borderId="23" xfId="1" applyNumberFormat="1" applyFont="1" applyFill="1" applyBorder="1"/>
    <xf numFmtId="164" fontId="5" fillId="0" borderId="23" xfId="1" applyNumberFormat="1" applyFont="1" applyFill="1" applyBorder="1"/>
    <xf numFmtId="164" fontId="25" fillId="0" borderId="23" xfId="1" applyNumberFormat="1" applyFont="1" applyFill="1" applyBorder="1"/>
    <xf numFmtId="164" fontId="25" fillId="0" borderId="16" xfId="1" applyNumberFormat="1" applyFont="1" applyFill="1" applyBorder="1"/>
    <xf numFmtId="164" fontId="5" fillId="0" borderId="0" xfId="1" applyNumberFormat="1" applyFont="1" applyAlignment="1">
      <alignment vertical="top" wrapText="1"/>
    </xf>
    <xf numFmtId="164" fontId="6" fillId="0" borderId="15" xfId="1" applyNumberFormat="1" applyFont="1" applyBorder="1" applyAlignment="1">
      <alignment horizontal="center" vertical="top" wrapText="1"/>
    </xf>
    <xf numFmtId="164" fontId="6" fillId="0" borderId="16" xfId="1" applyNumberFormat="1" applyFont="1" applyBorder="1" applyAlignment="1">
      <alignment vertical="top" wrapText="1"/>
    </xf>
    <xf numFmtId="164" fontId="6" fillId="0" borderId="17" xfId="1" applyNumberFormat="1" applyFont="1" applyBorder="1" applyAlignment="1">
      <alignment vertical="top" wrapText="1"/>
    </xf>
    <xf numFmtId="164" fontId="6" fillId="0" borderId="0" xfId="1" applyNumberFormat="1" applyFont="1" applyAlignment="1">
      <alignment vertical="top" wrapText="1"/>
    </xf>
    <xf numFmtId="164" fontId="6" fillId="0" borderId="16" xfId="1" applyNumberFormat="1" applyFont="1" applyBorder="1" applyAlignment="1">
      <alignment horizontal="center" vertical="top" wrapText="1"/>
    </xf>
    <xf numFmtId="164" fontId="6" fillId="0" borderId="0" xfId="1" applyNumberFormat="1" applyFont="1" applyAlignment="1">
      <alignment horizontal="center" vertical="top" wrapText="1"/>
    </xf>
    <xf numFmtId="164" fontId="6" fillId="3" borderId="16" xfId="1" applyNumberFormat="1" applyFont="1" applyFill="1" applyBorder="1" applyAlignment="1">
      <alignment vertical="top" wrapText="1"/>
    </xf>
    <xf numFmtId="164" fontId="19" fillId="0" borderId="16" xfId="1" applyNumberFormat="1" applyFont="1" applyBorder="1" applyAlignment="1">
      <alignment vertical="top" wrapText="1"/>
    </xf>
    <xf numFmtId="164" fontId="5" fillId="0" borderId="15" xfId="1" applyNumberFormat="1" applyFont="1" applyBorder="1" applyAlignment="1">
      <alignment horizontal="center" vertical="top" wrapText="1"/>
    </xf>
    <xf numFmtId="164" fontId="5" fillId="0" borderId="16" xfId="1" applyNumberFormat="1" applyFont="1" applyBorder="1" applyAlignment="1">
      <alignment vertical="top" wrapText="1"/>
    </xf>
    <xf numFmtId="164" fontId="15" fillId="0" borderId="16" xfId="1" applyNumberFormat="1" applyFont="1" applyBorder="1" applyAlignment="1">
      <alignment vertical="top" wrapText="1"/>
    </xf>
    <xf numFmtId="164" fontId="5" fillId="0" borderId="0" xfId="1" applyNumberFormat="1" applyFont="1" applyBorder="1" applyAlignment="1">
      <alignment vertical="top" wrapText="1"/>
    </xf>
    <xf numFmtId="164" fontId="15" fillId="0" borderId="0" xfId="1" applyNumberFormat="1" applyFont="1" applyAlignment="1">
      <alignment horizontal="left" vertical="top"/>
    </xf>
    <xf numFmtId="164" fontId="15" fillId="0" borderId="16" xfId="1" applyNumberFormat="1" applyFont="1" applyBorder="1" applyAlignment="1">
      <alignment horizontal="left" vertical="top" wrapText="1"/>
    </xf>
    <xf numFmtId="164" fontId="15" fillId="5" borderId="16" xfId="1" applyNumberFormat="1" applyFont="1" applyFill="1" applyBorder="1" applyAlignment="1">
      <alignment vertical="top" wrapText="1"/>
    </xf>
    <xf numFmtId="164" fontId="15" fillId="5" borderId="0" xfId="1" applyNumberFormat="1" applyFont="1" applyFill="1" applyAlignment="1">
      <alignment vertical="top"/>
    </xf>
    <xf numFmtId="164" fontId="15" fillId="5" borderId="19" xfId="1" applyNumberFormat="1" applyFont="1" applyFill="1" applyBorder="1" applyAlignment="1">
      <alignment horizontal="center" vertical="top"/>
    </xf>
    <xf numFmtId="164" fontId="5" fillId="0" borderId="20" xfId="1" applyNumberFormat="1" applyFont="1" applyBorder="1" applyAlignment="1">
      <alignment horizontal="center" vertical="top" wrapText="1"/>
    </xf>
    <xf numFmtId="164" fontId="5" fillId="0" borderId="21" xfId="1" applyNumberFormat="1" applyFont="1" applyBorder="1" applyAlignment="1">
      <alignment vertical="top" wrapText="1"/>
    </xf>
    <xf numFmtId="164" fontId="15" fillId="0" borderId="21" xfId="1" applyNumberFormat="1" applyFont="1" applyBorder="1" applyAlignment="1">
      <alignment vertical="top" wrapText="1"/>
    </xf>
    <xf numFmtId="164" fontId="5" fillId="0" borderId="0" xfId="1" applyNumberFormat="1" applyFont="1" applyAlignment="1">
      <alignment horizontal="center" vertical="top" wrapText="1"/>
    </xf>
    <xf numFmtId="0" fontId="0" fillId="0" borderId="2" xfId="0" applyBorder="1" applyAlignment="1">
      <alignment horizontal="center" vertical="center" wrapText="1"/>
    </xf>
    <xf numFmtId="0" fontId="0" fillId="0" borderId="2" xfId="0" applyBorder="1" applyAlignment="1">
      <alignment wrapText="1"/>
    </xf>
    <xf numFmtId="0" fontId="0" fillId="0" borderId="4" xfId="0" applyBorder="1" applyAlignment="1">
      <alignment horizontal="center" vertical="center" wrapText="1"/>
    </xf>
    <xf numFmtId="0" fontId="0" fillId="0" borderId="24" xfId="0" applyBorder="1" applyAlignment="1">
      <alignment horizontal="left" vertical="center" wrapText="1"/>
    </xf>
    <xf numFmtId="0" fontId="0" fillId="0" borderId="24" xfId="0" applyBorder="1"/>
    <xf numFmtId="0" fontId="0" fillId="0" borderId="18" xfId="0" applyBorder="1"/>
    <xf numFmtId="164" fontId="0" fillId="0" borderId="5" xfId="0" applyNumberFormat="1" applyBorder="1"/>
    <xf numFmtId="0" fontId="0" fillId="0" borderId="3" xfId="0" applyBorder="1" applyAlignment="1">
      <alignment horizontal="center" vertical="center" wrapText="1"/>
    </xf>
    <xf numFmtId="164" fontId="0" fillId="0" borderId="1" xfId="1" applyNumberFormat="1" applyFont="1" applyBorder="1" applyAlignment="1">
      <alignment horizontal="center" vertical="center" wrapText="1"/>
    </xf>
    <xf numFmtId="164" fontId="0" fillId="0" borderId="17" xfId="0" applyNumberFormat="1" applyBorder="1"/>
    <xf numFmtId="0" fontId="0" fillId="5" borderId="0" xfId="0" applyFill="1"/>
    <xf numFmtId="0" fontId="30" fillId="5" borderId="0" xfId="0" applyFont="1" applyFill="1" applyAlignment="1">
      <alignment horizontal="center" vertical="center"/>
    </xf>
    <xf numFmtId="15" fontId="0" fillId="5" borderId="0" xfId="0" applyNumberFormat="1" applyFill="1" applyAlignment="1">
      <alignment horizontal="center"/>
    </xf>
    <xf numFmtId="0" fontId="0" fillId="5" borderId="0" xfId="0" applyFill="1" applyAlignment="1">
      <alignment horizontal="center"/>
    </xf>
    <xf numFmtId="0" fontId="0" fillId="5" borderId="0" xfId="0" applyFill="1" applyAlignment="1">
      <alignment horizontal="center" vertical="center" wrapText="1"/>
    </xf>
    <xf numFmtId="164" fontId="6" fillId="4" borderId="13" xfId="1" applyNumberFormat="1" applyFont="1" applyFill="1" applyBorder="1" applyAlignment="1">
      <alignment horizontal="center" vertical="top" wrapText="1"/>
    </xf>
    <xf numFmtId="164" fontId="6" fillId="4" borderId="14" xfId="1" applyNumberFormat="1" applyFont="1" applyFill="1" applyBorder="1" applyAlignment="1">
      <alignment horizontal="center" vertical="top" wrapText="1"/>
    </xf>
    <xf numFmtId="0" fontId="6" fillId="0" borderId="17" xfId="1" applyNumberFormat="1" applyFont="1" applyBorder="1" applyAlignment="1">
      <alignment horizontal="center" vertical="top" wrapText="1"/>
    </xf>
    <xf numFmtId="0" fontId="6" fillId="0" borderId="5" xfId="1" applyNumberFormat="1" applyFont="1" applyBorder="1" applyAlignment="1">
      <alignment horizontal="center" vertical="top" wrapText="1"/>
    </xf>
    <xf numFmtId="0" fontId="6" fillId="0" borderId="18" xfId="1" applyNumberFormat="1" applyFont="1" applyBorder="1" applyAlignment="1">
      <alignment horizontal="center" vertical="top" wrapText="1"/>
    </xf>
    <xf numFmtId="0" fontId="6" fillId="0" borderId="16" xfId="1" applyNumberFormat="1" applyFont="1" applyBorder="1" applyAlignment="1">
      <alignment horizontal="center" vertical="top" wrapText="1"/>
    </xf>
    <xf numFmtId="164" fontId="4" fillId="7" borderId="9" xfId="1" applyNumberFormat="1" applyFont="1" applyFill="1" applyBorder="1" applyAlignment="1">
      <alignment horizontal="center" wrapText="1"/>
    </xf>
    <xf numFmtId="164" fontId="4" fillId="7" borderId="0" xfId="1" applyNumberFormat="1" applyFont="1" applyFill="1" applyBorder="1" applyAlignment="1">
      <alignment horizontal="center" wrapText="1"/>
    </xf>
    <xf numFmtId="0" fontId="4" fillId="7" borderId="9" xfId="0" applyFont="1" applyFill="1" applyBorder="1" applyAlignment="1">
      <alignment horizontal="center" wrapText="1"/>
    </xf>
    <xf numFmtId="0" fontId="4" fillId="7" borderId="0" xfId="0" applyFont="1" applyFill="1" applyAlignment="1">
      <alignment horizontal="center" wrapText="1"/>
    </xf>
    <xf numFmtId="164" fontId="4" fillId="7" borderId="39" xfId="1" applyNumberFormat="1" applyFont="1" applyFill="1" applyBorder="1" applyAlignment="1">
      <alignment horizontal="center"/>
    </xf>
    <xf numFmtId="164" fontId="4" fillId="7" borderId="37" xfId="1" applyNumberFormat="1" applyFont="1" applyFill="1" applyBorder="1" applyAlignment="1">
      <alignment horizontal="center"/>
    </xf>
    <xf numFmtId="164" fontId="4" fillId="7" borderId="38" xfId="1" applyNumberFormat="1" applyFont="1" applyFill="1" applyBorder="1" applyAlignment="1">
      <alignment horizontal="center"/>
    </xf>
    <xf numFmtId="0" fontId="4" fillId="7" borderId="10"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30"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0" xfId="0" applyFont="1" applyFill="1" applyAlignment="1">
      <alignment horizontal="center" vertical="center" wrapText="1"/>
    </xf>
    <xf numFmtId="0" fontId="4" fillId="7" borderId="39" xfId="0" applyFont="1" applyFill="1" applyBorder="1" applyAlignment="1">
      <alignment horizontal="center"/>
    </xf>
    <xf numFmtId="0" fontId="4" fillId="7" borderId="37" xfId="0" applyFont="1" applyFill="1" applyBorder="1" applyAlignment="1">
      <alignment horizontal="center"/>
    </xf>
    <xf numFmtId="0" fontId="4" fillId="7" borderId="38" xfId="0" applyFont="1" applyFill="1" applyBorder="1" applyAlignment="1">
      <alignment horizontal="center"/>
    </xf>
    <xf numFmtId="0" fontId="13" fillId="0" borderId="0" xfId="0" applyFont="1"/>
    <xf numFmtId="0" fontId="11" fillId="0" borderId="5" xfId="0" applyFont="1" applyBorder="1"/>
    <xf numFmtId="164" fontId="11" fillId="0" borderId="5" xfId="0" applyNumberFormat="1" applyFont="1" applyBorder="1"/>
    <xf numFmtId="0" fontId="11" fillId="0" borderId="17" xfId="0" applyFont="1" applyBorder="1" applyAlignment="1">
      <alignment horizontal="center" vertical="top"/>
    </xf>
    <xf numFmtId="164" fontId="0" fillId="0" borderId="1" xfId="1" applyNumberFormat="1" applyFont="1" applyBorder="1"/>
    <xf numFmtId="164" fontId="11" fillId="0" borderId="17" xfId="1" applyNumberFormat="1" applyFont="1" applyBorder="1"/>
    <xf numFmtId="164" fontId="31" fillId="0" borderId="0" xfId="1" applyNumberFormat="1" applyFont="1"/>
    <xf numFmtId="0" fontId="0" fillId="0" borderId="5" xfId="0" applyBorder="1"/>
    <xf numFmtId="164" fontId="32" fillId="0" borderId="5" xfId="1" applyNumberFormat="1" applyFont="1" applyBorder="1"/>
    <xf numFmtId="164" fontId="31" fillId="0" borderId="1" xfId="1" applyNumberFormat="1" applyFont="1" applyBorder="1"/>
    <xf numFmtId="164" fontId="32" fillId="0" borderId="17" xfId="1" applyNumberFormat="1" applyFont="1" applyBorder="1"/>
    <xf numFmtId="167" fontId="13" fillId="0" borderId="0" xfId="1" applyNumberFormat="1" applyFont="1"/>
    <xf numFmtId="0" fontId="0" fillId="0" borderId="0" xfId="0" applyBorder="1"/>
    <xf numFmtId="164" fontId="32" fillId="0" borderId="0" xfId="1" applyNumberFormat="1" applyFont="1" applyBorder="1"/>
    <xf numFmtId="0" fontId="0" fillId="0" borderId="0" xfId="0" applyFill="1" applyBorder="1"/>
    <xf numFmtId="0" fontId="0" fillId="0" borderId="1" xfId="0" applyBorder="1"/>
    <xf numFmtId="172" fontId="5" fillId="0" borderId="0" xfId="1" applyNumberFormat="1" applyFont="1" applyAlignment="1">
      <alignment vertical="top" wrapText="1"/>
    </xf>
    <xf numFmtId="164" fontId="17" fillId="0" borderId="16" xfId="1" applyNumberFormat="1" applyFont="1" applyBorder="1" applyAlignment="1">
      <alignment vertical="top" wrapText="1"/>
    </xf>
    <xf numFmtId="164" fontId="17" fillId="0" borderId="0" xfId="1" applyNumberFormat="1" applyFont="1" applyBorder="1" applyAlignment="1">
      <alignment vertical="top" wrapText="1"/>
    </xf>
    <xf numFmtId="164" fontId="18" fillId="0" borderId="16" xfId="1" applyNumberFormat="1" applyFont="1" applyBorder="1" applyAlignment="1">
      <alignment vertical="top" wrapText="1"/>
    </xf>
    <xf numFmtId="164" fontId="17" fillId="5" borderId="16" xfId="1" applyNumberFormat="1" applyFont="1" applyFill="1" applyBorder="1" applyAlignment="1">
      <alignment vertical="top" wrapText="1"/>
    </xf>
    <xf numFmtId="164" fontId="17" fillId="5" borderId="5" xfId="1" applyNumberFormat="1" applyFont="1" applyFill="1" applyBorder="1" applyAlignment="1">
      <alignment vertical="top" wrapText="1"/>
    </xf>
    <xf numFmtId="164" fontId="17" fillId="5" borderId="0" xfId="1" applyNumberFormat="1" applyFont="1" applyFill="1" applyBorder="1" applyAlignment="1">
      <alignment vertical="top" wrapText="1"/>
    </xf>
    <xf numFmtId="164" fontId="17" fillId="5" borderId="0" xfId="1" applyNumberFormat="1" applyFont="1" applyFill="1" applyAlignment="1">
      <alignment vertical="top"/>
    </xf>
    <xf numFmtId="0" fontId="0" fillId="0" borderId="2" xfId="0" applyBorder="1"/>
    <xf numFmtId="164" fontId="17" fillId="0" borderId="0" xfId="1" applyNumberFormat="1" applyFont="1" applyAlignment="1">
      <alignment horizontal="center" vertical="top"/>
    </xf>
    <xf numFmtId="164" fontId="6" fillId="0" borderId="17" xfId="1" applyNumberFormat="1" applyFont="1" applyBorder="1" applyAlignment="1">
      <alignment horizontal="center" vertical="top" wrapText="1"/>
    </xf>
    <xf numFmtId="164" fontId="19" fillId="0" borderId="17" xfId="1" applyNumberFormat="1" applyFont="1" applyBorder="1" applyAlignment="1">
      <alignment vertical="top" wrapText="1"/>
    </xf>
    <xf numFmtId="164" fontId="15" fillId="0" borderId="17" xfId="1" applyNumberFormat="1" applyFont="1" applyBorder="1" applyAlignment="1">
      <alignment vertical="top" wrapText="1"/>
    </xf>
    <xf numFmtId="164" fontId="15" fillId="5" borderId="17" xfId="1" applyNumberFormat="1" applyFont="1" applyFill="1" applyBorder="1" applyAlignment="1">
      <alignment vertical="top" wrapText="1"/>
    </xf>
    <xf numFmtId="164" fontId="15" fillId="0" borderId="40" xfId="1" applyNumberFormat="1" applyFont="1" applyBorder="1" applyAlignment="1">
      <alignment vertical="top" wrapText="1"/>
    </xf>
    <xf numFmtId="164" fontId="6" fillId="0" borderId="18" xfId="1" applyNumberFormat="1" applyFont="1" applyBorder="1" applyAlignment="1">
      <alignment horizontal="center" vertical="top" wrapText="1"/>
    </xf>
    <xf numFmtId="164" fontId="19" fillId="0" borderId="18" xfId="1" applyNumberFormat="1" applyFont="1" applyBorder="1" applyAlignment="1">
      <alignment vertical="top" wrapText="1"/>
    </xf>
    <xf numFmtId="164" fontId="17" fillId="0" borderId="18" xfId="1" applyNumberFormat="1" applyFont="1" applyBorder="1" applyAlignment="1">
      <alignment vertical="top" wrapText="1"/>
    </xf>
    <xf numFmtId="164" fontId="18" fillId="0" borderId="18" xfId="1" applyNumberFormat="1" applyFont="1" applyBorder="1" applyAlignment="1">
      <alignment vertical="top" wrapText="1"/>
    </xf>
    <xf numFmtId="164" fontId="15" fillId="0" borderId="18" xfId="1" applyNumberFormat="1" applyFont="1" applyBorder="1" applyAlignment="1">
      <alignment vertical="top" wrapText="1"/>
    </xf>
    <xf numFmtId="164" fontId="15" fillId="5" borderId="18" xfId="1" applyNumberFormat="1" applyFont="1" applyFill="1" applyBorder="1" applyAlignment="1">
      <alignment vertical="top" wrapText="1"/>
    </xf>
    <xf numFmtId="164" fontId="15" fillId="0" borderId="41" xfId="1" applyNumberFormat="1" applyFont="1" applyBorder="1" applyAlignment="1">
      <alignment vertical="top" wrapText="1"/>
    </xf>
    <xf numFmtId="164" fontId="17" fillId="5" borderId="35" xfId="1" applyNumberFormat="1" applyFont="1" applyFill="1" applyBorder="1" applyAlignment="1">
      <alignment vertical="top"/>
    </xf>
    <xf numFmtId="164" fontId="15" fillId="0" borderId="3" xfId="1" applyNumberFormat="1" applyFont="1" applyBorder="1" applyAlignment="1">
      <alignment horizontal="center" vertical="top" wrapText="1"/>
    </xf>
    <xf numFmtId="164" fontId="15" fillId="0" borderId="36" xfId="1" applyNumberFormat="1" applyFont="1" applyBorder="1" applyAlignment="1">
      <alignment horizontal="center" vertical="top" wrapText="1"/>
    </xf>
    <xf numFmtId="164" fontId="15" fillId="0" borderId="16" xfId="1" applyNumberFormat="1" applyFont="1" applyBorder="1" applyAlignment="1">
      <alignment horizontal="center" vertical="top"/>
    </xf>
    <xf numFmtId="164" fontId="17" fillId="0" borderId="16" xfId="1" applyNumberFormat="1" applyFont="1" applyBorder="1" applyAlignment="1">
      <alignment horizontal="center" vertical="top"/>
    </xf>
    <xf numFmtId="164" fontId="0" fillId="0" borderId="0" xfId="1" applyNumberFormat="1" applyFont="1" applyBorder="1"/>
    <xf numFmtId="164" fontId="0" fillId="0" borderId="0" xfId="0" applyNumberFormat="1" applyBorder="1"/>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38" fillId="0" borderId="42" xfId="0" applyFont="1" applyBorder="1" applyAlignment="1">
      <alignment wrapText="1"/>
    </xf>
    <xf numFmtId="0" fontId="38" fillId="0" borderId="43" xfId="0" applyFont="1" applyBorder="1"/>
    <xf numFmtId="0" fontId="38" fillId="0" borderId="43" xfId="0" applyFont="1" applyBorder="1" applyAlignment="1">
      <alignment wrapText="1"/>
    </xf>
    <xf numFmtId="0" fontId="38" fillId="0" borderId="44" xfId="0" applyFont="1" applyBorder="1"/>
    <xf numFmtId="0" fontId="38" fillId="0" borderId="42" xfId="0" applyFont="1" applyBorder="1"/>
    <xf numFmtId="0" fontId="39" fillId="0" borderId="0" xfId="0" applyFont="1"/>
    <xf numFmtId="164" fontId="36" fillId="0" borderId="26" xfId="1" applyNumberFormat="1" applyFont="1" applyBorder="1"/>
    <xf numFmtId="164" fontId="39" fillId="0" borderId="0" xfId="1" applyNumberFormat="1" applyFont="1" applyBorder="1"/>
    <xf numFmtId="164" fontId="39" fillId="0" borderId="11" xfId="0" applyNumberFormat="1" applyFont="1" applyBorder="1"/>
    <xf numFmtId="164" fontId="39" fillId="0" borderId="26" xfId="0" applyNumberFormat="1" applyFont="1" applyBorder="1"/>
    <xf numFmtId="164" fontId="39" fillId="0" borderId="0" xfId="1" applyNumberFormat="1" applyFont="1" applyFill="1" applyBorder="1"/>
    <xf numFmtId="164" fontId="36" fillId="0" borderId="33" xfId="1" applyNumberFormat="1" applyFont="1" applyBorder="1"/>
    <xf numFmtId="164" fontId="39" fillId="0" borderId="12" xfId="1" applyNumberFormat="1" applyFont="1" applyFill="1" applyBorder="1"/>
    <xf numFmtId="0" fontId="39" fillId="0" borderId="12" xfId="0" applyFont="1" applyBorder="1"/>
    <xf numFmtId="164" fontId="39" fillId="0" borderId="45" xfId="0" applyNumberFormat="1" applyFont="1" applyBorder="1"/>
    <xf numFmtId="164" fontId="39" fillId="0" borderId="33" xfId="0" applyNumberFormat="1" applyFont="1" applyBorder="1"/>
    <xf numFmtId="164" fontId="39" fillId="0" borderId="0" xfId="0" applyNumberFormat="1" applyFont="1"/>
    <xf numFmtId="164" fontId="39" fillId="0" borderId="0" xfId="1" applyNumberFormat="1" applyFont="1"/>
    <xf numFmtId="0" fontId="18" fillId="0" borderId="0" xfId="0" applyFont="1" applyAlignment="1"/>
    <xf numFmtId="0" fontId="11" fillId="0" borderId="1" xfId="0" applyFont="1" applyBorder="1"/>
    <xf numFmtId="0" fontId="0" fillId="0" borderId="0" xfId="0" applyAlignment="1">
      <alignment wrapText="1"/>
    </xf>
    <xf numFmtId="0" fontId="11" fillId="0" borderId="0" xfId="0" applyFont="1" applyAlignment="1">
      <alignment vertical="top"/>
    </xf>
    <xf numFmtId="167" fontId="0" fillId="0" borderId="1" xfId="0" applyNumberFormat="1" applyBorder="1"/>
    <xf numFmtId="167" fontId="32" fillId="0" borderId="5" xfId="1" applyNumberFormat="1" applyFont="1" applyBorder="1"/>
    <xf numFmtId="167" fontId="32" fillId="0" borderId="17" xfId="1" applyNumberFormat="1" applyFont="1" applyBorder="1"/>
    <xf numFmtId="0" fontId="11" fillId="0" borderId="2" xfId="0" applyFont="1" applyFill="1" applyBorder="1" applyAlignment="1">
      <alignment horizontal="center"/>
    </xf>
    <xf numFmtId="0" fontId="11" fillId="0" borderId="17" xfId="0" applyFont="1" applyBorder="1"/>
    <xf numFmtId="0" fontId="11" fillId="0" borderId="18" xfId="0" applyFont="1" applyBorder="1"/>
    <xf numFmtId="0" fontId="11" fillId="0" borderId="16" xfId="0" applyFont="1" applyBorder="1"/>
    <xf numFmtId="164" fontId="11" fillId="0" borderId="5" xfId="6" applyNumberFormat="1" applyFont="1" applyBorder="1"/>
    <xf numFmtId="9" fontId="11" fillId="0" borderId="5" xfId="6" applyFont="1" applyBorder="1"/>
    <xf numFmtId="164" fontId="11" fillId="0" borderId="18" xfId="0" applyNumberFormat="1" applyFont="1" applyBorder="1"/>
    <xf numFmtId="164" fontId="0" fillId="0" borderId="0" xfId="6" applyNumberFormat="1" applyFont="1" applyBorder="1"/>
    <xf numFmtId="9" fontId="0" fillId="0" borderId="0" xfId="6" applyFont="1" applyBorder="1"/>
    <xf numFmtId="164" fontId="0" fillId="0" borderId="24" xfId="0" applyNumberFormat="1" applyBorder="1"/>
    <xf numFmtId="167" fontId="32" fillId="0" borderId="16" xfId="1" applyNumberFormat="1" applyFont="1" applyBorder="1"/>
    <xf numFmtId="0" fontId="11" fillId="0" borderId="0" xfId="0" applyFont="1" applyBorder="1"/>
    <xf numFmtId="43" fontId="0" fillId="0" borderId="0" xfId="0" applyNumberFormat="1" applyBorder="1"/>
    <xf numFmtId="164" fontId="5" fillId="8" borderId="0" xfId="1" applyNumberFormat="1" applyFont="1" applyFill="1"/>
    <xf numFmtId="164" fontId="0" fillId="8" borderId="0" xfId="1" applyNumberFormat="1" applyFont="1" applyFill="1"/>
    <xf numFmtId="0" fontId="0" fillId="5" borderId="0" xfId="0" applyFill="1" applyAlignment="1">
      <alignment vertical="center"/>
    </xf>
    <xf numFmtId="0" fontId="0" fillId="5" borderId="0" xfId="0" applyFill="1" applyAlignment="1">
      <alignment horizontal="center" wrapText="1"/>
    </xf>
    <xf numFmtId="0" fontId="5" fillId="10" borderId="22" xfId="0" applyFont="1" applyFill="1" applyBorder="1"/>
    <xf numFmtId="0" fontId="15" fillId="11" borderId="22" xfId="0" applyFont="1" applyFill="1" applyBorder="1"/>
    <xf numFmtId="0" fontId="7" fillId="12" borderId="22" xfId="0" applyFont="1" applyFill="1" applyBorder="1"/>
    <xf numFmtId="0" fontId="7" fillId="13" borderId="22" xfId="0" applyFont="1" applyFill="1" applyBorder="1"/>
    <xf numFmtId="164" fontId="5" fillId="8" borderId="0" xfId="1" applyNumberFormat="1" applyFont="1" applyFill="1" applyBorder="1"/>
    <xf numFmtId="164" fontId="0" fillId="8" borderId="0" xfId="0" applyNumberFormat="1" applyFill="1"/>
  </cellXfs>
  <cellStyles count="11">
    <cellStyle name="Comma" xfId="1" builtinId="3"/>
    <cellStyle name="Comma 2" xfId="2" xr:uid="{BD3CCCA7-C30F-45C3-9B36-FE4DE40668DC}"/>
    <cellStyle name="Comma 2 2" xfId="10" xr:uid="{B9B3345E-DBE9-4215-9B6F-05FEF3DAEDEF}"/>
    <cellStyle name="Comma 2 3" xfId="9" xr:uid="{F1FCC266-141A-42C1-873A-7B22D97421CA}"/>
    <cellStyle name="Comma 3" xfId="5" xr:uid="{BC6C845D-F7A9-445D-B824-56C4C631F16F}"/>
    <cellStyle name="Comma 4" xfId="8" xr:uid="{B39B90BF-B6FC-4CBE-8B06-E79372A9BBA7}"/>
    <cellStyle name="Hyperlink 2" xfId="4" xr:uid="{BD545D4F-8566-4E68-9ED7-DCEB1CF0C6FF}"/>
    <cellStyle name="Normal" xfId="0" builtinId="0"/>
    <cellStyle name="Normal 2" xfId="3" xr:uid="{82D313D2-FB70-42F0-9A5C-AE08B238916A}"/>
    <cellStyle name="Normal 3" xfId="7" xr:uid="{C09F66EE-E293-4C3E-AA5D-F8A4771E1100}"/>
    <cellStyle name="Percent" xfId="6" builtinId="5"/>
  </cellStyles>
  <dxfs count="8">
    <dxf>
      <fill>
        <patternFill>
          <bgColor rgb="FFFFFFCC"/>
        </patternFill>
      </fill>
    </dxf>
    <dxf>
      <fill>
        <patternFill>
          <bgColor rgb="FFBDD7EE"/>
        </patternFill>
      </fill>
    </dxf>
    <dxf>
      <fill>
        <patternFill>
          <bgColor rgb="FFFFE699"/>
        </patternFill>
      </fill>
    </dxf>
    <dxf>
      <fill>
        <patternFill>
          <bgColor rgb="FFC6E0B4"/>
        </patternFill>
      </fill>
    </dxf>
    <dxf>
      <fill>
        <patternFill>
          <bgColor rgb="FFFFFFCC"/>
        </patternFill>
      </fill>
    </dxf>
    <dxf>
      <fill>
        <patternFill>
          <bgColor rgb="FFBDD7EE"/>
        </patternFill>
      </fill>
    </dxf>
    <dxf>
      <fill>
        <patternFill>
          <bgColor rgb="FFFFE699"/>
        </patternFill>
      </fill>
    </dxf>
    <dxf>
      <fill>
        <patternFill>
          <bgColor rgb="FFC6E0B4"/>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12</xdr:row>
      <xdr:rowOff>104775</xdr:rowOff>
    </xdr:from>
    <xdr:to>
      <xdr:col>9</xdr:col>
      <xdr:colOff>514350</xdr:colOff>
      <xdr:row>20</xdr:row>
      <xdr:rowOff>55245</xdr:rowOff>
    </xdr:to>
    <xdr:pic>
      <xdr:nvPicPr>
        <xdr:cNvPr id="3" name="Picture 2">
          <a:extLst>
            <a:ext uri="{FF2B5EF4-FFF2-40B4-BE49-F238E27FC236}">
              <a16:creationId xmlns:a16="http://schemas.microsoft.com/office/drawing/2014/main" id="{20C28827-3845-DC78-9E3C-1A134F58F5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38600" y="2457450"/>
          <a:ext cx="2567940" cy="1407795"/>
        </a:xfrm>
        <a:prstGeom prst="rect">
          <a:avLst/>
        </a:prstGeom>
      </xdr:spPr>
    </xdr:pic>
    <xdr:clientData/>
  </xdr:twoCellAnchor>
  <xdr:twoCellAnchor editAs="oneCell">
    <xdr:from>
      <xdr:col>11</xdr:col>
      <xdr:colOff>0</xdr:colOff>
      <xdr:row>13</xdr:row>
      <xdr:rowOff>0</xdr:rowOff>
    </xdr:from>
    <xdr:to>
      <xdr:col>16</xdr:col>
      <xdr:colOff>95401</xdr:colOff>
      <xdr:row>19</xdr:row>
      <xdr:rowOff>167718</xdr:rowOff>
    </xdr:to>
    <xdr:pic>
      <xdr:nvPicPr>
        <xdr:cNvPr id="9" name="Picture 8">
          <a:extLst>
            <a:ext uri="{FF2B5EF4-FFF2-40B4-BE49-F238E27FC236}">
              <a16:creationId xmlns:a16="http://schemas.microsoft.com/office/drawing/2014/main" id="{A40E6FBA-8B7E-0DBD-361A-49B119F23D5B}"/>
            </a:ext>
          </a:extLst>
        </xdr:cNvPr>
        <xdr:cNvPicPr>
          <a:picLocks noChangeAspect="1"/>
        </xdr:cNvPicPr>
      </xdr:nvPicPr>
      <xdr:blipFill>
        <a:blip xmlns:r="http://schemas.openxmlformats.org/officeDocument/2006/relationships" r:embed="rId2"/>
        <a:stretch>
          <a:fillRect/>
        </a:stretch>
      </xdr:blipFill>
      <xdr:spPr>
        <a:xfrm>
          <a:off x="7315200" y="2533650"/>
          <a:ext cx="3130067" cy="1257378"/>
        </a:xfrm>
        <a:prstGeom prst="rect">
          <a:avLst/>
        </a:prstGeom>
      </xdr:spPr>
    </xdr:pic>
    <xdr:clientData/>
  </xdr:twoCellAnchor>
  <xdr:twoCellAnchor editAs="oneCell">
    <xdr:from>
      <xdr:col>7</xdr:col>
      <xdr:colOff>396240</xdr:colOff>
      <xdr:row>25</xdr:row>
      <xdr:rowOff>74294</xdr:rowOff>
    </xdr:from>
    <xdr:to>
      <xdr:col>13</xdr:col>
      <xdr:colOff>511725</xdr:colOff>
      <xdr:row>33</xdr:row>
      <xdr:rowOff>22684</xdr:rowOff>
    </xdr:to>
    <xdr:pic>
      <xdr:nvPicPr>
        <xdr:cNvPr id="11" name="Picture 10">
          <a:extLst>
            <a:ext uri="{FF2B5EF4-FFF2-40B4-BE49-F238E27FC236}">
              <a16:creationId xmlns:a16="http://schemas.microsoft.com/office/drawing/2014/main" id="{BEA3A030-F026-BEE4-8046-B6DC130E67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73040" y="4779644"/>
          <a:ext cx="3767370" cy="1401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f26457384c04c48/Documents/311%20World%20Bank%20Water%20and%20Energy%20Accounts/Input-Output%20Tables%202022.xlsx" TargetMode="External"/><Relationship Id="rId1" Type="http://schemas.openxmlformats.org/officeDocument/2006/relationships/externalLinkPath" Target="Input-Output%20Tables%20202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1f26457384c04c48/Documents/311%20World%20Bank%20Water%20and%20Energy%20Accounts/Kenya%20Water%20Accounts%202020-21%20-%204%20Aug%202023%20v2.3.xlsx" TargetMode="External"/><Relationship Id="rId1" Type="http://schemas.openxmlformats.org/officeDocument/2006/relationships/externalLinkPath" Target="Kenya%20Water%20Accounts%202020-21%20-%204%20Aug%202023%20v2.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Downloads\Chapter-7-Agriculture-Sector-Tables.xlsx" TargetMode="External"/><Relationship Id="rId1" Type="http://schemas.openxmlformats.org/officeDocument/2006/relationships/externalLinkPath" Target="file:///C:\Users\user\Downloads\Chapter-7-Agriculture-Sector-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WHSA Data"/>
      <sheetName val="WRA Basin Plans"/>
      <sheetName val="Colour coding"/>
      <sheetName val="Abstraction &amp; Water Value 20-21"/>
      <sheetName val="FY 2021-2022"/>
      <sheetName val="FY 2022-2023"/>
      <sheetName val="Water Abstraction 2021-2024"/>
      <sheetName val="Irrigation Data"/>
      <sheetName val="Ph IO Table 2022"/>
      <sheetName val="Ph Water SUT- 2022"/>
    </sheetNames>
    <sheetDataSet>
      <sheetData sheetId="0"/>
      <sheetData sheetId="1"/>
      <sheetData sheetId="2"/>
      <sheetData sheetId="3">
        <row r="21">
          <cell r="A21" t="str">
            <v xml:space="preserve">Actual unit cost- sewage treated </v>
          </cell>
          <cell r="F21">
            <v>13.609543435250975</v>
          </cell>
          <cell r="I21">
            <v>27.909291983171464</v>
          </cell>
          <cell r="J21">
            <v>292.32548315624996</v>
          </cell>
          <cell r="O21">
            <v>14.483830280759701</v>
          </cell>
          <cell r="R21">
            <v>41.510443736698235</v>
          </cell>
          <cell r="T21">
            <v>185.6063260869565</v>
          </cell>
          <cell r="AE21">
            <v>21.999331811330826</v>
          </cell>
          <cell r="AY21">
            <v>45.3592813060556</v>
          </cell>
          <cell r="AZ21">
            <v>79.573352180034647</v>
          </cell>
          <cell r="BA21">
            <v>28.300344882973054</v>
          </cell>
          <cell r="BC21">
            <v>19.862979900341418</v>
          </cell>
          <cell r="BI21">
            <v>35.067307892022747</v>
          </cell>
          <cell r="BK21">
            <v>11.876869611226182</v>
          </cell>
          <cell r="BL21">
            <v>40.558012931151637</v>
          </cell>
          <cell r="BP21">
            <v>57.853014873717484</v>
          </cell>
          <cell r="BV21">
            <v>29.754232826899127</v>
          </cell>
        </row>
      </sheetData>
      <sheetData sheetId="4">
        <row r="19">
          <cell r="A19" t="str">
            <v xml:space="preserve">Actual unit cost- sewage treated </v>
          </cell>
          <cell r="B19">
            <v>45.3592813060556</v>
          </cell>
          <cell r="C19">
            <v>13.609543435250975</v>
          </cell>
          <cell r="D19">
            <v>61.737752713432656</v>
          </cell>
          <cell r="E19">
            <v>28.300344882973054</v>
          </cell>
          <cell r="F19">
            <v>21.999331811330826</v>
          </cell>
          <cell r="G19">
            <v>40.558012931151637</v>
          </cell>
          <cell r="H19">
            <v>29.754232826899127</v>
          </cell>
          <cell r="I19">
            <v>11.876869611226182</v>
          </cell>
          <cell r="K19">
            <v>57.853014873717484</v>
          </cell>
          <cell r="N19">
            <v>27.909291983171464</v>
          </cell>
          <cell r="Q19">
            <v>185.6063260869565</v>
          </cell>
          <cell r="W19">
            <v>19.862979900341418</v>
          </cell>
          <cell r="Z19">
            <v>35.067307892022747</v>
          </cell>
          <cell r="AA19">
            <v>14.483830280759701</v>
          </cell>
          <cell r="AB19">
            <v>292.32548315624996</v>
          </cell>
          <cell r="AO19">
            <v>41.510443736698235</v>
          </cell>
          <cell r="AU19">
            <v>79.573352180034647</v>
          </cell>
        </row>
      </sheetData>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Colour coding"/>
      <sheetName val="Abstraction &amp; Water Value 20-21"/>
      <sheetName val="SUT_2016"/>
      <sheetName val="Agric Water Use"/>
      <sheetName val="Notes"/>
      <sheetName val="Table 1 Ph IO"/>
      <sheetName val="Ph Water SUT"/>
      <sheetName val="Table 1 Ph IO - ISIC"/>
      <sheetName val="Table 2 Mon IO"/>
      <sheetName val="Table 3 Tariffs"/>
    </sheetNames>
    <sheetDataSet>
      <sheetData sheetId="0"/>
      <sheetData sheetId="1"/>
      <sheetData sheetId="2"/>
      <sheetData sheetId="3"/>
      <sheetData sheetId="4"/>
      <sheetData sheetId="5">
        <row r="49">
          <cell r="B49">
            <v>2800</v>
          </cell>
        </row>
        <row r="50">
          <cell r="B50">
            <v>336</v>
          </cell>
        </row>
        <row r="51">
          <cell r="B51">
            <v>748</v>
          </cell>
        </row>
        <row r="68">
          <cell r="B68">
            <v>1000</v>
          </cell>
        </row>
        <row r="69">
          <cell r="B69">
            <v>1000</v>
          </cell>
        </row>
      </sheetData>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7.1"/>
      <sheetName val="Table 7.2"/>
      <sheetName val="Table 7.3"/>
      <sheetName val="Table 7.4"/>
      <sheetName val="Table 7.5"/>
      <sheetName val="Table 7.6"/>
      <sheetName val="Table 7.7"/>
      <sheetName val="Table 7.8"/>
      <sheetName val="Table 7.9"/>
      <sheetName val="Table 7.10"/>
      <sheetName val="Table 7.11"/>
      <sheetName val="Table 7.12"/>
      <sheetName val="Table 7.13"/>
      <sheetName val="Table 7.14"/>
      <sheetName val="Table 7.15"/>
      <sheetName val="Table 7.16"/>
      <sheetName val="Table 7.17"/>
      <sheetName val="Table 7.18"/>
      <sheetName val="Table 7.19"/>
      <sheetName val="Table 7.20"/>
      <sheetName val="Table 7.21"/>
      <sheetName val="Table 7.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4">
          <cell r="F24">
            <v>186000</v>
          </cell>
          <cell r="G24">
            <v>192299</v>
          </cell>
          <cell r="H24">
            <v>229064</v>
          </cell>
        </row>
      </sheetData>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Bernice Macquela" id="{22700D2F-36E6-4BD0-9FEB-943C27181D3A}" userId="1f26457384c04c48" providerId="Windows Live"/>
  <person displayName="Jackie Crafford" id="{FB7AA013-688A-42EB-BA93-56B6833B03DD}" userId="5865e8a73548a83d"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 dT="2023-08-02T10:03:30.79" personId="{FB7AA013-688A-42EB-BA93-56B6833B03DD}" id="{DDD047C3-23E0-446E-AA64-87DF2078CEDB}">
    <text>Q2: Space made for estimating water use by acreage</text>
  </threadedComment>
  <threadedComment ref="M2" dT="2023-08-02T10:03:30.79" personId="{FB7AA013-688A-42EB-BA93-56B6833B03DD}" id="{2373A455-6BE3-4E79-91CE-9335CB49BADE}">
    <text>Q2: Space made for estimating water use by acreage</text>
  </threadedComment>
  <threadedComment ref="T2" dT="2023-08-02T10:03:30.79" personId="{FB7AA013-688A-42EB-BA93-56B6833B03DD}" id="{00838638-EB31-40FF-951F-18C07E648904}">
    <text>Q2: Space made for estimating water use by acreage</text>
  </threadedComment>
  <threadedComment ref="A8" dT="2023-08-02T10:01:15.28" personId="{FB7AA013-688A-42EB-BA93-56B6833B03DD}" id="{D69B03A8-3DC2-47E6-88F2-D9A6C63C6FDA}">
    <text>Q1: Space added for additional crops</text>
  </threadedComment>
</ThreadedComments>
</file>

<file path=xl/threadedComments/threadedComment2.xml><?xml version="1.0" encoding="utf-8"?>
<ThreadedComments xmlns="http://schemas.microsoft.com/office/spreadsheetml/2018/threadedcomments" xmlns:x="http://schemas.openxmlformats.org/spreadsheetml/2006/main">
  <threadedComment ref="D3" dT="2025-06-20T09:27:59.84" personId="{22700D2F-36E6-4BD0-9FEB-943C27181D3A}" id="{816D322F-9F05-4B7E-B2D6-1F4A0EB6DE88}">
    <text>Suspected Data Problem: This value far exceeds comparable values in the same year and in other years.</text>
  </threadedComment>
  <threadedComment ref="B32" dT="2025-06-20T10:49:07.32" personId="{22700D2F-36E6-4BD0-9FEB-943C27181D3A}" id="{0557AD66-8353-4022-8F98-15148E77D4DD}">
    <text>Industry, Domestic, Public and Other surface water supply</text>
  </threadedComment>
</ThreadedComments>
</file>

<file path=xl/threadedComments/threadedComment3.xml><?xml version="1.0" encoding="utf-8"?>
<ThreadedComments xmlns="http://schemas.microsoft.com/office/spreadsheetml/2018/threadedcomments" xmlns:x="http://schemas.openxmlformats.org/spreadsheetml/2006/main">
  <threadedComment ref="AO4" dT="2025-06-04T09:46:18.68" personId="{22700D2F-36E6-4BD0-9FEB-943C27181D3A}" id="{131711C8-40EC-4CB1-9EF3-121B8A2B1429}">
    <text>Inserted Water Produced Value</text>
  </threadedComment>
  <threadedComment ref="N10" dT="2025-06-04T09:41:58.83" personId="{22700D2F-36E6-4BD0-9FEB-943C27181D3A}" id="{7EB94368-5D2D-46DB-9ED5-D795F0D81F51}">
    <text>Adjusted by adding GW value</text>
  </threadedComment>
  <threadedComment ref="T10" dT="2025-06-04T09:41:58.83" personId="{22700D2F-36E6-4BD0-9FEB-943C27181D3A}" id="{DF81AC55-3021-4C88-A999-757F9C1874A9}">
    <text>Adjusted by adding GW value</text>
  </threadedComment>
  <threadedComment ref="U10" dT="2025-06-04T09:41:58.83" personId="{22700D2F-36E6-4BD0-9FEB-943C27181D3A}" id="{1A2F9B10-72F3-44C8-A1BD-717B1FE968DB}">
    <text>Adjusted by adding GW value</text>
  </threadedComment>
  <threadedComment ref="Y10" dT="2025-06-04T09:41:58.83" personId="{22700D2F-36E6-4BD0-9FEB-943C27181D3A}" id="{D9E4C601-36B1-40ED-81E3-B6197283FFE7}">
    <text>Adjusted by using SW value</text>
  </threadedComment>
  <threadedComment ref="AP10" dT="2025-06-04T09:41:58.83" personId="{22700D2F-36E6-4BD0-9FEB-943C27181D3A}" id="{B8CC894D-7820-4294-BC07-AA356F4FBB73}">
    <text>Adjusted by adding GW value</text>
  </threadedComment>
  <threadedComment ref="AX10" dT="2025-06-04T09:41:58.83" personId="{22700D2F-36E6-4BD0-9FEB-943C27181D3A}" id="{E2B849CE-922A-494A-A192-0A20133E0568}">
    <text>Adjusted by adding GW value</text>
  </threadedComment>
  <threadedComment ref="AY10" dT="2025-06-04T09:41:58.83" personId="{22700D2F-36E6-4BD0-9FEB-943C27181D3A}" id="{809AD723-3C7F-4D12-86E4-A6B2D34BBD04}">
    <text>Adjusted by adding GW value</text>
  </threadedComment>
  <threadedComment ref="AZ10" dT="2025-06-04T09:41:58.83" personId="{22700D2F-36E6-4BD0-9FEB-943C27181D3A}" id="{E707C7D9-4FC0-496A-8C96-7403FE79EBB9}">
    <text>Adjusted by adding GW value</text>
  </threadedComment>
  <threadedComment ref="BM10" dT="2025-06-04T09:41:58.83" personId="{22700D2F-36E6-4BD0-9FEB-943C27181D3A}" id="{A806B86C-A37C-4530-B7D2-55CC642972BD}">
    <text>Adjusted by adding GW value</text>
  </threadedComment>
  <threadedComment ref="BT10" dT="2025-06-04T09:41:58.83" personId="{22700D2F-36E6-4BD0-9FEB-943C27181D3A}" id="{E222DE2A-DC60-45B1-B1BB-D3E5C5F5B407}">
    <text>Adjusted by adding GW value</text>
  </threadedComment>
  <threadedComment ref="CL10" dT="2025-06-04T09:41:58.83" personId="{22700D2F-36E6-4BD0-9FEB-943C27181D3A}" id="{2812468B-0320-4155-826B-A3C87472824A}">
    <text>Adjusted by adding GW value</text>
  </threadedComment>
</ThreadedComments>
</file>

<file path=xl/threadedComments/threadedComment4.xml><?xml version="1.0" encoding="utf-8"?>
<ThreadedComments xmlns="http://schemas.microsoft.com/office/spreadsheetml/2018/threadedcomments" xmlns:x="http://schemas.openxmlformats.org/spreadsheetml/2006/main">
  <threadedComment ref="S14" dT="2025-06-04T11:26:16.32" personId="{22700D2F-36E6-4BD0-9FEB-943C27181D3A}" id="{2879F8AF-94B5-4D1F-A8BA-DA1A3878E3BB}">
    <text>Both non-revenue could be lost through return flows or incorporated into products</text>
  </threadedComment>
</ThreadedComments>
</file>

<file path=xl/threadedComments/threadedComment5.xml><?xml version="1.0" encoding="utf-8"?>
<ThreadedComments xmlns="http://schemas.microsoft.com/office/spreadsheetml/2018/threadedcomments" xmlns:x="http://schemas.openxmlformats.org/spreadsheetml/2006/main">
  <threadedComment ref="S14" dT="2025-06-04T11:26:16.32" personId="{22700D2F-36E6-4BD0-9FEB-943C27181D3A}" id="{D0D7A268-5B6C-44A2-9006-58880F0560FE}">
    <text>Both non-revenue could be lost through return flows or incorporated into products</text>
  </threadedComment>
</ThreadedComments>
</file>

<file path=xl/threadedComments/threadedComment6.xml><?xml version="1.0" encoding="utf-8"?>
<ThreadedComments xmlns="http://schemas.microsoft.com/office/spreadsheetml/2018/threadedcomments" xmlns:x="http://schemas.openxmlformats.org/spreadsheetml/2006/main">
  <threadedComment ref="S14" dT="2025-06-04T11:26:16.32" personId="{22700D2F-36E6-4BD0-9FEB-943C27181D3A}" id="{EAA3E62D-1A65-43A3-BD8B-639618458A6C}">
    <text>Both non-revenue could be lost through return flows or incorporated into products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AAA-CC68-4C9B-8A31-69683B4F3990}">
  <dimension ref="F4:Q39"/>
  <sheetViews>
    <sheetView tabSelected="1" workbookViewId="0">
      <selection activeCell="A7" sqref="A7"/>
    </sheetView>
  </sheetViews>
  <sheetFormatPr defaultRowHeight="14.4" x14ac:dyDescent="0.3"/>
  <cols>
    <col min="1" max="1" width="6.21875" style="302" customWidth="1"/>
    <col min="2" max="2" width="4.6640625" style="302" customWidth="1"/>
    <col min="3" max="3" width="8.88671875" style="302" customWidth="1"/>
    <col min="4" max="16384" width="8.88671875" style="302"/>
  </cols>
  <sheetData>
    <row r="4" spans="6:17" x14ac:dyDescent="0.3">
      <c r="F4" s="303" t="s">
        <v>543</v>
      </c>
      <c r="G4" s="303"/>
      <c r="H4" s="303"/>
      <c r="I4" s="303"/>
      <c r="J4" s="303"/>
      <c r="K4" s="303"/>
      <c r="L4" s="303"/>
      <c r="M4" s="303"/>
      <c r="N4" s="303"/>
      <c r="O4" s="303"/>
      <c r="P4" s="303"/>
      <c r="Q4" s="303"/>
    </row>
    <row r="5" spans="6:17" x14ac:dyDescent="0.3">
      <c r="F5" s="303"/>
      <c r="G5" s="303"/>
      <c r="H5" s="303"/>
      <c r="I5" s="303"/>
      <c r="J5" s="303"/>
      <c r="K5" s="303"/>
      <c r="L5" s="303"/>
      <c r="M5" s="303"/>
      <c r="N5" s="303"/>
      <c r="O5" s="303"/>
      <c r="P5" s="303"/>
      <c r="Q5" s="303"/>
    </row>
    <row r="6" spans="6:17" x14ac:dyDescent="0.3">
      <c r="F6" s="303"/>
      <c r="G6" s="303"/>
      <c r="H6" s="303"/>
      <c r="I6" s="303"/>
      <c r="J6" s="303"/>
      <c r="K6" s="303"/>
      <c r="L6" s="303"/>
      <c r="M6" s="303"/>
      <c r="N6" s="303"/>
      <c r="O6" s="303"/>
      <c r="P6" s="303"/>
      <c r="Q6" s="303"/>
    </row>
    <row r="7" spans="6:17" x14ac:dyDescent="0.3">
      <c r="F7" s="303"/>
      <c r="G7" s="303"/>
      <c r="H7" s="303"/>
      <c r="I7" s="303"/>
      <c r="J7" s="303"/>
      <c r="K7" s="303"/>
      <c r="L7" s="303"/>
      <c r="M7" s="303"/>
      <c r="N7" s="303"/>
      <c r="O7" s="303"/>
      <c r="P7" s="303"/>
      <c r="Q7" s="303"/>
    </row>
    <row r="9" spans="6:17" x14ac:dyDescent="0.3">
      <c r="J9" s="304" t="s">
        <v>542</v>
      </c>
      <c r="K9" s="305"/>
      <c r="L9" s="305"/>
    </row>
    <row r="11" spans="6:17" x14ac:dyDescent="0.3">
      <c r="J11" s="305" t="s">
        <v>469</v>
      </c>
      <c r="K11" s="305"/>
      <c r="L11" s="305"/>
    </row>
    <row r="24" spans="10:12" x14ac:dyDescent="0.3">
      <c r="J24" s="305" t="s">
        <v>470</v>
      </c>
      <c r="K24" s="305"/>
      <c r="L24" s="305"/>
    </row>
    <row r="35" spans="8:14" ht="14.4" customHeight="1" x14ac:dyDescent="0.3">
      <c r="J35" s="306" t="s">
        <v>544</v>
      </c>
      <c r="K35" s="306"/>
      <c r="L35" s="306"/>
    </row>
    <row r="36" spans="8:14" x14ac:dyDescent="0.3">
      <c r="J36" s="418"/>
      <c r="K36" s="418"/>
      <c r="L36" s="418"/>
    </row>
    <row r="37" spans="8:14" ht="14.4" customHeight="1" x14ac:dyDescent="0.3">
      <c r="I37" s="306" t="s">
        <v>546</v>
      </c>
      <c r="J37" s="306"/>
      <c r="K37" s="306"/>
      <c r="L37" s="419" t="s">
        <v>545</v>
      </c>
      <c r="M37" s="419"/>
      <c r="N37" s="419"/>
    </row>
    <row r="38" spans="8:14" x14ac:dyDescent="0.3">
      <c r="H38" s="418"/>
      <c r="I38" s="306"/>
      <c r="J38" s="306"/>
      <c r="K38" s="306"/>
      <c r="L38" s="419"/>
      <c r="M38" s="419"/>
      <c r="N38" s="419"/>
    </row>
    <row r="39" spans="8:14" x14ac:dyDescent="0.3">
      <c r="H39" s="418"/>
      <c r="I39" s="306"/>
      <c r="J39" s="306"/>
      <c r="K39" s="306"/>
      <c r="L39" s="419"/>
      <c r="M39" s="419"/>
      <c r="N39" s="419"/>
    </row>
  </sheetData>
  <mergeCells count="7">
    <mergeCell ref="L37:N39"/>
    <mergeCell ref="I37:K39"/>
    <mergeCell ref="J35:L35"/>
    <mergeCell ref="F4:Q7"/>
    <mergeCell ref="J9:L9"/>
    <mergeCell ref="J11:L11"/>
    <mergeCell ref="J24:L24"/>
  </mergeCells>
  <pageMargins left="0.7" right="0.7" top="0.75" bottom="0.75" header="0.3" footer="0.3"/>
  <pageSetup orientation="portrait" r:id="rId1"/>
  <headerFooter>
    <oddHeader xml:space="preserve">&amp;CKenya Water Accounts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CDE18-8828-4904-8577-7ECAE9D75518}">
  <dimension ref="B1:C18"/>
  <sheetViews>
    <sheetView workbookViewId="0">
      <selection activeCell="C19" sqref="C19"/>
    </sheetView>
  </sheetViews>
  <sheetFormatPr defaultColWidth="8.77734375" defaultRowHeight="14.4" x14ac:dyDescent="0.3"/>
  <cols>
    <col min="1" max="1" width="4.77734375" style="39" customWidth="1"/>
    <col min="2" max="2" width="21.77734375" style="39" customWidth="1"/>
    <col min="3" max="3" width="84.33203125" style="39" customWidth="1"/>
    <col min="4" max="16384" width="8.77734375" style="39"/>
  </cols>
  <sheetData>
    <row r="1" spans="2:3" ht="15" thickBot="1" x14ac:dyDescent="0.35"/>
    <row r="2" spans="2:3" ht="15" thickBot="1" x14ac:dyDescent="0.35">
      <c r="B2" s="136" t="s">
        <v>217</v>
      </c>
      <c r="C2" s="137"/>
    </row>
    <row r="3" spans="2:3" ht="15" thickBot="1" x14ac:dyDescent="0.35">
      <c r="B3" s="138" t="s">
        <v>218</v>
      </c>
      <c r="C3" s="138" t="s">
        <v>219</v>
      </c>
    </row>
    <row r="4" spans="2:3" ht="15" thickBot="1" x14ac:dyDescent="0.35">
      <c r="B4" s="139" t="s">
        <v>220</v>
      </c>
      <c r="C4" s="139" t="s">
        <v>324</v>
      </c>
    </row>
    <row r="5" spans="2:3" ht="15" thickBot="1" x14ac:dyDescent="0.35">
      <c r="B5" s="140" t="s">
        <v>321</v>
      </c>
      <c r="C5" s="140" t="s">
        <v>541</v>
      </c>
    </row>
    <row r="6" spans="2:3" ht="15" thickBot="1" x14ac:dyDescent="0.35">
      <c r="B6" s="141" t="s">
        <v>228</v>
      </c>
      <c r="C6" s="142" t="s">
        <v>322</v>
      </c>
    </row>
    <row r="7" spans="2:3" ht="15" thickBot="1" x14ac:dyDescent="0.35">
      <c r="B7" s="143" t="s">
        <v>468</v>
      </c>
      <c r="C7" s="143" t="s">
        <v>323</v>
      </c>
    </row>
    <row r="8" spans="2:3" ht="15" thickBot="1" x14ac:dyDescent="0.35"/>
    <row r="9" spans="2:3" ht="15" thickBot="1" x14ac:dyDescent="0.35">
      <c r="B9" s="136" t="s">
        <v>221</v>
      </c>
      <c r="C9" s="137"/>
    </row>
    <row r="10" spans="2:3" ht="15" thickBot="1" x14ac:dyDescent="0.35">
      <c r="B10" s="138" t="s">
        <v>222</v>
      </c>
      <c r="C10" s="138" t="s">
        <v>223</v>
      </c>
    </row>
    <row r="11" spans="2:3" ht="15" thickBot="1" x14ac:dyDescent="0.35">
      <c r="B11" s="144" t="s">
        <v>224</v>
      </c>
      <c r="C11" s="144" t="s">
        <v>225</v>
      </c>
    </row>
    <row r="12" spans="2:3" ht="15" thickBot="1" x14ac:dyDescent="0.35">
      <c r="B12" s="145" t="s">
        <v>226</v>
      </c>
      <c r="C12" s="145" t="s">
        <v>227</v>
      </c>
    </row>
    <row r="13" spans="2:3" ht="15" thickBot="1" x14ac:dyDescent="0.35"/>
    <row r="14" spans="2:3" ht="15" thickBot="1" x14ac:dyDescent="0.35">
      <c r="B14" s="136" t="s">
        <v>553</v>
      </c>
      <c r="C14" s="137"/>
    </row>
    <row r="15" spans="2:3" ht="15" thickBot="1" x14ac:dyDescent="0.35">
      <c r="B15" s="420" t="s">
        <v>554</v>
      </c>
      <c r="C15" s="138" t="s">
        <v>227</v>
      </c>
    </row>
    <row r="16" spans="2:3" ht="15" thickBot="1" x14ac:dyDescent="0.35">
      <c r="B16" s="421" t="s">
        <v>555</v>
      </c>
      <c r="C16" s="144" t="s">
        <v>225</v>
      </c>
    </row>
    <row r="17" spans="2:3" ht="15" thickBot="1" x14ac:dyDescent="0.35">
      <c r="B17" s="422" t="s">
        <v>556</v>
      </c>
      <c r="C17" s="138" t="s">
        <v>557</v>
      </c>
    </row>
    <row r="18" spans="2:3" ht="15" thickBot="1" x14ac:dyDescent="0.35">
      <c r="B18" s="423" t="s">
        <v>558</v>
      </c>
      <c r="C18" s="145" t="s">
        <v>559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7BA8-D276-4427-A64C-E9386F3DC05F}">
  <sheetPr>
    <tabColor rgb="FFFFFF00"/>
  </sheetPr>
  <dimension ref="C3:E19"/>
  <sheetViews>
    <sheetView workbookViewId="0">
      <selection activeCell="D10" sqref="D10"/>
    </sheetView>
  </sheetViews>
  <sheetFormatPr defaultRowHeight="14.4" x14ac:dyDescent="0.3"/>
  <cols>
    <col min="4" max="4" width="77.21875" customWidth="1"/>
    <col min="5" max="5" width="29.5546875" customWidth="1"/>
  </cols>
  <sheetData>
    <row r="3" spans="3:5" x14ac:dyDescent="0.3">
      <c r="D3" s="3" t="s">
        <v>527</v>
      </c>
    </row>
    <row r="4" spans="3:5" ht="43.2" x14ac:dyDescent="0.3">
      <c r="C4" s="399">
        <v>1</v>
      </c>
      <c r="D4" s="398" t="s">
        <v>561</v>
      </c>
      <c r="E4" s="398"/>
    </row>
    <row r="5" spans="3:5" ht="72" x14ac:dyDescent="0.3">
      <c r="C5" s="399">
        <v>2</v>
      </c>
      <c r="D5" s="398" t="s">
        <v>547</v>
      </c>
    </row>
    <row r="6" spans="3:5" ht="46.2" customHeight="1" x14ac:dyDescent="0.3">
      <c r="C6" s="399">
        <v>3</v>
      </c>
      <c r="D6" s="398" t="s">
        <v>548</v>
      </c>
    </row>
    <row r="7" spans="3:5" ht="43.2" x14ac:dyDescent="0.3">
      <c r="C7" s="399">
        <v>4</v>
      </c>
      <c r="D7" s="398" t="s">
        <v>549</v>
      </c>
    </row>
    <row r="8" spans="3:5" ht="43.2" x14ac:dyDescent="0.3">
      <c r="C8" s="399">
        <v>5</v>
      </c>
      <c r="D8" s="398" t="s">
        <v>550</v>
      </c>
    </row>
    <row r="9" spans="3:5" ht="28.8" x14ac:dyDescent="0.3">
      <c r="C9" s="399">
        <v>6</v>
      </c>
      <c r="D9" s="398" t="s">
        <v>560</v>
      </c>
    </row>
    <row r="10" spans="3:5" ht="43.2" x14ac:dyDescent="0.3">
      <c r="C10" s="399">
        <v>7</v>
      </c>
      <c r="D10" s="398" t="s">
        <v>562</v>
      </c>
    </row>
    <row r="12" spans="3:5" x14ac:dyDescent="0.3">
      <c r="D12" s="414"/>
      <c r="E12" s="414"/>
    </row>
    <row r="13" spans="3:5" x14ac:dyDescent="0.3">
      <c r="D13" s="340"/>
      <c r="E13" s="340"/>
    </row>
    <row r="14" spans="3:5" x14ac:dyDescent="0.3">
      <c r="D14" s="340"/>
      <c r="E14" s="340"/>
    </row>
    <row r="15" spans="3:5" x14ac:dyDescent="0.3">
      <c r="D15" s="340"/>
      <c r="E15" s="340"/>
    </row>
    <row r="16" spans="3:5" x14ac:dyDescent="0.3">
      <c r="D16" s="340"/>
      <c r="E16" s="340"/>
    </row>
    <row r="17" spans="4:5" x14ac:dyDescent="0.3">
      <c r="D17" s="340"/>
      <c r="E17" s="340"/>
    </row>
    <row r="18" spans="4:5" x14ac:dyDescent="0.3">
      <c r="D18" s="340"/>
      <c r="E18" s="340"/>
    </row>
    <row r="19" spans="4:5" x14ac:dyDescent="0.3">
      <c r="D19" s="340"/>
      <c r="E19" s="340"/>
    </row>
  </sheetData>
  <phoneticPr fontId="3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64BB6-BDC1-44CC-A2A9-EDD2A7D5D901}">
  <sheetPr>
    <tabColor theme="7" tint="0.79998168889431442"/>
  </sheetPr>
  <dimension ref="A2:C11"/>
  <sheetViews>
    <sheetView workbookViewId="0">
      <selection activeCell="H23" sqref="H23"/>
    </sheetView>
  </sheetViews>
  <sheetFormatPr defaultRowHeight="14.4" x14ac:dyDescent="0.3"/>
  <cols>
    <col min="2" max="2" width="58.6640625" customWidth="1"/>
  </cols>
  <sheetData>
    <row r="2" spans="1:3" x14ac:dyDescent="0.3">
      <c r="B2" s="397" t="s">
        <v>471</v>
      </c>
    </row>
    <row r="3" spans="1:3" x14ac:dyDescent="0.3">
      <c r="A3">
        <v>1</v>
      </c>
      <c r="B3" s="343" t="s">
        <v>565</v>
      </c>
    </row>
    <row r="4" spans="1:3" x14ac:dyDescent="0.3">
      <c r="A4">
        <v>2</v>
      </c>
      <c r="B4" s="343" t="s">
        <v>566</v>
      </c>
    </row>
    <row r="5" spans="1:3" x14ac:dyDescent="0.3">
      <c r="A5">
        <v>3</v>
      </c>
      <c r="B5" s="343" t="s">
        <v>563</v>
      </c>
    </row>
    <row r="6" spans="1:3" x14ac:dyDescent="0.3">
      <c r="A6">
        <v>4</v>
      </c>
      <c r="B6" s="343" t="s">
        <v>564</v>
      </c>
    </row>
    <row r="10" spans="1:3" x14ac:dyDescent="0.3">
      <c r="B10" s="3" t="s">
        <v>526</v>
      </c>
    </row>
    <row r="11" spans="1:3" x14ac:dyDescent="0.3">
      <c r="A11">
        <v>1</v>
      </c>
      <c r="B11" t="s">
        <v>410</v>
      </c>
      <c r="C11" t="s">
        <v>472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E32D-FA12-4084-9BF9-3F8C37FB9F6E}">
  <sheetPr>
    <tabColor theme="7" tint="0.79998168889431442"/>
  </sheetPr>
  <dimension ref="A1:S36"/>
  <sheetViews>
    <sheetView workbookViewId="0">
      <selection sqref="A1:S1"/>
    </sheetView>
  </sheetViews>
  <sheetFormatPr defaultColWidth="8.88671875" defaultRowHeight="14.4" x14ac:dyDescent="0.3"/>
  <cols>
    <col min="1" max="1" width="5.6640625" style="291" bestFit="1" customWidth="1"/>
    <col min="2" max="2" width="13.6640625" style="270" bestFit="1" customWidth="1"/>
    <col min="3" max="3" width="12.21875" style="270" bestFit="1" customWidth="1"/>
    <col min="4" max="4" width="11.5546875" style="270" bestFit="1" customWidth="1"/>
    <col min="5" max="5" width="18.33203125" style="270" bestFit="1" customWidth="1"/>
    <col min="6" max="6" width="13.77734375" style="270" bestFit="1" customWidth="1"/>
    <col min="7" max="7" width="13.77734375" style="270" customWidth="1"/>
    <col min="8" max="8" width="11.44140625" style="270" bestFit="1" customWidth="1"/>
    <col min="9" max="9" width="11.44140625" style="270" customWidth="1"/>
    <col min="10" max="10" width="17.33203125" style="270" customWidth="1"/>
    <col min="11" max="11" width="18.33203125" style="270" bestFit="1" customWidth="1"/>
    <col min="12" max="12" width="13.77734375" style="270" bestFit="1" customWidth="1"/>
    <col min="13" max="13" width="11.44140625" style="270" bestFit="1" customWidth="1"/>
    <col min="14" max="14" width="18.33203125" style="270" bestFit="1" customWidth="1"/>
    <col min="15" max="15" width="13.77734375" style="270" bestFit="1" customWidth="1"/>
    <col min="16" max="16" width="11.77734375" style="270" bestFit="1" customWidth="1"/>
    <col min="17" max="17" width="18.33203125" style="270" bestFit="1" customWidth="1"/>
    <col min="18" max="18" width="13.77734375" style="270" bestFit="1" customWidth="1"/>
    <col min="19" max="19" width="11.44140625" style="270" bestFit="1" customWidth="1"/>
    <col min="20" max="16384" width="8.88671875" style="270"/>
  </cols>
  <sheetData>
    <row r="1" spans="1:19" ht="36.9" customHeight="1" x14ac:dyDescent="0.3">
      <c r="A1" s="307" t="s">
        <v>33</v>
      </c>
      <c r="B1" s="308"/>
      <c r="C1" s="308"/>
      <c r="D1" s="308"/>
      <c r="E1" s="308"/>
      <c r="F1" s="308"/>
      <c r="G1" s="308"/>
      <c r="H1" s="308"/>
      <c r="I1" s="308"/>
      <c r="J1" s="308"/>
      <c r="K1" s="308"/>
      <c r="L1" s="308"/>
      <c r="M1" s="308"/>
      <c r="N1" s="308"/>
      <c r="O1" s="308"/>
      <c r="P1" s="308"/>
      <c r="Q1" s="308"/>
      <c r="R1" s="308"/>
      <c r="S1" s="308"/>
    </row>
    <row r="2" spans="1:19" s="274" customFormat="1" x14ac:dyDescent="0.3">
      <c r="A2" s="271"/>
      <c r="B2" s="272"/>
      <c r="C2" s="273"/>
      <c r="D2" s="273"/>
      <c r="E2" s="309">
        <v>2024</v>
      </c>
      <c r="F2" s="310"/>
      <c r="G2" s="310"/>
      <c r="H2" s="310"/>
      <c r="I2" s="310"/>
      <c r="J2" s="311"/>
      <c r="K2" s="309">
        <v>2023</v>
      </c>
      <c r="L2" s="310"/>
      <c r="M2" s="311"/>
      <c r="N2" s="312">
        <v>2022</v>
      </c>
      <c r="O2" s="312"/>
      <c r="P2" s="312"/>
      <c r="Q2" s="312">
        <v>2021</v>
      </c>
      <c r="R2" s="312"/>
      <c r="S2" s="312"/>
    </row>
    <row r="3" spans="1:19" s="276" customFormat="1" ht="41.4" customHeight="1" x14ac:dyDescent="0.3">
      <c r="A3" s="271"/>
      <c r="B3" s="275" t="s">
        <v>34</v>
      </c>
      <c r="C3" s="275" t="s">
        <v>35</v>
      </c>
      <c r="D3" s="275" t="s">
        <v>36</v>
      </c>
      <c r="E3" s="275" t="s">
        <v>37</v>
      </c>
      <c r="F3" s="275" t="s">
        <v>38</v>
      </c>
      <c r="G3" s="275" t="s">
        <v>505</v>
      </c>
      <c r="H3" s="354" t="s">
        <v>39</v>
      </c>
      <c r="I3" s="275" t="s">
        <v>506</v>
      </c>
      <c r="J3" s="359" t="s">
        <v>507</v>
      </c>
      <c r="K3" s="275" t="s">
        <v>37</v>
      </c>
      <c r="L3" s="275" t="s">
        <v>38</v>
      </c>
      <c r="M3" s="275" t="s">
        <v>39</v>
      </c>
      <c r="N3" s="275" t="s">
        <v>37</v>
      </c>
      <c r="O3" s="275" t="s">
        <v>38</v>
      </c>
      <c r="P3" s="275" t="s">
        <v>39</v>
      </c>
      <c r="Q3" s="275" t="s">
        <v>37</v>
      </c>
      <c r="R3" s="275" t="s">
        <v>38</v>
      </c>
      <c r="S3" s="275" t="s">
        <v>39</v>
      </c>
    </row>
    <row r="4" spans="1:19" s="274" customFormat="1" x14ac:dyDescent="0.3">
      <c r="A4" s="271">
        <v>1</v>
      </c>
      <c r="B4" s="277" t="s">
        <v>40</v>
      </c>
      <c r="C4" s="277" t="s">
        <v>41</v>
      </c>
      <c r="D4" s="277" t="s">
        <v>42</v>
      </c>
      <c r="E4" s="278"/>
      <c r="F4" s="278"/>
      <c r="G4" s="278"/>
      <c r="H4" s="355"/>
      <c r="I4" s="278"/>
      <c r="J4" s="360"/>
      <c r="K4" s="278"/>
      <c r="L4" s="278"/>
      <c r="M4" s="278"/>
      <c r="N4" s="278"/>
      <c r="O4" s="278"/>
      <c r="P4" s="278"/>
      <c r="Q4" s="278"/>
      <c r="R4" s="278"/>
      <c r="S4" s="278"/>
    </row>
    <row r="5" spans="1:19" x14ac:dyDescent="0.3">
      <c r="A5" s="279"/>
      <c r="B5" s="280" t="s">
        <v>43</v>
      </c>
      <c r="C5" s="280"/>
      <c r="D5" s="280"/>
      <c r="E5" s="281">
        <v>143664192</v>
      </c>
      <c r="F5" s="281">
        <v>26485</v>
      </c>
      <c r="G5" s="345">
        <f>F5*$C$36</f>
        <v>10718.10871</v>
      </c>
      <c r="H5" s="356">
        <v>66848</v>
      </c>
      <c r="I5" s="345">
        <f>E5/G5</f>
        <v>13403.875243956169</v>
      </c>
      <c r="J5" s="361">
        <f>E5/H5</f>
        <v>2149.1172809956915</v>
      </c>
      <c r="K5" s="281">
        <v>182492352</v>
      </c>
      <c r="L5" s="281">
        <v>26310</v>
      </c>
      <c r="M5" s="281">
        <v>66741</v>
      </c>
      <c r="N5" s="281">
        <v>133791264</v>
      </c>
      <c r="O5" s="281">
        <v>30600</v>
      </c>
      <c r="P5" s="281">
        <v>68268</v>
      </c>
      <c r="Q5" s="281">
        <v>152127496</v>
      </c>
      <c r="R5" s="281">
        <v>28100</v>
      </c>
      <c r="S5" s="281">
        <v>60282</v>
      </c>
    </row>
    <row r="6" spans="1:19" x14ac:dyDescent="0.3">
      <c r="A6" s="279"/>
      <c r="B6" s="280" t="s">
        <v>44</v>
      </c>
      <c r="C6" s="280"/>
      <c r="D6" s="280"/>
      <c r="E6" s="281">
        <v>91971936</v>
      </c>
      <c r="F6" s="281">
        <v>26485</v>
      </c>
      <c r="G6" s="345">
        <f t="shared" ref="G6:G7" si="0">F6*$C$36</f>
        <v>10718.10871</v>
      </c>
      <c r="H6" s="356">
        <v>52239</v>
      </c>
      <c r="I6" s="345">
        <f t="shared" ref="I6:I7" si="1">E6/G6</f>
        <v>8580.98555337381</v>
      </c>
      <c r="J6" s="361">
        <f t="shared" ref="J6:J7" si="2">E6/H6</f>
        <v>1760.5990926319416</v>
      </c>
      <c r="K6" s="281">
        <v>116829236</v>
      </c>
      <c r="L6" s="281">
        <v>26310</v>
      </c>
      <c r="M6" s="281">
        <v>18200</v>
      </c>
      <c r="N6" s="281">
        <v>78032160</v>
      </c>
      <c r="O6" s="281">
        <v>10000</v>
      </c>
      <c r="P6" s="281">
        <v>21492</v>
      </c>
      <c r="Q6" s="281">
        <v>86196960</v>
      </c>
      <c r="R6" s="281">
        <v>10492</v>
      </c>
      <c r="S6" s="281">
        <v>26200</v>
      </c>
    </row>
    <row r="7" spans="1:19" x14ac:dyDescent="0.3">
      <c r="A7" s="279"/>
      <c r="B7" s="280" t="s">
        <v>45</v>
      </c>
      <c r="C7" s="280"/>
      <c r="D7" s="280"/>
      <c r="E7" s="281">
        <v>60419520</v>
      </c>
      <c r="F7" s="281">
        <v>26485</v>
      </c>
      <c r="G7" s="345">
        <f t="shared" si="0"/>
        <v>10718.10871</v>
      </c>
      <c r="H7" s="356">
        <v>41120</v>
      </c>
      <c r="I7" s="345">
        <f t="shared" si="1"/>
        <v>5637.1437941871736</v>
      </c>
      <c r="J7" s="361">
        <f t="shared" si="2"/>
        <v>1469.3463035019456</v>
      </c>
      <c r="K7" s="281">
        <v>76749120</v>
      </c>
      <c r="L7" s="281">
        <v>26310</v>
      </c>
      <c r="M7" s="281">
        <v>33024</v>
      </c>
      <c r="N7" s="281">
        <v>45747072</v>
      </c>
      <c r="O7" s="281">
        <v>30600</v>
      </c>
      <c r="P7" s="281">
        <v>42000</v>
      </c>
      <c r="Q7" s="281">
        <v>47316096</v>
      </c>
      <c r="R7" s="281">
        <v>28100</v>
      </c>
      <c r="S7" s="281">
        <v>31000</v>
      </c>
    </row>
    <row r="8" spans="1:19" s="274" customFormat="1" x14ac:dyDescent="0.3">
      <c r="A8" s="271">
        <v>2</v>
      </c>
      <c r="B8" s="277" t="s">
        <v>46</v>
      </c>
      <c r="C8" s="277" t="s">
        <v>47</v>
      </c>
      <c r="D8" s="277" t="s">
        <v>48</v>
      </c>
      <c r="E8" s="278"/>
      <c r="F8" s="278"/>
      <c r="G8" s="278"/>
      <c r="H8" s="355"/>
      <c r="I8" s="347"/>
      <c r="J8" s="362"/>
      <c r="K8" s="278"/>
      <c r="L8" s="278"/>
      <c r="M8" s="278"/>
      <c r="N8" s="278"/>
      <c r="O8" s="278"/>
      <c r="P8" s="278"/>
      <c r="Q8" s="278"/>
      <c r="R8" s="278"/>
      <c r="S8" s="278"/>
    </row>
    <row r="9" spans="1:19" x14ac:dyDescent="0.3">
      <c r="A9" s="279"/>
      <c r="B9" s="280" t="s">
        <v>43</v>
      </c>
      <c r="C9" s="282"/>
      <c r="D9" s="282"/>
      <c r="E9" s="283">
        <v>6158592</v>
      </c>
      <c r="F9" s="281">
        <v>3361</v>
      </c>
      <c r="G9" s="345">
        <f>F9*$C$36</f>
        <v>1360.1496460000001</v>
      </c>
      <c r="H9" s="369">
        <v>6771</v>
      </c>
      <c r="I9" s="369">
        <f>E9/G9</f>
        <v>4527.87825083182</v>
      </c>
      <c r="J9" s="370">
        <f>E9/H9</f>
        <v>909.55427558706242</v>
      </c>
      <c r="K9" s="281">
        <v>4800286</v>
      </c>
      <c r="L9" s="281">
        <v>2856</v>
      </c>
      <c r="M9" s="281">
        <v>4773</v>
      </c>
      <c r="N9" s="281">
        <v>2983168</v>
      </c>
      <c r="O9" s="281">
        <v>1084</v>
      </c>
      <c r="P9" s="281"/>
      <c r="Q9" s="281">
        <v>476096</v>
      </c>
      <c r="R9" s="281">
        <v>173</v>
      </c>
      <c r="S9" s="281">
        <v>468</v>
      </c>
    </row>
    <row r="10" spans="1:19" x14ac:dyDescent="0.3">
      <c r="A10" s="279"/>
      <c r="B10" s="280" t="s">
        <v>44</v>
      </c>
      <c r="C10" s="280"/>
      <c r="D10" s="280"/>
      <c r="E10" s="284">
        <v>3890240</v>
      </c>
      <c r="F10" s="281">
        <v>1989</v>
      </c>
      <c r="G10" s="346">
        <f>F10*$C$36</f>
        <v>804.92045399999995</v>
      </c>
      <c r="H10" s="367">
        <v>3788</v>
      </c>
      <c r="I10" s="368"/>
      <c r="J10" s="353">
        <f>E10/H10</f>
        <v>1026.9904963041183</v>
      </c>
      <c r="K10" s="281">
        <v>2323443</v>
      </c>
      <c r="L10" s="281">
        <v>1268</v>
      </c>
      <c r="M10" s="281">
        <v>2155</v>
      </c>
      <c r="N10" s="281">
        <v>2064836</v>
      </c>
      <c r="O10" s="281">
        <v>987</v>
      </c>
      <c r="P10" s="281"/>
      <c r="Q10" s="281"/>
      <c r="R10" s="281"/>
      <c r="S10" s="281"/>
    </row>
    <row r="11" spans="1:19" x14ac:dyDescent="0.3">
      <c r="A11" s="279"/>
      <c r="B11" s="280" t="s">
        <v>45</v>
      </c>
      <c r="C11" s="280"/>
      <c r="D11" s="280"/>
      <c r="E11" s="281"/>
      <c r="F11" s="281"/>
      <c r="G11" s="281"/>
      <c r="H11" s="356"/>
      <c r="I11" s="281"/>
      <c r="J11" s="363"/>
      <c r="K11" s="281"/>
      <c r="L11" s="281"/>
      <c r="M11" s="281"/>
      <c r="N11" s="281"/>
      <c r="O11" s="281"/>
      <c r="P11" s="281"/>
      <c r="Q11" s="281"/>
      <c r="R11" s="281"/>
      <c r="S11" s="281"/>
    </row>
    <row r="12" spans="1:19" s="274" customFormat="1" x14ac:dyDescent="0.3">
      <c r="A12" s="271">
        <v>3</v>
      </c>
      <c r="B12" s="277" t="s">
        <v>49</v>
      </c>
      <c r="C12" s="277" t="s">
        <v>47</v>
      </c>
      <c r="D12" s="277" t="s">
        <v>48</v>
      </c>
      <c r="E12" s="278"/>
      <c r="F12" s="278"/>
      <c r="G12" s="278"/>
      <c r="H12" s="355"/>
      <c r="I12" s="278"/>
      <c r="J12" s="360"/>
      <c r="K12" s="278"/>
      <c r="L12" s="278"/>
      <c r="M12" s="278"/>
      <c r="N12" s="278"/>
      <c r="O12" s="278"/>
      <c r="P12" s="278"/>
      <c r="Q12" s="278"/>
      <c r="R12" s="278"/>
      <c r="S12" s="278"/>
    </row>
    <row r="13" spans="1:19" x14ac:dyDescent="0.3">
      <c r="A13" s="279"/>
      <c r="B13" s="280" t="s">
        <v>43</v>
      </c>
      <c r="C13" s="280"/>
      <c r="D13" s="280"/>
      <c r="E13" s="281">
        <v>29450328</v>
      </c>
      <c r="F13" s="281">
        <v>4200</v>
      </c>
      <c r="G13" s="345">
        <f>F13*$C$36</f>
        <v>1699.6812</v>
      </c>
      <c r="H13" s="356">
        <v>10940</v>
      </c>
      <c r="I13" s="281"/>
      <c r="J13" s="363"/>
      <c r="K13" s="281">
        <v>26763880</v>
      </c>
      <c r="L13" s="281">
        <v>4200</v>
      </c>
      <c r="M13" s="281">
        <v>11608</v>
      </c>
      <c r="N13" s="281">
        <v>5936866.398</v>
      </c>
      <c r="O13" s="281">
        <v>1987</v>
      </c>
      <c r="P13" s="281">
        <v>4967.5</v>
      </c>
      <c r="Q13" s="281">
        <v>5013619.432</v>
      </c>
      <c r="R13" s="281">
        <v>1678</v>
      </c>
      <c r="S13" s="281">
        <v>4195</v>
      </c>
    </row>
    <row r="14" spans="1:19" x14ac:dyDescent="0.3">
      <c r="A14" s="279"/>
      <c r="B14" s="280" t="s">
        <v>44</v>
      </c>
      <c r="C14" s="280"/>
      <c r="D14" s="280"/>
      <c r="E14" s="281">
        <v>24465758</v>
      </c>
      <c r="F14" s="281">
        <v>2100</v>
      </c>
      <c r="G14" s="345">
        <f>F14*$C$36</f>
        <v>849.84059999999999</v>
      </c>
      <c r="H14" s="356">
        <v>5764</v>
      </c>
      <c r="I14" s="281"/>
      <c r="J14" s="363"/>
      <c r="K14" s="281">
        <v>16095240</v>
      </c>
      <c r="L14" s="281">
        <v>2100</v>
      </c>
      <c r="M14" s="281">
        <v>4964</v>
      </c>
      <c r="N14" s="281" t="s">
        <v>50</v>
      </c>
      <c r="O14" s="281"/>
      <c r="P14" s="281"/>
      <c r="Q14" s="281" t="s">
        <v>50</v>
      </c>
      <c r="R14" s="281"/>
      <c r="S14" s="281"/>
    </row>
    <row r="15" spans="1:19" x14ac:dyDescent="0.3">
      <c r="A15" s="279"/>
      <c r="B15" s="280" t="s">
        <v>45</v>
      </c>
      <c r="C15" s="280"/>
      <c r="D15" s="280"/>
      <c r="E15" s="281"/>
      <c r="F15" s="281"/>
      <c r="G15" s="281"/>
      <c r="H15" s="356"/>
      <c r="I15" s="281"/>
      <c r="J15" s="363"/>
      <c r="K15" s="281"/>
      <c r="L15" s="281"/>
      <c r="M15" s="281"/>
      <c r="N15" s="281">
        <v>5277214.5760000004</v>
      </c>
      <c r="O15" s="281">
        <v>1987</v>
      </c>
      <c r="P15" s="281">
        <v>3170.2</v>
      </c>
      <c r="Q15" s="281">
        <v>4456550.6069999998</v>
      </c>
      <c r="R15" s="281">
        <v>1678</v>
      </c>
      <c r="S15" s="281">
        <v>2684.8</v>
      </c>
    </row>
    <row r="16" spans="1:19" s="274" customFormat="1" x14ac:dyDescent="0.3">
      <c r="A16" s="271">
        <v>4</v>
      </c>
      <c r="B16" s="277" t="s">
        <v>51</v>
      </c>
      <c r="C16" s="277" t="s">
        <v>52</v>
      </c>
      <c r="D16" s="277" t="s">
        <v>53</v>
      </c>
      <c r="E16" s="278"/>
      <c r="F16" s="278"/>
      <c r="G16" s="278"/>
      <c r="H16" s="355"/>
      <c r="I16" s="278"/>
      <c r="J16" s="360"/>
      <c r="K16" s="278"/>
      <c r="L16" s="278"/>
      <c r="M16" s="278"/>
      <c r="N16" s="278"/>
      <c r="O16" s="278"/>
      <c r="P16" s="278"/>
      <c r="Q16" s="278"/>
      <c r="R16" s="278"/>
      <c r="S16" s="278"/>
    </row>
    <row r="17" spans="1:19" x14ac:dyDescent="0.3">
      <c r="A17" s="279"/>
      <c r="B17" s="280" t="s">
        <v>43</v>
      </c>
      <c r="C17" s="280"/>
      <c r="D17" s="280"/>
      <c r="E17" s="281">
        <v>4950000</v>
      </c>
      <c r="F17" s="281">
        <v>1650</v>
      </c>
      <c r="G17" s="345">
        <f>F17*$C$36</f>
        <v>667.7319</v>
      </c>
      <c r="H17" s="356">
        <v>3600</v>
      </c>
      <c r="I17" s="345">
        <f>E17/G17</f>
        <v>7413.1548904582814</v>
      </c>
      <c r="J17" s="361">
        <f>E17/H17</f>
        <v>1375</v>
      </c>
      <c r="K17" s="281">
        <v>4500000</v>
      </c>
      <c r="L17" s="281">
        <v>1500</v>
      </c>
      <c r="M17" s="281">
        <v>3200</v>
      </c>
      <c r="N17" s="281">
        <v>5000000</v>
      </c>
      <c r="O17" s="281">
        <v>2500</v>
      </c>
      <c r="P17" s="281">
        <v>4200</v>
      </c>
      <c r="Q17" s="281">
        <v>4400000</v>
      </c>
      <c r="R17" s="281">
        <v>2200</v>
      </c>
      <c r="S17" s="281"/>
    </row>
    <row r="18" spans="1:19" x14ac:dyDescent="0.3">
      <c r="A18" s="279"/>
      <c r="B18" s="280" t="s">
        <v>44</v>
      </c>
      <c r="C18" s="280"/>
      <c r="D18" s="280"/>
      <c r="E18" s="281">
        <v>1500000</v>
      </c>
      <c r="F18" s="281">
        <v>1250</v>
      </c>
      <c r="G18" s="345">
        <f>F18*$C$36</f>
        <v>505.85750000000002</v>
      </c>
      <c r="H18" s="356">
        <v>550</v>
      </c>
      <c r="I18" s="345">
        <f>E18/G18</f>
        <v>2965.2619561833126</v>
      </c>
      <c r="J18" s="361">
        <f>E18/H18</f>
        <v>2727.2727272727275</v>
      </c>
      <c r="K18" s="281">
        <v>1200000</v>
      </c>
      <c r="L18" s="281">
        <v>1000</v>
      </c>
      <c r="M18" s="281">
        <v>410</v>
      </c>
      <c r="N18" s="281">
        <v>900000</v>
      </c>
      <c r="O18" s="281">
        <v>750</v>
      </c>
      <c r="P18" s="281">
        <v>320</v>
      </c>
      <c r="Q18" s="281">
        <v>600000</v>
      </c>
      <c r="R18" s="281">
        <v>500</v>
      </c>
      <c r="S18" s="281"/>
    </row>
    <row r="19" spans="1:19" x14ac:dyDescent="0.3">
      <c r="A19" s="279"/>
      <c r="B19" s="280" t="s">
        <v>45</v>
      </c>
      <c r="C19" s="280"/>
      <c r="D19" s="280"/>
      <c r="E19" s="281"/>
      <c r="F19" s="281"/>
      <c r="G19" s="281"/>
      <c r="H19" s="356"/>
      <c r="I19" s="347"/>
      <c r="J19" s="362"/>
      <c r="K19" s="281"/>
      <c r="L19" s="281"/>
      <c r="M19" s="281"/>
      <c r="N19" s="281"/>
      <c r="O19" s="281"/>
      <c r="P19" s="281"/>
      <c r="Q19" s="281"/>
      <c r="R19" s="281"/>
      <c r="S19" s="281"/>
    </row>
    <row r="20" spans="1:19" s="274" customFormat="1" x14ac:dyDescent="0.3">
      <c r="A20" s="271">
        <v>5</v>
      </c>
      <c r="B20" s="277" t="s">
        <v>54</v>
      </c>
      <c r="C20" s="277" t="s">
        <v>55</v>
      </c>
      <c r="D20" s="277" t="s">
        <v>42</v>
      </c>
      <c r="E20" s="278"/>
      <c r="F20" s="278"/>
      <c r="G20" s="278"/>
      <c r="H20" s="355"/>
      <c r="I20" s="278"/>
      <c r="J20" s="360"/>
      <c r="K20" s="278"/>
      <c r="L20" s="278"/>
      <c r="M20" s="278"/>
      <c r="N20" s="278"/>
      <c r="O20" s="278"/>
      <c r="P20" s="278"/>
      <c r="Q20" s="278"/>
      <c r="R20" s="278"/>
      <c r="S20" s="278"/>
    </row>
    <row r="21" spans="1:19" x14ac:dyDescent="0.3">
      <c r="A21" s="279"/>
      <c r="B21" s="280" t="s">
        <v>43</v>
      </c>
      <c r="C21" s="280"/>
      <c r="D21" s="280"/>
      <c r="E21" s="285">
        <v>6870657</v>
      </c>
      <c r="F21" s="285">
        <v>2168</v>
      </c>
      <c r="G21" s="350">
        <f>F21*C36</f>
        <v>877.35924799999998</v>
      </c>
      <c r="H21" s="286">
        <v>6829.2</v>
      </c>
      <c r="I21" s="366">
        <f>E21/G21</f>
        <v>7831.0646587040937</v>
      </c>
      <c r="J21" s="351">
        <f>E21/H21</f>
        <v>1006.0705499912142</v>
      </c>
      <c r="K21" s="285">
        <v>6621849</v>
      </c>
      <c r="L21" s="285">
        <v>2168</v>
      </c>
      <c r="M21" s="285">
        <v>7804.8</v>
      </c>
      <c r="N21" s="285">
        <v>6314083.2000000002</v>
      </c>
      <c r="O21" s="285">
        <v>2168</v>
      </c>
      <c r="P21" s="285">
        <v>6070.4</v>
      </c>
      <c r="Q21" s="285">
        <v>6314083.2000000002</v>
      </c>
      <c r="R21" s="285">
        <v>2168</v>
      </c>
      <c r="S21" s="285">
        <v>6937.6</v>
      </c>
    </row>
    <row r="22" spans="1:19" x14ac:dyDescent="0.3">
      <c r="A22" s="279"/>
      <c r="B22" s="280" t="s">
        <v>44</v>
      </c>
      <c r="C22" s="280"/>
      <c r="D22" s="280"/>
      <c r="E22" s="285"/>
      <c r="F22" s="285">
        <v>146</v>
      </c>
      <c r="G22" s="285"/>
      <c r="H22" s="357">
        <v>275.94</v>
      </c>
      <c r="I22" s="285"/>
      <c r="J22" s="364"/>
      <c r="K22" s="285"/>
      <c r="L22" s="285"/>
      <c r="M22" s="285"/>
      <c r="N22" s="285"/>
      <c r="O22" s="285"/>
      <c r="P22" s="285"/>
      <c r="Q22" s="285"/>
      <c r="R22" s="285"/>
      <c r="S22" s="285"/>
    </row>
    <row r="23" spans="1:19" x14ac:dyDescent="0.3">
      <c r="A23" s="279"/>
      <c r="B23" s="280" t="s">
        <v>45</v>
      </c>
      <c r="C23" s="280"/>
      <c r="D23" s="280"/>
      <c r="E23" s="281"/>
      <c r="F23" s="281"/>
      <c r="G23" s="281"/>
      <c r="H23" s="356"/>
      <c r="I23" s="281"/>
      <c r="J23" s="363"/>
      <c r="K23" s="281"/>
      <c r="L23" s="281"/>
      <c r="M23" s="281"/>
      <c r="N23" s="281"/>
      <c r="O23" s="281"/>
      <c r="P23" s="281"/>
      <c r="Q23" s="281"/>
      <c r="R23" s="281"/>
      <c r="S23" s="281"/>
    </row>
    <row r="24" spans="1:19" s="274" customFormat="1" x14ac:dyDescent="0.3">
      <c r="A24" s="271">
        <v>6</v>
      </c>
      <c r="B24" s="277" t="s">
        <v>56</v>
      </c>
      <c r="C24" s="277" t="s">
        <v>55</v>
      </c>
      <c r="D24" s="277" t="s">
        <v>42</v>
      </c>
      <c r="E24" s="278"/>
      <c r="F24" s="278"/>
      <c r="G24" s="278"/>
      <c r="H24" s="355"/>
      <c r="I24" s="278"/>
      <c r="J24" s="360"/>
      <c r="K24" s="278"/>
      <c r="L24" s="278"/>
      <c r="M24" s="278"/>
      <c r="N24" s="278"/>
      <c r="O24" s="278"/>
      <c r="P24" s="278"/>
      <c r="Q24" s="278"/>
      <c r="R24" s="278"/>
      <c r="S24" s="278"/>
    </row>
    <row r="25" spans="1:19" x14ac:dyDescent="0.3">
      <c r="A25" s="279"/>
      <c r="B25" s="280" t="s">
        <v>43</v>
      </c>
      <c r="C25" s="280"/>
      <c r="D25" s="280"/>
      <c r="E25" s="285">
        <v>5179300</v>
      </c>
      <c r="F25" s="285">
        <v>1550</v>
      </c>
      <c r="G25" s="348">
        <f>F25*$C$36</f>
        <v>627.26329999999996</v>
      </c>
      <c r="H25" s="357">
        <v>4550.3999999999996</v>
      </c>
      <c r="I25" s="348">
        <f>E25/G25</f>
        <v>8256.9791664839959</v>
      </c>
      <c r="J25" s="349">
        <f>E25/H25</f>
        <v>1138.2076300984529</v>
      </c>
      <c r="K25" s="287">
        <v>5868320</v>
      </c>
      <c r="L25" s="285">
        <v>2055</v>
      </c>
      <c r="M25" s="285">
        <v>5797</v>
      </c>
      <c r="N25" s="285">
        <v>5899056</v>
      </c>
      <c r="O25" s="285">
        <v>2083</v>
      </c>
      <c r="P25" s="285">
        <v>6561.45</v>
      </c>
      <c r="Q25" s="285">
        <v>3738240</v>
      </c>
      <c r="R25" s="285">
        <v>1320</v>
      </c>
      <c r="S25" s="285">
        <v>3214</v>
      </c>
    </row>
    <row r="26" spans="1:19" x14ac:dyDescent="0.3">
      <c r="A26" s="279"/>
      <c r="B26" s="280" t="s">
        <v>44</v>
      </c>
      <c r="C26" s="280"/>
      <c r="D26" s="280"/>
      <c r="E26" s="285"/>
      <c r="F26" s="285"/>
      <c r="G26" s="285"/>
      <c r="H26" s="357"/>
      <c r="I26" s="285"/>
      <c r="J26" s="364"/>
      <c r="K26" s="285"/>
      <c r="L26" s="285"/>
      <c r="M26" s="285"/>
      <c r="N26" s="285">
        <v>801456</v>
      </c>
      <c r="O26" s="285">
        <v>283</v>
      </c>
      <c r="P26" s="285">
        <v>636750</v>
      </c>
      <c r="Q26" s="285"/>
      <c r="R26" s="285"/>
      <c r="S26" s="285"/>
    </row>
    <row r="27" spans="1:19" x14ac:dyDescent="0.3">
      <c r="A27" s="279"/>
      <c r="B27" s="280" t="s">
        <v>45</v>
      </c>
      <c r="C27" s="280"/>
      <c r="D27" s="280"/>
      <c r="E27" s="281"/>
      <c r="F27" s="281"/>
      <c r="G27" s="281"/>
      <c r="H27" s="356"/>
      <c r="I27" s="281"/>
      <c r="J27" s="363"/>
      <c r="K27" s="281"/>
      <c r="L27" s="281"/>
      <c r="M27" s="281"/>
      <c r="N27" s="281"/>
      <c r="O27" s="281"/>
      <c r="P27" s="281"/>
      <c r="Q27" s="281"/>
      <c r="R27" s="281"/>
      <c r="S27" s="281"/>
    </row>
    <row r="28" spans="1:19" s="274" customFormat="1" x14ac:dyDescent="0.3">
      <c r="A28" s="271">
        <v>7</v>
      </c>
      <c r="B28" s="277" t="s">
        <v>57</v>
      </c>
      <c r="C28" s="277" t="s">
        <v>58</v>
      </c>
      <c r="D28" s="277" t="s">
        <v>42</v>
      </c>
      <c r="E28" s="278"/>
      <c r="F28" s="278"/>
      <c r="G28" s="278"/>
      <c r="H28" s="355"/>
      <c r="I28" s="278"/>
      <c r="J28" s="360"/>
      <c r="K28" s="278"/>
      <c r="L28" s="278"/>
      <c r="M28" s="278"/>
      <c r="N28" s="278"/>
      <c r="O28" s="278"/>
      <c r="P28" s="278"/>
      <c r="Q28" s="278"/>
      <c r="R28" s="278"/>
      <c r="S28" s="278"/>
    </row>
    <row r="29" spans="1:19" x14ac:dyDescent="0.3">
      <c r="A29" s="279"/>
      <c r="B29" s="280" t="s">
        <v>43</v>
      </c>
      <c r="C29" s="280"/>
      <c r="D29" s="280"/>
      <c r="E29" s="281">
        <v>4403442.43</v>
      </c>
      <c r="F29" s="281">
        <v>3126</v>
      </c>
      <c r="G29" s="345">
        <f>F29*$C$36</f>
        <v>1265.048436</v>
      </c>
      <c r="H29" s="356">
        <v>10467</v>
      </c>
      <c r="I29" s="345">
        <f>E29/G29</f>
        <v>3480.8488787381098</v>
      </c>
      <c r="J29" s="361">
        <f>E29/H29</f>
        <v>420.69766217636379</v>
      </c>
      <c r="K29" s="281">
        <v>4561768.82</v>
      </c>
      <c r="L29" s="281">
        <v>3126</v>
      </c>
      <c r="M29" s="281">
        <v>10324</v>
      </c>
      <c r="N29" s="281">
        <f>774882+900360+1092780+932580+692982+1003086</f>
        <v>5396670</v>
      </c>
      <c r="O29" s="281">
        <v>3226</v>
      </c>
      <c r="P29" s="281">
        <v>13024.9</v>
      </c>
      <c r="Q29" s="281">
        <f>908298+675684+689874+270270+499122+790668</f>
        <v>3833916</v>
      </c>
      <c r="R29" s="281">
        <v>2454</v>
      </c>
      <c r="S29" s="281">
        <v>7771.2</v>
      </c>
    </row>
    <row r="30" spans="1:19" x14ac:dyDescent="0.3">
      <c r="A30" s="279"/>
      <c r="B30" s="280" t="s">
        <v>44</v>
      </c>
      <c r="C30" s="280"/>
      <c r="D30" s="280"/>
      <c r="E30" s="281">
        <v>5283863.4400000004</v>
      </c>
      <c r="F30" s="281"/>
      <c r="G30" s="281"/>
      <c r="H30" s="356"/>
      <c r="I30" s="281"/>
      <c r="J30" s="363"/>
      <c r="K30" s="281">
        <v>3993196.57</v>
      </c>
      <c r="L30" s="281"/>
      <c r="M30" s="281"/>
      <c r="N30" s="281">
        <f>1085562+512424+494134+536677.02+401098.5+652742.64</f>
        <v>3682638.16</v>
      </c>
      <c r="O30" s="281">
        <v>376</v>
      </c>
      <c r="P30" s="281"/>
      <c r="Q30" s="281">
        <f>1113984+1381968+841068+906354+1026018+1178892</f>
        <v>6448284</v>
      </c>
      <c r="R30" s="281"/>
      <c r="S30" s="281"/>
    </row>
    <row r="31" spans="1:19" x14ac:dyDescent="0.3">
      <c r="A31" s="279"/>
      <c r="B31" s="280" t="s">
        <v>45</v>
      </c>
      <c r="C31" s="280"/>
      <c r="D31" s="280"/>
      <c r="E31" s="281"/>
      <c r="F31" s="281"/>
      <c r="G31" s="281"/>
      <c r="H31" s="356"/>
      <c r="I31" s="281"/>
      <c r="J31" s="363"/>
      <c r="K31" s="281"/>
      <c r="L31" s="281"/>
      <c r="M31" s="281"/>
      <c r="N31" s="281"/>
      <c r="O31" s="281"/>
      <c r="P31" s="281"/>
      <c r="Q31" s="281"/>
      <c r="R31" s="281"/>
      <c r="S31" s="281"/>
    </row>
    <row r="32" spans="1:19" ht="15" thickBot="1" x14ac:dyDescent="0.35">
      <c r="A32" s="288"/>
      <c r="B32" s="289" t="s">
        <v>45</v>
      </c>
      <c r="C32" s="289"/>
      <c r="D32" s="289"/>
      <c r="E32" s="290"/>
      <c r="F32" s="290"/>
      <c r="G32" s="290"/>
      <c r="H32" s="358"/>
      <c r="I32" s="290"/>
      <c r="J32" s="365"/>
      <c r="K32" s="290"/>
      <c r="L32" s="290"/>
      <c r="M32" s="290"/>
      <c r="N32" s="290"/>
      <c r="O32" s="290"/>
      <c r="P32" s="290"/>
      <c r="Q32" s="290"/>
      <c r="R32" s="290"/>
      <c r="S32" s="290"/>
    </row>
    <row r="33" spans="1:18" s="274" customFormat="1" x14ac:dyDescent="0.3">
      <c r="A33" s="276"/>
      <c r="B33" s="274" t="s">
        <v>1</v>
      </c>
      <c r="E33" s="274">
        <f>SUM(E5:E32)</f>
        <v>388207828.87</v>
      </c>
      <c r="F33" s="274">
        <f>SUM(F5:F32)</f>
        <v>100995</v>
      </c>
      <c r="N33" s="274">
        <f>SUM(N5:N30)</f>
        <v>301826484.33399999</v>
      </c>
      <c r="O33" s="274">
        <f>SUM(O5:O30)</f>
        <v>88631</v>
      </c>
      <c r="Q33" s="274">
        <f>SUM(Q5:Q32)</f>
        <v>320921341.23899996</v>
      </c>
      <c r="R33" s="274">
        <f>SUM(R5:R32)</f>
        <v>78863</v>
      </c>
    </row>
    <row r="35" spans="1:18" x14ac:dyDescent="0.3">
      <c r="B35" s="270" t="s">
        <v>501</v>
      </c>
      <c r="C35" s="270" t="s">
        <v>502</v>
      </c>
      <c r="D35" s="270" t="s">
        <v>503</v>
      </c>
    </row>
    <row r="36" spans="1:18" ht="57.6" x14ac:dyDescent="0.3">
      <c r="B36" s="270">
        <v>1</v>
      </c>
      <c r="C36" s="344">
        <v>0.40468599999999999</v>
      </c>
      <c r="D36" s="270" t="s">
        <v>504</v>
      </c>
    </row>
  </sheetData>
  <mergeCells count="5">
    <mergeCell ref="A1:S1"/>
    <mergeCell ref="K2:M2"/>
    <mergeCell ref="N2:P2"/>
    <mergeCell ref="Q2:S2"/>
    <mergeCell ref="E2:J2"/>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4099F-5103-414C-A7CD-D9C1E3FE1689}">
  <sheetPr>
    <tabColor rgb="FFFFFF00"/>
  </sheetPr>
  <dimension ref="A1:V47"/>
  <sheetViews>
    <sheetView workbookViewId="0">
      <selection activeCell="F2" sqref="F2"/>
    </sheetView>
  </sheetViews>
  <sheetFormatPr defaultRowHeight="14.4" x14ac:dyDescent="0.3"/>
  <cols>
    <col min="1" max="1" width="20.6640625" customWidth="1"/>
    <col min="2" max="2" width="25.77734375" customWidth="1"/>
    <col min="3" max="3" width="13.6640625" hidden="1" customWidth="1"/>
    <col min="4" max="4" width="16.5546875" bestFit="1" customWidth="1"/>
    <col min="5" max="5" width="16.88671875" bestFit="1" customWidth="1"/>
    <col min="6" max="6" width="16.5546875" bestFit="1" customWidth="1"/>
    <col min="7" max="7" width="13.109375" bestFit="1" customWidth="1"/>
    <col min="8" max="8" width="16.5546875" bestFit="1" customWidth="1"/>
    <col min="9" max="9" width="13.109375" bestFit="1" customWidth="1"/>
    <col min="10" max="10" width="16.5546875" bestFit="1" customWidth="1"/>
    <col min="11" max="11" width="13.109375" bestFit="1" customWidth="1"/>
    <col min="12" max="12" width="16.5546875" bestFit="1" customWidth="1"/>
    <col min="13" max="13" width="21.44140625" customWidth="1"/>
    <col min="16" max="16" width="17.77734375" bestFit="1" customWidth="1"/>
  </cols>
  <sheetData>
    <row r="1" spans="1:22" x14ac:dyDescent="0.3">
      <c r="A1" s="373" t="s">
        <v>325</v>
      </c>
      <c r="B1" s="374" t="s">
        <v>508</v>
      </c>
      <c r="C1" s="375"/>
      <c r="D1" s="375"/>
      <c r="E1" s="375"/>
      <c r="F1" s="375"/>
      <c r="G1" s="375"/>
      <c r="H1" s="375"/>
      <c r="I1" s="374" t="s">
        <v>508</v>
      </c>
      <c r="J1" s="375"/>
      <c r="K1" s="375"/>
      <c r="L1" s="375"/>
      <c r="M1" s="375"/>
      <c r="N1" s="375"/>
      <c r="O1" s="375"/>
      <c r="P1" s="374" t="s">
        <v>508</v>
      </c>
      <c r="Q1" s="375"/>
      <c r="R1" s="375"/>
      <c r="S1" s="375"/>
      <c r="T1" s="375"/>
      <c r="U1" s="375"/>
      <c r="V1" s="375"/>
    </row>
    <row r="2" spans="1:22" ht="15" thickBot="1" x14ac:dyDescent="0.35">
      <c r="A2" s="373" t="s">
        <v>500</v>
      </c>
      <c r="B2" s="374">
        <v>2021</v>
      </c>
      <c r="C2" s="375"/>
      <c r="D2" s="375"/>
      <c r="E2" s="375"/>
      <c r="F2" s="376" t="s">
        <v>509</v>
      </c>
      <c r="G2" s="375"/>
      <c r="H2" s="375"/>
      <c r="I2" s="374">
        <v>2022</v>
      </c>
      <c r="J2" s="375"/>
      <c r="K2" s="375"/>
      <c r="L2" s="375"/>
      <c r="M2" s="376" t="s">
        <v>509</v>
      </c>
      <c r="N2" s="375"/>
      <c r="O2" s="375"/>
      <c r="P2" s="374">
        <v>2023</v>
      </c>
      <c r="Q2" s="375"/>
      <c r="R2" s="375"/>
      <c r="S2" s="375"/>
      <c r="T2" s="376" t="s">
        <v>509</v>
      </c>
      <c r="U2" s="375"/>
      <c r="V2" s="375"/>
    </row>
    <row r="3" spans="1:22" ht="69.599999999999994" x14ac:dyDescent="0.3">
      <c r="A3" s="377" t="s">
        <v>510</v>
      </c>
      <c r="B3" s="378" t="s">
        <v>511</v>
      </c>
      <c r="C3" s="379" t="s">
        <v>512</v>
      </c>
      <c r="D3" s="380" t="s">
        <v>522</v>
      </c>
      <c r="E3" s="381"/>
      <c r="F3" s="382" t="s">
        <v>514</v>
      </c>
      <c r="G3" s="381" t="s">
        <v>515</v>
      </c>
      <c r="H3" s="381" t="s">
        <v>516</v>
      </c>
      <c r="I3" s="378" t="s">
        <v>511</v>
      </c>
      <c r="J3" s="379" t="s">
        <v>512</v>
      </c>
      <c r="K3" s="380" t="s">
        <v>513</v>
      </c>
      <c r="L3" s="381"/>
      <c r="M3" s="382" t="s">
        <v>514</v>
      </c>
      <c r="N3" s="381" t="s">
        <v>515</v>
      </c>
      <c r="O3" s="381" t="s">
        <v>516</v>
      </c>
      <c r="P3" s="378" t="s">
        <v>511</v>
      </c>
      <c r="Q3" s="379" t="s">
        <v>512</v>
      </c>
      <c r="R3" s="380" t="s">
        <v>513</v>
      </c>
      <c r="S3" s="381"/>
      <c r="T3" s="382" t="s">
        <v>514</v>
      </c>
      <c r="U3" s="381" t="s">
        <v>515</v>
      </c>
      <c r="V3" s="381" t="s">
        <v>516</v>
      </c>
    </row>
    <row r="4" spans="1:22" x14ac:dyDescent="0.3">
      <c r="A4" s="383" t="s">
        <v>521</v>
      </c>
      <c r="B4" s="384">
        <f>'[3]Table 7.15'!$F$24</f>
        <v>186000</v>
      </c>
      <c r="C4" s="385">
        <f>B4*[2]Notes!$B$68</f>
        <v>186000000</v>
      </c>
      <c r="D4" s="395">
        <f>AVERAGE('NIA Irrigation Data'!J5:J7,'NIA Irrigation Data'!J21,'NIA Irrigation Data'!J25,'NIA Irrigation Data'!J29)</f>
        <v>1324.0064198992684</v>
      </c>
      <c r="E4" s="386">
        <f>D4*C4</f>
        <v>246265194101.26392</v>
      </c>
      <c r="F4" s="387"/>
      <c r="G4" s="386"/>
      <c r="H4" s="386">
        <f>E4/[2]Notes!$B$69</f>
        <v>246265194.10126391</v>
      </c>
      <c r="I4" s="384">
        <f>'[3]Table 7.15'!$G$24</f>
        <v>192299</v>
      </c>
      <c r="J4" s="385">
        <f>I4*[2]Notes!$B$68</f>
        <v>192299000</v>
      </c>
      <c r="K4" s="383">
        <f>[2]Notes!I47</f>
        <v>0</v>
      </c>
      <c r="L4" s="386">
        <f>K4*J4</f>
        <v>0</v>
      </c>
      <c r="M4" s="387"/>
      <c r="N4" s="386"/>
      <c r="O4" s="386">
        <f>L4/[2]Notes!$B$69</f>
        <v>0</v>
      </c>
      <c r="P4" s="384">
        <f>'[3]Table 7.15'!$H$24</f>
        <v>229064</v>
      </c>
      <c r="Q4" s="385">
        <f>P4*[2]Notes!$B$68</f>
        <v>229064000</v>
      </c>
      <c r="R4" s="383">
        <f>[2]Notes!P47</f>
        <v>0</v>
      </c>
      <c r="S4" s="386">
        <f>R4*Q4</f>
        <v>0</v>
      </c>
      <c r="T4" s="387"/>
      <c r="U4" s="386"/>
      <c r="V4" s="386">
        <f>S4/[2]Notes!$B$69</f>
        <v>0</v>
      </c>
    </row>
    <row r="5" spans="1:22" x14ac:dyDescent="0.3">
      <c r="A5" s="383" t="s">
        <v>517</v>
      </c>
      <c r="B5" s="384">
        <v>210100</v>
      </c>
      <c r="C5" s="385">
        <f>B5*[2]Notes!$B$68</f>
        <v>210100000</v>
      </c>
      <c r="D5" s="383">
        <f>[2]Notes!B49</f>
        <v>2800</v>
      </c>
      <c r="E5" s="386">
        <f>D5*C5</f>
        <v>588280000000</v>
      </c>
      <c r="F5" s="387"/>
      <c r="G5" s="386"/>
      <c r="H5" s="386">
        <f>E5/[2]Notes!$B$69</f>
        <v>588280000</v>
      </c>
      <c r="I5" s="384">
        <v>202900</v>
      </c>
      <c r="J5" s="385">
        <f>I5*[2]Notes!$B$68</f>
        <v>202900000</v>
      </c>
      <c r="K5" s="383">
        <f>[2]Notes!I49</f>
        <v>0</v>
      </c>
      <c r="L5" s="386">
        <f>K5*J5</f>
        <v>0</v>
      </c>
      <c r="M5" s="387"/>
      <c r="N5" s="386"/>
      <c r="O5" s="386">
        <f>L5/[2]Notes!$B$69</f>
        <v>0</v>
      </c>
      <c r="P5" s="384">
        <v>221100</v>
      </c>
      <c r="Q5" s="385">
        <f>P5*[2]Notes!$B$68</f>
        <v>221100000</v>
      </c>
      <c r="R5" s="383">
        <f>[2]Notes!P49</f>
        <v>0</v>
      </c>
      <c r="S5" s="386">
        <f>R5*Q5</f>
        <v>0</v>
      </c>
      <c r="T5" s="387"/>
      <c r="U5" s="386"/>
      <c r="V5" s="386">
        <f>S5/[2]Notes!$B$69</f>
        <v>0</v>
      </c>
    </row>
    <row r="6" spans="1:22" x14ac:dyDescent="0.3">
      <c r="A6" s="383" t="s">
        <v>518</v>
      </c>
      <c r="B6" s="384">
        <v>117300</v>
      </c>
      <c r="C6" s="385">
        <f>B6*[2]Notes!$B$68</f>
        <v>117300000</v>
      </c>
      <c r="D6" s="383">
        <f>[2]Notes!B51</f>
        <v>748</v>
      </c>
      <c r="E6" s="386">
        <f>D6*C6</f>
        <v>87740400000</v>
      </c>
      <c r="F6" s="387"/>
      <c r="G6" s="386"/>
      <c r="H6" s="386">
        <f>E6/[2]Notes!B69</f>
        <v>87740400</v>
      </c>
      <c r="I6" s="384">
        <v>113300</v>
      </c>
      <c r="J6" s="385">
        <f>I6*[2]Notes!$B$68</f>
        <v>113300000</v>
      </c>
      <c r="K6" s="383">
        <f>[2]Notes!I51</f>
        <v>0</v>
      </c>
      <c r="L6" s="386">
        <f>K6*J6</f>
        <v>0</v>
      </c>
      <c r="M6" s="387"/>
      <c r="N6" s="386"/>
      <c r="O6" s="386" t="e">
        <f>L6/[2]Notes!I69</f>
        <v>#DIV/0!</v>
      </c>
      <c r="P6" s="384">
        <v>131000</v>
      </c>
      <c r="Q6" s="385">
        <f>P6*[2]Notes!$B$68</f>
        <v>131000000</v>
      </c>
      <c r="R6" s="383">
        <f>[2]Notes!P51</f>
        <v>0</v>
      </c>
      <c r="S6" s="386">
        <f>R6*Q6</f>
        <v>0</v>
      </c>
      <c r="T6" s="387"/>
      <c r="U6" s="386"/>
      <c r="V6" s="386" t="e">
        <f>S6/[2]Notes!P69</f>
        <v>#DIV/0!</v>
      </c>
    </row>
    <row r="7" spans="1:22" x14ac:dyDescent="0.3">
      <c r="A7" s="383" t="s">
        <v>519</v>
      </c>
      <c r="B7" s="384">
        <v>78100</v>
      </c>
      <c r="C7" s="385">
        <f>B7*[2]Notes!$B$68</f>
        <v>78100000</v>
      </c>
      <c r="D7" s="383">
        <f>[2]Notes!B50</f>
        <v>336</v>
      </c>
      <c r="E7" s="386">
        <f>D7*C7</f>
        <v>26241600000</v>
      </c>
      <c r="F7" s="387"/>
      <c r="G7" s="386"/>
      <c r="H7" s="386">
        <f>E7/[2]Notes!B69</f>
        <v>26241600</v>
      </c>
      <c r="I7" s="384">
        <v>75400</v>
      </c>
      <c r="J7" s="385">
        <f>I7*[2]Notes!$B$68</f>
        <v>75400000</v>
      </c>
      <c r="K7" s="383">
        <f>[2]Notes!I50</f>
        <v>0</v>
      </c>
      <c r="L7" s="386">
        <f>K7*J7</f>
        <v>0</v>
      </c>
      <c r="M7" s="387"/>
      <c r="N7" s="386"/>
      <c r="O7" s="386" t="e">
        <f>L7/[2]Notes!I69</f>
        <v>#DIV/0!</v>
      </c>
      <c r="P7" s="384">
        <v>78100</v>
      </c>
      <c r="Q7" s="385">
        <f>P7*[2]Notes!$B$68</f>
        <v>78100000</v>
      </c>
      <c r="R7" s="383">
        <f>[2]Notes!P50</f>
        <v>0</v>
      </c>
      <c r="S7" s="386">
        <f>R7*Q7</f>
        <v>0</v>
      </c>
      <c r="T7" s="387"/>
      <c r="U7" s="386"/>
      <c r="V7" s="386" t="e">
        <f>S7/[2]Notes!P69</f>
        <v>#DIV/0!</v>
      </c>
    </row>
    <row r="8" spans="1:22" x14ac:dyDescent="0.3">
      <c r="A8" s="383" t="s">
        <v>520</v>
      </c>
      <c r="B8" s="384"/>
      <c r="C8" s="388"/>
      <c r="D8" s="383"/>
      <c r="E8" s="386"/>
      <c r="F8" s="387"/>
      <c r="G8" s="386"/>
      <c r="H8" s="386"/>
      <c r="I8" s="384"/>
      <c r="J8" s="388"/>
      <c r="K8" s="383"/>
      <c r="L8" s="386"/>
      <c r="M8" s="387"/>
      <c r="N8" s="386"/>
      <c r="O8" s="386"/>
      <c r="P8" s="384"/>
      <c r="Q8" s="388"/>
      <c r="R8" s="383"/>
      <c r="S8" s="386"/>
      <c r="T8" s="387"/>
      <c r="U8" s="386"/>
      <c r="V8" s="386"/>
    </row>
    <row r="9" spans="1:22" x14ac:dyDescent="0.3">
      <c r="A9" s="383" t="s">
        <v>520</v>
      </c>
      <c r="B9" s="384"/>
      <c r="C9" s="388"/>
      <c r="D9" s="383"/>
      <c r="E9" s="386"/>
      <c r="F9" s="387"/>
      <c r="G9" s="386"/>
      <c r="H9" s="386"/>
      <c r="I9" s="384"/>
      <c r="J9" s="388"/>
      <c r="K9" s="383"/>
      <c r="L9" s="386"/>
      <c r="M9" s="387"/>
      <c r="N9" s="386"/>
      <c r="O9" s="386"/>
      <c r="P9" s="384"/>
      <c r="Q9" s="388"/>
      <c r="R9" s="383"/>
      <c r="S9" s="386"/>
      <c r="T9" s="387"/>
      <c r="U9" s="386"/>
      <c r="V9" s="386"/>
    </row>
    <row r="10" spans="1:22" x14ac:dyDescent="0.3">
      <c r="A10" s="383" t="s">
        <v>520</v>
      </c>
      <c r="B10" s="384"/>
      <c r="C10" s="388"/>
      <c r="D10" s="383"/>
      <c r="E10" s="386"/>
      <c r="F10" s="387"/>
      <c r="G10" s="386"/>
      <c r="H10" s="386"/>
      <c r="I10" s="384"/>
      <c r="J10" s="388"/>
      <c r="K10" s="383"/>
      <c r="L10" s="386"/>
      <c r="M10" s="387"/>
      <c r="N10" s="386"/>
      <c r="O10" s="386"/>
      <c r="P10" s="384"/>
      <c r="Q10" s="388"/>
      <c r="R10" s="383"/>
      <c r="S10" s="386"/>
      <c r="T10" s="387"/>
      <c r="U10" s="386"/>
      <c r="V10" s="386"/>
    </row>
    <row r="11" spans="1:22" x14ac:dyDescent="0.3">
      <c r="A11" s="383" t="s">
        <v>520</v>
      </c>
      <c r="B11" s="384"/>
      <c r="C11" s="388"/>
      <c r="D11" s="383"/>
      <c r="E11" s="386"/>
      <c r="F11" s="387"/>
      <c r="G11" s="386"/>
      <c r="H11" s="386"/>
      <c r="I11" s="384"/>
      <c r="J11" s="388"/>
      <c r="K11" s="383"/>
      <c r="L11" s="386"/>
      <c r="M11" s="387"/>
      <c r="N11" s="386"/>
      <c r="O11" s="386"/>
      <c r="P11" s="384"/>
      <c r="Q11" s="388"/>
      <c r="R11" s="383"/>
      <c r="S11" s="386"/>
      <c r="T11" s="387"/>
      <c r="U11" s="386"/>
      <c r="V11" s="386"/>
    </row>
    <row r="12" spans="1:22" x14ac:dyDescent="0.3">
      <c r="A12" s="383" t="s">
        <v>520</v>
      </c>
      <c r="B12" s="384"/>
      <c r="C12" s="388"/>
      <c r="D12" s="383"/>
      <c r="E12" s="386"/>
      <c r="F12" s="387"/>
      <c r="G12" s="386"/>
      <c r="H12" s="386"/>
      <c r="I12" s="384"/>
      <c r="J12" s="388"/>
      <c r="K12" s="383"/>
      <c r="L12" s="386"/>
      <c r="M12" s="387"/>
      <c r="N12" s="386"/>
      <c r="O12" s="386"/>
      <c r="P12" s="384"/>
      <c r="Q12" s="388"/>
      <c r="R12" s="383"/>
      <c r="S12" s="386"/>
      <c r="T12" s="387"/>
      <c r="U12" s="386"/>
      <c r="V12" s="386"/>
    </row>
    <row r="13" spans="1:22" x14ac:dyDescent="0.3">
      <c r="A13" s="383" t="s">
        <v>520</v>
      </c>
      <c r="B13" s="384"/>
      <c r="C13" s="388"/>
      <c r="D13" s="383"/>
      <c r="E13" s="386"/>
      <c r="F13" s="387"/>
      <c r="G13" s="386"/>
      <c r="H13" s="386"/>
      <c r="I13" s="384"/>
      <c r="J13" s="388"/>
      <c r="K13" s="383"/>
      <c r="L13" s="386"/>
      <c r="M13" s="387"/>
      <c r="N13" s="386"/>
      <c r="O13" s="386"/>
      <c r="P13" s="384"/>
      <c r="Q13" s="388"/>
      <c r="R13" s="383"/>
      <c r="S13" s="386"/>
      <c r="T13" s="387"/>
      <c r="U13" s="386"/>
      <c r="V13" s="386"/>
    </row>
    <row r="14" spans="1:22" x14ac:dyDescent="0.3">
      <c r="A14" s="383" t="s">
        <v>520</v>
      </c>
      <c r="B14" s="384"/>
      <c r="C14" s="388"/>
      <c r="D14" s="383"/>
      <c r="E14" s="386"/>
      <c r="F14" s="387"/>
      <c r="G14" s="386"/>
      <c r="H14" s="386"/>
      <c r="I14" s="384"/>
      <c r="J14" s="388"/>
      <c r="K14" s="383"/>
      <c r="L14" s="386"/>
      <c r="M14" s="387"/>
      <c r="N14" s="386"/>
      <c r="O14" s="386"/>
      <c r="P14" s="384"/>
      <c r="Q14" s="388"/>
      <c r="R14" s="383"/>
      <c r="S14" s="386"/>
      <c r="T14" s="387"/>
      <c r="U14" s="386"/>
      <c r="V14" s="386"/>
    </row>
    <row r="15" spans="1:22" ht="15" thickBot="1" x14ac:dyDescent="0.35">
      <c r="A15" s="383" t="s">
        <v>520</v>
      </c>
      <c r="B15" s="389"/>
      <c r="C15" s="390"/>
      <c r="D15" s="391"/>
      <c r="E15" s="392"/>
      <c r="F15" s="393"/>
      <c r="G15" s="392"/>
      <c r="H15" s="392"/>
      <c r="I15" s="389"/>
      <c r="J15" s="390"/>
      <c r="K15" s="391"/>
      <c r="L15" s="392"/>
      <c r="M15" s="393"/>
      <c r="N15" s="392"/>
      <c r="O15" s="392"/>
      <c r="P15" s="389"/>
      <c r="Q15" s="390"/>
      <c r="R15" s="391"/>
      <c r="S15" s="392"/>
      <c r="T15" s="393"/>
      <c r="U15" s="392"/>
      <c r="V15" s="392"/>
    </row>
    <row r="16" spans="1:22" x14ac:dyDescent="0.3">
      <c r="A16" s="383"/>
      <c r="B16" s="377" t="s">
        <v>1</v>
      </c>
      <c r="C16" s="383"/>
      <c r="D16" s="383"/>
      <c r="E16" s="383"/>
      <c r="F16" s="383"/>
      <c r="G16" s="383"/>
      <c r="H16" s="394">
        <f>SUM(H4:H7)</f>
        <v>948527194.10126388</v>
      </c>
      <c r="I16" s="377" t="s">
        <v>1</v>
      </c>
      <c r="J16" s="383"/>
      <c r="K16" s="383"/>
      <c r="L16" s="383"/>
      <c r="M16" s="383"/>
      <c r="N16" s="383"/>
      <c r="O16" s="394" t="e">
        <f>SUM(O4:O7)</f>
        <v>#DIV/0!</v>
      </c>
      <c r="P16" s="377" t="s">
        <v>1</v>
      </c>
      <c r="Q16" s="383"/>
      <c r="R16" s="383"/>
      <c r="S16" s="383"/>
      <c r="T16" s="383"/>
      <c r="U16" s="383"/>
      <c r="V16" s="394" t="e">
        <f>SUM(V4:V7)</f>
        <v>#DIV/0!</v>
      </c>
    </row>
    <row r="17" spans="1:19" x14ac:dyDescent="0.3">
      <c r="A17" s="340"/>
      <c r="B17" s="340"/>
      <c r="C17" s="340"/>
      <c r="D17" s="340"/>
      <c r="E17" s="340"/>
      <c r="F17" s="340"/>
      <c r="G17" s="340"/>
      <c r="H17" s="340"/>
      <c r="I17" s="340"/>
      <c r="J17" s="340"/>
      <c r="K17" s="340"/>
      <c r="L17" s="340"/>
      <c r="M17" s="340"/>
      <c r="N17" s="340"/>
      <c r="O17" s="340"/>
      <c r="P17" s="340"/>
      <c r="Q17" s="340"/>
      <c r="R17" s="340"/>
      <c r="S17" s="340"/>
    </row>
    <row r="18" spans="1:19" x14ac:dyDescent="0.3">
      <c r="A18" s="340"/>
      <c r="B18" s="340"/>
      <c r="C18" s="340"/>
      <c r="D18" s="340"/>
      <c r="E18" s="340"/>
      <c r="F18" s="340"/>
      <c r="G18" s="340"/>
      <c r="H18" s="340"/>
      <c r="I18" s="340"/>
      <c r="J18" s="340"/>
      <c r="K18" s="340"/>
      <c r="L18" s="340"/>
      <c r="M18" s="340"/>
      <c r="N18" s="340"/>
      <c r="O18" s="340"/>
      <c r="P18" s="340"/>
      <c r="Q18" s="340"/>
      <c r="R18" s="340"/>
      <c r="S18" s="340"/>
    </row>
    <row r="19" spans="1:19" s="352" customFormat="1" x14ac:dyDescent="0.3">
      <c r="A19" s="340"/>
      <c r="B19" s="340"/>
      <c r="C19" s="340"/>
      <c r="D19" s="340"/>
      <c r="E19" s="340"/>
      <c r="F19" s="340"/>
      <c r="G19" s="340"/>
      <c r="H19" s="340"/>
      <c r="I19" s="340"/>
      <c r="J19" s="340"/>
      <c r="K19" s="340"/>
      <c r="L19" s="340"/>
      <c r="M19" s="340"/>
      <c r="N19" s="340"/>
      <c r="O19" s="340"/>
      <c r="P19" s="340"/>
      <c r="Q19" s="340"/>
      <c r="R19" s="340"/>
      <c r="S19" s="340"/>
    </row>
    <row r="20" spans="1:19" x14ac:dyDescent="0.3">
      <c r="A20" s="340"/>
      <c r="B20" s="340"/>
      <c r="C20" s="340"/>
      <c r="D20" s="340"/>
      <c r="E20" s="340"/>
      <c r="F20" s="340"/>
      <c r="G20" s="340"/>
      <c r="H20" s="340"/>
      <c r="I20" s="340"/>
      <c r="J20" s="340"/>
      <c r="K20" s="340"/>
      <c r="L20" s="340"/>
      <c r="M20" s="340"/>
      <c r="N20" s="340"/>
      <c r="O20" s="340"/>
      <c r="P20" s="340"/>
      <c r="Q20" s="340"/>
      <c r="R20" s="340"/>
      <c r="S20" s="340"/>
    </row>
    <row r="21" spans="1:19" x14ac:dyDescent="0.3">
      <c r="A21" s="340"/>
      <c r="B21" s="340"/>
      <c r="C21" s="340"/>
      <c r="D21" s="340"/>
      <c r="E21" s="340"/>
      <c r="F21" s="340"/>
      <c r="G21" s="340"/>
      <c r="H21" s="340"/>
      <c r="I21" s="340"/>
      <c r="J21" s="340"/>
      <c r="K21" s="340"/>
      <c r="L21" s="340"/>
      <c r="M21" s="340"/>
      <c r="N21" s="340"/>
      <c r="O21" s="340"/>
      <c r="P21" s="340"/>
      <c r="Q21" s="340"/>
      <c r="R21" s="340"/>
      <c r="S21" s="340"/>
    </row>
    <row r="22" spans="1:19" x14ac:dyDescent="0.3">
      <c r="A22" s="340"/>
      <c r="B22" s="340"/>
      <c r="C22" s="340"/>
      <c r="D22" s="340"/>
      <c r="E22" s="340"/>
      <c r="F22" s="340"/>
      <c r="G22" s="340"/>
      <c r="H22" s="340"/>
      <c r="I22" s="340"/>
      <c r="J22" s="340"/>
      <c r="K22" s="340"/>
      <c r="L22" s="340"/>
      <c r="M22" s="340"/>
      <c r="N22" s="340"/>
      <c r="O22" s="340"/>
      <c r="P22" s="340"/>
      <c r="Q22" s="340"/>
      <c r="R22" s="340"/>
      <c r="S22" s="340"/>
    </row>
    <row r="23" spans="1:19" x14ac:dyDescent="0.3">
      <c r="A23" s="340"/>
      <c r="B23" s="340"/>
      <c r="C23" s="371"/>
      <c r="D23" s="371"/>
      <c r="E23" s="340"/>
      <c r="F23" s="340"/>
      <c r="G23" s="340"/>
      <c r="H23" s="340"/>
      <c r="I23" s="340"/>
      <c r="J23" s="340"/>
      <c r="K23" s="340"/>
      <c r="L23" s="340"/>
      <c r="M23" s="340"/>
      <c r="N23" s="340"/>
      <c r="O23" s="340"/>
      <c r="P23" s="340"/>
      <c r="Q23" s="340"/>
      <c r="R23" s="340"/>
      <c r="S23" s="340"/>
    </row>
    <row r="24" spans="1:19" x14ac:dyDescent="0.3">
      <c r="A24" s="340"/>
      <c r="B24" s="340"/>
      <c r="C24" s="372"/>
      <c r="D24" s="340"/>
      <c r="E24" s="340"/>
      <c r="F24" s="340"/>
      <c r="G24" s="340"/>
      <c r="H24" s="340"/>
      <c r="I24" s="340"/>
      <c r="J24" s="340"/>
      <c r="K24" s="340"/>
      <c r="L24" s="340"/>
      <c r="M24" s="340"/>
      <c r="N24" s="340"/>
      <c r="O24" s="340"/>
      <c r="P24" s="340"/>
      <c r="Q24" s="340"/>
      <c r="R24" s="340"/>
      <c r="S24" s="340"/>
    </row>
    <row r="25" spans="1:19" x14ac:dyDescent="0.3">
      <c r="A25" s="340"/>
      <c r="B25" s="340"/>
      <c r="C25" s="340"/>
      <c r="D25" s="340"/>
      <c r="E25" s="340"/>
      <c r="F25" s="340"/>
      <c r="G25" s="340"/>
      <c r="H25" s="340"/>
      <c r="I25" s="340"/>
      <c r="J25" s="340"/>
      <c r="K25" s="340"/>
      <c r="L25" s="340"/>
      <c r="M25" s="340"/>
      <c r="N25" s="340"/>
      <c r="O25" s="340"/>
      <c r="P25" s="340"/>
      <c r="Q25" s="340"/>
      <c r="R25" s="340"/>
      <c r="S25" s="340"/>
    </row>
    <row r="26" spans="1:19" x14ac:dyDescent="0.3">
      <c r="A26" s="340"/>
      <c r="B26" s="340"/>
      <c r="C26" s="340"/>
      <c r="D26" s="340"/>
      <c r="E26" s="340"/>
      <c r="F26" s="340"/>
      <c r="G26" s="340"/>
      <c r="H26" s="340"/>
      <c r="I26" s="340"/>
      <c r="J26" s="340"/>
      <c r="K26" s="340"/>
      <c r="L26" s="340"/>
      <c r="M26" s="340"/>
      <c r="N26" s="340"/>
      <c r="O26" s="340"/>
      <c r="P26" s="340"/>
      <c r="Q26" s="340"/>
      <c r="R26" s="340"/>
      <c r="S26" s="340"/>
    </row>
    <row r="27" spans="1:19" x14ac:dyDescent="0.3">
      <c r="A27" s="340"/>
      <c r="B27" s="340"/>
      <c r="C27" s="340"/>
      <c r="D27" s="340"/>
      <c r="E27" s="340"/>
      <c r="F27" s="340"/>
      <c r="G27" s="340"/>
      <c r="H27" s="340"/>
      <c r="I27" s="340"/>
      <c r="J27" s="340"/>
      <c r="K27" s="340"/>
      <c r="L27" s="340"/>
      <c r="M27" s="340"/>
      <c r="N27" s="340"/>
      <c r="O27" s="340"/>
      <c r="P27" s="340"/>
      <c r="Q27" s="340"/>
      <c r="R27" s="340"/>
      <c r="S27" s="340"/>
    </row>
    <row r="28" spans="1:19" x14ac:dyDescent="0.3">
      <c r="A28" s="340"/>
      <c r="B28" s="340"/>
      <c r="C28" s="340"/>
      <c r="D28" s="340"/>
      <c r="E28" s="340"/>
      <c r="F28" s="340"/>
      <c r="G28" s="340"/>
      <c r="H28" s="340"/>
      <c r="I28" s="340"/>
      <c r="J28" s="340"/>
      <c r="K28" s="340"/>
      <c r="L28" s="340"/>
      <c r="M28" s="340"/>
      <c r="N28" s="340"/>
      <c r="O28" s="340"/>
      <c r="P28" s="340"/>
      <c r="Q28" s="340"/>
      <c r="R28" s="340"/>
      <c r="S28" s="340"/>
    </row>
    <row r="29" spans="1:19" x14ac:dyDescent="0.3">
      <c r="A29" s="340"/>
      <c r="B29" s="340"/>
      <c r="C29" s="340"/>
      <c r="D29" s="340"/>
      <c r="E29" s="340"/>
      <c r="F29" s="340"/>
      <c r="G29" s="340"/>
      <c r="H29" s="340"/>
      <c r="I29" s="340"/>
      <c r="J29" s="340"/>
      <c r="K29" s="340"/>
      <c r="L29" s="340"/>
      <c r="M29" s="340"/>
      <c r="N29" s="340"/>
      <c r="O29" s="340"/>
      <c r="P29" s="340"/>
      <c r="Q29" s="340"/>
      <c r="R29" s="340"/>
      <c r="S29" s="340"/>
    </row>
    <row r="30" spans="1:19" x14ac:dyDescent="0.3">
      <c r="A30" s="340"/>
      <c r="B30" s="340"/>
      <c r="C30" s="340"/>
      <c r="D30" s="340"/>
      <c r="E30" s="340"/>
      <c r="F30" s="340"/>
      <c r="G30" s="340"/>
      <c r="H30" s="340"/>
      <c r="I30" s="340"/>
      <c r="J30" s="340"/>
      <c r="K30" s="340"/>
      <c r="L30" s="340"/>
      <c r="M30" s="340"/>
      <c r="N30" s="340"/>
      <c r="O30" s="340"/>
      <c r="P30" s="340"/>
      <c r="Q30" s="340"/>
      <c r="R30" s="340"/>
      <c r="S30" s="340"/>
    </row>
    <row r="31" spans="1:19" x14ac:dyDescent="0.3">
      <c r="A31" s="340"/>
      <c r="B31" s="340"/>
      <c r="C31" s="340"/>
      <c r="D31" s="340"/>
      <c r="E31" s="340"/>
      <c r="F31" s="340"/>
      <c r="G31" s="340"/>
      <c r="H31" s="340"/>
      <c r="I31" s="340"/>
      <c r="J31" s="340"/>
      <c r="K31" s="340"/>
      <c r="L31" s="340"/>
      <c r="M31" s="340"/>
      <c r="N31" s="340"/>
      <c r="O31" s="340"/>
      <c r="P31" s="340"/>
      <c r="Q31" s="340"/>
      <c r="R31" s="340"/>
      <c r="S31" s="340"/>
    </row>
    <row r="32" spans="1:19" x14ac:dyDescent="0.3">
      <c r="A32" s="340"/>
      <c r="B32" s="340"/>
      <c r="C32" s="340"/>
      <c r="D32" s="340"/>
      <c r="E32" s="340"/>
      <c r="F32" s="340"/>
      <c r="G32" s="340"/>
      <c r="H32" s="340"/>
      <c r="I32" s="340"/>
      <c r="J32" s="340"/>
      <c r="K32" s="340"/>
      <c r="L32" s="340"/>
      <c r="M32" s="340"/>
      <c r="N32" s="340"/>
      <c r="O32" s="340"/>
      <c r="P32" s="340"/>
      <c r="Q32" s="340"/>
      <c r="R32" s="340"/>
      <c r="S32" s="340"/>
    </row>
    <row r="33" spans="1:19" x14ac:dyDescent="0.3">
      <c r="A33" s="340"/>
      <c r="B33" s="340"/>
      <c r="C33" s="340"/>
      <c r="D33" s="340"/>
      <c r="E33" s="340"/>
      <c r="F33" s="340"/>
      <c r="G33" s="340"/>
      <c r="H33" s="340"/>
      <c r="I33" s="340"/>
      <c r="J33" s="340"/>
      <c r="K33" s="340"/>
      <c r="L33" s="340"/>
      <c r="M33" s="340"/>
      <c r="N33" s="340"/>
      <c r="O33" s="340"/>
      <c r="P33" s="340"/>
      <c r="Q33" s="340"/>
      <c r="R33" s="340"/>
      <c r="S33" s="340"/>
    </row>
    <row r="34" spans="1:19" x14ac:dyDescent="0.3">
      <c r="A34" s="340"/>
      <c r="B34" s="340"/>
      <c r="C34" s="340"/>
      <c r="D34" s="340"/>
      <c r="E34" s="340"/>
      <c r="F34" s="340"/>
      <c r="G34" s="340"/>
      <c r="H34" s="340"/>
      <c r="I34" s="340"/>
      <c r="J34" s="340"/>
      <c r="K34" s="340"/>
      <c r="L34" s="340"/>
      <c r="M34" s="340"/>
      <c r="N34" s="340"/>
      <c r="O34" s="340"/>
      <c r="P34" s="340"/>
      <c r="Q34" s="340"/>
      <c r="R34" s="340"/>
      <c r="S34" s="340"/>
    </row>
    <row r="35" spans="1:19" x14ac:dyDescent="0.3">
      <c r="A35" s="340"/>
      <c r="B35" s="340"/>
      <c r="C35" s="340"/>
      <c r="D35" s="340"/>
      <c r="E35" s="340"/>
      <c r="F35" s="340"/>
      <c r="G35" s="340"/>
      <c r="H35" s="340"/>
      <c r="I35" s="340"/>
      <c r="J35" s="340"/>
      <c r="K35" s="340"/>
      <c r="L35" s="340"/>
      <c r="M35" s="340"/>
      <c r="N35" s="340"/>
      <c r="O35" s="340"/>
      <c r="P35" s="340"/>
      <c r="Q35" s="340"/>
      <c r="R35" s="340"/>
      <c r="S35" s="340"/>
    </row>
    <row r="36" spans="1:19" x14ac:dyDescent="0.3">
      <c r="A36" s="340"/>
      <c r="B36" s="340"/>
      <c r="C36" s="340"/>
      <c r="D36" s="340"/>
      <c r="E36" s="340"/>
      <c r="F36" s="340"/>
      <c r="G36" s="340"/>
      <c r="H36" s="340"/>
      <c r="I36" s="340"/>
      <c r="J36" s="340"/>
      <c r="K36" s="340"/>
      <c r="L36" s="340"/>
      <c r="M36" s="340"/>
      <c r="N36" s="340"/>
      <c r="O36" s="340"/>
      <c r="P36" s="340"/>
      <c r="Q36" s="340"/>
      <c r="R36" s="340"/>
      <c r="S36" s="340"/>
    </row>
    <row r="37" spans="1:19" x14ac:dyDescent="0.3">
      <c r="A37" s="340"/>
      <c r="B37" s="340"/>
      <c r="C37" s="340"/>
      <c r="D37" s="340"/>
      <c r="E37" s="340"/>
      <c r="F37" s="340"/>
      <c r="G37" s="340"/>
      <c r="H37" s="340"/>
      <c r="I37" s="340"/>
      <c r="J37" s="340"/>
      <c r="K37" s="340"/>
      <c r="L37" s="340"/>
      <c r="M37" s="340"/>
      <c r="N37" s="340"/>
      <c r="O37" s="340"/>
      <c r="P37" s="340"/>
      <c r="Q37" s="340"/>
      <c r="R37" s="340"/>
      <c r="S37" s="340"/>
    </row>
    <row r="38" spans="1:19" x14ac:dyDescent="0.3">
      <c r="A38" s="340"/>
      <c r="B38" s="340"/>
      <c r="C38" s="340"/>
      <c r="D38" s="340"/>
      <c r="E38" s="340"/>
      <c r="F38" s="340"/>
      <c r="G38" s="340"/>
      <c r="H38" s="340"/>
      <c r="I38" s="340"/>
      <c r="J38" s="340"/>
      <c r="K38" s="340"/>
      <c r="L38" s="340"/>
      <c r="M38" s="340"/>
      <c r="N38" s="340"/>
      <c r="O38" s="340"/>
      <c r="P38" s="340"/>
      <c r="Q38" s="340"/>
      <c r="R38" s="340"/>
      <c r="S38" s="340"/>
    </row>
    <row r="39" spans="1:19" x14ac:dyDescent="0.3">
      <c r="A39" s="340"/>
      <c r="B39" s="340"/>
      <c r="C39" s="340"/>
      <c r="D39" s="340"/>
      <c r="E39" s="340"/>
      <c r="F39" s="340"/>
      <c r="G39" s="340"/>
      <c r="H39" s="340"/>
      <c r="I39" s="340"/>
      <c r="J39" s="340"/>
      <c r="K39" s="340"/>
      <c r="L39" s="340"/>
      <c r="M39" s="340"/>
      <c r="N39" s="340"/>
      <c r="O39" s="340"/>
      <c r="P39" s="340"/>
      <c r="Q39" s="340"/>
      <c r="R39" s="340"/>
      <c r="S39" s="340"/>
    </row>
    <row r="40" spans="1:19" x14ac:dyDescent="0.3">
      <c r="A40" s="340"/>
      <c r="B40" s="340"/>
      <c r="C40" s="340"/>
      <c r="D40" s="340"/>
      <c r="E40" s="340"/>
      <c r="F40" s="340"/>
      <c r="G40" s="340"/>
      <c r="H40" s="340"/>
      <c r="I40" s="340"/>
      <c r="J40" s="340"/>
      <c r="K40" s="340"/>
      <c r="L40" s="340"/>
      <c r="M40" s="340"/>
      <c r="N40" s="340"/>
      <c r="O40" s="340"/>
      <c r="P40" s="340"/>
      <c r="Q40" s="340"/>
      <c r="R40" s="340"/>
      <c r="S40" s="340"/>
    </row>
    <row r="41" spans="1:19" x14ac:dyDescent="0.3">
      <c r="A41" s="340"/>
      <c r="B41" s="340"/>
      <c r="C41" s="340"/>
      <c r="D41" s="340"/>
      <c r="E41" s="340"/>
      <c r="F41" s="340"/>
      <c r="G41" s="340"/>
      <c r="H41" s="340"/>
      <c r="I41" s="340"/>
      <c r="J41" s="340"/>
      <c r="K41" s="340"/>
      <c r="L41" s="340"/>
      <c r="M41" s="340"/>
      <c r="N41" s="340"/>
      <c r="O41" s="340"/>
      <c r="P41" s="340"/>
      <c r="Q41" s="340"/>
      <c r="R41" s="340"/>
      <c r="S41" s="340"/>
    </row>
    <row r="42" spans="1:19" x14ac:dyDescent="0.3">
      <c r="A42" s="340"/>
      <c r="B42" s="340"/>
      <c r="C42" s="340"/>
      <c r="D42" s="340"/>
      <c r="E42" s="340"/>
      <c r="F42" s="340"/>
      <c r="G42" s="340"/>
      <c r="H42" s="340"/>
      <c r="I42" s="340"/>
      <c r="J42" s="340"/>
      <c r="K42" s="340"/>
      <c r="L42" s="340"/>
      <c r="M42" s="340"/>
      <c r="N42" s="340"/>
      <c r="O42" s="340"/>
      <c r="P42" s="340"/>
      <c r="Q42" s="340"/>
      <c r="R42" s="340"/>
      <c r="S42" s="340"/>
    </row>
    <row r="43" spans="1:19" x14ac:dyDescent="0.3">
      <c r="A43" s="340"/>
      <c r="B43" s="340"/>
      <c r="C43" s="340"/>
      <c r="D43" s="340"/>
      <c r="E43" s="340"/>
      <c r="F43" s="340"/>
      <c r="G43" s="340"/>
      <c r="H43" s="340"/>
      <c r="I43" s="340"/>
      <c r="J43" s="340"/>
      <c r="K43" s="340"/>
      <c r="L43" s="340"/>
      <c r="M43" s="340"/>
      <c r="N43" s="340"/>
      <c r="O43" s="340"/>
      <c r="P43" s="340"/>
      <c r="Q43" s="340"/>
      <c r="R43" s="340"/>
      <c r="S43" s="340"/>
    </row>
    <row r="44" spans="1:19" x14ac:dyDescent="0.3">
      <c r="A44" s="340"/>
      <c r="B44" s="340"/>
      <c r="C44" s="340"/>
      <c r="D44" s="340"/>
      <c r="E44" s="340"/>
      <c r="F44" s="340"/>
      <c r="G44" s="340"/>
      <c r="H44" s="340"/>
      <c r="I44" s="340"/>
      <c r="J44" s="340"/>
      <c r="K44" s="340"/>
      <c r="L44" s="340"/>
      <c r="M44" s="340"/>
      <c r="N44" s="340"/>
      <c r="O44" s="340"/>
      <c r="P44" s="340"/>
      <c r="Q44" s="340"/>
      <c r="R44" s="340"/>
      <c r="S44" s="340"/>
    </row>
    <row r="45" spans="1:19" x14ac:dyDescent="0.3">
      <c r="A45" s="340"/>
      <c r="B45" s="340"/>
      <c r="C45" s="340"/>
      <c r="D45" s="340"/>
      <c r="E45" s="340"/>
      <c r="F45" s="340"/>
      <c r="G45" s="340"/>
      <c r="H45" s="340"/>
      <c r="I45" s="340"/>
      <c r="J45" s="340"/>
      <c r="K45" s="340"/>
      <c r="L45" s="340"/>
      <c r="M45" s="340"/>
      <c r="N45" s="340"/>
      <c r="O45" s="340"/>
      <c r="P45" s="340"/>
      <c r="Q45" s="340"/>
      <c r="R45" s="340"/>
      <c r="S45" s="340"/>
    </row>
    <row r="46" spans="1:19" x14ac:dyDescent="0.3">
      <c r="A46" s="340"/>
      <c r="B46" s="340"/>
      <c r="C46" s="340"/>
      <c r="D46" s="340"/>
      <c r="E46" s="340"/>
      <c r="F46" s="340"/>
      <c r="G46" s="340"/>
      <c r="H46" s="340"/>
      <c r="I46" s="340"/>
      <c r="J46" s="340"/>
      <c r="K46" s="340"/>
      <c r="L46" s="340"/>
      <c r="M46" s="340"/>
      <c r="N46" s="340"/>
      <c r="O46" s="340"/>
      <c r="P46" s="340"/>
      <c r="Q46" s="340"/>
      <c r="R46" s="340"/>
      <c r="S46" s="340"/>
    </row>
    <row r="47" spans="1:19" x14ac:dyDescent="0.3">
      <c r="A47" s="340"/>
      <c r="B47" s="340"/>
      <c r="C47" s="340"/>
      <c r="D47" s="340"/>
      <c r="E47" s="340"/>
      <c r="F47" s="340"/>
      <c r="G47" s="340"/>
      <c r="H47" s="340"/>
      <c r="I47" s="340"/>
      <c r="J47" s="340"/>
      <c r="K47" s="340"/>
      <c r="L47" s="340"/>
      <c r="M47" s="340"/>
      <c r="N47" s="340"/>
      <c r="O47" s="340"/>
      <c r="P47" s="340"/>
      <c r="Q47" s="340"/>
      <c r="R47" s="340"/>
      <c r="S47" s="340"/>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CD7A-F01A-4C15-B327-D371E9572D08}">
  <sheetPr>
    <tabColor theme="7" tint="0.79998168889431442"/>
  </sheetPr>
  <dimension ref="A1:P68"/>
  <sheetViews>
    <sheetView workbookViewId="0">
      <selection activeCell="D3" sqref="D3"/>
    </sheetView>
  </sheetViews>
  <sheetFormatPr defaultRowHeight="14.4" x14ac:dyDescent="0.3"/>
  <cols>
    <col min="1" max="1" width="22.77734375" customWidth="1"/>
    <col min="2" max="2" width="18.5546875" customWidth="1"/>
    <col min="3" max="3" width="14.21875" bestFit="1" customWidth="1"/>
    <col min="4" max="4" width="26" customWidth="1"/>
    <col min="5" max="5" width="23.21875" customWidth="1"/>
    <col min="6" max="6" width="20" customWidth="1"/>
    <col min="7" max="7" width="14.109375" bestFit="1" customWidth="1"/>
    <col min="8" max="8" width="15.21875" bestFit="1" customWidth="1"/>
    <col min="9" max="10" width="15.109375" bestFit="1" customWidth="1"/>
    <col min="11" max="11" width="14.21875" bestFit="1" customWidth="1"/>
    <col min="12" max="12" width="16.6640625" bestFit="1" customWidth="1"/>
    <col min="13" max="13" width="13.21875" bestFit="1" customWidth="1"/>
    <col min="14" max="14" width="14.21875" bestFit="1" customWidth="1"/>
    <col min="15" max="15" width="13.21875" bestFit="1" customWidth="1"/>
    <col min="16" max="16" width="16.77734375" bestFit="1" customWidth="1"/>
  </cols>
  <sheetData>
    <row r="1" spans="1:16" x14ac:dyDescent="0.3">
      <c r="A1" t="s">
        <v>473</v>
      </c>
    </row>
    <row r="2" spans="1:16" x14ac:dyDescent="0.3">
      <c r="A2" s="11" t="s">
        <v>474</v>
      </c>
      <c r="B2" s="11" t="s">
        <v>475</v>
      </c>
      <c r="C2" s="11" t="s">
        <v>476</v>
      </c>
      <c r="D2" s="11" t="s">
        <v>477</v>
      </c>
      <c r="E2" s="11" t="s">
        <v>478</v>
      </c>
      <c r="F2" s="11" t="s">
        <v>479</v>
      </c>
      <c r="G2" s="11" t="s">
        <v>480</v>
      </c>
      <c r="H2" s="11" t="s">
        <v>481</v>
      </c>
      <c r="I2" s="11" t="s">
        <v>482</v>
      </c>
      <c r="J2" s="11" t="s">
        <v>483</v>
      </c>
      <c r="K2" s="11" t="s">
        <v>484</v>
      </c>
      <c r="L2" s="11" t="s">
        <v>485</v>
      </c>
      <c r="M2" s="11" t="s">
        <v>486</v>
      </c>
      <c r="N2" s="11" t="s">
        <v>487</v>
      </c>
      <c r="O2" s="331" t="s">
        <v>488</v>
      </c>
      <c r="P2" s="11" t="s">
        <v>1</v>
      </c>
    </row>
    <row r="3" spans="1:16" x14ac:dyDescent="0.3">
      <c r="A3" t="s">
        <v>489</v>
      </c>
      <c r="B3" s="339">
        <v>134.62</v>
      </c>
      <c r="C3" s="339">
        <v>0.9325</v>
      </c>
      <c r="D3" s="339">
        <v>5526.04</v>
      </c>
      <c r="E3" s="339">
        <v>16.78</v>
      </c>
      <c r="F3" s="339">
        <v>2.0299999999999998</v>
      </c>
      <c r="G3" s="339">
        <v>0.23499999999999999</v>
      </c>
      <c r="H3" s="339">
        <v>11.4</v>
      </c>
      <c r="I3" s="339">
        <v>0.3</v>
      </c>
      <c r="J3" s="339">
        <v>224.45</v>
      </c>
      <c r="K3" s="339">
        <v>0.23200000000000001</v>
      </c>
      <c r="L3" s="339">
        <v>411</v>
      </c>
      <c r="M3" s="339">
        <v>0</v>
      </c>
      <c r="N3" s="339">
        <v>12.465999999999999</v>
      </c>
      <c r="O3" s="339">
        <v>0.18</v>
      </c>
      <c r="P3" s="400">
        <f>SUM(B3:O3)</f>
        <v>6340.6654999999992</v>
      </c>
    </row>
    <row r="4" spans="1:16" x14ac:dyDescent="0.3">
      <c r="A4" t="s">
        <v>490</v>
      </c>
      <c r="B4" s="339">
        <v>104.84</v>
      </c>
      <c r="C4" s="339">
        <v>0.23200000000000001</v>
      </c>
      <c r="D4" s="339">
        <v>7.1920000000000002</v>
      </c>
      <c r="E4" s="339">
        <v>6.5209999999999999</v>
      </c>
      <c r="F4" s="339">
        <v>0.10199999999999999</v>
      </c>
      <c r="G4" s="339">
        <v>8.5000000000000006E-2</v>
      </c>
      <c r="H4" s="339">
        <v>17.545999999999999</v>
      </c>
      <c r="I4" s="339">
        <v>0.30599999999999999</v>
      </c>
      <c r="J4" s="339">
        <v>24.63</v>
      </c>
      <c r="K4" s="339">
        <v>0.32</v>
      </c>
      <c r="L4" s="339">
        <v>2836.6439999999998</v>
      </c>
      <c r="M4" s="339">
        <v>0</v>
      </c>
      <c r="N4" s="339">
        <v>1.9059999999999999</v>
      </c>
      <c r="O4" s="339">
        <v>0.09</v>
      </c>
      <c r="P4" s="400">
        <f t="shared" ref="P4:P8" si="0">SUM(B4:O4)</f>
        <v>3000.4139999999998</v>
      </c>
    </row>
    <row r="5" spans="1:16" x14ac:dyDescent="0.3">
      <c r="A5" t="s">
        <v>491</v>
      </c>
      <c r="B5" s="339">
        <v>13.804</v>
      </c>
      <c r="C5" s="339">
        <v>65.111000000000004</v>
      </c>
      <c r="D5" s="339">
        <v>18.518000000000001</v>
      </c>
      <c r="E5" s="339">
        <v>26.463999999999999</v>
      </c>
      <c r="F5" s="339">
        <v>3.7410000000000001</v>
      </c>
      <c r="G5" s="339">
        <v>2.4790000000000001</v>
      </c>
      <c r="H5" s="339">
        <v>100.152</v>
      </c>
      <c r="I5" s="339">
        <v>268.26900000000001</v>
      </c>
      <c r="J5" s="339">
        <v>12.173999999999999</v>
      </c>
      <c r="K5" s="339">
        <v>3.3340000000000001</v>
      </c>
      <c r="L5" s="339">
        <v>1658.509</v>
      </c>
      <c r="M5" s="339">
        <v>1.52</v>
      </c>
      <c r="N5" s="339">
        <v>13.06</v>
      </c>
      <c r="O5" s="339">
        <v>18.364000000000001</v>
      </c>
      <c r="P5" s="400">
        <f t="shared" si="0"/>
        <v>2205.4989999999998</v>
      </c>
    </row>
    <row r="6" spans="1:16" x14ac:dyDescent="0.3">
      <c r="A6" t="s">
        <v>492</v>
      </c>
      <c r="B6" s="339">
        <v>88.787999999999997</v>
      </c>
      <c r="C6" s="339">
        <v>60.363999999999997</v>
      </c>
      <c r="D6" s="339">
        <v>12.141</v>
      </c>
      <c r="E6" s="339">
        <v>111.54300000000001</v>
      </c>
      <c r="F6" s="339">
        <v>0.16500000000000001</v>
      </c>
      <c r="G6" s="339">
        <v>2.819</v>
      </c>
      <c r="H6" s="339">
        <v>299.48200000000003</v>
      </c>
      <c r="I6" s="339">
        <v>33.984000000000002</v>
      </c>
      <c r="J6" s="339">
        <v>38.71</v>
      </c>
      <c r="K6" s="339">
        <v>33.909999999999997</v>
      </c>
      <c r="L6" s="339">
        <v>7.0000000000000007E-2</v>
      </c>
      <c r="M6" s="339">
        <v>1.48</v>
      </c>
      <c r="N6" s="339">
        <v>1.06</v>
      </c>
      <c r="O6" s="339">
        <v>1.8540000000000001</v>
      </c>
      <c r="P6" s="400">
        <f t="shared" si="0"/>
        <v>686.37000000000023</v>
      </c>
    </row>
    <row r="7" spans="1:16" x14ac:dyDescent="0.3">
      <c r="A7" t="s">
        <v>46</v>
      </c>
      <c r="B7" s="339">
        <v>408.68</v>
      </c>
      <c r="C7" s="339">
        <v>107</v>
      </c>
      <c r="D7" s="339">
        <v>490.94299999999998</v>
      </c>
      <c r="E7" s="339">
        <v>108.184</v>
      </c>
      <c r="F7" s="339">
        <v>3.8290000000000002</v>
      </c>
      <c r="G7" s="339">
        <v>1.82</v>
      </c>
      <c r="H7" s="339">
        <v>952.14800000000002</v>
      </c>
      <c r="I7" s="339">
        <v>2.2000000000000002</v>
      </c>
      <c r="J7" s="339">
        <v>12.2</v>
      </c>
      <c r="K7" s="339">
        <v>0.16</v>
      </c>
      <c r="L7" s="339">
        <v>806.36</v>
      </c>
      <c r="M7" s="339">
        <v>0</v>
      </c>
      <c r="N7" s="339">
        <v>60.15</v>
      </c>
      <c r="O7" s="339">
        <v>1.1000000000000001</v>
      </c>
      <c r="P7" s="400">
        <f t="shared" si="0"/>
        <v>2954.7739999999994</v>
      </c>
    </row>
    <row r="8" spans="1:16" x14ac:dyDescent="0.3">
      <c r="A8" t="s">
        <v>493</v>
      </c>
      <c r="B8" s="339">
        <v>31.233000000000001</v>
      </c>
      <c r="C8" s="339">
        <v>2.2410000000000001</v>
      </c>
      <c r="D8" s="339">
        <v>61.898000000000003</v>
      </c>
      <c r="E8" s="339">
        <v>10.52</v>
      </c>
      <c r="F8" s="339">
        <v>8.32</v>
      </c>
      <c r="G8" s="339">
        <v>1.38</v>
      </c>
      <c r="H8" s="339">
        <v>116.92</v>
      </c>
      <c r="I8" s="339">
        <v>228.69300000000001</v>
      </c>
      <c r="J8" s="339">
        <v>1.0680000000000001</v>
      </c>
      <c r="K8" s="339">
        <v>0.18</v>
      </c>
      <c r="L8" s="339">
        <v>7.0000000000000007E-2</v>
      </c>
      <c r="M8" s="339">
        <v>4.4000000000000004</v>
      </c>
      <c r="N8" s="339">
        <v>5.7149999999999999</v>
      </c>
      <c r="O8" s="339">
        <v>0</v>
      </c>
      <c r="P8" s="400">
        <f t="shared" si="0"/>
        <v>472.63799999999998</v>
      </c>
    </row>
    <row r="9" spans="1:16" x14ac:dyDescent="0.3">
      <c r="A9" s="329" t="s">
        <v>1</v>
      </c>
      <c r="B9" s="401">
        <f>SUM(B3:B8)</f>
        <v>781.96499999999992</v>
      </c>
      <c r="C9" s="401">
        <f t="shared" ref="C9:P9" si="1">SUM(C3:C8)</f>
        <v>235.88050000000001</v>
      </c>
      <c r="D9" s="401">
        <f t="shared" si="1"/>
        <v>6116.732</v>
      </c>
      <c r="E9" s="401">
        <f t="shared" si="1"/>
        <v>280.01199999999994</v>
      </c>
      <c r="F9" s="401">
        <f t="shared" si="1"/>
        <v>18.186999999999998</v>
      </c>
      <c r="G9" s="401">
        <f t="shared" si="1"/>
        <v>8.8180000000000014</v>
      </c>
      <c r="H9" s="401">
        <f t="shared" si="1"/>
        <v>1497.6480000000001</v>
      </c>
      <c r="I9" s="401">
        <f t="shared" si="1"/>
        <v>533.75199999999995</v>
      </c>
      <c r="J9" s="401">
        <f t="shared" si="1"/>
        <v>313.23199999999991</v>
      </c>
      <c r="K9" s="401">
        <f t="shared" si="1"/>
        <v>38.135999999999996</v>
      </c>
      <c r="L9" s="401">
        <f t="shared" si="1"/>
        <v>5712.6529999999993</v>
      </c>
      <c r="M9" s="401">
        <f t="shared" si="1"/>
        <v>7.4</v>
      </c>
      <c r="N9" s="401">
        <f t="shared" si="1"/>
        <v>94.356999999999999</v>
      </c>
      <c r="O9" s="401">
        <f t="shared" si="1"/>
        <v>21.588000000000001</v>
      </c>
      <c r="P9" s="402">
        <f t="shared" si="1"/>
        <v>15660.360500000001</v>
      </c>
    </row>
    <row r="10" spans="1:16" x14ac:dyDescent="0.3">
      <c r="B10" s="328"/>
      <c r="C10" s="328"/>
      <c r="D10" s="328"/>
      <c r="E10" s="328"/>
      <c r="F10" s="328"/>
      <c r="G10" s="328"/>
      <c r="H10" s="328"/>
      <c r="I10" s="328"/>
      <c r="J10" s="328"/>
      <c r="K10" s="328"/>
      <c r="L10" s="328"/>
      <c r="M10" s="328"/>
      <c r="N10" s="328"/>
      <c r="O10" s="328"/>
    </row>
    <row r="11" spans="1:16" x14ac:dyDescent="0.3">
      <c r="A11" t="s">
        <v>523</v>
      </c>
      <c r="B11" s="328"/>
      <c r="C11" s="328"/>
      <c r="D11" s="328"/>
      <c r="E11" s="328"/>
      <c r="F11" s="328"/>
      <c r="G11" s="328"/>
      <c r="H11" s="328"/>
      <c r="I11" s="328"/>
      <c r="J11" s="328"/>
      <c r="K11" s="328"/>
      <c r="L11" s="328"/>
      <c r="M11" s="328"/>
      <c r="N11" s="328"/>
      <c r="O11" s="328"/>
    </row>
    <row r="12" spans="1:16" x14ac:dyDescent="0.3">
      <c r="A12" s="11" t="s">
        <v>474</v>
      </c>
      <c r="B12" s="11" t="s">
        <v>475</v>
      </c>
      <c r="C12" s="11" t="s">
        <v>476</v>
      </c>
      <c r="D12" s="11" t="s">
        <v>477</v>
      </c>
      <c r="E12" s="11" t="s">
        <v>478</v>
      </c>
      <c r="F12" s="11" t="s">
        <v>479</v>
      </c>
      <c r="G12" s="11" t="s">
        <v>480</v>
      </c>
      <c r="H12" s="11" t="s">
        <v>481</v>
      </c>
      <c r="I12" s="11" t="s">
        <v>482</v>
      </c>
      <c r="J12" s="11" t="s">
        <v>483</v>
      </c>
      <c r="K12" s="11" t="s">
        <v>484</v>
      </c>
      <c r="L12" s="11" t="s">
        <v>485</v>
      </c>
      <c r="M12" s="11" t="s">
        <v>486</v>
      </c>
      <c r="N12" s="11" t="s">
        <v>487</v>
      </c>
      <c r="O12" s="331" t="s">
        <v>488</v>
      </c>
      <c r="P12" s="11" t="s">
        <v>1</v>
      </c>
    </row>
    <row r="13" spans="1:16" x14ac:dyDescent="0.3">
      <c r="A13" t="s">
        <v>489</v>
      </c>
      <c r="B13" s="334">
        <f>(B3*1000)*365</f>
        <v>49136300</v>
      </c>
      <c r="C13" s="334">
        <f t="shared" ref="C13:O13" si="2">(C3*1000)*365</f>
        <v>340362.5</v>
      </c>
      <c r="D13" s="334">
        <f t="shared" si="2"/>
        <v>2017004600</v>
      </c>
      <c r="E13" s="334">
        <f t="shared" si="2"/>
        <v>6124700</v>
      </c>
      <c r="F13" s="334">
        <f t="shared" si="2"/>
        <v>740949.99999999988</v>
      </c>
      <c r="G13" s="334">
        <f t="shared" si="2"/>
        <v>85775</v>
      </c>
      <c r="H13" s="334">
        <f t="shared" si="2"/>
        <v>4161000</v>
      </c>
      <c r="I13" s="334">
        <f t="shared" si="2"/>
        <v>109500</v>
      </c>
      <c r="J13" s="334">
        <f t="shared" si="2"/>
        <v>81924250</v>
      </c>
      <c r="K13" s="334">
        <f t="shared" si="2"/>
        <v>84680</v>
      </c>
      <c r="L13" s="334">
        <f t="shared" si="2"/>
        <v>150015000</v>
      </c>
      <c r="M13" s="334">
        <f t="shared" si="2"/>
        <v>0</v>
      </c>
      <c r="N13" s="334">
        <f t="shared" si="2"/>
        <v>4550090</v>
      </c>
      <c r="O13" s="334">
        <f t="shared" si="2"/>
        <v>65700</v>
      </c>
      <c r="P13" s="337">
        <f>SUM(B13:O13)</f>
        <v>2314342907.5</v>
      </c>
    </row>
    <row r="14" spans="1:16" x14ac:dyDescent="0.3">
      <c r="A14" t="s">
        <v>490</v>
      </c>
      <c r="B14" s="334">
        <f t="shared" ref="B14:O14" si="3">(B4*1000)*365</f>
        <v>38266600</v>
      </c>
      <c r="C14" s="334">
        <f t="shared" si="3"/>
        <v>84680</v>
      </c>
      <c r="D14" s="334">
        <f t="shared" si="3"/>
        <v>2625080</v>
      </c>
      <c r="E14" s="334">
        <f t="shared" si="3"/>
        <v>2380165</v>
      </c>
      <c r="F14" s="334">
        <f t="shared" si="3"/>
        <v>37230</v>
      </c>
      <c r="G14" s="334">
        <f t="shared" si="3"/>
        <v>31025</v>
      </c>
      <c r="H14" s="334">
        <f t="shared" si="3"/>
        <v>6404290</v>
      </c>
      <c r="I14" s="334">
        <f t="shared" si="3"/>
        <v>111690</v>
      </c>
      <c r="J14" s="334">
        <f t="shared" si="3"/>
        <v>8989950</v>
      </c>
      <c r="K14" s="334">
        <f t="shared" si="3"/>
        <v>116800</v>
      </c>
      <c r="L14" s="334">
        <f t="shared" si="3"/>
        <v>1035375060</v>
      </c>
      <c r="M14" s="334">
        <f t="shared" si="3"/>
        <v>0</v>
      </c>
      <c r="N14" s="334">
        <f t="shared" si="3"/>
        <v>695690</v>
      </c>
      <c r="O14" s="334">
        <f t="shared" si="3"/>
        <v>32850</v>
      </c>
      <c r="P14" s="337">
        <f t="shared" ref="P14:P18" si="4">SUM(B14:O14)</f>
        <v>1095151110</v>
      </c>
    </row>
    <row r="15" spans="1:16" x14ac:dyDescent="0.3">
      <c r="A15" t="s">
        <v>491</v>
      </c>
      <c r="B15" s="334">
        <f t="shared" ref="B15:O15" si="5">(B5*1000)*365</f>
        <v>5038460</v>
      </c>
      <c r="C15" s="334">
        <f t="shared" si="5"/>
        <v>23765515.000000004</v>
      </c>
      <c r="D15" s="334">
        <f t="shared" si="5"/>
        <v>6759070</v>
      </c>
      <c r="E15" s="334">
        <f t="shared" si="5"/>
        <v>9659360</v>
      </c>
      <c r="F15" s="334">
        <f t="shared" si="5"/>
        <v>1365465</v>
      </c>
      <c r="G15" s="334">
        <f t="shared" si="5"/>
        <v>904835</v>
      </c>
      <c r="H15" s="334">
        <f t="shared" si="5"/>
        <v>36555480</v>
      </c>
      <c r="I15" s="334">
        <f t="shared" si="5"/>
        <v>97918185</v>
      </c>
      <c r="J15" s="334">
        <f t="shared" si="5"/>
        <v>4443510</v>
      </c>
      <c r="K15" s="334">
        <f t="shared" si="5"/>
        <v>1216910</v>
      </c>
      <c r="L15" s="334">
        <f t="shared" si="5"/>
        <v>605355785</v>
      </c>
      <c r="M15" s="334">
        <f t="shared" si="5"/>
        <v>554800</v>
      </c>
      <c r="N15" s="334">
        <f t="shared" si="5"/>
        <v>4766900</v>
      </c>
      <c r="O15" s="334">
        <f t="shared" si="5"/>
        <v>6702860</v>
      </c>
      <c r="P15" s="337">
        <f t="shared" si="4"/>
        <v>805007135</v>
      </c>
    </row>
    <row r="16" spans="1:16" x14ac:dyDescent="0.3">
      <c r="A16" t="s">
        <v>492</v>
      </c>
      <c r="B16" s="334">
        <f t="shared" ref="B16:O16" si="6">(B6*1000)*365</f>
        <v>32407620</v>
      </c>
      <c r="C16" s="334">
        <f t="shared" si="6"/>
        <v>22032860</v>
      </c>
      <c r="D16" s="334">
        <f t="shared" si="6"/>
        <v>4431465</v>
      </c>
      <c r="E16" s="334">
        <f t="shared" si="6"/>
        <v>40713195</v>
      </c>
      <c r="F16" s="334">
        <f t="shared" si="6"/>
        <v>60225</v>
      </c>
      <c r="G16" s="334">
        <f t="shared" si="6"/>
        <v>1028935</v>
      </c>
      <c r="H16" s="334">
        <f t="shared" si="6"/>
        <v>109310930</v>
      </c>
      <c r="I16" s="334">
        <f t="shared" si="6"/>
        <v>12404160</v>
      </c>
      <c r="J16" s="334">
        <f t="shared" si="6"/>
        <v>14129150</v>
      </c>
      <c r="K16" s="334">
        <f t="shared" si="6"/>
        <v>12377150</v>
      </c>
      <c r="L16" s="334">
        <f t="shared" si="6"/>
        <v>25550</v>
      </c>
      <c r="M16" s="334">
        <f t="shared" si="6"/>
        <v>540200</v>
      </c>
      <c r="N16" s="334">
        <f t="shared" si="6"/>
        <v>386900</v>
      </c>
      <c r="O16" s="334">
        <f t="shared" si="6"/>
        <v>676710</v>
      </c>
      <c r="P16" s="337">
        <f t="shared" si="4"/>
        <v>250525050</v>
      </c>
    </row>
    <row r="17" spans="1:16" x14ac:dyDescent="0.3">
      <c r="A17" t="s">
        <v>46</v>
      </c>
      <c r="B17" s="334">
        <f t="shared" ref="B17:O17" si="7">(B7*1000)*365</f>
        <v>149168200</v>
      </c>
      <c r="C17" s="334">
        <f t="shared" si="7"/>
        <v>39055000</v>
      </c>
      <c r="D17" s="334">
        <f t="shared" si="7"/>
        <v>179194195</v>
      </c>
      <c r="E17" s="334">
        <f t="shared" si="7"/>
        <v>39487160</v>
      </c>
      <c r="F17" s="334">
        <f t="shared" si="7"/>
        <v>1397585</v>
      </c>
      <c r="G17" s="334">
        <f t="shared" si="7"/>
        <v>664300</v>
      </c>
      <c r="H17" s="334">
        <f t="shared" si="7"/>
        <v>347534020</v>
      </c>
      <c r="I17" s="334">
        <f t="shared" si="7"/>
        <v>803000</v>
      </c>
      <c r="J17" s="334">
        <f t="shared" si="7"/>
        <v>4453000</v>
      </c>
      <c r="K17" s="334">
        <f t="shared" si="7"/>
        <v>58400</v>
      </c>
      <c r="L17" s="334">
        <f t="shared" si="7"/>
        <v>294321400</v>
      </c>
      <c r="M17" s="334">
        <f t="shared" si="7"/>
        <v>0</v>
      </c>
      <c r="N17" s="334">
        <f t="shared" si="7"/>
        <v>21954750</v>
      </c>
      <c r="O17" s="334">
        <f t="shared" si="7"/>
        <v>401500</v>
      </c>
      <c r="P17" s="337">
        <f t="shared" si="4"/>
        <v>1078492510</v>
      </c>
    </row>
    <row r="18" spans="1:16" x14ac:dyDescent="0.3">
      <c r="A18" t="s">
        <v>493</v>
      </c>
      <c r="B18" s="334">
        <f t="shared" ref="B18:O18" si="8">(B8*1000)*365</f>
        <v>11400045</v>
      </c>
      <c r="C18" s="334">
        <f t="shared" si="8"/>
        <v>817965</v>
      </c>
      <c r="D18" s="334">
        <f t="shared" si="8"/>
        <v>22592770</v>
      </c>
      <c r="E18" s="334">
        <f t="shared" si="8"/>
        <v>3839800</v>
      </c>
      <c r="F18" s="334">
        <f t="shared" si="8"/>
        <v>3036800</v>
      </c>
      <c r="G18" s="334">
        <f t="shared" si="8"/>
        <v>503700</v>
      </c>
      <c r="H18" s="334">
        <f t="shared" si="8"/>
        <v>42675800</v>
      </c>
      <c r="I18" s="334">
        <f t="shared" si="8"/>
        <v>83472945</v>
      </c>
      <c r="J18" s="334">
        <f t="shared" si="8"/>
        <v>389820</v>
      </c>
      <c r="K18" s="334">
        <f t="shared" si="8"/>
        <v>65700</v>
      </c>
      <c r="L18" s="334">
        <f t="shared" si="8"/>
        <v>25550</v>
      </c>
      <c r="M18" s="334">
        <f t="shared" si="8"/>
        <v>1606000</v>
      </c>
      <c r="N18" s="334">
        <f t="shared" si="8"/>
        <v>2085975</v>
      </c>
      <c r="O18" s="334">
        <f t="shared" si="8"/>
        <v>0</v>
      </c>
      <c r="P18" s="337">
        <f t="shared" si="4"/>
        <v>172512870</v>
      </c>
    </row>
    <row r="19" spans="1:16" x14ac:dyDescent="0.3">
      <c r="A19" s="335" t="s">
        <v>1</v>
      </c>
      <c r="B19" s="336">
        <f>SUM(B13:B18)</f>
        <v>285417225</v>
      </c>
      <c r="C19" s="336">
        <f t="shared" ref="C19:P19" si="9">SUM(C13:C18)</f>
        <v>86096382.5</v>
      </c>
      <c r="D19" s="336">
        <f t="shared" si="9"/>
        <v>2232607180</v>
      </c>
      <c r="E19" s="336">
        <f t="shared" si="9"/>
        <v>102204380</v>
      </c>
      <c r="F19" s="336">
        <f t="shared" si="9"/>
        <v>6638255</v>
      </c>
      <c r="G19" s="336">
        <f t="shared" si="9"/>
        <v>3218570</v>
      </c>
      <c r="H19" s="336">
        <f t="shared" si="9"/>
        <v>546641520</v>
      </c>
      <c r="I19" s="336">
        <f t="shared" si="9"/>
        <v>194819480</v>
      </c>
      <c r="J19" s="336">
        <f t="shared" si="9"/>
        <v>114329680</v>
      </c>
      <c r="K19" s="336">
        <f t="shared" si="9"/>
        <v>13919640</v>
      </c>
      <c r="L19" s="336">
        <f t="shared" si="9"/>
        <v>2085118345</v>
      </c>
      <c r="M19" s="336">
        <f t="shared" si="9"/>
        <v>2701000</v>
      </c>
      <c r="N19" s="336">
        <f t="shared" si="9"/>
        <v>34440305</v>
      </c>
      <c r="O19" s="336">
        <f t="shared" si="9"/>
        <v>7879620</v>
      </c>
      <c r="P19" s="338">
        <f t="shared" si="9"/>
        <v>5716031582.5</v>
      </c>
    </row>
    <row r="20" spans="1:16" x14ac:dyDescent="0.3">
      <c r="A20" s="340"/>
      <c r="B20" s="341"/>
      <c r="C20" s="341"/>
      <c r="D20" s="341"/>
      <c r="E20" s="341"/>
      <c r="F20" s="341"/>
      <c r="G20" s="341"/>
      <c r="H20" s="341"/>
      <c r="I20" s="341"/>
      <c r="J20" s="341"/>
      <c r="K20" s="341"/>
      <c r="L20" s="341"/>
      <c r="M20" s="341"/>
      <c r="N20" s="341"/>
      <c r="O20" s="341"/>
      <c r="P20" s="341"/>
    </row>
    <row r="21" spans="1:16" x14ac:dyDescent="0.3">
      <c r="A21" s="340"/>
      <c r="B21" s="341"/>
      <c r="C21" s="341"/>
      <c r="D21" s="341"/>
      <c r="E21" s="341"/>
      <c r="F21" s="341"/>
      <c r="G21" s="341"/>
      <c r="H21" s="341"/>
      <c r="I21" s="341"/>
      <c r="J21" s="341"/>
      <c r="K21" s="341"/>
      <c r="L21" s="341"/>
      <c r="M21" s="341"/>
      <c r="N21" s="341"/>
      <c r="O21" s="341"/>
      <c r="P21" s="341"/>
    </row>
    <row r="22" spans="1:16" x14ac:dyDescent="0.3">
      <c r="C22" s="341"/>
      <c r="D22" s="341"/>
      <c r="E22" s="341"/>
      <c r="F22" s="341"/>
      <c r="G22" s="341"/>
      <c r="H22" s="341"/>
      <c r="I22" s="341"/>
      <c r="J22" s="341"/>
      <c r="K22" s="341"/>
      <c r="L22" s="341"/>
      <c r="M22" s="341"/>
      <c r="N22" s="341"/>
      <c r="O22" s="341"/>
      <c r="P22" s="341"/>
    </row>
    <row r="23" spans="1:16" x14ac:dyDescent="0.3">
      <c r="A23" s="403" t="s">
        <v>528</v>
      </c>
      <c r="B23" s="403"/>
      <c r="C23" s="403"/>
      <c r="D23" s="403"/>
      <c r="E23" s="403"/>
      <c r="F23" s="403"/>
      <c r="G23" s="341"/>
      <c r="H23" s="341"/>
      <c r="I23" s="341"/>
      <c r="J23" s="341"/>
      <c r="K23" s="341"/>
      <c r="L23" s="341"/>
      <c r="M23" s="341"/>
      <c r="N23" s="341"/>
      <c r="O23" s="341"/>
      <c r="P23" s="341"/>
    </row>
    <row r="24" spans="1:16" x14ac:dyDescent="0.3">
      <c r="A24" s="404" t="s">
        <v>529</v>
      </c>
      <c r="B24" s="406" t="s">
        <v>4</v>
      </c>
      <c r="C24" s="406" t="s">
        <v>498</v>
      </c>
      <c r="D24" s="406" t="s">
        <v>525</v>
      </c>
      <c r="G24" s="341"/>
      <c r="H24" s="341"/>
      <c r="I24" s="341"/>
      <c r="J24" s="341"/>
      <c r="K24" s="341"/>
      <c r="L24" s="341"/>
      <c r="M24" s="341"/>
      <c r="N24" s="341"/>
      <c r="O24" s="341"/>
      <c r="P24" s="341"/>
    </row>
    <row r="25" spans="1:16" x14ac:dyDescent="0.3">
      <c r="A25" s="343" t="s">
        <v>495</v>
      </c>
      <c r="B25" s="410">
        <f>J19</f>
        <v>114329680</v>
      </c>
      <c r="C25" s="411">
        <f>B25/$B$29</f>
        <v>4.2871576612248684E-2</v>
      </c>
      <c r="D25" s="412">
        <f>($B$29-$B$31)*C25</f>
        <v>94886040.111770287</v>
      </c>
      <c r="E25" s="20"/>
      <c r="F25" s="9"/>
      <c r="G25" s="341"/>
      <c r="H25" s="341"/>
      <c r="I25" s="341"/>
      <c r="J25" s="341"/>
      <c r="K25" s="341"/>
      <c r="L25" s="341"/>
      <c r="M25" s="341"/>
      <c r="N25" s="341"/>
      <c r="O25" s="341"/>
      <c r="P25" s="341"/>
    </row>
    <row r="26" spans="1:16" x14ac:dyDescent="0.3">
      <c r="A26" s="343" t="s">
        <v>75</v>
      </c>
      <c r="B26" s="410">
        <f>B19</f>
        <v>285417225</v>
      </c>
      <c r="C26" s="411">
        <f t="shared" ref="C26:C28" si="10">B26/$B$29</f>
        <v>0.10702633321498775</v>
      </c>
      <c r="D26" s="412">
        <f t="shared" ref="D26:D28" si="11">($B$29-$B$31)*C26</f>
        <v>236877338.06252378</v>
      </c>
      <c r="E26" s="20"/>
      <c r="F26" s="9"/>
      <c r="G26" s="341"/>
      <c r="H26" s="341"/>
      <c r="I26" s="341"/>
      <c r="J26" s="341"/>
      <c r="K26" s="341"/>
      <c r="L26" s="341"/>
      <c r="M26" s="341"/>
      <c r="N26" s="341"/>
      <c r="O26" s="341"/>
      <c r="P26" s="341"/>
    </row>
    <row r="27" spans="1:16" x14ac:dyDescent="0.3">
      <c r="A27" s="343" t="s">
        <v>59</v>
      </c>
      <c r="B27" s="410">
        <f>D19</f>
        <v>2232607180</v>
      </c>
      <c r="C27" s="411">
        <f t="shared" si="10"/>
        <v>0.83718759435368395</v>
      </c>
      <c r="D27" s="412">
        <f t="shared" si="11"/>
        <v>1852915659.6546614</v>
      </c>
      <c r="E27" s="20"/>
      <c r="F27" s="9"/>
      <c r="G27" s="341"/>
      <c r="H27" s="341"/>
      <c r="I27" s="341"/>
      <c r="J27" s="341"/>
      <c r="K27" s="341"/>
      <c r="L27" s="341"/>
      <c r="M27" s="341"/>
      <c r="N27" s="341"/>
      <c r="O27" s="341"/>
      <c r="P27" s="341"/>
    </row>
    <row r="28" spans="1:16" x14ac:dyDescent="0.3">
      <c r="A28" s="343" t="s">
        <v>496</v>
      </c>
      <c r="B28" s="410">
        <f>N19</f>
        <v>34440305</v>
      </c>
      <c r="C28" s="411">
        <f t="shared" si="10"/>
        <v>1.2914495819079625E-2</v>
      </c>
      <c r="D28" s="412">
        <f t="shared" si="11"/>
        <v>28583165.471044812</v>
      </c>
      <c r="E28" s="20"/>
      <c r="F28" s="9"/>
      <c r="G28" s="341"/>
      <c r="H28" s="341"/>
      <c r="I28" s="341"/>
      <c r="J28" s="341"/>
      <c r="K28" s="341"/>
      <c r="L28" s="341"/>
      <c r="M28" s="341"/>
      <c r="N28" s="341"/>
      <c r="O28" s="341"/>
      <c r="P28" s="341"/>
    </row>
    <row r="29" spans="1:16" x14ac:dyDescent="0.3">
      <c r="A29" s="404" t="s">
        <v>1</v>
      </c>
      <c r="B29" s="407">
        <f>SUM(B25:B28)</f>
        <v>2666794390</v>
      </c>
      <c r="C29" s="408"/>
      <c r="D29" s="409"/>
      <c r="E29" s="20"/>
      <c r="F29" s="9"/>
      <c r="G29" s="341"/>
      <c r="H29" s="341"/>
      <c r="I29" s="341"/>
      <c r="J29" s="341"/>
      <c r="K29" s="341"/>
      <c r="L29" s="341"/>
      <c r="M29" s="341"/>
      <c r="N29" s="341"/>
      <c r="O29" s="341"/>
      <c r="P29" s="341"/>
    </row>
    <row r="30" spans="1:16" x14ac:dyDescent="0.3">
      <c r="G30" s="341"/>
      <c r="H30" s="341"/>
      <c r="I30" s="341"/>
      <c r="J30" s="341"/>
      <c r="K30" s="341"/>
      <c r="L30" s="341"/>
      <c r="M30" s="341"/>
      <c r="N30" s="341"/>
      <c r="O30" s="341"/>
      <c r="P30" s="341"/>
    </row>
    <row r="31" spans="1:16" x14ac:dyDescent="0.3">
      <c r="A31" t="s">
        <v>497</v>
      </c>
      <c r="B31" s="6">
        <f>SUM('Ph IO Table 2023'!H4)</f>
        <v>453532186.69999993</v>
      </c>
      <c r="G31" s="341"/>
      <c r="H31" s="341"/>
      <c r="I31" s="341"/>
      <c r="J31" s="341"/>
      <c r="K31" s="341"/>
      <c r="L31" s="341"/>
      <c r="M31" s="341"/>
      <c r="N31" s="341"/>
      <c r="O31" s="341"/>
      <c r="P31" s="341"/>
    </row>
    <row r="32" spans="1:16" x14ac:dyDescent="0.3">
      <c r="A32" s="342" t="s">
        <v>1</v>
      </c>
      <c r="B32" s="341">
        <f>SUM(B19:E19,J19:K19,N19:O19)</f>
        <v>2876894412.5</v>
      </c>
      <c r="C32" s="341"/>
      <c r="D32" s="341"/>
      <c r="E32" s="341"/>
      <c r="F32" s="341"/>
      <c r="G32" s="341"/>
      <c r="H32" s="341"/>
      <c r="I32" s="341"/>
      <c r="J32" s="341"/>
      <c r="K32" s="341"/>
      <c r="L32" s="341"/>
      <c r="M32" s="341"/>
      <c r="N32" s="341"/>
      <c r="O32" s="341"/>
      <c r="P32" s="341"/>
    </row>
    <row r="33" spans="1:16" x14ac:dyDescent="0.3">
      <c r="A33" s="340"/>
      <c r="B33" s="341"/>
      <c r="C33" s="341"/>
      <c r="D33" s="341"/>
      <c r="E33" s="341"/>
      <c r="F33" s="341"/>
      <c r="G33" s="341"/>
      <c r="H33" s="341"/>
      <c r="I33" s="341"/>
      <c r="J33" s="341"/>
      <c r="K33" s="341"/>
      <c r="L33" s="341"/>
      <c r="M33" s="341"/>
      <c r="N33" s="341"/>
      <c r="O33" s="341"/>
      <c r="P33" s="341"/>
    </row>
    <row r="35" spans="1:16" x14ac:dyDescent="0.3">
      <c r="A35" t="s">
        <v>494</v>
      </c>
    </row>
    <row r="36" spans="1:16" x14ac:dyDescent="0.3">
      <c r="A36" s="11" t="s">
        <v>474</v>
      </c>
      <c r="B36" s="11" t="s">
        <v>475</v>
      </c>
      <c r="C36" s="11" t="s">
        <v>476</v>
      </c>
      <c r="D36" s="11" t="s">
        <v>477</v>
      </c>
      <c r="E36" s="11" t="s">
        <v>478</v>
      </c>
      <c r="F36" s="11" t="s">
        <v>479</v>
      </c>
      <c r="G36" s="11" t="s">
        <v>480</v>
      </c>
      <c r="H36" s="11" t="s">
        <v>481</v>
      </c>
      <c r="I36" s="11" t="s">
        <v>482</v>
      </c>
      <c r="J36" s="11" t="s">
        <v>483</v>
      </c>
      <c r="K36" s="11" t="s">
        <v>484</v>
      </c>
      <c r="L36" s="11" t="s">
        <v>485</v>
      </c>
      <c r="M36" s="11" t="s">
        <v>486</v>
      </c>
      <c r="N36" s="11" t="s">
        <v>487</v>
      </c>
      <c r="O36" s="331" t="s">
        <v>488</v>
      </c>
      <c r="P36" s="11" t="s">
        <v>1</v>
      </c>
    </row>
    <row r="37" spans="1:16" x14ac:dyDescent="0.3">
      <c r="A37" t="s">
        <v>489</v>
      </c>
      <c r="B37" s="339">
        <v>88.15</v>
      </c>
      <c r="C37" s="339">
        <v>0.92</v>
      </c>
      <c r="D37" s="339">
        <v>10.039999999999999</v>
      </c>
      <c r="E37" s="339">
        <v>16.29</v>
      </c>
      <c r="F37" s="339">
        <v>2.0299999999999998</v>
      </c>
      <c r="G37" s="339">
        <v>0.23</v>
      </c>
      <c r="H37" s="339">
        <v>11.1</v>
      </c>
      <c r="I37" s="339">
        <v>0.28999999999999998</v>
      </c>
      <c r="J37" s="339">
        <v>123.3</v>
      </c>
      <c r="K37" s="339">
        <v>0.23</v>
      </c>
      <c r="L37" s="339">
        <v>411.5</v>
      </c>
      <c r="M37" s="339">
        <v>0</v>
      </c>
      <c r="N37" s="339">
        <v>12.4</v>
      </c>
      <c r="O37" s="339">
        <v>0.18</v>
      </c>
      <c r="P37" s="400">
        <f>SUM(B37:O37)</f>
        <v>676.66</v>
      </c>
    </row>
    <row r="38" spans="1:16" x14ac:dyDescent="0.3">
      <c r="A38" t="s">
        <v>490</v>
      </c>
      <c r="B38" s="339">
        <v>104.75</v>
      </c>
      <c r="C38" s="339">
        <v>0.23</v>
      </c>
      <c r="D38" s="339">
        <v>6.64</v>
      </c>
      <c r="E38" s="339">
        <v>6.04</v>
      </c>
      <c r="F38" s="339">
        <v>1.2E-2</v>
      </c>
      <c r="G38" s="339">
        <v>0.08</v>
      </c>
      <c r="H38" s="339">
        <v>17.14</v>
      </c>
      <c r="I38" s="339">
        <v>0.12</v>
      </c>
      <c r="J38" s="339">
        <v>24.12</v>
      </c>
      <c r="K38" s="339">
        <v>0.31</v>
      </c>
      <c r="L38" s="339">
        <v>2646.5</v>
      </c>
      <c r="M38" s="339">
        <v>0.01</v>
      </c>
      <c r="N38" s="339">
        <v>1.9</v>
      </c>
      <c r="O38" s="339">
        <v>0.09</v>
      </c>
      <c r="P38" s="400">
        <f t="shared" ref="P38:P42" si="12">SUM(B38:O38)</f>
        <v>2807.9420000000005</v>
      </c>
    </row>
    <row r="39" spans="1:16" x14ac:dyDescent="0.3">
      <c r="A39" t="s">
        <v>491</v>
      </c>
      <c r="B39" s="339">
        <v>8.61</v>
      </c>
      <c r="C39" s="339">
        <v>64.5</v>
      </c>
      <c r="D39" s="339">
        <v>5.75</v>
      </c>
      <c r="E39" s="339">
        <v>22.8</v>
      </c>
      <c r="F39" s="339">
        <v>3.6</v>
      </c>
      <c r="G39" s="339">
        <v>1.9</v>
      </c>
      <c r="H39" s="339">
        <v>55.04</v>
      </c>
      <c r="I39" s="339">
        <v>202.24</v>
      </c>
      <c r="J39" s="339">
        <v>3.24</v>
      </c>
      <c r="K39" s="339">
        <v>0.47</v>
      </c>
      <c r="L39" s="339">
        <v>1657.9</v>
      </c>
      <c r="M39" s="339">
        <v>0.32</v>
      </c>
      <c r="N39" s="339">
        <v>6.18</v>
      </c>
      <c r="O39" s="339">
        <v>8</v>
      </c>
      <c r="P39" s="400">
        <f t="shared" si="12"/>
        <v>2040.5500000000002</v>
      </c>
    </row>
    <row r="40" spans="1:16" x14ac:dyDescent="0.3">
      <c r="A40" t="s">
        <v>492</v>
      </c>
      <c r="B40" s="339">
        <v>84.2</v>
      </c>
      <c r="C40" s="339">
        <v>60</v>
      </c>
      <c r="D40" s="339">
        <v>12</v>
      </c>
      <c r="E40" s="339">
        <v>102.33</v>
      </c>
      <c r="F40" s="339">
        <v>0.16</v>
      </c>
      <c r="G40" s="339">
        <v>2.44</v>
      </c>
      <c r="H40" s="339">
        <v>288.14</v>
      </c>
      <c r="I40" s="339">
        <v>31.16</v>
      </c>
      <c r="J40" s="339">
        <v>38.33</v>
      </c>
      <c r="K40" s="339">
        <v>31.4</v>
      </c>
      <c r="L40" s="339">
        <v>7.0000000000000007E-2</v>
      </c>
      <c r="M40" s="339">
        <v>1.48</v>
      </c>
      <c r="N40" s="339">
        <v>1.06</v>
      </c>
      <c r="O40" s="339">
        <v>1.75</v>
      </c>
      <c r="P40" s="400">
        <f t="shared" si="12"/>
        <v>654.52</v>
      </c>
    </row>
    <row r="41" spans="1:16" x14ac:dyDescent="0.3">
      <c r="A41" t="s">
        <v>46</v>
      </c>
      <c r="B41" s="339">
        <v>407.8</v>
      </c>
      <c r="C41" s="339">
        <v>10.7</v>
      </c>
      <c r="D41" s="339">
        <v>488.2</v>
      </c>
      <c r="E41" s="339">
        <v>10.7</v>
      </c>
      <c r="F41" s="339">
        <v>3.7</v>
      </c>
      <c r="G41" s="339">
        <v>1.8</v>
      </c>
      <c r="H41" s="339">
        <v>934.9</v>
      </c>
      <c r="I41" s="339">
        <v>1.9</v>
      </c>
      <c r="J41" s="339">
        <v>12.1</v>
      </c>
      <c r="K41" s="339">
        <v>0.14000000000000001</v>
      </c>
      <c r="L41" s="339">
        <v>806.28</v>
      </c>
      <c r="M41" s="339">
        <v>0</v>
      </c>
      <c r="N41" s="339">
        <v>60.1</v>
      </c>
      <c r="O41" s="339">
        <v>1.1000000000000001</v>
      </c>
      <c r="P41" s="400">
        <f t="shared" si="12"/>
        <v>2739.42</v>
      </c>
    </row>
    <row r="42" spans="1:16" x14ac:dyDescent="0.3">
      <c r="A42" t="s">
        <v>493</v>
      </c>
      <c r="B42" s="339">
        <v>30.6</v>
      </c>
      <c r="C42" s="339">
        <v>2.23</v>
      </c>
      <c r="D42" s="339">
        <v>45.3</v>
      </c>
      <c r="E42" s="339">
        <v>8.6999999999999993</v>
      </c>
      <c r="F42" s="339">
        <v>6.5</v>
      </c>
      <c r="G42" s="339">
        <v>0.99</v>
      </c>
      <c r="H42" s="339">
        <v>101.9</v>
      </c>
      <c r="I42" s="339">
        <v>22</v>
      </c>
      <c r="J42" s="339">
        <v>4.4000000000000004</v>
      </c>
      <c r="K42" s="339">
        <v>0.71</v>
      </c>
      <c r="L42" s="339">
        <v>7.0000000000000007E-2</v>
      </c>
      <c r="M42" s="339">
        <v>4.4000000000000004</v>
      </c>
      <c r="N42" s="339">
        <v>0.16500000000000001</v>
      </c>
      <c r="O42" s="339">
        <v>0</v>
      </c>
      <c r="P42" s="400">
        <f t="shared" si="12"/>
        <v>227.965</v>
      </c>
    </row>
    <row r="43" spans="1:16" x14ac:dyDescent="0.3">
      <c r="A43" s="404" t="s">
        <v>1</v>
      </c>
      <c r="B43" s="401">
        <f>SUM(B37:B42)</f>
        <v>724.11</v>
      </c>
      <c r="C43" s="401">
        <f t="shared" ref="C43:P43" si="13">SUM(C37:C42)</f>
        <v>138.57999999999998</v>
      </c>
      <c r="D43" s="401">
        <f t="shared" si="13"/>
        <v>567.92999999999995</v>
      </c>
      <c r="E43" s="401">
        <f t="shared" si="13"/>
        <v>166.85999999999996</v>
      </c>
      <c r="F43" s="401">
        <f t="shared" si="13"/>
        <v>16.001999999999999</v>
      </c>
      <c r="G43" s="401">
        <f t="shared" si="13"/>
        <v>7.44</v>
      </c>
      <c r="H43" s="401">
        <f t="shared" si="13"/>
        <v>1408.22</v>
      </c>
      <c r="I43" s="401">
        <f t="shared" si="13"/>
        <v>257.71000000000004</v>
      </c>
      <c r="J43" s="401">
        <f t="shared" si="13"/>
        <v>205.49</v>
      </c>
      <c r="K43" s="401">
        <f t="shared" si="13"/>
        <v>33.26</v>
      </c>
      <c r="L43" s="401">
        <f t="shared" si="13"/>
        <v>5522.3199999999988</v>
      </c>
      <c r="M43" s="401">
        <f t="shared" si="13"/>
        <v>6.2100000000000009</v>
      </c>
      <c r="N43" s="401">
        <f t="shared" si="13"/>
        <v>81.805000000000007</v>
      </c>
      <c r="O43" s="401">
        <f t="shared" si="13"/>
        <v>11.12</v>
      </c>
      <c r="P43" s="413">
        <f t="shared" si="13"/>
        <v>9147.0570000000007</v>
      </c>
    </row>
    <row r="45" spans="1:16" x14ac:dyDescent="0.3">
      <c r="A45" t="s">
        <v>524</v>
      </c>
    </row>
    <row r="46" spans="1:16" x14ac:dyDescent="0.3">
      <c r="A46" s="11" t="s">
        <v>474</v>
      </c>
      <c r="B46" s="11" t="s">
        <v>475</v>
      </c>
      <c r="C46" s="11" t="s">
        <v>476</v>
      </c>
      <c r="D46" s="11" t="s">
        <v>477</v>
      </c>
      <c r="E46" s="11" t="s">
        <v>478</v>
      </c>
      <c r="F46" s="11" t="s">
        <v>479</v>
      </c>
      <c r="G46" s="11" t="s">
        <v>480</v>
      </c>
      <c r="H46" s="11" t="s">
        <v>481</v>
      </c>
      <c r="I46" s="11" t="s">
        <v>482</v>
      </c>
      <c r="J46" s="11" t="s">
        <v>483</v>
      </c>
      <c r="K46" s="11" t="s">
        <v>484</v>
      </c>
      <c r="L46" s="11" t="s">
        <v>485</v>
      </c>
      <c r="M46" s="11" t="s">
        <v>486</v>
      </c>
      <c r="N46" s="11" t="s">
        <v>487</v>
      </c>
      <c r="O46" s="331" t="s">
        <v>488</v>
      </c>
      <c r="P46" s="11" t="s">
        <v>1</v>
      </c>
    </row>
    <row r="47" spans="1:16" x14ac:dyDescent="0.3">
      <c r="A47" t="s">
        <v>489</v>
      </c>
      <c r="B47" s="6">
        <f>(B37*1000)*365</f>
        <v>32174750</v>
      </c>
      <c r="C47" s="6">
        <f t="shared" ref="C47:O47" si="14">(C37*1000)*365</f>
        <v>335800</v>
      </c>
      <c r="D47" s="6">
        <f t="shared" si="14"/>
        <v>3664600</v>
      </c>
      <c r="E47" s="6">
        <f t="shared" si="14"/>
        <v>5945850</v>
      </c>
      <c r="F47" s="6">
        <f t="shared" si="14"/>
        <v>740949.99999999988</v>
      </c>
      <c r="G47" s="6">
        <f t="shared" si="14"/>
        <v>83950</v>
      </c>
      <c r="H47" s="6">
        <f t="shared" si="14"/>
        <v>4051500</v>
      </c>
      <c r="I47" s="6">
        <f t="shared" si="14"/>
        <v>105850</v>
      </c>
      <c r="J47" s="6">
        <f t="shared" si="14"/>
        <v>45004500</v>
      </c>
      <c r="K47" s="6">
        <f t="shared" si="14"/>
        <v>83950</v>
      </c>
      <c r="L47" s="6">
        <f t="shared" si="14"/>
        <v>150197500</v>
      </c>
      <c r="M47" s="6">
        <f t="shared" si="14"/>
        <v>0</v>
      </c>
      <c r="N47" s="6">
        <f t="shared" si="14"/>
        <v>4526000</v>
      </c>
      <c r="O47" s="6">
        <f t="shared" si="14"/>
        <v>65700</v>
      </c>
      <c r="P47" s="332">
        <f>SUM(B47:O47)</f>
        <v>246980900</v>
      </c>
    </row>
    <row r="48" spans="1:16" x14ac:dyDescent="0.3">
      <c r="A48" t="s">
        <v>490</v>
      </c>
      <c r="B48" s="6">
        <f t="shared" ref="B48:O52" si="15">(B38*1000)*365</f>
        <v>38233750</v>
      </c>
      <c r="C48" s="6">
        <f t="shared" si="15"/>
        <v>83950</v>
      </c>
      <c r="D48" s="6">
        <f t="shared" si="15"/>
        <v>2423600</v>
      </c>
      <c r="E48" s="6">
        <f t="shared" si="15"/>
        <v>2204600</v>
      </c>
      <c r="F48" s="6">
        <f t="shared" si="15"/>
        <v>4380</v>
      </c>
      <c r="G48" s="6">
        <f t="shared" si="15"/>
        <v>29200</v>
      </c>
      <c r="H48" s="6">
        <f t="shared" si="15"/>
        <v>6256100</v>
      </c>
      <c r="I48" s="6">
        <f t="shared" si="15"/>
        <v>43800</v>
      </c>
      <c r="J48" s="6">
        <f t="shared" si="15"/>
        <v>8803800</v>
      </c>
      <c r="K48" s="6">
        <f t="shared" si="15"/>
        <v>113150</v>
      </c>
      <c r="L48" s="6">
        <f t="shared" si="15"/>
        <v>965972500</v>
      </c>
      <c r="M48" s="6">
        <f t="shared" si="15"/>
        <v>3650</v>
      </c>
      <c r="N48" s="6">
        <f t="shared" si="15"/>
        <v>693500</v>
      </c>
      <c r="O48" s="6">
        <f t="shared" si="15"/>
        <v>32850</v>
      </c>
      <c r="P48" s="332">
        <f t="shared" ref="P48:P52" si="16">SUM(B48:O48)</f>
        <v>1024898830</v>
      </c>
    </row>
    <row r="49" spans="1:16" x14ac:dyDescent="0.3">
      <c r="A49" t="s">
        <v>491</v>
      </c>
      <c r="B49" s="6">
        <f t="shared" si="15"/>
        <v>3142650</v>
      </c>
      <c r="C49" s="6">
        <f t="shared" si="15"/>
        <v>23542500</v>
      </c>
      <c r="D49" s="6">
        <f t="shared" si="15"/>
        <v>2098750</v>
      </c>
      <c r="E49" s="6">
        <f t="shared" si="15"/>
        <v>8322000</v>
      </c>
      <c r="F49" s="6">
        <f t="shared" si="15"/>
        <v>1314000</v>
      </c>
      <c r="G49" s="6">
        <f t="shared" si="15"/>
        <v>693500</v>
      </c>
      <c r="H49" s="6">
        <f t="shared" si="15"/>
        <v>20089600</v>
      </c>
      <c r="I49" s="6">
        <f t="shared" si="15"/>
        <v>73817600</v>
      </c>
      <c r="J49" s="6">
        <f t="shared" si="15"/>
        <v>1182600</v>
      </c>
      <c r="K49" s="6">
        <f t="shared" si="15"/>
        <v>171550</v>
      </c>
      <c r="L49" s="6">
        <f t="shared" si="15"/>
        <v>605133500</v>
      </c>
      <c r="M49" s="6">
        <f t="shared" si="15"/>
        <v>116800</v>
      </c>
      <c r="N49" s="6">
        <f t="shared" si="15"/>
        <v>2255700</v>
      </c>
      <c r="O49" s="6">
        <f t="shared" si="15"/>
        <v>2920000</v>
      </c>
      <c r="P49" s="332">
        <f t="shared" si="16"/>
        <v>744800750</v>
      </c>
    </row>
    <row r="50" spans="1:16" x14ac:dyDescent="0.3">
      <c r="A50" t="s">
        <v>492</v>
      </c>
      <c r="B50" s="6">
        <f t="shared" si="15"/>
        <v>30733000</v>
      </c>
      <c r="C50" s="6">
        <f t="shared" si="15"/>
        <v>21900000</v>
      </c>
      <c r="D50" s="6">
        <f t="shared" si="15"/>
        <v>4380000</v>
      </c>
      <c r="E50" s="6">
        <f t="shared" si="15"/>
        <v>37350450</v>
      </c>
      <c r="F50" s="6">
        <f t="shared" si="15"/>
        <v>58400</v>
      </c>
      <c r="G50" s="6">
        <f t="shared" si="15"/>
        <v>890600</v>
      </c>
      <c r="H50" s="6">
        <f t="shared" si="15"/>
        <v>105171100</v>
      </c>
      <c r="I50" s="6">
        <f t="shared" si="15"/>
        <v>11373400</v>
      </c>
      <c r="J50" s="6">
        <f t="shared" si="15"/>
        <v>13990450</v>
      </c>
      <c r="K50" s="6">
        <f t="shared" si="15"/>
        <v>11461000</v>
      </c>
      <c r="L50" s="6">
        <f t="shared" si="15"/>
        <v>25550</v>
      </c>
      <c r="M50" s="6">
        <f t="shared" si="15"/>
        <v>540200</v>
      </c>
      <c r="N50" s="6">
        <f t="shared" si="15"/>
        <v>386900</v>
      </c>
      <c r="O50" s="6">
        <f t="shared" si="15"/>
        <v>638750</v>
      </c>
      <c r="P50" s="332">
        <f t="shared" si="16"/>
        <v>238899800</v>
      </c>
    </row>
    <row r="51" spans="1:16" x14ac:dyDescent="0.3">
      <c r="A51" t="s">
        <v>46</v>
      </c>
      <c r="B51" s="6">
        <f t="shared" si="15"/>
        <v>148847000</v>
      </c>
      <c r="C51" s="6">
        <f t="shared" si="15"/>
        <v>3905500</v>
      </c>
      <c r="D51" s="6">
        <f t="shared" si="15"/>
        <v>178193000</v>
      </c>
      <c r="E51" s="6">
        <f t="shared" si="15"/>
        <v>3905500</v>
      </c>
      <c r="F51" s="6">
        <f t="shared" si="15"/>
        <v>1350500</v>
      </c>
      <c r="G51" s="6">
        <f t="shared" si="15"/>
        <v>657000</v>
      </c>
      <c r="H51" s="6">
        <f t="shared" si="15"/>
        <v>341238500</v>
      </c>
      <c r="I51" s="6">
        <f t="shared" si="15"/>
        <v>693500</v>
      </c>
      <c r="J51" s="6">
        <f t="shared" si="15"/>
        <v>4416500</v>
      </c>
      <c r="K51" s="6">
        <f t="shared" si="15"/>
        <v>51100</v>
      </c>
      <c r="L51" s="6">
        <f t="shared" si="15"/>
        <v>294292200</v>
      </c>
      <c r="M51" s="6">
        <f t="shared" si="15"/>
        <v>0</v>
      </c>
      <c r="N51" s="6">
        <f t="shared" si="15"/>
        <v>21936500</v>
      </c>
      <c r="O51" s="6">
        <f t="shared" si="15"/>
        <v>401500</v>
      </c>
      <c r="P51" s="332">
        <f t="shared" si="16"/>
        <v>999888300</v>
      </c>
    </row>
    <row r="52" spans="1:16" x14ac:dyDescent="0.3">
      <c r="A52" t="s">
        <v>493</v>
      </c>
      <c r="B52" s="6">
        <f t="shared" si="15"/>
        <v>11169000</v>
      </c>
      <c r="C52" s="6">
        <f t="shared" si="15"/>
        <v>813950</v>
      </c>
      <c r="D52" s="6">
        <f t="shared" si="15"/>
        <v>16534500</v>
      </c>
      <c r="E52" s="6">
        <f t="shared" si="15"/>
        <v>3175500</v>
      </c>
      <c r="F52" s="6">
        <f t="shared" si="15"/>
        <v>2372500</v>
      </c>
      <c r="G52" s="6">
        <f t="shared" si="15"/>
        <v>361350</v>
      </c>
      <c r="H52" s="6">
        <f t="shared" si="15"/>
        <v>37193500</v>
      </c>
      <c r="I52" s="6">
        <f t="shared" si="15"/>
        <v>8030000</v>
      </c>
      <c r="J52" s="6">
        <f t="shared" si="15"/>
        <v>1606000</v>
      </c>
      <c r="K52" s="6">
        <f t="shared" si="15"/>
        <v>259150</v>
      </c>
      <c r="L52" s="6">
        <f t="shared" si="15"/>
        <v>25550</v>
      </c>
      <c r="M52" s="6">
        <f t="shared" si="15"/>
        <v>1606000</v>
      </c>
      <c r="N52" s="6">
        <f t="shared" si="15"/>
        <v>60225</v>
      </c>
      <c r="O52" s="6">
        <f t="shared" si="15"/>
        <v>0</v>
      </c>
      <c r="P52" s="332">
        <f t="shared" si="16"/>
        <v>83207225</v>
      </c>
    </row>
    <row r="53" spans="1:16" x14ac:dyDescent="0.3">
      <c r="A53" s="329" t="s">
        <v>1</v>
      </c>
      <c r="B53" s="330">
        <f>SUM(B47:B52)</f>
        <v>264300150</v>
      </c>
      <c r="C53" s="330">
        <f t="shared" ref="C53:O53" si="17">SUM(C47:C52)</f>
        <v>50581700</v>
      </c>
      <c r="D53" s="330">
        <f t="shared" si="17"/>
        <v>207294450</v>
      </c>
      <c r="E53" s="330">
        <f t="shared" si="17"/>
        <v>60903900</v>
      </c>
      <c r="F53" s="330">
        <f t="shared" si="17"/>
        <v>5840730</v>
      </c>
      <c r="G53" s="330">
        <f t="shared" si="17"/>
        <v>2715600</v>
      </c>
      <c r="H53" s="330">
        <f t="shared" si="17"/>
        <v>514000300</v>
      </c>
      <c r="I53" s="330">
        <f t="shared" si="17"/>
        <v>94064150</v>
      </c>
      <c r="J53" s="330">
        <f t="shared" si="17"/>
        <v>75003850</v>
      </c>
      <c r="K53" s="330">
        <f t="shared" si="17"/>
        <v>12139900</v>
      </c>
      <c r="L53" s="330">
        <f t="shared" si="17"/>
        <v>2015646800</v>
      </c>
      <c r="M53" s="330">
        <f t="shared" si="17"/>
        <v>2266650</v>
      </c>
      <c r="N53" s="330">
        <f t="shared" si="17"/>
        <v>29858825</v>
      </c>
      <c r="O53" s="330">
        <f t="shared" si="17"/>
        <v>4058800</v>
      </c>
      <c r="P53" s="333">
        <f>SUM(P47:P52)</f>
        <v>3338675805</v>
      </c>
    </row>
    <row r="57" spans="1:16" x14ac:dyDescent="0.3">
      <c r="A57" s="403" t="s">
        <v>528</v>
      </c>
      <c r="B57" s="403"/>
      <c r="C57" s="403"/>
      <c r="D57" s="403"/>
      <c r="E57" s="403"/>
      <c r="F57" s="403"/>
    </row>
    <row r="60" spans="1:16" x14ac:dyDescent="0.3">
      <c r="A60" s="404" t="s">
        <v>529</v>
      </c>
      <c r="B60" s="329" t="s">
        <v>534</v>
      </c>
      <c r="C60" s="329" t="s">
        <v>535</v>
      </c>
      <c r="D60" s="329" t="s">
        <v>539</v>
      </c>
      <c r="E60" s="329" t="s">
        <v>537</v>
      </c>
      <c r="F60" s="329" t="s">
        <v>498</v>
      </c>
      <c r="G60" s="405" t="s">
        <v>540</v>
      </c>
      <c r="H60" s="340"/>
    </row>
    <row r="61" spans="1:16" x14ac:dyDescent="0.3">
      <c r="A61" s="340" t="s">
        <v>495</v>
      </c>
      <c r="B61" s="372">
        <f>K53</f>
        <v>12139900</v>
      </c>
      <c r="C61" s="411">
        <f>B61/$B$65</f>
        <v>9.5077468412326338E-2</v>
      </c>
      <c r="D61" s="372">
        <f>($B$65-$B$67)*C61</f>
        <v>11369716.410153793</v>
      </c>
      <c r="E61" s="372">
        <f>J53</f>
        <v>75003850</v>
      </c>
      <c r="F61" s="411">
        <f>E61/$E$65</f>
        <v>0.13011172423836614</v>
      </c>
      <c r="G61" s="415">
        <f>($E$65-$B$68)*F61</f>
        <v>19760930.200812366</v>
      </c>
      <c r="H61" s="340"/>
    </row>
    <row r="62" spans="1:16" x14ac:dyDescent="0.3">
      <c r="A62" s="340" t="s">
        <v>75</v>
      </c>
      <c r="B62" s="372">
        <f>C53</f>
        <v>50581700</v>
      </c>
      <c r="C62" s="411">
        <f t="shared" ref="C62:C64" si="18">B62/$B$65</f>
        <v>0.39614658967468985</v>
      </c>
      <c r="D62" s="372">
        <f t="shared" ref="D62:D64" si="19">($B$65-$B$67)*C62</f>
        <v>47372678.897147104</v>
      </c>
      <c r="E62" s="372">
        <f>B53</f>
        <v>264300150</v>
      </c>
      <c r="F62" s="411">
        <f t="shared" ref="F62:F64" si="20">E62/$E$65</f>
        <v>0.45849044059683347</v>
      </c>
      <c r="G62" s="415">
        <f t="shared" ref="G62:G64" si="21">($E$65-$B$68)*F62</f>
        <v>69633983.005062252</v>
      </c>
      <c r="H62" s="340"/>
    </row>
    <row r="63" spans="1:16" x14ac:dyDescent="0.3">
      <c r="A63" s="340" t="s">
        <v>59</v>
      </c>
      <c r="B63" s="372">
        <f>E53</f>
        <v>60903900</v>
      </c>
      <c r="C63" s="411">
        <f t="shared" si="18"/>
        <v>0.47698816534217597</v>
      </c>
      <c r="D63" s="372">
        <f t="shared" si="19"/>
        <v>57040014.437710822</v>
      </c>
      <c r="E63" s="372">
        <f>D53</f>
        <v>207294450</v>
      </c>
      <c r="F63" s="411">
        <f t="shared" si="20"/>
        <v>0.35960071802372517</v>
      </c>
      <c r="G63" s="415">
        <f t="shared" si="21"/>
        <v>54614945.199023642</v>
      </c>
      <c r="H63" s="340"/>
    </row>
    <row r="64" spans="1:16" x14ac:dyDescent="0.3">
      <c r="A64" s="340" t="s">
        <v>496</v>
      </c>
      <c r="B64" s="372">
        <f>O53</f>
        <v>4058800</v>
      </c>
      <c r="C64" s="411">
        <f t="shared" si="18"/>
        <v>3.1787776570807842E-2</v>
      </c>
      <c r="D64" s="372">
        <f t="shared" si="19"/>
        <v>3801300.2549882797</v>
      </c>
      <c r="E64" s="372">
        <f>N53</f>
        <v>29858825</v>
      </c>
      <c r="F64" s="411">
        <f t="shared" si="20"/>
        <v>5.1797117141075197E-2</v>
      </c>
      <c r="G64" s="415">
        <f t="shared" si="21"/>
        <v>7866771.5951017356</v>
      </c>
      <c r="H64" s="340"/>
    </row>
    <row r="65" spans="1:8" x14ac:dyDescent="0.3">
      <c r="A65" s="404" t="s">
        <v>1</v>
      </c>
      <c r="B65" s="330">
        <f>SUM(B61:B64)</f>
        <v>127684300</v>
      </c>
      <c r="C65" s="329"/>
      <c r="D65" s="329"/>
      <c r="E65" s="330">
        <f>SUM(E61:E64)</f>
        <v>576457275</v>
      </c>
      <c r="F65" s="329"/>
      <c r="G65" s="405"/>
      <c r="H65" s="340"/>
    </row>
    <row r="67" spans="1:8" x14ac:dyDescent="0.3">
      <c r="A67" t="s">
        <v>536</v>
      </c>
      <c r="B67" s="6">
        <f>'WASREB 20-21'!CO5</f>
        <v>8100590</v>
      </c>
    </row>
    <row r="68" spans="1:8" x14ac:dyDescent="0.3">
      <c r="A68" t="s">
        <v>538</v>
      </c>
      <c r="B68" s="6">
        <f>'WASREB 20-21'!CO4</f>
        <v>424580645</v>
      </c>
    </row>
  </sheetData>
  <mergeCells count="2">
    <mergeCell ref="A23:F23"/>
    <mergeCell ref="A57:F5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16C2-6DCE-4845-BC49-5FBDA0A1A002}">
  <sheetPr>
    <tabColor theme="7" tint="0.79998168889431442"/>
  </sheetPr>
  <dimension ref="A1:DE89"/>
  <sheetViews>
    <sheetView topLeftCell="AC1" workbookViewId="0">
      <selection activeCell="AO4" sqref="AO4"/>
    </sheetView>
  </sheetViews>
  <sheetFormatPr defaultColWidth="8.77734375" defaultRowHeight="14.4" x14ac:dyDescent="0.3"/>
  <cols>
    <col min="1" max="1" width="47.77734375" style="165" customWidth="1"/>
    <col min="2" max="2" width="15.21875" style="160" customWidth="1"/>
    <col min="3" max="3" width="18" style="160" bestFit="1" customWidth="1"/>
    <col min="4" max="4" width="15.77734375" style="160" customWidth="1"/>
    <col min="5" max="5" width="14" style="160" bestFit="1" customWidth="1"/>
    <col min="6" max="6" width="15.6640625" style="160" bestFit="1" customWidth="1"/>
    <col min="7" max="7" width="14" style="160" bestFit="1" customWidth="1"/>
    <col min="8" max="8" width="15.33203125" style="160" bestFit="1" customWidth="1"/>
    <col min="9" max="10" width="16.6640625" style="160" bestFit="1" customWidth="1"/>
    <col min="11" max="19" width="15.33203125" style="160" bestFit="1" customWidth="1"/>
    <col min="20" max="20" width="16.6640625" style="160" bestFit="1" customWidth="1"/>
    <col min="21" max="21" width="15.33203125" style="160" bestFit="1" customWidth="1"/>
    <col min="22" max="22" width="14" style="160" bestFit="1" customWidth="1"/>
    <col min="23" max="23" width="16.6640625" style="160" bestFit="1" customWidth="1"/>
    <col min="24" max="27" width="15.33203125" style="160" bestFit="1" customWidth="1"/>
    <col min="28" max="28" width="16.6640625" style="160" bestFit="1" customWidth="1"/>
    <col min="29" max="29" width="14.5546875" style="160" bestFit="1" customWidth="1"/>
    <col min="30" max="30" width="15.33203125" style="160" bestFit="1" customWidth="1"/>
    <col min="31" max="31" width="16.6640625" style="160" bestFit="1" customWidth="1"/>
    <col min="32" max="33" width="15.33203125" style="160" bestFit="1" customWidth="1"/>
    <col min="34" max="34" width="16.44140625" style="160" customWidth="1"/>
    <col min="35" max="35" width="16.6640625" style="160" bestFit="1" customWidth="1"/>
    <col min="36" max="36" width="14" style="160" bestFit="1" customWidth="1"/>
    <col min="37" max="37" width="15.33203125" style="160" bestFit="1" customWidth="1"/>
    <col min="38" max="38" width="14.77734375" style="160" customWidth="1"/>
    <col min="39" max="39" width="15" style="160" bestFit="1" customWidth="1"/>
    <col min="40" max="41" width="15.33203125" style="160" bestFit="1" customWidth="1"/>
    <col min="42" max="42" width="16.6640625" style="160" bestFit="1" customWidth="1"/>
    <col min="43" max="43" width="12.44140625" style="160" bestFit="1" customWidth="1"/>
    <col min="44" max="44" width="16.6640625" style="160" bestFit="1" customWidth="1"/>
    <col min="45" max="45" width="15.33203125" style="160" bestFit="1" customWidth="1"/>
    <col min="46" max="46" width="16.6640625" style="160" bestFit="1" customWidth="1"/>
    <col min="47" max="47" width="15.77734375" style="160" customWidth="1"/>
    <col min="48" max="48" width="17.77734375" style="160" customWidth="1"/>
    <col min="49" max="50" width="15.33203125" style="160" bestFit="1" customWidth="1"/>
    <col min="51" max="51" width="18.88671875" style="160" bestFit="1" customWidth="1"/>
    <col min="52" max="52" width="17.21875" style="160" customWidth="1"/>
    <col min="53" max="53" width="19.5546875" style="160" customWidth="1"/>
    <col min="54" max="55" width="16.6640625" style="160" bestFit="1" customWidth="1"/>
    <col min="56" max="57" width="15.33203125" style="160" bestFit="1" customWidth="1"/>
    <col min="58" max="58" width="17.21875" style="160" bestFit="1" customWidth="1"/>
    <col min="59" max="59" width="17.77734375" style="160" customWidth="1"/>
    <col min="60" max="60" width="15.33203125" style="160" bestFit="1" customWidth="1"/>
    <col min="61" max="61" width="19.77734375" style="160" customWidth="1"/>
    <col min="62" max="62" width="13.77734375" style="160" bestFit="1" customWidth="1"/>
    <col min="63" max="63" width="16.6640625" style="160" bestFit="1" customWidth="1"/>
    <col min="64" max="64" width="17.5546875" style="160" customWidth="1"/>
    <col min="65" max="65" width="15.33203125" style="160" bestFit="1" customWidth="1"/>
    <col min="66" max="66" width="16.77734375" style="160" customWidth="1"/>
    <col min="67" max="67" width="15.33203125" style="160" bestFit="1" customWidth="1"/>
    <col min="68" max="68" width="14.44140625" style="160" customWidth="1"/>
    <col min="69" max="69" width="13.77734375" style="160" bestFit="1" customWidth="1"/>
    <col min="70" max="70" width="15.33203125" style="160" bestFit="1" customWidth="1"/>
    <col min="71" max="71" width="18.5546875" style="160" bestFit="1" customWidth="1"/>
    <col min="72" max="72" width="15.21875" style="160" bestFit="1" customWidth="1"/>
    <col min="73" max="73" width="15.33203125" style="160" bestFit="1" customWidth="1"/>
    <col min="74" max="74" width="14.44140625" style="160" customWidth="1"/>
    <col min="75" max="75" width="13.77734375" style="160" bestFit="1" customWidth="1"/>
    <col min="76" max="76" width="15.33203125" style="160" bestFit="1" customWidth="1"/>
    <col min="77" max="77" width="17" style="160" bestFit="1" customWidth="1"/>
    <col min="78" max="78" width="14" style="160" bestFit="1" customWidth="1"/>
    <col min="79" max="79" width="14.44140625" style="160" bestFit="1" customWidth="1"/>
    <col min="80" max="80" width="16.6640625" style="160" bestFit="1" customWidth="1"/>
    <col min="81" max="81" width="15.33203125" style="160" bestFit="1" customWidth="1"/>
    <col min="82" max="82" width="13.77734375" style="160" bestFit="1" customWidth="1"/>
    <col min="83" max="83" width="15.33203125" style="160" bestFit="1" customWidth="1"/>
    <col min="84" max="84" width="15.5546875" style="160" bestFit="1" customWidth="1"/>
    <col min="85" max="86" width="15.33203125" style="160" bestFit="1" customWidth="1"/>
    <col min="87" max="87" width="13.6640625" style="160" bestFit="1" customWidth="1"/>
    <col min="88" max="88" width="13.77734375" style="160" bestFit="1" customWidth="1"/>
    <col min="89" max="89" width="13.6640625" style="160" bestFit="1" customWidth="1"/>
    <col min="90" max="90" width="12.21875" style="160" bestFit="1" customWidth="1"/>
    <col min="91" max="91" width="15.33203125" style="160" bestFit="1" customWidth="1"/>
    <col min="92" max="92" width="11.77734375" style="160" customWidth="1"/>
    <col min="93" max="93" width="18.5546875" style="158" bestFit="1" customWidth="1"/>
    <col min="94" max="94" width="8.77734375" style="160"/>
    <col min="95" max="95" width="18.77734375" style="160" customWidth="1"/>
    <col min="96" max="16384" width="8.77734375" style="160"/>
  </cols>
  <sheetData>
    <row r="1" spans="1:95" x14ac:dyDescent="0.3">
      <c r="A1" s="165" t="s">
        <v>325</v>
      </c>
      <c r="B1" s="159" t="s">
        <v>326</v>
      </c>
      <c r="C1" s="159" t="s">
        <v>551</v>
      </c>
      <c r="BY1" s="396"/>
      <c r="BZ1" s="396"/>
      <c r="CA1" s="396"/>
      <c r="CB1" s="396"/>
      <c r="CC1" s="396"/>
      <c r="CD1" s="396"/>
      <c r="CE1" s="396"/>
      <c r="CF1" s="396"/>
      <c r="CG1" s="396"/>
      <c r="CH1" s="396"/>
      <c r="CI1" s="396"/>
      <c r="CJ1" s="396"/>
      <c r="CK1" s="396"/>
      <c r="CL1" s="396"/>
      <c r="CM1" s="396"/>
    </row>
    <row r="2" spans="1:95" s="150" customFormat="1" x14ac:dyDescent="0.3">
      <c r="A2" s="166" t="s">
        <v>35</v>
      </c>
      <c r="B2" s="151" t="s">
        <v>109</v>
      </c>
      <c r="C2" s="149" t="s">
        <v>100</v>
      </c>
      <c r="D2" s="150" t="s">
        <v>110</v>
      </c>
      <c r="E2" s="151" t="s">
        <v>52</v>
      </c>
      <c r="F2" s="150" t="s">
        <v>85</v>
      </c>
      <c r="G2" s="150" t="s">
        <v>120</v>
      </c>
      <c r="H2" s="149" t="s">
        <v>93</v>
      </c>
      <c r="I2" s="150" t="s">
        <v>93</v>
      </c>
      <c r="J2" s="151" t="s">
        <v>99</v>
      </c>
      <c r="K2" s="149" t="s">
        <v>90</v>
      </c>
      <c r="L2" s="149" t="s">
        <v>90</v>
      </c>
      <c r="M2" s="150" t="s">
        <v>89</v>
      </c>
      <c r="N2" s="149" t="s">
        <v>89</v>
      </c>
      <c r="O2" s="149" t="s">
        <v>143</v>
      </c>
      <c r="P2" s="149" t="s">
        <v>111</v>
      </c>
      <c r="Q2" s="149" t="s">
        <v>102</v>
      </c>
      <c r="R2" s="151" t="s">
        <v>107</v>
      </c>
      <c r="S2" s="151" t="s">
        <v>90</v>
      </c>
      <c r="T2" s="150" t="s">
        <v>94</v>
      </c>
      <c r="U2" s="149" t="s">
        <v>89</v>
      </c>
      <c r="V2" s="151" t="s">
        <v>106</v>
      </c>
      <c r="W2" s="150" t="s">
        <v>95</v>
      </c>
      <c r="X2" s="151" t="s">
        <v>103</v>
      </c>
      <c r="Y2" s="151" t="s">
        <v>89</v>
      </c>
      <c r="Z2" s="151" t="s">
        <v>113</v>
      </c>
      <c r="AA2" s="151" t="s">
        <v>89</v>
      </c>
      <c r="AB2" s="150" t="s">
        <v>92</v>
      </c>
      <c r="AC2" s="151" t="s">
        <v>52</v>
      </c>
      <c r="AD2" s="150" t="s">
        <v>41</v>
      </c>
      <c r="AE2" s="150" t="s">
        <v>55</v>
      </c>
      <c r="AF2" s="151" t="s">
        <v>103</v>
      </c>
      <c r="AG2" s="151" t="s">
        <v>101</v>
      </c>
      <c r="AH2" s="151" t="s">
        <v>93</v>
      </c>
      <c r="AI2" s="151" t="s">
        <v>89</v>
      </c>
      <c r="AJ2" s="150" t="s">
        <v>230</v>
      </c>
      <c r="AK2" s="151" t="s">
        <v>106</v>
      </c>
      <c r="AL2" s="150" t="s">
        <v>92</v>
      </c>
      <c r="AM2" s="150" t="s">
        <v>120</v>
      </c>
      <c r="AN2" s="149" t="s">
        <v>88</v>
      </c>
      <c r="AO2" s="151" t="s">
        <v>106</v>
      </c>
      <c r="AP2" s="151" t="s">
        <v>106</v>
      </c>
      <c r="AQ2" s="151" t="s">
        <v>113</v>
      </c>
      <c r="AR2" s="149" t="s">
        <v>102</v>
      </c>
      <c r="AS2" s="151" t="s">
        <v>115</v>
      </c>
      <c r="AT2" s="150" t="s">
        <v>86</v>
      </c>
      <c r="AU2" s="151" t="s">
        <v>90</v>
      </c>
      <c r="AV2" s="150" t="s">
        <v>90</v>
      </c>
      <c r="AW2" s="151" t="s">
        <v>105</v>
      </c>
      <c r="AX2" s="151" t="s">
        <v>106</v>
      </c>
      <c r="AY2" s="150" t="s">
        <v>84</v>
      </c>
      <c r="AZ2" s="150" t="s">
        <v>87</v>
      </c>
      <c r="BA2" s="150" t="s">
        <v>87</v>
      </c>
      <c r="BB2" s="151" t="s">
        <v>87</v>
      </c>
      <c r="BC2" s="151" t="s">
        <v>229</v>
      </c>
      <c r="BD2" s="151" t="s">
        <v>114</v>
      </c>
      <c r="BE2" s="150" t="s">
        <v>93</v>
      </c>
      <c r="BF2" s="150" t="s">
        <v>93</v>
      </c>
      <c r="BG2" s="150" t="s">
        <v>105</v>
      </c>
      <c r="BH2" s="151" t="s">
        <v>108</v>
      </c>
      <c r="BI2" s="151" t="s">
        <v>97</v>
      </c>
      <c r="BJ2" s="150" t="s">
        <v>115</v>
      </c>
      <c r="BK2" s="150" t="s">
        <v>88</v>
      </c>
      <c r="BL2" s="150" t="s">
        <v>91</v>
      </c>
      <c r="BM2" s="151" t="s">
        <v>108</v>
      </c>
      <c r="BN2" s="151" t="s">
        <v>108</v>
      </c>
      <c r="BO2" s="150" t="s">
        <v>88</v>
      </c>
      <c r="BP2" s="150" t="s">
        <v>89</v>
      </c>
      <c r="BQ2" s="150" t="s">
        <v>41</v>
      </c>
      <c r="BR2" s="150" t="s">
        <v>104</v>
      </c>
      <c r="BS2" s="150" t="s">
        <v>116</v>
      </c>
      <c r="BT2" s="151" t="s">
        <v>96</v>
      </c>
      <c r="BU2" s="150" t="s">
        <v>88</v>
      </c>
      <c r="BV2" s="150" t="s">
        <v>89</v>
      </c>
      <c r="BW2" s="150" t="s">
        <v>102</v>
      </c>
      <c r="BX2" s="151" t="s">
        <v>106</v>
      </c>
      <c r="BY2" s="149" t="s">
        <v>119</v>
      </c>
      <c r="BZ2" s="151" t="s">
        <v>121</v>
      </c>
      <c r="CA2" s="151" t="s">
        <v>116</v>
      </c>
      <c r="CB2" s="149" t="s">
        <v>89</v>
      </c>
      <c r="CC2" s="151" t="s">
        <v>118</v>
      </c>
      <c r="CD2" s="164" t="s">
        <v>105</v>
      </c>
      <c r="CE2" s="150" t="s">
        <v>88</v>
      </c>
      <c r="CF2" s="151" t="s">
        <v>112</v>
      </c>
      <c r="CG2" s="151" t="s">
        <v>112</v>
      </c>
      <c r="CH2" s="150" t="s">
        <v>84</v>
      </c>
      <c r="CI2" s="151" t="s">
        <v>117</v>
      </c>
      <c r="CJ2" s="151" t="s">
        <v>47</v>
      </c>
      <c r="CK2" s="150" t="s">
        <v>89</v>
      </c>
      <c r="CL2" s="151" t="s">
        <v>122</v>
      </c>
      <c r="CM2" s="151" t="s">
        <v>113</v>
      </c>
      <c r="CN2" s="151"/>
      <c r="CO2" s="180" t="s">
        <v>327</v>
      </c>
    </row>
    <row r="3" spans="1:95" s="150" customFormat="1" ht="32.25" customHeight="1" x14ac:dyDescent="0.3">
      <c r="A3" s="167" t="s">
        <v>124</v>
      </c>
      <c r="B3" s="149" t="s">
        <v>158</v>
      </c>
      <c r="C3" s="149" t="s">
        <v>100</v>
      </c>
      <c r="D3" s="150" t="s">
        <v>110</v>
      </c>
      <c r="E3" s="149" t="s">
        <v>168</v>
      </c>
      <c r="F3" s="150" t="s">
        <v>328</v>
      </c>
      <c r="G3" s="150" t="s">
        <v>178</v>
      </c>
      <c r="H3" s="149" t="s">
        <v>329</v>
      </c>
      <c r="I3" s="150" t="s">
        <v>330</v>
      </c>
      <c r="J3" s="149" t="s">
        <v>331</v>
      </c>
      <c r="K3" s="149" t="s">
        <v>148</v>
      </c>
      <c r="L3" s="149" t="s">
        <v>152</v>
      </c>
      <c r="M3" s="150" t="s">
        <v>132</v>
      </c>
      <c r="N3" s="149" t="s">
        <v>153</v>
      </c>
      <c r="O3" s="149" t="s">
        <v>143</v>
      </c>
      <c r="P3" s="149" t="s">
        <v>111</v>
      </c>
      <c r="Q3" s="149" t="s">
        <v>332</v>
      </c>
      <c r="R3" s="149" t="s">
        <v>333</v>
      </c>
      <c r="S3" s="149" t="s">
        <v>334</v>
      </c>
      <c r="T3" s="150" t="s">
        <v>335</v>
      </c>
      <c r="U3" s="149" t="s">
        <v>159</v>
      </c>
      <c r="V3" s="149" t="s">
        <v>336</v>
      </c>
      <c r="W3" s="150" t="s">
        <v>95</v>
      </c>
      <c r="X3" s="149" t="s">
        <v>337</v>
      </c>
      <c r="Y3" s="149" t="s">
        <v>338</v>
      </c>
      <c r="Z3" s="149" t="s">
        <v>339</v>
      </c>
      <c r="AA3" s="149" t="s">
        <v>150</v>
      </c>
      <c r="AB3" s="150" t="s">
        <v>340</v>
      </c>
      <c r="AC3" s="149" t="s">
        <v>166</v>
      </c>
      <c r="AD3" s="150" t="s">
        <v>41</v>
      </c>
      <c r="AE3" s="150" t="s">
        <v>55</v>
      </c>
      <c r="AF3" s="149" t="s">
        <v>341</v>
      </c>
      <c r="AG3" s="151" t="s">
        <v>342</v>
      </c>
      <c r="AH3" s="149" t="s">
        <v>343</v>
      </c>
      <c r="AI3" s="149" t="s">
        <v>151</v>
      </c>
      <c r="AJ3" s="150" t="s">
        <v>232</v>
      </c>
      <c r="AK3" s="149" t="s">
        <v>344</v>
      </c>
      <c r="AL3" s="150" t="s">
        <v>345</v>
      </c>
      <c r="AM3" s="150" t="s">
        <v>120</v>
      </c>
      <c r="AN3" s="149" t="s">
        <v>136</v>
      </c>
      <c r="AO3" s="149" t="s">
        <v>346</v>
      </c>
      <c r="AP3" s="149" t="s">
        <v>347</v>
      </c>
      <c r="AQ3" s="149" t="s">
        <v>348</v>
      </c>
      <c r="AR3" s="149" t="s">
        <v>102</v>
      </c>
      <c r="AS3" s="151" t="s">
        <v>115</v>
      </c>
      <c r="AT3" s="150" t="s">
        <v>349</v>
      </c>
      <c r="AU3" s="149" t="s">
        <v>90</v>
      </c>
      <c r="AV3" s="150" t="s">
        <v>129</v>
      </c>
      <c r="AW3" s="151" t="s">
        <v>350</v>
      </c>
      <c r="AX3" s="149" t="s">
        <v>351</v>
      </c>
      <c r="AY3" s="150" t="s">
        <v>84</v>
      </c>
      <c r="AZ3" s="149" t="s">
        <v>352</v>
      </c>
      <c r="BA3" s="150" t="s">
        <v>87</v>
      </c>
      <c r="BB3" s="149" t="s">
        <v>353</v>
      </c>
      <c r="BC3" s="149" t="s">
        <v>139</v>
      </c>
      <c r="BD3" s="149" t="s">
        <v>354</v>
      </c>
      <c r="BE3" s="150" t="s">
        <v>155</v>
      </c>
      <c r="BF3" s="150" t="s">
        <v>144</v>
      </c>
      <c r="BG3" s="150" t="s">
        <v>355</v>
      </c>
      <c r="BH3" s="149" t="s">
        <v>356</v>
      </c>
      <c r="BI3" s="149" t="s">
        <v>357</v>
      </c>
      <c r="BJ3" s="150" t="s">
        <v>358</v>
      </c>
      <c r="BK3" s="150" t="s">
        <v>88</v>
      </c>
      <c r="BL3" s="150" t="s">
        <v>359</v>
      </c>
      <c r="BM3" s="149" t="s">
        <v>360</v>
      </c>
      <c r="BN3" s="149" t="s">
        <v>361</v>
      </c>
      <c r="BO3" s="150" t="s">
        <v>362</v>
      </c>
      <c r="BP3" s="150" t="s">
        <v>128</v>
      </c>
      <c r="BQ3" s="150" t="s">
        <v>176</v>
      </c>
      <c r="BR3" s="150" t="s">
        <v>145</v>
      </c>
      <c r="BS3" s="150" t="s">
        <v>186</v>
      </c>
      <c r="BT3" s="151" t="s">
        <v>363</v>
      </c>
      <c r="BU3" s="150" t="s">
        <v>364</v>
      </c>
      <c r="BV3" s="150" t="s">
        <v>365</v>
      </c>
      <c r="BW3" s="150" t="s">
        <v>162</v>
      </c>
      <c r="BX3" s="149" t="s">
        <v>366</v>
      </c>
      <c r="BY3" s="149" t="s">
        <v>367</v>
      </c>
      <c r="BZ3" s="149" t="s">
        <v>368</v>
      </c>
      <c r="CA3" s="149" t="s">
        <v>165</v>
      </c>
      <c r="CB3" s="149" t="s">
        <v>89</v>
      </c>
      <c r="CC3" s="151" t="s">
        <v>118</v>
      </c>
      <c r="CD3" s="146" t="s">
        <v>174</v>
      </c>
      <c r="CE3" s="150" t="s">
        <v>177</v>
      </c>
      <c r="CF3" s="151" t="s">
        <v>369</v>
      </c>
      <c r="CG3" s="149" t="s">
        <v>172</v>
      </c>
      <c r="CH3" s="150" t="s">
        <v>187</v>
      </c>
      <c r="CI3" s="149" t="s">
        <v>117</v>
      </c>
      <c r="CJ3" s="151" t="s">
        <v>46</v>
      </c>
      <c r="CK3" s="150" t="s">
        <v>190</v>
      </c>
      <c r="CL3" s="149" t="s">
        <v>122</v>
      </c>
      <c r="CM3" s="149" t="s">
        <v>370</v>
      </c>
      <c r="CN3" s="149"/>
      <c r="CO3" s="181"/>
    </row>
    <row r="4" spans="1:95" s="163" customFormat="1" x14ac:dyDescent="0.3">
      <c r="A4" s="168" t="s">
        <v>235</v>
      </c>
      <c r="B4" s="183">
        <v>1573007</v>
      </c>
      <c r="C4" s="183">
        <v>4424004</v>
      </c>
      <c r="D4" s="183">
        <v>1207650</v>
      </c>
      <c r="E4" s="183">
        <v>850153</v>
      </c>
      <c r="F4" s="184">
        <v>15290495</v>
      </c>
      <c r="G4" s="183">
        <v>349920</v>
      </c>
      <c r="H4" s="183">
        <v>1034205</v>
      </c>
      <c r="I4" s="185">
        <v>7637891</v>
      </c>
      <c r="J4" s="184">
        <v>5961600</v>
      </c>
      <c r="K4" s="184">
        <v>2790003</v>
      </c>
      <c r="L4" s="183">
        <v>2273106</v>
      </c>
      <c r="M4" s="185">
        <v>7169376</v>
      </c>
      <c r="N4" s="183">
        <v>1183987</v>
      </c>
      <c r="O4" s="183">
        <v>3231652</v>
      </c>
      <c r="P4" s="183">
        <v>1018819</v>
      </c>
      <c r="Q4" s="183">
        <v>1184866</v>
      </c>
      <c r="R4" s="184">
        <v>2286780</v>
      </c>
      <c r="S4" s="183">
        <v>3335937</v>
      </c>
      <c r="T4" s="185">
        <v>5432762</v>
      </c>
      <c r="U4" s="183">
        <v>1410393</v>
      </c>
      <c r="V4" s="183">
        <v>100541</v>
      </c>
      <c r="W4" s="185">
        <v>4100926</v>
      </c>
      <c r="X4" s="183">
        <v>974979</v>
      </c>
      <c r="Y4" s="184">
        <v>523274</v>
      </c>
      <c r="Z4" s="183">
        <v>1298437</v>
      </c>
      <c r="AA4" s="184">
        <v>0</v>
      </c>
      <c r="AB4" s="185">
        <v>0</v>
      </c>
      <c r="AC4" s="183">
        <v>1035999.9999999999</v>
      </c>
      <c r="AD4" s="185">
        <v>6722945</v>
      </c>
      <c r="AE4" s="185">
        <v>9915691</v>
      </c>
      <c r="AF4" s="183">
        <v>3626236</v>
      </c>
      <c r="AG4" s="183">
        <v>0</v>
      </c>
      <c r="AH4" s="183">
        <v>1039740</v>
      </c>
      <c r="AI4" s="183">
        <v>2148401</v>
      </c>
      <c r="AJ4" s="183">
        <v>2304940</v>
      </c>
      <c r="AK4" s="184">
        <v>1242862</v>
      </c>
      <c r="AL4" s="184">
        <v>0</v>
      </c>
      <c r="AM4" s="183">
        <v>582496</v>
      </c>
      <c r="AN4" s="183">
        <v>2281551</v>
      </c>
      <c r="AO4" s="186">
        <f>AO10</f>
        <v>153695</v>
      </c>
      <c r="AP4" s="183">
        <v>960832</v>
      </c>
      <c r="AQ4" s="183">
        <v>64972</v>
      </c>
      <c r="AR4" s="183">
        <v>3001251</v>
      </c>
      <c r="AS4" s="183">
        <v>481921</v>
      </c>
      <c r="AT4" s="185">
        <v>0</v>
      </c>
      <c r="AU4" s="184">
        <v>2742691</v>
      </c>
      <c r="AV4" s="185">
        <v>5690163</v>
      </c>
      <c r="AW4" s="183">
        <v>2214840</v>
      </c>
      <c r="AX4" s="184">
        <v>51337</v>
      </c>
      <c r="AY4" s="184">
        <v>193642797</v>
      </c>
      <c r="AZ4" s="183">
        <v>1899235</v>
      </c>
      <c r="BA4" s="185">
        <v>11537195</v>
      </c>
      <c r="BB4" s="183">
        <v>8242189</v>
      </c>
      <c r="BC4" s="184">
        <v>4551704</v>
      </c>
      <c r="BD4" s="183">
        <v>882905</v>
      </c>
      <c r="BE4" s="183">
        <v>1157580</v>
      </c>
      <c r="BF4" s="183">
        <v>2758450</v>
      </c>
      <c r="BG4" s="183">
        <v>3700773</v>
      </c>
      <c r="BH4" s="183">
        <v>2190000</v>
      </c>
      <c r="BI4" s="184">
        <v>3184387</v>
      </c>
      <c r="BJ4" s="184">
        <v>114293</v>
      </c>
      <c r="BK4" s="184">
        <v>7401710</v>
      </c>
      <c r="BL4" s="185">
        <v>8265495</v>
      </c>
      <c r="BM4" s="184">
        <v>0</v>
      </c>
      <c r="BN4" s="184">
        <v>1792633</v>
      </c>
      <c r="BO4" s="183">
        <v>5460800</v>
      </c>
      <c r="BP4" s="185">
        <v>10747235</v>
      </c>
      <c r="BQ4" s="183">
        <v>384030</v>
      </c>
      <c r="BR4" s="183">
        <v>3224003</v>
      </c>
      <c r="BS4" s="184">
        <v>350447</v>
      </c>
      <c r="BT4" s="183">
        <v>0</v>
      </c>
      <c r="BU4" s="184">
        <v>3028040</v>
      </c>
      <c r="BV4" s="185">
        <v>13172207</v>
      </c>
      <c r="BW4" s="183">
        <v>1885587</v>
      </c>
      <c r="BX4" s="184">
        <v>389392</v>
      </c>
      <c r="BY4" s="184">
        <v>1168859</v>
      </c>
      <c r="BZ4" s="183">
        <v>243026</v>
      </c>
      <c r="CA4" s="183">
        <v>1085366</v>
      </c>
      <c r="CB4" s="184">
        <v>2132758</v>
      </c>
      <c r="CC4" s="183">
        <v>600563</v>
      </c>
      <c r="CD4" s="183">
        <v>648456</v>
      </c>
      <c r="CE4" s="183">
        <v>269700</v>
      </c>
      <c r="CF4" s="184">
        <v>659793</v>
      </c>
      <c r="CG4" s="183">
        <v>621290</v>
      </c>
      <c r="CH4" s="183">
        <v>834833</v>
      </c>
      <c r="CI4" s="183">
        <v>648000</v>
      </c>
      <c r="CJ4" s="183">
        <v>1908000</v>
      </c>
      <c r="CK4" s="183">
        <v>136818</v>
      </c>
      <c r="CL4" s="183">
        <f>CL14</f>
        <v>571536</v>
      </c>
      <c r="CM4" s="184">
        <v>181233</v>
      </c>
      <c r="CN4" s="184"/>
      <c r="CO4" s="187">
        <f>SUM(B4:CM4)</f>
        <v>424580645</v>
      </c>
    </row>
    <row r="5" spans="1:95" s="163" customFormat="1" x14ac:dyDescent="0.3">
      <c r="A5" s="168" t="s">
        <v>372</v>
      </c>
      <c r="B5" s="183"/>
      <c r="C5" s="183"/>
      <c r="D5" s="183"/>
      <c r="E5" s="183"/>
      <c r="F5" s="184"/>
      <c r="G5" s="183"/>
      <c r="H5" s="183"/>
      <c r="I5" s="185"/>
      <c r="J5" s="184"/>
      <c r="K5" s="184"/>
      <c r="L5" s="183"/>
      <c r="M5" s="185"/>
      <c r="N5" s="184">
        <v>256968</v>
      </c>
      <c r="O5" s="183"/>
      <c r="P5" s="183"/>
      <c r="Q5" s="183"/>
      <c r="R5" s="184">
        <v>76160</v>
      </c>
      <c r="S5" s="183"/>
      <c r="T5" s="184">
        <v>274551</v>
      </c>
      <c r="U5" s="184">
        <v>779729</v>
      </c>
      <c r="V5" s="183"/>
      <c r="W5" s="185"/>
      <c r="X5" s="183"/>
      <c r="Y5" s="184"/>
      <c r="Z5" s="183"/>
      <c r="AA5" s="184">
        <v>2507323</v>
      </c>
      <c r="AB5" s="185"/>
      <c r="AC5" s="183"/>
      <c r="AD5" s="185"/>
      <c r="AE5" s="185"/>
      <c r="AF5" s="183"/>
      <c r="AG5" s="183"/>
      <c r="AH5" s="183"/>
      <c r="AI5" s="183"/>
      <c r="AJ5" s="183"/>
      <c r="AK5" s="184">
        <v>21120</v>
      </c>
      <c r="AL5" s="184"/>
      <c r="AM5" s="183"/>
      <c r="AN5" s="183"/>
      <c r="AO5" s="184"/>
      <c r="AP5" s="184">
        <v>99230</v>
      </c>
      <c r="AQ5" s="183"/>
      <c r="AR5" s="183"/>
      <c r="AS5" s="183"/>
      <c r="AT5" s="185"/>
      <c r="AU5" s="184"/>
      <c r="AV5" s="185"/>
      <c r="AW5" s="183"/>
      <c r="AX5" s="184">
        <v>32196</v>
      </c>
      <c r="AY5" s="184"/>
      <c r="AZ5" s="184">
        <v>1974833</v>
      </c>
      <c r="BA5" s="185"/>
      <c r="BB5" s="183"/>
      <c r="BC5" s="184">
        <v>109546</v>
      </c>
      <c r="BD5" s="183"/>
      <c r="BE5" s="183"/>
      <c r="BF5" s="183"/>
      <c r="BG5" s="183"/>
      <c r="BH5" s="183"/>
      <c r="BI5" s="184"/>
      <c r="BJ5" s="184">
        <v>25979</v>
      </c>
      <c r="BK5" s="184"/>
      <c r="BL5" s="185"/>
      <c r="BM5" s="184">
        <v>357800</v>
      </c>
      <c r="BN5" s="184">
        <v>654586</v>
      </c>
      <c r="BO5" s="183"/>
      <c r="BP5" s="185"/>
      <c r="BQ5" s="183"/>
      <c r="BR5" s="183"/>
      <c r="BS5" s="184"/>
      <c r="BT5" s="184">
        <v>408110</v>
      </c>
      <c r="BU5" s="184"/>
      <c r="BV5" s="185"/>
      <c r="BW5" s="183"/>
      <c r="BX5" s="184"/>
      <c r="BY5" s="184"/>
      <c r="BZ5" s="183"/>
      <c r="CA5" s="183"/>
      <c r="CB5" s="184">
        <v>215399</v>
      </c>
      <c r="CC5" s="183"/>
      <c r="CD5" s="183"/>
      <c r="CE5" s="183"/>
      <c r="CF5" s="184">
        <v>28928</v>
      </c>
      <c r="CG5" s="183"/>
      <c r="CH5" s="183"/>
      <c r="CI5" s="183"/>
      <c r="CJ5" s="183"/>
      <c r="CK5" s="183"/>
      <c r="CL5" s="183"/>
      <c r="CM5" s="184">
        <v>278132</v>
      </c>
      <c r="CN5" s="184"/>
      <c r="CO5" s="187">
        <f t="shared" ref="CO5:CO52" si="0">SUM(B5:CM5)</f>
        <v>8100590</v>
      </c>
    </row>
    <row r="6" spans="1:95" s="153" customFormat="1" x14ac:dyDescent="0.3">
      <c r="A6" s="182" t="s">
        <v>193</v>
      </c>
      <c r="B6" s="188"/>
      <c r="C6" s="188"/>
      <c r="D6" s="188"/>
      <c r="E6" s="188"/>
      <c r="F6" s="189"/>
      <c r="G6" s="188"/>
      <c r="H6" s="188"/>
      <c r="I6" s="189"/>
      <c r="J6" s="190">
        <v>5166915</v>
      </c>
      <c r="K6" s="190">
        <v>2790003</v>
      </c>
      <c r="L6" s="188"/>
      <c r="M6" s="189"/>
      <c r="N6" s="188"/>
      <c r="O6" s="188"/>
      <c r="P6" s="188"/>
      <c r="Q6" s="188"/>
      <c r="R6" s="190">
        <v>0</v>
      </c>
      <c r="S6" s="188"/>
      <c r="T6" s="189"/>
      <c r="U6" s="188"/>
      <c r="V6" s="188"/>
      <c r="W6" s="189"/>
      <c r="X6" s="188"/>
      <c r="Y6" s="190">
        <v>465132</v>
      </c>
      <c r="Z6" s="188"/>
      <c r="AA6" s="190">
        <v>2507323</v>
      </c>
      <c r="AB6" s="189"/>
      <c r="AC6" s="188"/>
      <c r="AD6" s="189"/>
      <c r="AE6" s="189"/>
      <c r="AF6" s="188"/>
      <c r="AG6" s="188"/>
      <c r="AH6" s="188"/>
      <c r="AI6" s="188"/>
      <c r="AJ6" s="188"/>
      <c r="AK6" s="190">
        <v>1208832</v>
      </c>
      <c r="AL6" s="190">
        <v>0</v>
      </c>
      <c r="AM6" s="188"/>
      <c r="AN6" s="188"/>
      <c r="AO6" s="190">
        <v>0</v>
      </c>
      <c r="AP6" s="188"/>
      <c r="AQ6" s="188"/>
      <c r="AR6" s="188"/>
      <c r="AS6" s="188"/>
      <c r="AT6" s="189"/>
      <c r="AU6" s="190">
        <v>2742691</v>
      </c>
      <c r="AV6" s="189"/>
      <c r="AW6" s="188"/>
      <c r="AX6" s="190">
        <v>115101</v>
      </c>
      <c r="AY6" s="190">
        <v>179341134</v>
      </c>
      <c r="AZ6" s="188"/>
      <c r="BA6" s="189"/>
      <c r="BB6" s="188"/>
      <c r="BC6" s="190">
        <v>4661250</v>
      </c>
      <c r="BD6" s="188"/>
      <c r="BE6" s="188"/>
      <c r="BF6" s="188"/>
      <c r="BG6" s="188"/>
      <c r="BH6" s="188"/>
      <c r="BI6" s="190">
        <v>3180625</v>
      </c>
      <c r="BJ6" s="190">
        <v>0</v>
      </c>
      <c r="BK6" s="190">
        <v>7401710</v>
      </c>
      <c r="BL6" s="189"/>
      <c r="BM6" s="190">
        <v>0</v>
      </c>
      <c r="BN6" s="190">
        <v>1792633</v>
      </c>
      <c r="BO6" s="188"/>
      <c r="BP6" s="189"/>
      <c r="BQ6" s="188"/>
      <c r="BR6" s="188"/>
      <c r="BS6" s="190">
        <v>0</v>
      </c>
      <c r="BT6" s="188"/>
      <c r="BU6" s="190">
        <v>1010520</v>
      </c>
      <c r="BV6" s="189"/>
      <c r="BW6" s="188"/>
      <c r="BX6" s="190">
        <v>389392</v>
      </c>
      <c r="BY6" s="190">
        <v>1168859</v>
      </c>
      <c r="BZ6" s="188"/>
      <c r="CA6" s="188"/>
      <c r="CB6" s="190">
        <v>2132758</v>
      </c>
      <c r="CC6" s="188"/>
      <c r="CD6" s="188"/>
      <c r="CE6" s="188"/>
      <c r="CF6" s="190">
        <v>267731</v>
      </c>
      <c r="CG6" s="188"/>
      <c r="CH6" s="188"/>
      <c r="CI6" s="188"/>
      <c r="CJ6" s="188"/>
      <c r="CK6" s="188"/>
      <c r="CL6" s="188"/>
      <c r="CM6" s="191">
        <f>SUM(CM4:CM5)</f>
        <v>459365</v>
      </c>
      <c r="CN6" s="190"/>
      <c r="CO6" s="192">
        <f t="shared" si="0"/>
        <v>216801974</v>
      </c>
    </row>
    <row r="7" spans="1:95" s="163" customFormat="1" x14ac:dyDescent="0.3">
      <c r="A7" s="168" t="s">
        <v>194</v>
      </c>
      <c r="B7" s="183"/>
      <c r="C7" s="183"/>
      <c r="D7" s="183"/>
      <c r="E7" s="183"/>
      <c r="F7" s="185"/>
      <c r="G7" s="183"/>
      <c r="H7" s="183"/>
      <c r="I7" s="185"/>
      <c r="J7" s="184">
        <v>0</v>
      </c>
      <c r="K7" s="184">
        <v>0</v>
      </c>
      <c r="L7" s="183"/>
      <c r="M7" s="185"/>
      <c r="N7" s="183"/>
      <c r="O7" s="183"/>
      <c r="P7" s="183"/>
      <c r="Q7" s="183"/>
      <c r="R7" s="184">
        <v>0</v>
      </c>
      <c r="S7" s="183"/>
      <c r="T7" s="185"/>
      <c r="U7" s="183"/>
      <c r="V7" s="183"/>
      <c r="W7" s="185"/>
      <c r="X7" s="183"/>
      <c r="Y7" s="184">
        <v>0</v>
      </c>
      <c r="Z7" s="183"/>
      <c r="AA7" s="184">
        <v>0</v>
      </c>
      <c r="AB7" s="185">
        <v>11231993</v>
      </c>
      <c r="AC7" s="183"/>
      <c r="AD7" s="185"/>
      <c r="AE7" s="185"/>
      <c r="AF7" s="183"/>
      <c r="AG7" s="183">
        <v>4521589</v>
      </c>
      <c r="AH7" s="183"/>
      <c r="AI7" s="183"/>
      <c r="AJ7" s="183"/>
      <c r="AK7" s="184">
        <v>0</v>
      </c>
      <c r="AL7" s="184">
        <v>6886695</v>
      </c>
      <c r="AM7" s="183"/>
      <c r="AN7" s="183"/>
      <c r="AO7" s="184">
        <v>0</v>
      </c>
      <c r="AP7" s="183"/>
      <c r="AQ7" s="183"/>
      <c r="AR7" s="183"/>
      <c r="AS7" s="183"/>
      <c r="AT7" s="185">
        <v>12495475</v>
      </c>
      <c r="AU7" s="184">
        <v>0</v>
      </c>
      <c r="AV7" s="185"/>
      <c r="AW7" s="183"/>
      <c r="AX7" s="184">
        <v>0</v>
      </c>
      <c r="AY7" s="184">
        <v>0</v>
      </c>
      <c r="AZ7" s="183"/>
      <c r="BA7" s="185"/>
      <c r="BB7" s="183"/>
      <c r="BC7" s="184">
        <v>0</v>
      </c>
      <c r="BD7" s="183"/>
      <c r="BE7" s="183"/>
      <c r="BF7" s="183"/>
      <c r="BG7" s="183"/>
      <c r="BH7" s="183"/>
      <c r="BI7" s="184">
        <v>0</v>
      </c>
      <c r="BJ7" s="184">
        <v>0</v>
      </c>
      <c r="BK7" s="184">
        <v>0</v>
      </c>
      <c r="BL7" s="185"/>
      <c r="BM7" s="184">
        <v>0</v>
      </c>
      <c r="BN7" s="184">
        <v>0</v>
      </c>
      <c r="BO7" s="183"/>
      <c r="BP7" s="185"/>
      <c r="BQ7" s="183"/>
      <c r="BR7" s="183"/>
      <c r="BS7" s="184">
        <v>0</v>
      </c>
      <c r="BT7" s="183">
        <v>5357895</v>
      </c>
      <c r="BU7" s="184">
        <v>0</v>
      </c>
      <c r="BV7" s="185"/>
      <c r="BW7" s="183"/>
      <c r="BX7" s="184">
        <v>0</v>
      </c>
      <c r="BY7" s="184">
        <v>0</v>
      </c>
      <c r="BZ7" s="183"/>
      <c r="CA7" s="183"/>
      <c r="CB7" s="184">
        <v>819034</v>
      </c>
      <c r="CC7" s="183"/>
      <c r="CD7" s="183"/>
      <c r="CE7" s="183"/>
      <c r="CF7" s="184">
        <v>50287</v>
      </c>
      <c r="CG7" s="183"/>
      <c r="CH7" s="183"/>
      <c r="CI7" s="183"/>
      <c r="CJ7" s="183"/>
      <c r="CK7" s="183"/>
      <c r="CL7" s="183"/>
      <c r="CM7" s="184">
        <v>0</v>
      </c>
      <c r="CN7" s="184"/>
      <c r="CO7" s="187">
        <f t="shared" si="0"/>
        <v>41362968</v>
      </c>
    </row>
    <row r="8" spans="1:95" s="163" customFormat="1" x14ac:dyDescent="0.3">
      <c r="A8" s="168" t="s">
        <v>195</v>
      </c>
      <c r="B8" s="183"/>
      <c r="C8" s="183"/>
      <c r="D8" s="183"/>
      <c r="E8" s="183"/>
      <c r="F8" s="185"/>
      <c r="G8" s="183"/>
      <c r="H8" s="183"/>
      <c r="I8" s="185"/>
      <c r="J8" s="184">
        <v>0</v>
      </c>
      <c r="K8" s="184">
        <v>0</v>
      </c>
      <c r="L8" s="183"/>
      <c r="M8" s="185"/>
      <c r="N8" s="183"/>
      <c r="O8" s="183"/>
      <c r="P8" s="183"/>
      <c r="Q8" s="183"/>
      <c r="R8" s="184">
        <v>0</v>
      </c>
      <c r="S8" s="183"/>
      <c r="T8" s="185"/>
      <c r="U8" s="183"/>
      <c r="V8" s="183"/>
      <c r="W8" s="185"/>
      <c r="X8" s="183"/>
      <c r="Y8" s="184">
        <v>0</v>
      </c>
      <c r="Z8" s="183"/>
      <c r="AA8" s="184">
        <v>0</v>
      </c>
      <c r="AB8" s="185"/>
      <c r="AC8" s="183"/>
      <c r="AD8" s="185"/>
      <c r="AE8" s="185"/>
      <c r="AF8" s="183"/>
      <c r="AG8" s="183"/>
      <c r="AH8" s="183"/>
      <c r="AI8" s="183"/>
      <c r="AJ8" s="183"/>
      <c r="AK8" s="184">
        <v>0</v>
      </c>
      <c r="AL8" s="184">
        <v>0</v>
      </c>
      <c r="AM8" s="183"/>
      <c r="AN8" s="183"/>
      <c r="AO8" s="184">
        <v>0</v>
      </c>
      <c r="AP8" s="183"/>
      <c r="AQ8" s="183"/>
      <c r="AR8" s="183"/>
      <c r="AS8" s="183"/>
      <c r="AT8" s="185"/>
      <c r="AU8" s="184">
        <v>0</v>
      </c>
      <c r="AV8" s="185"/>
      <c r="AW8" s="183"/>
      <c r="AX8" s="184">
        <v>0</v>
      </c>
      <c r="AY8" s="184">
        <v>0</v>
      </c>
      <c r="AZ8" s="183"/>
      <c r="BA8" s="185"/>
      <c r="BB8" s="183"/>
      <c r="BC8" s="184">
        <v>0</v>
      </c>
      <c r="BD8" s="183"/>
      <c r="BE8" s="183"/>
      <c r="BF8" s="183"/>
      <c r="BG8" s="183"/>
      <c r="BH8" s="183"/>
      <c r="BI8" s="184">
        <v>0</v>
      </c>
      <c r="BJ8" s="184">
        <v>0</v>
      </c>
      <c r="BK8" s="184">
        <v>0</v>
      </c>
      <c r="BL8" s="185"/>
      <c r="BM8" s="184">
        <v>0</v>
      </c>
      <c r="BN8" s="184">
        <v>0</v>
      </c>
      <c r="BO8" s="183"/>
      <c r="BP8" s="185"/>
      <c r="BQ8" s="183"/>
      <c r="BR8" s="183"/>
      <c r="BS8" s="184">
        <v>0</v>
      </c>
      <c r="BT8" s="183"/>
      <c r="BU8" s="184">
        <v>0</v>
      </c>
      <c r="BV8" s="185"/>
      <c r="BW8" s="183"/>
      <c r="BX8" s="184">
        <v>0</v>
      </c>
      <c r="BY8" s="184">
        <v>0</v>
      </c>
      <c r="BZ8" s="183"/>
      <c r="CA8" s="183"/>
      <c r="CB8" s="184">
        <v>0</v>
      </c>
      <c r="CC8" s="183"/>
      <c r="CD8" s="183"/>
      <c r="CE8" s="183"/>
      <c r="CF8" s="184">
        <v>0</v>
      </c>
      <c r="CG8" s="183"/>
      <c r="CH8" s="183"/>
      <c r="CI8" s="183"/>
      <c r="CJ8" s="183"/>
      <c r="CK8" s="183"/>
      <c r="CL8" s="183"/>
      <c r="CM8" s="184">
        <v>0</v>
      </c>
      <c r="CN8" s="184"/>
      <c r="CO8" s="187">
        <f t="shared" si="0"/>
        <v>0</v>
      </c>
    </row>
    <row r="9" spans="1:95" s="163" customFormat="1" x14ac:dyDescent="0.3">
      <c r="A9" s="168" t="s">
        <v>196</v>
      </c>
      <c r="B9" s="183">
        <v>1573007</v>
      </c>
      <c r="C9" s="183">
        <v>4424004</v>
      </c>
      <c r="D9" s="183">
        <v>1207650</v>
      </c>
      <c r="E9" s="183">
        <v>850153</v>
      </c>
      <c r="F9" s="184">
        <v>15290495</v>
      </c>
      <c r="G9" s="183">
        <v>349920</v>
      </c>
      <c r="H9" s="183">
        <v>1034205</v>
      </c>
      <c r="I9" s="185">
        <v>7637891</v>
      </c>
      <c r="J9" s="184">
        <v>0</v>
      </c>
      <c r="K9" s="184">
        <v>2790003</v>
      </c>
      <c r="L9" s="183">
        <v>2273106</v>
      </c>
      <c r="M9" s="185">
        <v>7169376</v>
      </c>
      <c r="N9" s="183">
        <v>1183987</v>
      </c>
      <c r="O9" s="183">
        <v>3231652</v>
      </c>
      <c r="P9" s="183">
        <v>1018819</v>
      </c>
      <c r="Q9" s="183">
        <v>1184866</v>
      </c>
      <c r="R9" s="184">
        <v>2362940</v>
      </c>
      <c r="S9" s="183">
        <v>3335937</v>
      </c>
      <c r="T9" s="185">
        <v>5432762</v>
      </c>
      <c r="U9" s="183">
        <v>1410393</v>
      </c>
      <c r="V9" s="183">
        <v>100541</v>
      </c>
      <c r="W9" s="185">
        <v>4100926</v>
      </c>
      <c r="X9" s="183">
        <v>974979</v>
      </c>
      <c r="Y9" s="184">
        <v>465132</v>
      </c>
      <c r="Z9" s="183">
        <v>1298437</v>
      </c>
      <c r="AA9" s="184">
        <v>2507323</v>
      </c>
      <c r="AB9" s="185">
        <v>11231993</v>
      </c>
      <c r="AC9" s="183">
        <v>1035999.9999999999</v>
      </c>
      <c r="AD9" s="185">
        <v>6722945</v>
      </c>
      <c r="AE9" s="185">
        <v>9915691</v>
      </c>
      <c r="AF9" s="183">
        <v>3626236</v>
      </c>
      <c r="AG9" s="183">
        <v>4521589</v>
      </c>
      <c r="AH9" s="183">
        <v>1039740</v>
      </c>
      <c r="AI9" s="183">
        <v>2148401</v>
      </c>
      <c r="AJ9" s="183">
        <v>2304940</v>
      </c>
      <c r="AK9" s="184">
        <v>1208832</v>
      </c>
      <c r="AL9" s="184">
        <v>6886695</v>
      </c>
      <c r="AM9" s="183">
        <v>582496</v>
      </c>
      <c r="AN9" s="183">
        <v>2281551</v>
      </c>
      <c r="AO9" s="184">
        <v>119125</v>
      </c>
      <c r="AP9" s="183">
        <v>960832</v>
      </c>
      <c r="AQ9" s="183">
        <v>64972</v>
      </c>
      <c r="AR9" s="183">
        <v>3001251</v>
      </c>
      <c r="AS9" s="183">
        <v>481921</v>
      </c>
      <c r="AT9" s="185">
        <v>12495475</v>
      </c>
      <c r="AU9" s="184">
        <v>2742691</v>
      </c>
      <c r="AV9" s="185">
        <v>5690163</v>
      </c>
      <c r="AW9" s="183">
        <v>2214840</v>
      </c>
      <c r="AX9" s="184">
        <v>115101</v>
      </c>
      <c r="AY9" s="184">
        <v>179341134</v>
      </c>
      <c r="AZ9" s="183">
        <v>1899235</v>
      </c>
      <c r="BA9" s="185">
        <v>11537195</v>
      </c>
      <c r="BB9" s="183">
        <v>8242189</v>
      </c>
      <c r="BC9" s="184">
        <v>4661250</v>
      </c>
      <c r="BD9" s="183">
        <v>882905</v>
      </c>
      <c r="BE9" s="183">
        <v>1157580</v>
      </c>
      <c r="BF9" s="183">
        <v>2758450</v>
      </c>
      <c r="BG9" s="183">
        <v>3700773</v>
      </c>
      <c r="BH9" s="183">
        <v>2190000</v>
      </c>
      <c r="BI9" s="184">
        <v>3180625</v>
      </c>
      <c r="BJ9" s="184">
        <v>0</v>
      </c>
      <c r="BK9" s="184">
        <v>7401710</v>
      </c>
      <c r="BL9" s="185">
        <v>8265495</v>
      </c>
      <c r="BM9" s="184">
        <v>357800</v>
      </c>
      <c r="BN9" s="184">
        <v>2447219</v>
      </c>
      <c r="BO9" s="183">
        <v>5460800</v>
      </c>
      <c r="BP9" s="185">
        <v>10747235</v>
      </c>
      <c r="BQ9" s="183">
        <v>384030</v>
      </c>
      <c r="BR9" s="183">
        <v>3224003</v>
      </c>
      <c r="BS9" s="184">
        <v>0</v>
      </c>
      <c r="BT9" s="183">
        <v>5357895</v>
      </c>
      <c r="BU9" s="184">
        <v>1990520</v>
      </c>
      <c r="BV9" s="185">
        <v>13172207</v>
      </c>
      <c r="BW9" s="183">
        <v>1885587</v>
      </c>
      <c r="BX9" s="184">
        <v>389392</v>
      </c>
      <c r="BY9" s="184">
        <v>1168859</v>
      </c>
      <c r="BZ9" s="183">
        <v>243026</v>
      </c>
      <c r="CA9" s="183">
        <v>1085366</v>
      </c>
      <c r="CB9" s="184">
        <v>3162191</v>
      </c>
      <c r="CC9" s="183">
        <v>600563</v>
      </c>
      <c r="CD9" s="183">
        <v>648456</v>
      </c>
      <c r="CE9" s="183">
        <v>269700</v>
      </c>
      <c r="CF9" s="184">
        <v>657679</v>
      </c>
      <c r="CG9" s="183">
        <v>621290</v>
      </c>
      <c r="CH9" s="183">
        <v>834833</v>
      </c>
      <c r="CI9" s="183">
        <v>648000</v>
      </c>
      <c r="CJ9" s="183">
        <v>1908000</v>
      </c>
      <c r="CK9" s="183">
        <v>136818</v>
      </c>
      <c r="CL9" s="183" t="s">
        <v>371</v>
      </c>
      <c r="CM9" s="184">
        <v>459365</v>
      </c>
      <c r="CN9" s="184"/>
      <c r="CO9" s="187">
        <f t="shared" si="0"/>
        <v>447681359</v>
      </c>
    </row>
    <row r="10" spans="1:95" s="154" customFormat="1" x14ac:dyDescent="0.3">
      <c r="A10" s="171" t="s">
        <v>199</v>
      </c>
      <c r="B10" s="188">
        <v>1573007</v>
      </c>
      <c r="C10" s="188">
        <v>4424004</v>
      </c>
      <c r="D10" s="188">
        <v>1207650</v>
      </c>
      <c r="E10" s="188">
        <v>850153</v>
      </c>
      <c r="F10" s="193">
        <v>15290495</v>
      </c>
      <c r="G10" s="188">
        <v>349920</v>
      </c>
      <c r="H10" s="188">
        <v>1034205</v>
      </c>
      <c r="I10" s="193">
        <v>7637891</v>
      </c>
      <c r="J10" s="188">
        <v>5961600</v>
      </c>
      <c r="K10" s="188">
        <v>2790003</v>
      </c>
      <c r="L10" s="188">
        <v>2273106</v>
      </c>
      <c r="M10" s="193">
        <v>7169376</v>
      </c>
      <c r="N10" s="194">
        <f>SUM(N4:N5,N7)</f>
        <v>1440955</v>
      </c>
      <c r="O10" s="188">
        <v>3231652</v>
      </c>
      <c r="P10" s="188">
        <v>1018819</v>
      </c>
      <c r="Q10" s="188">
        <v>1184866</v>
      </c>
      <c r="R10" s="188">
        <v>2362940</v>
      </c>
      <c r="S10" s="188">
        <v>3335937</v>
      </c>
      <c r="T10" s="194">
        <f>SUM(T4:T5,T7)</f>
        <v>5707313</v>
      </c>
      <c r="U10" s="194">
        <f>SUM(U4:U5,U7)</f>
        <v>2190122</v>
      </c>
      <c r="V10" s="188">
        <v>100541</v>
      </c>
      <c r="W10" s="193">
        <v>4100926</v>
      </c>
      <c r="X10" s="188">
        <v>974979</v>
      </c>
      <c r="Y10" s="194">
        <f>SUM(Y4:Y5,Y7)</f>
        <v>523274</v>
      </c>
      <c r="Z10" s="188">
        <v>1298437</v>
      </c>
      <c r="AA10" s="188">
        <v>2507323</v>
      </c>
      <c r="AB10" s="193">
        <v>11231993</v>
      </c>
      <c r="AC10" s="188">
        <v>1035999.9999999999</v>
      </c>
      <c r="AD10" s="193">
        <v>6722945</v>
      </c>
      <c r="AE10" s="193">
        <v>9915691</v>
      </c>
      <c r="AF10" s="188">
        <v>3626236</v>
      </c>
      <c r="AG10" s="188">
        <v>4521589</v>
      </c>
      <c r="AH10" s="188">
        <v>1039740</v>
      </c>
      <c r="AI10" s="188">
        <v>2148401</v>
      </c>
      <c r="AJ10" s="188">
        <v>2304940</v>
      </c>
      <c r="AK10" s="188">
        <v>1263982</v>
      </c>
      <c r="AL10" s="193">
        <v>6886695</v>
      </c>
      <c r="AM10" s="188">
        <v>582496</v>
      </c>
      <c r="AN10" s="188">
        <v>2281551</v>
      </c>
      <c r="AO10" s="194">
        <v>153695</v>
      </c>
      <c r="AP10" s="194">
        <f>SUM(AP4:AP5,AP7)</f>
        <v>1060062</v>
      </c>
      <c r="AQ10" s="188">
        <v>64972</v>
      </c>
      <c r="AR10" s="188">
        <v>3001251</v>
      </c>
      <c r="AS10" s="188">
        <v>481921</v>
      </c>
      <c r="AT10" s="193">
        <v>12495475</v>
      </c>
      <c r="AU10" s="188">
        <v>2742691</v>
      </c>
      <c r="AV10" s="193">
        <v>5690163</v>
      </c>
      <c r="AW10" s="188">
        <v>2214840</v>
      </c>
      <c r="AX10" s="194">
        <f>SUM(AX4:AX5,AX7)</f>
        <v>83533</v>
      </c>
      <c r="AY10" s="194">
        <f>SUM(AY4:AY5,AY7)</f>
        <v>193642797</v>
      </c>
      <c r="AZ10" s="194">
        <f>SUM(AZ4:AZ5,AZ7)</f>
        <v>3874068</v>
      </c>
      <c r="BA10" s="193">
        <v>11537195</v>
      </c>
      <c r="BB10" s="188">
        <v>8242189</v>
      </c>
      <c r="BC10" s="188">
        <v>4661250</v>
      </c>
      <c r="BD10" s="188">
        <v>882905</v>
      </c>
      <c r="BE10" s="188">
        <v>1157580</v>
      </c>
      <c r="BF10" s="188">
        <v>2758450</v>
      </c>
      <c r="BG10" s="188">
        <v>3700773</v>
      </c>
      <c r="BH10" s="188">
        <v>2190000</v>
      </c>
      <c r="BI10" s="188">
        <v>3184387</v>
      </c>
      <c r="BJ10" s="188">
        <v>140272</v>
      </c>
      <c r="BK10" s="193">
        <v>7401710</v>
      </c>
      <c r="BL10" s="193">
        <v>8265495</v>
      </c>
      <c r="BM10" s="194">
        <f>SUM(BM4:BM5,BM7)</f>
        <v>357800</v>
      </c>
      <c r="BN10" s="188">
        <v>2447219</v>
      </c>
      <c r="BO10" s="188">
        <v>5460800</v>
      </c>
      <c r="BP10" s="193">
        <v>10747235</v>
      </c>
      <c r="BQ10" s="188">
        <v>384030</v>
      </c>
      <c r="BR10" s="188">
        <v>3224003</v>
      </c>
      <c r="BS10" s="188">
        <v>350447</v>
      </c>
      <c r="BT10" s="194">
        <f>SUM(BT4:BT5,BT7)</f>
        <v>5766005</v>
      </c>
      <c r="BU10" s="188">
        <v>3028040</v>
      </c>
      <c r="BV10" s="193">
        <v>13172207</v>
      </c>
      <c r="BW10" s="188">
        <v>1885587</v>
      </c>
      <c r="BX10" s="188">
        <v>389392</v>
      </c>
      <c r="BY10" s="188">
        <v>1168859</v>
      </c>
      <c r="BZ10" s="188">
        <v>243026</v>
      </c>
      <c r="CA10" s="188">
        <v>1085366</v>
      </c>
      <c r="CB10" s="188">
        <v>3167191</v>
      </c>
      <c r="CC10" s="188">
        <v>600563</v>
      </c>
      <c r="CD10" s="188">
        <v>648456</v>
      </c>
      <c r="CE10" s="188">
        <v>269700</v>
      </c>
      <c r="CF10" s="188">
        <v>739008</v>
      </c>
      <c r="CG10" s="188">
        <v>621290</v>
      </c>
      <c r="CH10" s="188">
        <v>834833</v>
      </c>
      <c r="CI10" s="188">
        <v>648000</v>
      </c>
      <c r="CJ10" s="188">
        <v>1908000</v>
      </c>
      <c r="CK10" s="188">
        <v>136818</v>
      </c>
      <c r="CL10" s="194">
        <f>SUM(CL4:CL5,CL7)</f>
        <v>571536</v>
      </c>
      <c r="CM10" s="188">
        <v>459365</v>
      </c>
      <c r="CN10" s="188"/>
      <c r="CO10" s="192">
        <f t="shared" si="0"/>
        <v>474044203</v>
      </c>
    </row>
    <row r="11" spans="1:95" x14ac:dyDescent="0.3">
      <c r="A11" s="169"/>
      <c r="B11" s="183">
        <f>SUM(B4:B5,B7)-B10</f>
        <v>0</v>
      </c>
      <c r="C11" s="183">
        <f t="shared" ref="C11:BN11" si="1">SUM(C4:C5,C7)-C10</f>
        <v>0</v>
      </c>
      <c r="D11" s="183">
        <f t="shared" si="1"/>
        <v>0</v>
      </c>
      <c r="E11" s="183">
        <f t="shared" si="1"/>
        <v>0</v>
      </c>
      <c r="F11" s="183">
        <f t="shared" si="1"/>
        <v>0</v>
      </c>
      <c r="G11" s="183">
        <f t="shared" si="1"/>
        <v>0</v>
      </c>
      <c r="H11" s="183">
        <f t="shared" si="1"/>
        <v>0</v>
      </c>
      <c r="I11" s="183">
        <f t="shared" si="1"/>
        <v>0</v>
      </c>
      <c r="J11" s="183">
        <f t="shared" si="1"/>
        <v>0</v>
      </c>
      <c r="K11" s="183">
        <f t="shared" si="1"/>
        <v>0</v>
      </c>
      <c r="L11" s="183">
        <f t="shared" si="1"/>
        <v>0</v>
      </c>
      <c r="M11" s="183">
        <f t="shared" si="1"/>
        <v>0</v>
      </c>
      <c r="N11" s="183">
        <f t="shared" si="1"/>
        <v>0</v>
      </c>
      <c r="O11" s="183">
        <f t="shared" si="1"/>
        <v>0</v>
      </c>
      <c r="P11" s="183">
        <f t="shared" si="1"/>
        <v>0</v>
      </c>
      <c r="Q11" s="183">
        <f t="shared" si="1"/>
        <v>0</v>
      </c>
      <c r="R11" s="183">
        <f t="shared" si="1"/>
        <v>0</v>
      </c>
      <c r="S11" s="183">
        <f t="shared" si="1"/>
        <v>0</v>
      </c>
      <c r="T11" s="183">
        <f t="shared" si="1"/>
        <v>0</v>
      </c>
      <c r="U11" s="183">
        <f t="shared" si="1"/>
        <v>0</v>
      </c>
      <c r="V11" s="183">
        <f t="shared" si="1"/>
        <v>0</v>
      </c>
      <c r="W11" s="183">
        <f t="shared" si="1"/>
        <v>0</v>
      </c>
      <c r="X11" s="183">
        <f t="shared" si="1"/>
        <v>0</v>
      </c>
      <c r="Y11" s="183">
        <f t="shared" si="1"/>
        <v>0</v>
      </c>
      <c r="Z11" s="183">
        <f t="shared" si="1"/>
        <v>0</v>
      </c>
      <c r="AA11" s="183">
        <f t="shared" si="1"/>
        <v>0</v>
      </c>
      <c r="AB11" s="183">
        <f t="shared" si="1"/>
        <v>0</v>
      </c>
      <c r="AC11" s="183">
        <f t="shared" si="1"/>
        <v>0</v>
      </c>
      <c r="AD11" s="183">
        <f t="shared" si="1"/>
        <v>0</v>
      </c>
      <c r="AE11" s="183">
        <f t="shared" si="1"/>
        <v>0</v>
      </c>
      <c r="AF11" s="183">
        <f t="shared" si="1"/>
        <v>0</v>
      </c>
      <c r="AG11" s="183">
        <f t="shared" si="1"/>
        <v>0</v>
      </c>
      <c r="AH11" s="183">
        <f t="shared" si="1"/>
        <v>0</v>
      </c>
      <c r="AI11" s="183">
        <f t="shared" si="1"/>
        <v>0</v>
      </c>
      <c r="AJ11" s="183">
        <f t="shared" si="1"/>
        <v>0</v>
      </c>
      <c r="AK11" s="183">
        <f t="shared" si="1"/>
        <v>0</v>
      </c>
      <c r="AL11" s="183">
        <f t="shared" si="1"/>
        <v>0</v>
      </c>
      <c r="AM11" s="183">
        <f t="shared" si="1"/>
        <v>0</v>
      </c>
      <c r="AN11" s="183">
        <f t="shared" si="1"/>
        <v>0</v>
      </c>
      <c r="AO11" s="183">
        <f t="shared" si="1"/>
        <v>0</v>
      </c>
      <c r="AP11" s="183">
        <f t="shared" si="1"/>
        <v>0</v>
      </c>
      <c r="AQ11" s="183">
        <f t="shared" si="1"/>
        <v>0</v>
      </c>
      <c r="AR11" s="183">
        <f t="shared" si="1"/>
        <v>0</v>
      </c>
      <c r="AS11" s="183">
        <f t="shared" si="1"/>
        <v>0</v>
      </c>
      <c r="AT11" s="183">
        <f t="shared" si="1"/>
        <v>0</v>
      </c>
      <c r="AU11" s="183">
        <f t="shared" si="1"/>
        <v>0</v>
      </c>
      <c r="AV11" s="183">
        <f t="shared" si="1"/>
        <v>0</v>
      </c>
      <c r="AW11" s="183">
        <f t="shared" si="1"/>
        <v>0</v>
      </c>
      <c r="AX11" s="183">
        <f t="shared" si="1"/>
        <v>0</v>
      </c>
      <c r="AY11" s="183">
        <f t="shared" si="1"/>
        <v>0</v>
      </c>
      <c r="AZ11" s="183">
        <f t="shared" si="1"/>
        <v>0</v>
      </c>
      <c r="BA11" s="183">
        <f t="shared" si="1"/>
        <v>0</v>
      </c>
      <c r="BB11" s="183">
        <f t="shared" si="1"/>
        <v>0</v>
      </c>
      <c r="BC11" s="183">
        <f t="shared" si="1"/>
        <v>0</v>
      </c>
      <c r="BD11" s="183">
        <f t="shared" si="1"/>
        <v>0</v>
      </c>
      <c r="BE11" s="183">
        <f t="shared" si="1"/>
        <v>0</v>
      </c>
      <c r="BF11" s="183">
        <f t="shared" si="1"/>
        <v>0</v>
      </c>
      <c r="BG11" s="183">
        <f t="shared" si="1"/>
        <v>0</v>
      </c>
      <c r="BH11" s="183">
        <f t="shared" si="1"/>
        <v>0</v>
      </c>
      <c r="BI11" s="183">
        <f t="shared" si="1"/>
        <v>0</v>
      </c>
      <c r="BJ11" s="183">
        <f t="shared" si="1"/>
        <v>0</v>
      </c>
      <c r="BK11" s="183">
        <f t="shared" si="1"/>
        <v>0</v>
      </c>
      <c r="BL11" s="183">
        <f t="shared" si="1"/>
        <v>0</v>
      </c>
      <c r="BM11" s="183">
        <f t="shared" si="1"/>
        <v>0</v>
      </c>
      <c r="BN11" s="183">
        <f t="shared" si="1"/>
        <v>0</v>
      </c>
      <c r="BO11" s="183">
        <f t="shared" ref="BO11:CM11" si="2">SUM(BO4:BO5,BO7)-BO10</f>
        <v>0</v>
      </c>
      <c r="BP11" s="183">
        <f t="shared" si="2"/>
        <v>0</v>
      </c>
      <c r="BQ11" s="183">
        <f t="shared" si="2"/>
        <v>0</v>
      </c>
      <c r="BR11" s="183">
        <f t="shared" si="2"/>
        <v>0</v>
      </c>
      <c r="BS11" s="183">
        <f t="shared" si="2"/>
        <v>0</v>
      </c>
      <c r="BT11" s="183">
        <f t="shared" si="2"/>
        <v>0</v>
      </c>
      <c r="BU11" s="183">
        <f t="shared" si="2"/>
        <v>0</v>
      </c>
      <c r="BV11" s="183">
        <f t="shared" si="2"/>
        <v>0</v>
      </c>
      <c r="BW11" s="183">
        <f t="shared" si="2"/>
        <v>0</v>
      </c>
      <c r="BX11" s="183">
        <f t="shared" si="2"/>
        <v>0</v>
      </c>
      <c r="BY11" s="183">
        <f t="shared" si="2"/>
        <v>0</v>
      </c>
      <c r="BZ11" s="183">
        <f t="shared" si="2"/>
        <v>0</v>
      </c>
      <c r="CA11" s="183">
        <f t="shared" si="2"/>
        <v>0</v>
      </c>
      <c r="CB11" s="183">
        <f t="shared" si="2"/>
        <v>0</v>
      </c>
      <c r="CC11" s="183">
        <f t="shared" si="2"/>
        <v>0</v>
      </c>
      <c r="CD11" s="183">
        <f t="shared" si="2"/>
        <v>0</v>
      </c>
      <c r="CE11" s="183">
        <f t="shared" si="2"/>
        <v>0</v>
      </c>
      <c r="CF11" s="183">
        <f t="shared" si="2"/>
        <v>0</v>
      </c>
      <c r="CG11" s="183">
        <f t="shared" si="2"/>
        <v>0</v>
      </c>
      <c r="CH11" s="183">
        <f t="shared" si="2"/>
        <v>0</v>
      </c>
      <c r="CI11" s="183">
        <f t="shared" si="2"/>
        <v>0</v>
      </c>
      <c r="CJ11" s="183">
        <f t="shared" si="2"/>
        <v>0</v>
      </c>
      <c r="CK11" s="183">
        <f t="shared" si="2"/>
        <v>0</v>
      </c>
      <c r="CL11" s="183">
        <f t="shared" si="2"/>
        <v>0</v>
      </c>
      <c r="CM11" s="183">
        <f t="shared" si="2"/>
        <v>0</v>
      </c>
      <c r="CN11" s="183"/>
      <c r="CO11" s="187"/>
    </row>
    <row r="12" spans="1:95" x14ac:dyDescent="0.3">
      <c r="A12" s="169" t="s">
        <v>373</v>
      </c>
      <c r="B12" s="183">
        <v>73930703</v>
      </c>
      <c r="C12" s="183">
        <v>240039575</v>
      </c>
      <c r="D12" s="183">
        <v>79258129.000000015</v>
      </c>
      <c r="E12" s="183">
        <v>23063224</v>
      </c>
      <c r="F12" s="183">
        <v>712238579.85000002</v>
      </c>
      <c r="G12" s="183">
        <v>79772794</v>
      </c>
      <c r="H12" s="183">
        <v>38597578</v>
      </c>
      <c r="I12" s="183">
        <v>362957365.25</v>
      </c>
      <c r="J12" s="183">
        <v>467720773.05000001</v>
      </c>
      <c r="K12" s="183">
        <v>60579777</v>
      </c>
      <c r="L12" s="183">
        <v>58531874</v>
      </c>
      <c r="M12" s="183">
        <v>136723929</v>
      </c>
      <c r="N12" s="183">
        <v>70805791</v>
      </c>
      <c r="O12" s="183">
        <v>175399184.69999999</v>
      </c>
      <c r="P12" s="183">
        <v>97875348</v>
      </c>
      <c r="Q12" s="183">
        <v>56402541</v>
      </c>
      <c r="R12" s="183">
        <v>82307738.049999997</v>
      </c>
      <c r="S12" s="183">
        <v>76336089</v>
      </c>
      <c r="T12" s="183">
        <v>245037471.69999999</v>
      </c>
      <c r="U12" s="183">
        <v>109157959</v>
      </c>
      <c r="V12" s="183">
        <v>14266064</v>
      </c>
      <c r="W12" s="183">
        <v>263530219</v>
      </c>
      <c r="X12" s="183">
        <v>135178025</v>
      </c>
      <c r="Y12" s="183">
        <v>22573822</v>
      </c>
      <c r="Z12" s="183">
        <v>86202402</v>
      </c>
      <c r="AA12" s="183">
        <v>139042955</v>
      </c>
      <c r="AB12" s="183">
        <v>567200567.25</v>
      </c>
      <c r="AC12" s="183">
        <v>59753783.999999993</v>
      </c>
      <c r="AD12" s="183">
        <v>175178481</v>
      </c>
      <c r="AE12" s="183">
        <v>825840836.62499988</v>
      </c>
      <c r="AF12" s="183">
        <v>278521048</v>
      </c>
      <c r="AG12" s="183">
        <v>208215827</v>
      </c>
      <c r="AH12" s="183">
        <v>16654271.000000002</v>
      </c>
      <c r="AI12" s="183">
        <v>141350626</v>
      </c>
      <c r="AJ12" s="183">
        <v>54230924</v>
      </c>
      <c r="AK12" s="183">
        <v>130523129</v>
      </c>
      <c r="AL12" s="183">
        <v>556219860</v>
      </c>
      <c r="AM12" s="183">
        <v>178566758.00000003</v>
      </c>
      <c r="AN12" s="183">
        <v>148496925</v>
      </c>
      <c r="AO12" s="183">
        <v>16952185</v>
      </c>
      <c r="AP12" s="183">
        <v>208513398</v>
      </c>
      <c r="AQ12" s="183">
        <v>5071016</v>
      </c>
      <c r="AR12" s="183">
        <v>215552899.00000003</v>
      </c>
      <c r="AS12" s="183">
        <v>51740623</v>
      </c>
      <c r="AT12" s="183">
        <v>913363452</v>
      </c>
      <c r="AU12" s="183">
        <v>228357823.88999999</v>
      </c>
      <c r="AV12" s="183">
        <v>228667569</v>
      </c>
      <c r="AW12" s="183">
        <v>21187941</v>
      </c>
      <c r="AX12" s="183">
        <v>18538604</v>
      </c>
      <c r="AY12" s="183">
        <v>6783361904.8000002</v>
      </c>
      <c r="AZ12" s="183">
        <v>93019470</v>
      </c>
      <c r="BA12" s="183">
        <v>828985022.44999993</v>
      </c>
      <c r="BB12" s="183">
        <v>314924993</v>
      </c>
      <c r="BC12" s="183">
        <v>395503353.04999995</v>
      </c>
      <c r="BD12" s="183">
        <v>110004557</v>
      </c>
      <c r="BE12" s="183">
        <v>38340240</v>
      </c>
      <c r="BF12" s="183">
        <v>69827129</v>
      </c>
      <c r="BG12" s="183">
        <v>110540087</v>
      </c>
      <c r="BH12" s="183">
        <v>69932275</v>
      </c>
      <c r="BI12" s="183">
        <v>221959600.69999999</v>
      </c>
      <c r="BJ12" s="183">
        <v>4239561</v>
      </c>
      <c r="BK12" s="183">
        <v>452536761.60000002</v>
      </c>
      <c r="BL12" s="183">
        <v>338225166.84999996</v>
      </c>
      <c r="BM12" s="183">
        <v>32142167</v>
      </c>
      <c r="BN12" s="183">
        <v>187075312</v>
      </c>
      <c r="BO12" s="183">
        <v>158301093</v>
      </c>
      <c r="BP12" s="183">
        <v>532178498.34999996</v>
      </c>
      <c r="BQ12" s="183">
        <v>8885446</v>
      </c>
      <c r="BR12" s="183">
        <v>136008536</v>
      </c>
      <c r="BS12" s="183">
        <v>2006153.9999999998</v>
      </c>
      <c r="BT12" s="183">
        <v>415995123</v>
      </c>
      <c r="BU12" s="183">
        <v>66044176</v>
      </c>
      <c r="BV12" s="183">
        <v>497763520</v>
      </c>
      <c r="BW12" s="183">
        <v>20530487</v>
      </c>
      <c r="BX12" s="183">
        <v>46115044</v>
      </c>
      <c r="BY12" s="183">
        <v>35013579</v>
      </c>
      <c r="BZ12" s="183">
        <v>12673451</v>
      </c>
      <c r="CA12" s="183">
        <v>75328017</v>
      </c>
      <c r="CB12" s="183">
        <v>201580632</v>
      </c>
      <c r="CC12" s="183">
        <v>85334549</v>
      </c>
      <c r="CD12" s="183">
        <v>11512382</v>
      </c>
      <c r="CE12" s="183">
        <v>16540076</v>
      </c>
      <c r="CF12" s="183">
        <v>51195602</v>
      </c>
      <c r="CG12" s="183">
        <v>36236035</v>
      </c>
      <c r="CH12" s="183">
        <v>55328905.999999993</v>
      </c>
      <c r="CI12" s="183">
        <v>58365545</v>
      </c>
      <c r="CJ12" s="183">
        <v>86273989</v>
      </c>
      <c r="CK12" s="183">
        <v>52349712</v>
      </c>
      <c r="CL12" s="183" t="s">
        <v>374</v>
      </c>
      <c r="CM12" s="183">
        <v>42400663</v>
      </c>
      <c r="CN12" s="183"/>
      <c r="CO12" s="187"/>
    </row>
    <row r="13" spans="1:95" x14ac:dyDescent="0.3">
      <c r="A13" s="169" t="s">
        <v>375</v>
      </c>
      <c r="B13" s="183">
        <v>0</v>
      </c>
      <c r="C13" s="183">
        <v>0</v>
      </c>
      <c r="D13" s="183">
        <v>0</v>
      </c>
      <c r="E13" s="183">
        <v>0</v>
      </c>
      <c r="F13" s="183">
        <v>0</v>
      </c>
      <c r="G13" s="183">
        <v>0</v>
      </c>
      <c r="H13" s="183">
        <v>0</v>
      </c>
      <c r="I13" s="183">
        <v>0</v>
      </c>
      <c r="J13" s="183">
        <v>0</v>
      </c>
      <c r="K13" s="183">
        <v>0</v>
      </c>
      <c r="L13" s="183">
        <v>0</v>
      </c>
      <c r="M13" s="183">
        <v>0</v>
      </c>
      <c r="N13" s="183">
        <v>0</v>
      </c>
      <c r="O13" s="183">
        <v>0</v>
      </c>
      <c r="P13" s="183">
        <v>0</v>
      </c>
      <c r="Q13" s="183">
        <v>0</v>
      </c>
      <c r="R13" s="183">
        <v>0</v>
      </c>
      <c r="S13" s="183">
        <v>0</v>
      </c>
      <c r="T13" s="183">
        <v>0</v>
      </c>
      <c r="U13" s="183">
        <v>0</v>
      </c>
      <c r="V13" s="183">
        <v>0</v>
      </c>
      <c r="W13" s="183">
        <v>0</v>
      </c>
      <c r="X13" s="183">
        <v>0</v>
      </c>
      <c r="Y13" s="183">
        <v>0</v>
      </c>
      <c r="Z13" s="183">
        <v>0</v>
      </c>
      <c r="AA13" s="183">
        <v>0</v>
      </c>
      <c r="AB13" s="183">
        <v>567200567.25</v>
      </c>
      <c r="AC13" s="183">
        <v>0</v>
      </c>
      <c r="AD13" s="183">
        <v>0</v>
      </c>
      <c r="AE13" s="183">
        <v>0</v>
      </c>
      <c r="AF13" s="183">
        <v>0</v>
      </c>
      <c r="AG13" s="183">
        <v>208215827</v>
      </c>
      <c r="AH13" s="183">
        <v>0</v>
      </c>
      <c r="AI13" s="183">
        <v>0</v>
      </c>
      <c r="AJ13" s="183">
        <v>0</v>
      </c>
      <c r="AK13" s="183">
        <v>0</v>
      </c>
      <c r="AL13" s="183">
        <v>556219860</v>
      </c>
      <c r="AM13" s="183">
        <v>0</v>
      </c>
      <c r="AN13" s="183">
        <v>0</v>
      </c>
      <c r="AO13" s="183">
        <v>0</v>
      </c>
      <c r="AP13" s="183">
        <v>0</v>
      </c>
      <c r="AQ13" s="183">
        <v>0</v>
      </c>
      <c r="AR13" s="183">
        <v>0</v>
      </c>
      <c r="AS13" s="183">
        <v>0</v>
      </c>
      <c r="AT13" s="183">
        <v>913363452</v>
      </c>
      <c r="AU13" s="183">
        <v>0</v>
      </c>
      <c r="AV13" s="183">
        <v>0</v>
      </c>
      <c r="AW13" s="183">
        <v>0</v>
      </c>
      <c r="AX13" s="183">
        <v>0</v>
      </c>
      <c r="AY13" s="183">
        <v>0</v>
      </c>
      <c r="AZ13" s="183">
        <v>0</v>
      </c>
      <c r="BA13" s="183">
        <v>0</v>
      </c>
      <c r="BB13" s="183">
        <v>0</v>
      </c>
      <c r="BC13" s="183">
        <v>0</v>
      </c>
      <c r="BD13" s="183">
        <v>0</v>
      </c>
      <c r="BE13" s="183">
        <v>0</v>
      </c>
      <c r="BF13" s="183">
        <v>0</v>
      </c>
      <c r="BG13" s="183">
        <v>0</v>
      </c>
      <c r="BH13" s="183">
        <v>0</v>
      </c>
      <c r="BI13" s="183">
        <v>0</v>
      </c>
      <c r="BJ13" s="183">
        <v>0</v>
      </c>
      <c r="BK13" s="183">
        <v>0</v>
      </c>
      <c r="BL13" s="183">
        <v>0</v>
      </c>
      <c r="BM13" s="183">
        <v>0</v>
      </c>
      <c r="BN13" s="183">
        <v>0</v>
      </c>
      <c r="BO13" s="183">
        <v>0</v>
      </c>
      <c r="BP13" s="183">
        <v>0</v>
      </c>
      <c r="BQ13" s="183">
        <v>0</v>
      </c>
      <c r="BR13" s="183">
        <v>0</v>
      </c>
      <c r="BS13" s="183">
        <v>0</v>
      </c>
      <c r="BT13" s="183">
        <v>415995123</v>
      </c>
      <c r="BU13" s="183">
        <v>0</v>
      </c>
      <c r="BV13" s="183">
        <v>0</v>
      </c>
      <c r="BW13" s="183">
        <v>0</v>
      </c>
      <c r="BX13" s="183">
        <v>0</v>
      </c>
      <c r="BY13" s="183">
        <v>0</v>
      </c>
      <c r="BZ13" s="183">
        <v>0</v>
      </c>
      <c r="CA13" s="183">
        <v>0</v>
      </c>
      <c r="CB13" s="183">
        <v>52128650.071779065</v>
      </c>
      <c r="CC13" s="183">
        <v>0</v>
      </c>
      <c r="CD13" s="183">
        <v>0</v>
      </c>
      <c r="CE13" s="183">
        <v>0</v>
      </c>
      <c r="CF13" s="183">
        <v>3483687.9137627739</v>
      </c>
      <c r="CG13" s="183">
        <v>0</v>
      </c>
      <c r="CH13" s="183">
        <v>0</v>
      </c>
      <c r="CI13" s="183">
        <v>0</v>
      </c>
      <c r="CJ13" s="183">
        <v>0</v>
      </c>
      <c r="CK13" s="183">
        <v>0</v>
      </c>
      <c r="CL13" s="183">
        <v>0</v>
      </c>
      <c r="CM13" s="183">
        <v>0</v>
      </c>
      <c r="CN13" s="183"/>
      <c r="CO13" s="187"/>
    </row>
    <row r="14" spans="1:95" x14ac:dyDescent="0.3">
      <c r="A14" s="169" t="s">
        <v>198</v>
      </c>
      <c r="B14" s="183">
        <v>1101104.8999999999</v>
      </c>
      <c r="C14" s="183">
        <v>2005094</v>
      </c>
      <c r="D14" s="183">
        <v>620242</v>
      </c>
      <c r="E14" s="183">
        <v>272266</v>
      </c>
      <c r="F14" s="195">
        <v>8869969</v>
      </c>
      <c r="G14" s="183">
        <v>141426</v>
      </c>
      <c r="H14" s="183">
        <v>461783</v>
      </c>
      <c r="I14" s="195">
        <v>4739448</v>
      </c>
      <c r="J14" s="183">
        <v>3576960</v>
      </c>
      <c r="K14" s="183">
        <v>1020766</v>
      </c>
      <c r="L14" s="183">
        <v>1370875</v>
      </c>
      <c r="M14" s="195">
        <v>4742140</v>
      </c>
      <c r="N14" s="183">
        <v>690912</v>
      </c>
      <c r="O14" s="183">
        <v>1348246</v>
      </c>
      <c r="P14" s="183">
        <v>569227</v>
      </c>
      <c r="Q14" s="183">
        <v>716731</v>
      </c>
      <c r="R14" s="183">
        <v>1638248</v>
      </c>
      <c r="S14" s="183">
        <v>1214494</v>
      </c>
      <c r="T14" s="195">
        <v>3072689</v>
      </c>
      <c r="U14" s="183">
        <v>1005557</v>
      </c>
      <c r="V14" s="183">
        <v>70381</v>
      </c>
      <c r="W14" s="195">
        <v>1946176</v>
      </c>
      <c r="X14" s="183">
        <v>602643</v>
      </c>
      <c r="Y14" s="183">
        <v>354485</v>
      </c>
      <c r="Z14" s="183">
        <v>935944</v>
      </c>
      <c r="AA14" s="183">
        <v>1454089</v>
      </c>
      <c r="AB14" s="195">
        <v>5347542</v>
      </c>
      <c r="AC14" s="183">
        <v>440400</v>
      </c>
      <c r="AD14" s="195">
        <v>2701227</v>
      </c>
      <c r="AE14" s="195">
        <v>6696511</v>
      </c>
      <c r="AF14" s="183">
        <v>1653210</v>
      </c>
      <c r="AG14" s="183">
        <v>1835915</v>
      </c>
      <c r="AH14" s="183">
        <v>573552</v>
      </c>
      <c r="AI14" s="183">
        <v>1519934</v>
      </c>
      <c r="AJ14" s="183">
        <v>1273305</v>
      </c>
      <c r="AK14" s="183">
        <v>710419</v>
      </c>
      <c r="AL14" s="195">
        <v>5164287</v>
      </c>
      <c r="AM14" s="183">
        <v>344242</v>
      </c>
      <c r="AN14" s="183">
        <v>1214018</v>
      </c>
      <c r="AO14" s="183">
        <v>90678</v>
      </c>
      <c r="AP14" s="183">
        <v>604643</v>
      </c>
      <c r="AQ14" s="183">
        <v>42602</v>
      </c>
      <c r="AR14" s="183">
        <v>2421650</v>
      </c>
      <c r="AS14" s="183">
        <v>249630</v>
      </c>
      <c r="AT14" s="195">
        <v>5823200</v>
      </c>
      <c r="AU14" s="183">
        <v>2068366</v>
      </c>
      <c r="AV14" s="195">
        <v>2977634</v>
      </c>
      <c r="AW14" s="183">
        <v>1771192</v>
      </c>
      <c r="AX14" s="183">
        <v>42682</v>
      </c>
      <c r="AY14" s="195">
        <v>89727204</v>
      </c>
      <c r="AZ14" s="183">
        <v>1358834.9458333333</v>
      </c>
      <c r="BA14" s="195">
        <v>7905899</v>
      </c>
      <c r="BB14" s="183">
        <v>3830215</v>
      </c>
      <c r="BC14" s="183">
        <v>2789074</v>
      </c>
      <c r="BD14" s="183">
        <v>785675</v>
      </c>
      <c r="BE14" s="183">
        <v>721694</v>
      </c>
      <c r="BF14" s="183">
        <v>1740204</v>
      </c>
      <c r="BG14" s="183">
        <v>1298768</v>
      </c>
      <c r="BH14" s="183">
        <v>1081545</v>
      </c>
      <c r="BI14" s="183">
        <v>1931100</v>
      </c>
      <c r="BJ14" s="183">
        <v>89065</v>
      </c>
      <c r="BK14" s="195">
        <v>6117001</v>
      </c>
      <c r="BL14" s="195">
        <v>4254899</v>
      </c>
      <c r="BM14" s="183">
        <v>219878</v>
      </c>
      <c r="BN14" s="183">
        <v>1428834</v>
      </c>
      <c r="BO14" s="183">
        <v>2986416</v>
      </c>
      <c r="BP14" s="195">
        <v>6915527</v>
      </c>
      <c r="BQ14" s="183">
        <v>156414</v>
      </c>
      <c r="BR14" s="183">
        <v>974798</v>
      </c>
      <c r="BS14" s="183">
        <v>262729</v>
      </c>
      <c r="BT14" s="183">
        <v>3350520</v>
      </c>
      <c r="BU14" s="183">
        <v>2149900</v>
      </c>
      <c r="BV14" s="195">
        <v>9214087</v>
      </c>
      <c r="BW14" s="183">
        <v>435051</v>
      </c>
      <c r="BX14" s="183">
        <v>274619</v>
      </c>
      <c r="BY14" s="183">
        <v>794825</v>
      </c>
      <c r="BZ14" s="183">
        <v>75766</v>
      </c>
      <c r="CA14" s="183">
        <v>681984</v>
      </c>
      <c r="CB14" s="183">
        <v>2072421</v>
      </c>
      <c r="CC14" s="183">
        <v>352197</v>
      </c>
      <c r="CD14" s="183">
        <v>486523</v>
      </c>
      <c r="CE14" s="183">
        <v>167689</v>
      </c>
      <c r="CF14" s="183">
        <v>394594</v>
      </c>
      <c r="CG14" s="183">
        <v>322268</v>
      </c>
      <c r="CH14" s="183">
        <v>618158</v>
      </c>
      <c r="CI14" s="183">
        <v>361390</v>
      </c>
      <c r="CJ14" s="183">
        <v>566988</v>
      </c>
      <c r="CK14" s="183">
        <v>125326</v>
      </c>
      <c r="CL14" s="183">
        <v>571536</v>
      </c>
      <c r="CM14" s="183">
        <v>298451</v>
      </c>
      <c r="CN14" s="183"/>
      <c r="CO14" s="187"/>
    </row>
    <row r="15" spans="1:95" x14ac:dyDescent="0.3">
      <c r="A15" s="170" t="s">
        <v>376</v>
      </c>
      <c r="B15" s="183"/>
      <c r="C15" s="183"/>
      <c r="D15" s="183"/>
      <c r="E15" s="183"/>
      <c r="F15" s="195"/>
      <c r="G15" s="183"/>
      <c r="H15" s="183"/>
      <c r="I15" s="195"/>
      <c r="J15" s="183"/>
      <c r="K15" s="183"/>
      <c r="L15" s="183"/>
      <c r="M15" s="195"/>
      <c r="N15" s="183"/>
      <c r="O15" s="183"/>
      <c r="P15" s="183"/>
      <c r="Q15" s="183"/>
      <c r="R15" s="183"/>
      <c r="S15" s="183"/>
      <c r="T15" s="195"/>
      <c r="U15" s="183"/>
      <c r="V15" s="183"/>
      <c r="W15" s="195"/>
      <c r="X15" s="183"/>
      <c r="Y15" s="183"/>
      <c r="Z15" s="183"/>
      <c r="AA15" s="183"/>
      <c r="AB15" s="195"/>
      <c r="AC15" s="183"/>
      <c r="AD15" s="195"/>
      <c r="AE15" s="195"/>
      <c r="AF15" s="183"/>
      <c r="AG15" s="183"/>
      <c r="AH15" s="183"/>
      <c r="AI15" s="183"/>
      <c r="AJ15" s="183"/>
      <c r="AK15" s="183"/>
      <c r="AL15" s="195"/>
      <c r="AM15" s="183"/>
      <c r="AN15" s="183"/>
      <c r="AO15" s="183"/>
      <c r="AP15" s="183"/>
      <c r="AQ15" s="183"/>
      <c r="AR15" s="183"/>
      <c r="AS15" s="183"/>
      <c r="AT15" s="195"/>
      <c r="AU15" s="183"/>
      <c r="AV15" s="195"/>
      <c r="AW15" s="183"/>
      <c r="AX15" s="183"/>
      <c r="AY15" s="195"/>
      <c r="AZ15" s="183"/>
      <c r="BA15" s="195"/>
      <c r="BB15" s="183"/>
      <c r="BC15" s="183"/>
      <c r="BD15" s="183"/>
      <c r="BE15" s="183"/>
      <c r="BF15" s="183"/>
      <c r="BG15" s="183"/>
      <c r="BH15" s="183"/>
      <c r="BI15" s="183"/>
      <c r="BJ15" s="183"/>
      <c r="BK15" s="195"/>
      <c r="BL15" s="195"/>
      <c r="BM15" s="183"/>
      <c r="BN15" s="183"/>
      <c r="BO15" s="183"/>
      <c r="BP15" s="195"/>
      <c r="BQ15" s="183"/>
      <c r="BR15" s="183">
        <f>BR12/BR10</f>
        <v>42.186231216286089</v>
      </c>
      <c r="BS15" s="183">
        <f>BS12/BS10</f>
        <v>5.7245574937151691</v>
      </c>
      <c r="BT15" s="183"/>
      <c r="BU15" s="183"/>
      <c r="BV15" s="195"/>
      <c r="BW15" s="183"/>
      <c r="BX15" s="183"/>
      <c r="BY15" s="183"/>
      <c r="BZ15" s="183"/>
      <c r="CA15" s="183"/>
      <c r="CB15" s="183"/>
      <c r="CC15" s="183"/>
      <c r="CD15" s="183"/>
      <c r="CE15" s="183"/>
      <c r="CF15" s="183"/>
      <c r="CG15" s="183"/>
      <c r="CH15" s="183"/>
      <c r="CI15" s="183"/>
      <c r="CJ15" s="183">
        <f>CJ12/CJ10</f>
        <v>45.216975366876312</v>
      </c>
      <c r="CK15" s="183"/>
      <c r="CL15" s="183"/>
      <c r="CM15" s="183"/>
      <c r="CN15" s="183"/>
      <c r="CO15" s="187"/>
    </row>
    <row r="16" spans="1:95" s="154" customFormat="1" x14ac:dyDescent="0.3">
      <c r="A16" s="171" t="s">
        <v>199</v>
      </c>
      <c r="B16" s="196">
        <v>1573007</v>
      </c>
      <c r="C16" s="196">
        <v>4424004</v>
      </c>
      <c r="D16" s="196">
        <v>1207650</v>
      </c>
      <c r="E16" s="196">
        <v>850153</v>
      </c>
      <c r="F16" s="196">
        <v>15290495</v>
      </c>
      <c r="G16" s="196">
        <v>349920</v>
      </c>
      <c r="H16" s="196">
        <v>1034205</v>
      </c>
      <c r="I16" s="196">
        <v>7637891</v>
      </c>
      <c r="J16" s="196">
        <v>5961600</v>
      </c>
      <c r="K16" s="196">
        <v>2790003</v>
      </c>
      <c r="L16" s="196">
        <v>2273106</v>
      </c>
      <c r="M16" s="196">
        <v>7169376</v>
      </c>
      <c r="N16" s="196">
        <v>1183987</v>
      </c>
      <c r="O16" s="196">
        <v>3231652</v>
      </c>
      <c r="P16" s="196">
        <v>1018819</v>
      </c>
      <c r="Q16" s="196">
        <v>1184866</v>
      </c>
      <c r="R16" s="196">
        <v>2362940</v>
      </c>
      <c r="S16" s="196">
        <v>3335937</v>
      </c>
      <c r="T16" s="196">
        <v>5432762</v>
      </c>
      <c r="U16" s="196">
        <v>1410393</v>
      </c>
      <c r="V16" s="196">
        <v>100541</v>
      </c>
      <c r="W16" s="196">
        <v>4100926</v>
      </c>
      <c r="X16" s="196">
        <v>974979</v>
      </c>
      <c r="Y16" s="196">
        <v>465132</v>
      </c>
      <c r="Z16" s="196">
        <v>1298437</v>
      </c>
      <c r="AA16" s="196">
        <v>2507323</v>
      </c>
      <c r="AB16" s="196">
        <v>11231993</v>
      </c>
      <c r="AC16" s="196">
        <v>1036000</v>
      </c>
      <c r="AD16" s="196">
        <v>6722945</v>
      </c>
      <c r="AE16" s="196">
        <v>9915691</v>
      </c>
      <c r="AF16" s="196">
        <v>3626236</v>
      </c>
      <c r="AG16" s="196">
        <v>4521589</v>
      </c>
      <c r="AH16" s="196">
        <v>1039740</v>
      </c>
      <c r="AI16" s="196">
        <v>2148401</v>
      </c>
      <c r="AJ16" s="196">
        <v>2304940</v>
      </c>
      <c r="AK16" s="196">
        <v>1263982</v>
      </c>
      <c r="AL16" s="196">
        <v>6886695</v>
      </c>
      <c r="AM16" s="196">
        <v>582496</v>
      </c>
      <c r="AN16" s="196">
        <v>2281551</v>
      </c>
      <c r="AO16" s="196">
        <v>153695</v>
      </c>
      <c r="AP16" s="196">
        <v>960832</v>
      </c>
      <c r="AQ16" s="196">
        <v>64972</v>
      </c>
      <c r="AR16" s="196">
        <v>3001251</v>
      </c>
      <c r="AS16" s="196">
        <v>481921</v>
      </c>
      <c r="AT16" s="196">
        <v>12495475</v>
      </c>
      <c r="AU16" s="196">
        <v>2742691</v>
      </c>
      <c r="AV16" s="196">
        <v>5690163</v>
      </c>
      <c r="AW16" s="196">
        <v>2214840</v>
      </c>
      <c r="AX16" s="196">
        <v>58205</v>
      </c>
      <c r="AY16" s="196">
        <v>179341134</v>
      </c>
      <c r="AZ16" s="196">
        <v>1899235</v>
      </c>
      <c r="BA16" s="196">
        <v>11537195</v>
      </c>
      <c r="BB16" s="196">
        <v>8242189</v>
      </c>
      <c r="BC16" s="196">
        <v>4661250</v>
      </c>
      <c r="BD16" s="196">
        <v>882905</v>
      </c>
      <c r="BE16" s="196">
        <v>1157580</v>
      </c>
      <c r="BF16" s="196">
        <v>2758450</v>
      </c>
      <c r="BG16" s="196">
        <v>3700773</v>
      </c>
      <c r="BH16" s="196">
        <v>2190000</v>
      </c>
      <c r="BI16" s="196">
        <v>3184387</v>
      </c>
      <c r="BJ16" s="196">
        <v>140272</v>
      </c>
      <c r="BK16" s="196">
        <v>7401710</v>
      </c>
      <c r="BL16" s="196">
        <v>8265495</v>
      </c>
      <c r="BM16" s="196">
        <v>377280</v>
      </c>
      <c r="BN16" s="196">
        <v>2447219</v>
      </c>
      <c r="BO16" s="196">
        <v>5460800</v>
      </c>
      <c r="BP16" s="196">
        <v>10747235</v>
      </c>
      <c r="BQ16" s="196">
        <v>384030</v>
      </c>
      <c r="BR16" s="196">
        <v>3224003</v>
      </c>
      <c r="BS16" s="196">
        <v>350447</v>
      </c>
      <c r="BT16" s="196">
        <v>5357895</v>
      </c>
      <c r="BU16" s="196">
        <v>3028040</v>
      </c>
      <c r="BV16" s="196">
        <v>13172207</v>
      </c>
      <c r="BW16" s="196">
        <v>1885587</v>
      </c>
      <c r="BX16" s="196">
        <v>389392</v>
      </c>
      <c r="BY16" s="196">
        <v>1168859</v>
      </c>
      <c r="BZ16" s="196">
        <v>243026</v>
      </c>
      <c r="CA16" s="196">
        <v>1085366</v>
      </c>
      <c r="CB16" s="196">
        <v>3167191</v>
      </c>
      <c r="CC16" s="196">
        <v>600563</v>
      </c>
      <c r="CD16" s="196">
        <v>648456</v>
      </c>
      <c r="CE16" s="196">
        <v>269700</v>
      </c>
      <c r="CF16" s="196">
        <v>739008</v>
      </c>
      <c r="CG16" s="196">
        <v>621290</v>
      </c>
      <c r="CH16" s="196">
        <v>834833</v>
      </c>
      <c r="CI16" s="196">
        <v>648000</v>
      </c>
      <c r="CJ16" s="196">
        <v>1908000</v>
      </c>
      <c r="CK16" s="196">
        <v>136818</v>
      </c>
      <c r="CL16" s="197"/>
      <c r="CM16" s="196">
        <v>459365</v>
      </c>
      <c r="CN16" s="196"/>
      <c r="CO16" s="192">
        <f t="shared" si="0"/>
        <v>455313593</v>
      </c>
      <c r="CQ16" s="173"/>
    </row>
    <row r="17" spans="1:95" s="154" customFormat="1" x14ac:dyDescent="0.3">
      <c r="A17" s="171" t="s">
        <v>200</v>
      </c>
      <c r="B17" s="196"/>
      <c r="C17" s="196"/>
      <c r="D17" s="196"/>
      <c r="E17" s="196"/>
      <c r="F17" s="196">
        <v>7850064</v>
      </c>
      <c r="G17" s="196"/>
      <c r="H17" s="196"/>
      <c r="I17" s="196">
        <v>1950734</v>
      </c>
      <c r="J17" s="196">
        <v>240000</v>
      </c>
      <c r="K17" s="196"/>
      <c r="L17" s="196"/>
      <c r="M17" s="196"/>
      <c r="N17" s="196"/>
      <c r="O17" s="196">
        <v>1816500</v>
      </c>
      <c r="P17" s="196" t="s">
        <v>374</v>
      </c>
      <c r="Q17" s="196"/>
      <c r="R17" s="196">
        <v>297423</v>
      </c>
      <c r="S17" s="196"/>
      <c r="T17" s="196">
        <v>396060</v>
      </c>
      <c r="U17" s="196"/>
      <c r="V17" s="196"/>
      <c r="W17" s="196">
        <v>175140</v>
      </c>
      <c r="X17" s="196"/>
      <c r="Y17" s="196"/>
      <c r="Z17" s="196"/>
      <c r="AA17" s="196"/>
      <c r="AB17" s="196"/>
      <c r="AC17" s="196"/>
      <c r="AD17" s="196"/>
      <c r="AE17" s="196">
        <v>4692420</v>
      </c>
      <c r="AF17" s="196" t="s">
        <v>374</v>
      </c>
      <c r="AG17" s="196"/>
      <c r="AH17" s="196"/>
      <c r="AI17" s="196"/>
      <c r="AJ17" s="196"/>
      <c r="AK17" s="196">
        <v>72204</v>
      </c>
      <c r="AL17" s="196"/>
      <c r="AM17" s="196"/>
      <c r="AN17" s="196"/>
      <c r="AO17" s="196"/>
      <c r="AP17" s="196">
        <v>752000</v>
      </c>
      <c r="AQ17" s="196"/>
      <c r="AR17" s="196"/>
      <c r="AS17" s="196"/>
      <c r="AT17" s="196">
        <v>6000</v>
      </c>
      <c r="AU17" s="198">
        <v>1261585.8799999999</v>
      </c>
      <c r="AV17" s="196"/>
      <c r="AW17" s="196"/>
      <c r="AX17" s="196"/>
      <c r="AY17" s="196">
        <v>80525515</v>
      </c>
      <c r="AZ17" s="196">
        <v>993631</v>
      </c>
      <c r="BA17" s="190">
        <v>4393860</v>
      </c>
      <c r="BB17" s="196"/>
      <c r="BC17" s="197">
        <v>995579.1</v>
      </c>
      <c r="BD17" s="196"/>
      <c r="BE17" s="196"/>
      <c r="BF17" s="196"/>
      <c r="BG17" s="196"/>
      <c r="BH17" s="196"/>
      <c r="BI17" s="196">
        <v>1116976</v>
      </c>
      <c r="BJ17" s="196"/>
      <c r="BK17" s="196">
        <v>3810236</v>
      </c>
      <c r="BL17" s="196">
        <v>1471640</v>
      </c>
      <c r="BM17" s="196"/>
      <c r="BN17" s="196"/>
      <c r="BO17" s="196"/>
      <c r="BP17" s="199">
        <v>1379820.48</v>
      </c>
      <c r="BQ17" s="196"/>
      <c r="BR17" s="196"/>
      <c r="BS17" s="196"/>
      <c r="BT17" s="196"/>
      <c r="BU17" s="196"/>
      <c r="BV17" s="196">
        <v>4015000</v>
      </c>
      <c r="BW17" s="196"/>
      <c r="BX17" s="196"/>
      <c r="BY17" s="196"/>
      <c r="BZ17" s="196"/>
      <c r="CA17" s="196"/>
      <c r="CB17" s="196">
        <v>2500</v>
      </c>
      <c r="CC17" s="196"/>
      <c r="CD17" s="196"/>
      <c r="CE17" s="196"/>
      <c r="CF17" s="196"/>
      <c r="CG17" s="196"/>
      <c r="CH17" s="196"/>
      <c r="CI17" s="196"/>
      <c r="CJ17" s="196"/>
      <c r="CK17" s="196"/>
      <c r="CL17" s="197"/>
      <c r="CM17" s="196"/>
      <c r="CN17" s="196"/>
      <c r="CO17" s="192">
        <f t="shared" si="0"/>
        <v>118214888.45999999</v>
      </c>
      <c r="CQ17" s="173"/>
    </row>
    <row r="18" spans="1:95" x14ac:dyDescent="0.3">
      <c r="A18" s="169" t="s">
        <v>201</v>
      </c>
      <c r="B18" s="200">
        <v>73930703</v>
      </c>
      <c r="C18" s="200">
        <v>240039575</v>
      </c>
      <c r="D18" s="200">
        <v>79258129</v>
      </c>
      <c r="E18" s="200">
        <v>23063224</v>
      </c>
      <c r="F18" s="200">
        <v>837927741</v>
      </c>
      <c r="G18" s="200">
        <v>79772794</v>
      </c>
      <c r="H18" s="200">
        <v>38597578</v>
      </c>
      <c r="I18" s="200">
        <v>427008665</v>
      </c>
      <c r="J18" s="200">
        <v>550259733</v>
      </c>
      <c r="K18" s="200">
        <v>60579777</v>
      </c>
      <c r="L18" s="200">
        <v>58531874</v>
      </c>
      <c r="M18" s="200">
        <v>136723929</v>
      </c>
      <c r="N18" s="200">
        <v>70805791</v>
      </c>
      <c r="O18" s="200">
        <v>206351982</v>
      </c>
      <c r="P18" s="200">
        <v>97875348</v>
      </c>
      <c r="Q18" s="200">
        <v>56402541</v>
      </c>
      <c r="R18" s="200">
        <v>96832633</v>
      </c>
      <c r="S18" s="200">
        <v>76336089</v>
      </c>
      <c r="T18" s="200">
        <v>350053531</v>
      </c>
      <c r="U18" s="200">
        <v>109157959</v>
      </c>
      <c r="V18" s="200">
        <v>14266064</v>
      </c>
      <c r="W18" s="200">
        <v>263530219</v>
      </c>
      <c r="X18" s="200">
        <v>135178025</v>
      </c>
      <c r="Y18" s="200">
        <v>22573822</v>
      </c>
      <c r="Z18" s="200">
        <v>86202402</v>
      </c>
      <c r="AA18" s="200">
        <v>139042955</v>
      </c>
      <c r="AB18" s="200">
        <v>667294785</v>
      </c>
      <c r="AC18" s="200">
        <v>59753784</v>
      </c>
      <c r="AD18" s="200">
        <v>175178481</v>
      </c>
      <c r="AE18" s="200">
        <v>943818099</v>
      </c>
      <c r="AF18" s="200">
        <v>278521048</v>
      </c>
      <c r="AG18" s="200">
        <v>208215827</v>
      </c>
      <c r="AH18" s="200">
        <v>16654271</v>
      </c>
      <c r="AI18" s="200">
        <v>141350626</v>
      </c>
      <c r="AJ18" s="200">
        <v>54230924</v>
      </c>
      <c r="AK18" s="200">
        <v>130523129</v>
      </c>
      <c r="AL18" s="200">
        <v>556219860</v>
      </c>
      <c r="AM18" s="200">
        <v>178566758</v>
      </c>
      <c r="AN18" s="200">
        <v>148496925</v>
      </c>
      <c r="AO18" s="200">
        <v>16952185</v>
      </c>
      <c r="AP18" s="200">
        <v>208513398</v>
      </c>
      <c r="AQ18" s="200">
        <v>5071016</v>
      </c>
      <c r="AR18" s="200">
        <v>215552899</v>
      </c>
      <c r="AS18" s="200">
        <v>51740623</v>
      </c>
      <c r="AT18" s="200">
        <v>913363452</v>
      </c>
      <c r="AU18" s="200">
        <v>235420437</v>
      </c>
      <c r="AV18" s="200">
        <v>228667569</v>
      </c>
      <c r="AW18" s="200">
        <v>21187941</v>
      </c>
      <c r="AX18" s="200">
        <v>18538604</v>
      </c>
      <c r="AY18" s="200">
        <v>10435941392</v>
      </c>
      <c r="AZ18" s="200">
        <v>186038940</v>
      </c>
      <c r="BA18" s="200">
        <v>975276497</v>
      </c>
      <c r="BB18" s="200">
        <v>314924993</v>
      </c>
      <c r="BC18" s="200">
        <v>416319319</v>
      </c>
      <c r="BD18" s="200">
        <v>110004557</v>
      </c>
      <c r="BE18" s="200">
        <v>38340240</v>
      </c>
      <c r="BF18" s="200">
        <v>69827129</v>
      </c>
      <c r="BG18" s="200">
        <v>110540087</v>
      </c>
      <c r="BH18" s="200">
        <v>69932275</v>
      </c>
      <c r="BI18" s="200">
        <v>261128942</v>
      </c>
      <c r="BJ18" s="200">
        <v>4239561</v>
      </c>
      <c r="BK18" s="200">
        <v>502818624</v>
      </c>
      <c r="BL18" s="200">
        <v>397911961</v>
      </c>
      <c r="BM18" s="200">
        <v>32142167</v>
      </c>
      <c r="BN18" s="200">
        <v>187075312</v>
      </c>
      <c r="BO18" s="200">
        <v>158301093</v>
      </c>
      <c r="BP18" s="200">
        <v>626092351</v>
      </c>
      <c r="BQ18" s="200">
        <v>8885446</v>
      </c>
      <c r="BR18" s="200">
        <v>136008536</v>
      </c>
      <c r="BS18" s="200">
        <v>2006154</v>
      </c>
      <c r="BT18" s="200">
        <v>415995123</v>
      </c>
      <c r="BU18" s="200">
        <v>66044176</v>
      </c>
      <c r="BV18" s="200">
        <v>654952000</v>
      </c>
      <c r="BW18" s="200">
        <v>20530487</v>
      </c>
      <c r="BX18" s="200">
        <v>46115044</v>
      </c>
      <c r="BY18" s="200">
        <v>35013579</v>
      </c>
      <c r="BZ18" s="200">
        <v>12673451</v>
      </c>
      <c r="CA18" s="200">
        <v>75328017</v>
      </c>
      <c r="CB18" s="200">
        <v>201580632</v>
      </c>
      <c r="CC18" s="200">
        <v>85334549</v>
      </c>
      <c r="CD18" s="200">
        <v>11512382</v>
      </c>
      <c r="CE18" s="200">
        <v>16540076</v>
      </c>
      <c r="CF18" s="200">
        <v>51195602</v>
      </c>
      <c r="CG18" s="200">
        <v>36236035</v>
      </c>
      <c r="CH18" s="200">
        <v>55328906</v>
      </c>
      <c r="CI18" s="200">
        <v>58365545</v>
      </c>
      <c r="CJ18" s="200">
        <v>86273989</v>
      </c>
      <c r="CK18" s="200">
        <v>52349712</v>
      </c>
      <c r="CL18" s="200" t="s">
        <v>377</v>
      </c>
      <c r="CM18" s="200">
        <v>42400663</v>
      </c>
      <c r="CN18" s="200"/>
      <c r="CO18" s="187"/>
    </row>
    <row r="19" spans="1:95" x14ac:dyDescent="0.3">
      <c r="A19" s="165" t="s">
        <v>237</v>
      </c>
      <c r="B19" s="200">
        <v>73930703</v>
      </c>
      <c r="C19" s="200">
        <v>240039575</v>
      </c>
      <c r="D19" s="200">
        <v>79258129</v>
      </c>
      <c r="E19" s="200">
        <v>23063224</v>
      </c>
      <c r="F19" s="200">
        <v>712238579.85000002</v>
      </c>
      <c r="G19" s="200">
        <v>79772794</v>
      </c>
      <c r="H19" s="200">
        <v>38597578</v>
      </c>
      <c r="I19" s="200">
        <v>362957365.25</v>
      </c>
      <c r="J19" s="200">
        <v>467720773.05000001</v>
      </c>
      <c r="K19" s="200">
        <v>60579777</v>
      </c>
      <c r="L19" s="200">
        <v>58531874</v>
      </c>
      <c r="M19" s="200">
        <v>136723929</v>
      </c>
      <c r="N19" s="200">
        <v>70805791</v>
      </c>
      <c r="O19" s="200">
        <v>175399184.69999999</v>
      </c>
      <c r="P19" s="200">
        <v>97875348</v>
      </c>
      <c r="Q19" s="200">
        <v>56402541</v>
      </c>
      <c r="R19" s="200">
        <v>82307738.049999997</v>
      </c>
      <c r="S19" s="200">
        <v>76336089</v>
      </c>
      <c r="T19" s="200">
        <v>245037471.69999999</v>
      </c>
      <c r="U19" s="200">
        <v>109157959</v>
      </c>
      <c r="V19" s="200">
        <v>14266064</v>
      </c>
      <c r="W19" s="200">
        <v>263530219</v>
      </c>
      <c r="X19" s="200">
        <v>135178025</v>
      </c>
      <c r="Y19" s="200">
        <v>22573822</v>
      </c>
      <c r="Z19" s="200">
        <v>86202402</v>
      </c>
      <c r="AA19" s="200">
        <v>139042955</v>
      </c>
      <c r="AB19" s="200">
        <v>567200567.25</v>
      </c>
      <c r="AC19" s="200">
        <v>59753784</v>
      </c>
      <c r="AD19" s="200">
        <v>175178481</v>
      </c>
      <c r="AE19" s="200">
        <v>825840836.625</v>
      </c>
      <c r="AF19" s="200">
        <v>278521048</v>
      </c>
      <c r="AG19" s="200">
        <v>208215827</v>
      </c>
      <c r="AH19" s="200">
        <v>16654271</v>
      </c>
      <c r="AI19" s="200">
        <v>141350626</v>
      </c>
      <c r="AJ19" s="200">
        <v>54230924</v>
      </c>
      <c r="AK19" s="200">
        <v>130523129</v>
      </c>
      <c r="AL19" s="200">
        <v>556219860</v>
      </c>
      <c r="AM19" s="200">
        <v>178566758</v>
      </c>
      <c r="AN19" s="200">
        <v>148496925</v>
      </c>
      <c r="AO19" s="200">
        <v>16952185</v>
      </c>
      <c r="AP19" s="200">
        <v>208513398</v>
      </c>
      <c r="AQ19" s="200">
        <v>5071016</v>
      </c>
      <c r="AR19" s="200">
        <v>215552899</v>
      </c>
      <c r="AS19" s="200">
        <v>51740623</v>
      </c>
      <c r="AT19" s="200">
        <v>913363452</v>
      </c>
      <c r="AU19" s="200">
        <v>228357823.88999999</v>
      </c>
      <c r="AV19" s="200">
        <v>228667569</v>
      </c>
      <c r="AW19" s="200">
        <v>21187941</v>
      </c>
      <c r="AX19" s="200">
        <v>18538604</v>
      </c>
      <c r="AY19" s="200">
        <v>6783361904.8000002</v>
      </c>
      <c r="AZ19" s="200">
        <v>93019470</v>
      </c>
      <c r="BA19" s="200">
        <v>828985022.44999993</v>
      </c>
      <c r="BB19" s="200">
        <v>314924993</v>
      </c>
      <c r="BC19" s="200">
        <v>395503353.04999995</v>
      </c>
      <c r="BD19" s="200">
        <v>110004557</v>
      </c>
      <c r="BE19" s="200">
        <v>38340240</v>
      </c>
      <c r="BF19" s="200">
        <v>69827129</v>
      </c>
      <c r="BG19" s="200">
        <v>110540087</v>
      </c>
      <c r="BH19" s="200">
        <v>69932275</v>
      </c>
      <c r="BI19" s="200">
        <v>221959600.69999999</v>
      </c>
      <c r="BJ19" s="200">
        <v>4239561</v>
      </c>
      <c r="BK19" s="200">
        <v>452536761.60000002</v>
      </c>
      <c r="BL19" s="200">
        <v>338225166.84999996</v>
      </c>
      <c r="BM19" s="200">
        <v>32142167</v>
      </c>
      <c r="BN19" s="200">
        <v>187075312</v>
      </c>
      <c r="BO19" s="200">
        <v>158301093</v>
      </c>
      <c r="BP19" s="200">
        <v>532178498.34999996</v>
      </c>
      <c r="BQ19" s="200">
        <v>8885446</v>
      </c>
      <c r="BR19" s="200">
        <v>136008536</v>
      </c>
      <c r="BS19" s="200">
        <v>2006154</v>
      </c>
      <c r="BT19" s="200">
        <v>415995123</v>
      </c>
      <c r="BU19" s="200">
        <v>66044176</v>
      </c>
      <c r="BV19" s="200">
        <v>497763520</v>
      </c>
      <c r="BW19" s="200">
        <v>20530487</v>
      </c>
      <c r="BX19" s="200">
        <v>46115044</v>
      </c>
      <c r="BY19" s="200">
        <v>35013579</v>
      </c>
      <c r="BZ19" s="200">
        <v>12673451</v>
      </c>
      <c r="CA19" s="200">
        <v>75328017</v>
      </c>
      <c r="CB19" s="200">
        <v>201580632</v>
      </c>
      <c r="CC19" s="200">
        <v>85334549</v>
      </c>
      <c r="CD19" s="200">
        <v>11512382</v>
      </c>
      <c r="CE19" s="200">
        <v>16540076</v>
      </c>
      <c r="CF19" s="200">
        <v>51195602</v>
      </c>
      <c r="CG19" s="200">
        <v>36236035</v>
      </c>
      <c r="CH19" s="200">
        <v>55328906</v>
      </c>
      <c r="CI19" s="200">
        <v>58365545</v>
      </c>
      <c r="CJ19" s="200">
        <v>86273989</v>
      </c>
      <c r="CK19" s="200">
        <v>52349712</v>
      </c>
      <c r="CL19" s="200" t="s">
        <v>377</v>
      </c>
      <c r="CM19" s="200">
        <v>42400663</v>
      </c>
      <c r="CN19" s="200"/>
      <c r="CO19" s="187"/>
    </row>
    <row r="20" spans="1:95" x14ac:dyDescent="0.3">
      <c r="A20" s="165" t="s">
        <v>378</v>
      </c>
      <c r="B20" s="200"/>
      <c r="C20" s="200"/>
      <c r="D20" s="200"/>
      <c r="E20" s="200"/>
      <c r="F20" s="200">
        <v>106835786.97750001</v>
      </c>
      <c r="G20" s="200"/>
      <c r="H20" s="200"/>
      <c r="I20" s="200">
        <v>54443604.787500001</v>
      </c>
      <c r="J20" s="200">
        <v>70158115.957499996</v>
      </c>
      <c r="K20" s="200"/>
      <c r="L20" s="200"/>
      <c r="M20" s="200"/>
      <c r="N20" s="200"/>
      <c r="O20" s="200">
        <v>26309877.704999998</v>
      </c>
      <c r="P20" s="200" t="s">
        <v>374</v>
      </c>
      <c r="Q20" s="200"/>
      <c r="R20" s="200">
        <v>12346160.7075</v>
      </c>
      <c r="S20" s="200"/>
      <c r="T20" s="200">
        <v>73511241.50999999</v>
      </c>
      <c r="U20" s="200"/>
      <c r="V20" s="200"/>
      <c r="W20" s="200"/>
      <c r="X20" s="200"/>
      <c r="Y20" s="200"/>
      <c r="Z20" s="200"/>
      <c r="AA20" s="200"/>
      <c r="AB20" s="200"/>
      <c r="AC20" s="200"/>
      <c r="AD20" s="200"/>
      <c r="AE20" s="200">
        <v>103230104.578125</v>
      </c>
      <c r="AF20" s="200" t="s">
        <v>374</v>
      </c>
      <c r="AG20" s="200"/>
      <c r="AH20" s="200"/>
      <c r="AI20" s="200"/>
      <c r="AJ20" s="200"/>
      <c r="AK20" s="200" t="s">
        <v>374</v>
      </c>
      <c r="AL20" s="200"/>
      <c r="AM20" s="200"/>
      <c r="AN20" s="200"/>
      <c r="AO20" s="200"/>
      <c r="AP20" s="200" t="s">
        <v>374</v>
      </c>
      <c r="AQ20" s="200"/>
      <c r="AR20" s="200"/>
      <c r="AS20" s="200"/>
      <c r="AT20" s="200" t="s">
        <v>374</v>
      </c>
      <c r="AU20" s="200">
        <v>6850734.7166999998</v>
      </c>
      <c r="AV20" s="200"/>
      <c r="AW20" s="200"/>
      <c r="AX20" s="200"/>
      <c r="AY20" s="200">
        <v>3652579487.1999998</v>
      </c>
      <c r="AZ20" s="200">
        <v>79066549.5</v>
      </c>
      <c r="BA20" s="200">
        <v>124347753.36749998</v>
      </c>
      <c r="BB20" s="200"/>
      <c r="BC20" s="200">
        <v>19775167.6525</v>
      </c>
      <c r="BD20" s="200"/>
      <c r="BE20" s="200"/>
      <c r="BF20" s="200"/>
      <c r="BG20" s="200"/>
      <c r="BH20" s="200"/>
      <c r="BI20" s="200">
        <v>39169341.299999997</v>
      </c>
      <c r="BJ20" s="200"/>
      <c r="BK20" s="200">
        <v>45253676.160000004</v>
      </c>
      <c r="BL20" s="200">
        <v>59686794.149999999</v>
      </c>
      <c r="BM20" s="200"/>
      <c r="BN20" s="200"/>
      <c r="BO20" s="200"/>
      <c r="BP20" s="200">
        <v>79826774.752499998</v>
      </c>
      <c r="BQ20" s="200"/>
      <c r="BR20" s="200"/>
      <c r="BS20" s="200"/>
      <c r="BT20" s="200"/>
      <c r="BU20" s="200"/>
      <c r="BV20" s="200">
        <v>119463244.8</v>
      </c>
      <c r="BW20" s="200"/>
      <c r="BX20" s="200"/>
      <c r="BY20" s="200"/>
      <c r="BZ20" s="200"/>
      <c r="CA20" s="200"/>
      <c r="CB20" s="200" t="s">
        <v>379</v>
      </c>
      <c r="CC20" s="200"/>
      <c r="CD20" s="200"/>
      <c r="CE20" s="200"/>
      <c r="CF20" s="200"/>
      <c r="CG20" s="200"/>
      <c r="CH20" s="200"/>
      <c r="CI20" s="200"/>
      <c r="CJ20" s="200"/>
      <c r="CK20" s="200"/>
      <c r="CL20" s="200"/>
      <c r="CM20" s="200"/>
      <c r="CN20" s="200"/>
      <c r="CO20" s="187"/>
    </row>
    <row r="21" spans="1:95" s="154" customFormat="1" x14ac:dyDescent="0.3">
      <c r="A21" s="171" t="s">
        <v>239</v>
      </c>
      <c r="B21" s="201">
        <v>46.999602036100285</v>
      </c>
      <c r="C21" s="201">
        <v>54.258444386578311</v>
      </c>
      <c r="D21" s="201">
        <v>65.630049269241923</v>
      </c>
      <c r="E21" s="201">
        <v>27.128321607992913</v>
      </c>
      <c r="F21" s="201">
        <v>46.580478908629189</v>
      </c>
      <c r="G21" s="201">
        <v>227.97437700045725</v>
      </c>
      <c r="H21" s="201">
        <v>37.321012758592346</v>
      </c>
      <c r="I21" s="201">
        <v>47.520626472674195</v>
      </c>
      <c r="J21" s="201">
        <v>78.4555778733897</v>
      </c>
      <c r="K21" s="201">
        <v>21.713158372947987</v>
      </c>
      <c r="L21" s="201">
        <v>25.749733624388831</v>
      </c>
      <c r="M21" s="201">
        <v>19.070547980744767</v>
      </c>
      <c r="N21" s="201">
        <v>59.802844963669365</v>
      </c>
      <c r="O21" s="201">
        <v>54.275393730513059</v>
      </c>
      <c r="P21" s="201">
        <v>96.067454572401971</v>
      </c>
      <c r="Q21" s="201">
        <v>47.602463907311041</v>
      </c>
      <c r="R21" s="201">
        <v>34.83276682861181</v>
      </c>
      <c r="S21" s="201">
        <v>22.882952825547964</v>
      </c>
      <c r="T21" s="201">
        <v>45.103663974236305</v>
      </c>
      <c r="U21" s="201">
        <v>77.395420283566352</v>
      </c>
      <c r="V21" s="201">
        <v>141.89299887608041</v>
      </c>
      <c r="W21" s="201">
        <v>64.261149555002945</v>
      </c>
      <c r="X21" s="201">
        <v>138.64711445067022</v>
      </c>
      <c r="Y21" s="201">
        <v>48.532076915800246</v>
      </c>
      <c r="Z21" s="201">
        <v>66.389360438742884</v>
      </c>
      <c r="AA21" s="201">
        <v>55.454743963980711</v>
      </c>
      <c r="AB21" s="201">
        <v>50.498657473344224</v>
      </c>
      <c r="AC21" s="201">
        <v>57.677397683397686</v>
      </c>
      <c r="AD21" s="201">
        <v>26.056807098674764</v>
      </c>
      <c r="AE21" s="201">
        <v>83.286261807170064</v>
      </c>
      <c r="AF21" s="201">
        <v>76.807203943703612</v>
      </c>
      <c r="AG21" s="201">
        <v>46.049259895138633</v>
      </c>
      <c r="AH21" s="201">
        <v>16.017726547021372</v>
      </c>
      <c r="AI21" s="201">
        <v>65.793409144754634</v>
      </c>
      <c r="AJ21" s="201">
        <v>23.528128280996469</v>
      </c>
      <c r="AK21" s="201">
        <v>103.26343966923579</v>
      </c>
      <c r="AL21" s="201">
        <v>80.76731436487313</v>
      </c>
      <c r="AM21" s="201">
        <v>306.55447934406419</v>
      </c>
      <c r="AN21" s="201">
        <v>65.085954686088542</v>
      </c>
      <c r="AO21" s="201">
        <v>110.29756986238979</v>
      </c>
      <c r="AP21" s="201">
        <v>217.01337798907613</v>
      </c>
      <c r="AQ21" s="201">
        <v>78.049251985470661</v>
      </c>
      <c r="AR21" s="201">
        <v>71.821016969257158</v>
      </c>
      <c r="AS21" s="201">
        <v>107.36328775878204</v>
      </c>
      <c r="AT21" s="201">
        <v>73.095536744301441</v>
      </c>
      <c r="AU21" s="201">
        <v>83.260499957888072</v>
      </c>
      <c r="AV21" s="201">
        <v>40.186470756637377</v>
      </c>
      <c r="AW21" s="201">
        <v>9.5663528742482526</v>
      </c>
      <c r="AX21" s="201">
        <v>318.50535177390259</v>
      </c>
      <c r="AY21" s="201">
        <v>37.823792866169789</v>
      </c>
      <c r="AZ21" s="201">
        <v>48.977335611443557</v>
      </c>
      <c r="BA21" s="201">
        <v>71.853255704701184</v>
      </c>
      <c r="BB21" s="201">
        <v>38.208902149659515</v>
      </c>
      <c r="BC21" s="201">
        <v>84.849204194153913</v>
      </c>
      <c r="BD21" s="201">
        <v>124.59387703093765</v>
      </c>
      <c r="BE21" s="201">
        <v>33.121028352252111</v>
      </c>
      <c r="BF21" s="201">
        <v>25.313900560097157</v>
      </c>
      <c r="BG21" s="201">
        <v>29.869458894128336</v>
      </c>
      <c r="BH21" s="201">
        <v>31.932545662100456</v>
      </c>
      <c r="BI21" s="201">
        <v>69.702457867087134</v>
      </c>
      <c r="BJ21" s="201">
        <v>30.223857933158435</v>
      </c>
      <c r="BK21" s="201">
        <v>61.139488253390098</v>
      </c>
      <c r="BL21" s="201">
        <v>40.920134468655533</v>
      </c>
      <c r="BM21" s="201">
        <v>85.194462998303649</v>
      </c>
      <c r="BN21" s="201">
        <v>76.444041992155178</v>
      </c>
      <c r="BO21" s="201">
        <v>28.988626757984179</v>
      </c>
      <c r="BP21" s="201">
        <v>49.517713007112988</v>
      </c>
      <c r="BQ21" s="201">
        <v>23.137374684269457</v>
      </c>
      <c r="BR21" s="201">
        <v>42.186231216286089</v>
      </c>
      <c r="BS21" s="201">
        <v>5.7245574937151691</v>
      </c>
      <c r="BT21" s="201">
        <v>77.641522090298523</v>
      </c>
      <c r="BU21" s="201">
        <v>21.810866435053697</v>
      </c>
      <c r="BV21" s="201">
        <v>37.78892329888226</v>
      </c>
      <c r="BW21" s="201">
        <v>10.888114417420146</v>
      </c>
      <c r="BX21" s="201">
        <v>118.42832929284629</v>
      </c>
      <c r="BY21" s="201">
        <v>29.955348763195559</v>
      </c>
      <c r="BZ21" s="201">
        <v>52.148539662422948</v>
      </c>
      <c r="CA21" s="201">
        <v>69.403332147865328</v>
      </c>
      <c r="CB21" s="201">
        <v>63.646503163213083</v>
      </c>
      <c r="CC21" s="201">
        <v>142.090919687027</v>
      </c>
      <c r="CD21" s="201">
        <v>17.753528381262569</v>
      </c>
      <c r="CE21" s="201">
        <v>61.327682610307747</v>
      </c>
      <c r="CF21" s="201">
        <v>69.276113384428854</v>
      </c>
      <c r="CG21" s="201">
        <v>58.323866471374075</v>
      </c>
      <c r="CH21" s="201">
        <v>66.275417957843061</v>
      </c>
      <c r="CI21" s="201">
        <v>90.070285493827157</v>
      </c>
      <c r="CJ21" s="201">
        <v>45.216975366876312</v>
      </c>
      <c r="CK21" s="201">
        <v>382.62298820330659</v>
      </c>
      <c r="CL21" s="201"/>
      <c r="CM21" s="191">
        <f t="shared" ref="CM21" si="3">CM19/CM16</f>
        <v>92.302772305247458</v>
      </c>
      <c r="CN21" s="191"/>
      <c r="CO21" s="192"/>
      <c r="CQ21" s="174"/>
    </row>
    <row r="22" spans="1:95" s="154" customFormat="1" x14ac:dyDescent="0.3">
      <c r="A22" s="171" t="s">
        <v>380</v>
      </c>
      <c r="B22" s="201"/>
      <c r="C22" s="201"/>
      <c r="D22" s="201"/>
      <c r="E22" s="201"/>
      <c r="F22" s="201">
        <v>13.609543435250975</v>
      </c>
      <c r="G22" s="201"/>
      <c r="H22" s="201"/>
      <c r="I22" s="201">
        <v>27.909291983171464</v>
      </c>
      <c r="J22" s="201">
        <v>292.32548315624996</v>
      </c>
      <c r="K22" s="201"/>
      <c r="L22" s="201"/>
      <c r="M22" s="201"/>
      <c r="N22" s="201"/>
      <c r="O22" s="201">
        <v>14.483830280759701</v>
      </c>
      <c r="P22" s="201" t="s">
        <v>374</v>
      </c>
      <c r="Q22" s="201"/>
      <c r="R22" s="201">
        <v>41.510443736698235</v>
      </c>
      <c r="S22" s="201"/>
      <c r="T22" s="201">
        <v>185.6063260869565</v>
      </c>
      <c r="U22" s="201"/>
      <c r="V22" s="201"/>
      <c r="W22" s="201"/>
      <c r="X22" s="201"/>
      <c r="Y22" s="201"/>
      <c r="Z22" s="201"/>
      <c r="AA22" s="201"/>
      <c r="AB22" s="201"/>
      <c r="AC22" s="201"/>
      <c r="AD22" s="201"/>
      <c r="AE22" s="201">
        <v>21.999331811330826</v>
      </c>
      <c r="AF22" s="201" t="s">
        <v>374</v>
      </c>
      <c r="AG22" s="201"/>
      <c r="AH22" s="201"/>
      <c r="AI22" s="201"/>
      <c r="AJ22" s="201"/>
      <c r="AK22" s="201" t="s">
        <v>374</v>
      </c>
      <c r="AL22" s="201"/>
      <c r="AM22" s="201"/>
      <c r="AN22" s="201"/>
      <c r="AO22" s="201"/>
      <c r="AP22" s="201" t="s">
        <v>374</v>
      </c>
      <c r="AQ22" s="201"/>
      <c r="AR22" s="201"/>
      <c r="AS22" s="201"/>
      <c r="AT22" s="201" t="s">
        <v>374</v>
      </c>
      <c r="AU22" s="201">
        <v>5.4302563347490862</v>
      </c>
      <c r="AV22" s="201"/>
      <c r="AW22" s="201"/>
      <c r="AX22" s="201"/>
      <c r="AY22" s="201">
        <v>45.3592813060556</v>
      </c>
      <c r="AZ22" s="201">
        <v>79.573352180034647</v>
      </c>
      <c r="BA22" s="201">
        <v>28.300344882973054</v>
      </c>
      <c r="BB22" s="201"/>
      <c r="BC22" s="201">
        <v>19.862979900341418</v>
      </c>
      <c r="BD22" s="201"/>
      <c r="BE22" s="201"/>
      <c r="BF22" s="201"/>
      <c r="BG22" s="201"/>
      <c r="BH22" s="201"/>
      <c r="BI22" s="201">
        <v>35.067307892022747</v>
      </c>
      <c r="BJ22" s="201"/>
      <c r="BK22" s="201">
        <v>11.876869611226182</v>
      </c>
      <c r="BL22" s="201">
        <v>40.558012931151637</v>
      </c>
      <c r="BM22" s="201"/>
      <c r="BN22" s="201"/>
      <c r="BO22" s="201"/>
      <c r="BP22" s="201">
        <v>57.853014873717484</v>
      </c>
      <c r="BQ22" s="201"/>
      <c r="BR22" s="201"/>
      <c r="BS22" s="201"/>
      <c r="BT22" s="201"/>
      <c r="BU22" s="201"/>
      <c r="BV22" s="201">
        <v>29.754232826899127</v>
      </c>
      <c r="BW22" s="201"/>
      <c r="BX22" s="201"/>
      <c r="BY22" s="201"/>
      <c r="BZ22" s="201"/>
      <c r="CA22" s="201"/>
      <c r="CB22" s="201" t="s">
        <v>379</v>
      </c>
      <c r="CC22" s="201"/>
      <c r="CD22" s="201"/>
      <c r="CE22" s="201"/>
      <c r="CF22" s="201"/>
      <c r="CG22" s="201"/>
      <c r="CH22" s="201"/>
      <c r="CI22" s="201"/>
      <c r="CJ22" s="201"/>
      <c r="CK22" s="201"/>
      <c r="CL22" s="201"/>
      <c r="CM22" s="201"/>
      <c r="CN22" s="201"/>
      <c r="CO22" s="192"/>
      <c r="CQ22" s="174"/>
    </row>
    <row r="23" spans="1:95" x14ac:dyDescent="0.3">
      <c r="A23" s="169" t="s">
        <v>381</v>
      </c>
      <c r="B23" s="202"/>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2"/>
      <c r="BQ23" s="202"/>
      <c r="BR23" s="202"/>
      <c r="BS23" s="202"/>
      <c r="BT23" s="202"/>
      <c r="BU23" s="202"/>
      <c r="BV23" s="202"/>
      <c r="BW23" s="202"/>
      <c r="BX23" s="202"/>
      <c r="BY23" s="202"/>
      <c r="BZ23" s="202"/>
      <c r="CA23" s="202"/>
      <c r="CB23" s="202"/>
      <c r="CC23" s="202"/>
      <c r="CD23" s="202"/>
      <c r="CE23" s="202"/>
      <c r="CF23" s="202"/>
      <c r="CG23" s="202"/>
      <c r="CH23" s="202"/>
      <c r="CI23" s="202"/>
      <c r="CJ23" s="202"/>
      <c r="CK23" s="202"/>
      <c r="CL23" s="202"/>
      <c r="CM23" s="202"/>
      <c r="CN23" s="202"/>
      <c r="CO23" s="187"/>
    </row>
    <row r="24" spans="1:95" s="163" customFormat="1" x14ac:dyDescent="0.3">
      <c r="A24" s="168" t="s">
        <v>206</v>
      </c>
      <c r="B24" s="184">
        <v>17102918.803223178</v>
      </c>
      <c r="C24" s="184">
        <v>20777511.659618754</v>
      </c>
      <c r="D24" s="184">
        <v>36328001.952678233</v>
      </c>
      <c r="E24" s="184">
        <v>3545318.9659837699</v>
      </c>
      <c r="F24" s="184">
        <v>322151114.34433389</v>
      </c>
      <c r="G24" s="184">
        <v>0</v>
      </c>
      <c r="H24" s="184">
        <v>7786394.8548633968</v>
      </c>
      <c r="I24" s="184">
        <v>160312734.62977073</v>
      </c>
      <c r="J24" s="184">
        <v>103834236.28789338</v>
      </c>
      <c r="K24" s="184">
        <v>15388491.019585203</v>
      </c>
      <c r="L24" s="184">
        <v>19767829.996217389</v>
      </c>
      <c r="M24" s="184">
        <v>86659009.784709617</v>
      </c>
      <c r="N24" s="184">
        <v>30353412.384070095</v>
      </c>
      <c r="O24" s="184">
        <v>28543890.338295247</v>
      </c>
      <c r="P24" s="184">
        <v>47893487.088398464</v>
      </c>
      <c r="Q24" s="184">
        <v>15353162.31026738</v>
      </c>
      <c r="R24" s="184">
        <v>50701249.062092245</v>
      </c>
      <c r="S24" s="184">
        <v>35563472.281397767</v>
      </c>
      <c r="T24" s="184">
        <v>47338910.309209831</v>
      </c>
      <c r="U24" s="184">
        <v>25838615.852509193</v>
      </c>
      <c r="V24" s="184">
        <v>1497955.2836647539</v>
      </c>
      <c r="W24" s="184">
        <v>104558518.58565523</v>
      </c>
      <c r="X24" s="184">
        <v>30070879.991930407</v>
      </c>
      <c r="Y24" s="184">
        <v>12042749.565886673</v>
      </c>
      <c r="Z24" s="184">
        <v>29805270.595643252</v>
      </c>
      <c r="AA24" s="184">
        <v>32738040.827599797</v>
      </c>
      <c r="AB24" s="184">
        <v>203194798.75411895</v>
      </c>
      <c r="AC24" s="184">
        <v>135194.5</v>
      </c>
      <c r="AD24" s="184">
        <v>57462830.715215154</v>
      </c>
      <c r="AE24" s="184">
        <v>269563989.50249869</v>
      </c>
      <c r="AF24" s="184">
        <v>18344917.216135483</v>
      </c>
      <c r="AG24" s="184">
        <v>70917884.417632759</v>
      </c>
      <c r="AH24" s="184">
        <v>8414365.8752685282</v>
      </c>
      <c r="AI24" s="184">
        <v>71373817.585696384</v>
      </c>
      <c r="AJ24" s="184">
        <v>0</v>
      </c>
      <c r="AK24" s="184">
        <v>12309951.244549349</v>
      </c>
      <c r="AL24" s="184">
        <v>303948066.83392769</v>
      </c>
      <c r="AM24" s="184">
        <v>0</v>
      </c>
      <c r="AN24" s="184">
        <v>54209124.755045086</v>
      </c>
      <c r="AO24" s="184">
        <v>7022967.1637080694</v>
      </c>
      <c r="AP24" s="184">
        <v>39279779.01272852</v>
      </c>
      <c r="AQ24" s="184">
        <v>0</v>
      </c>
      <c r="AR24" s="184">
        <v>137769643.56692469</v>
      </c>
      <c r="AS24" s="184">
        <v>20011916.501849957</v>
      </c>
      <c r="AT24" s="184">
        <v>200800558.11245772</v>
      </c>
      <c r="AU24" s="184">
        <v>1523830</v>
      </c>
      <c r="AV24" s="184">
        <v>86160436.285762638</v>
      </c>
      <c r="AW24" s="184">
        <v>13555081.970577559</v>
      </c>
      <c r="AX24" s="184">
        <v>2933434.289837643</v>
      </c>
      <c r="AY24" s="184">
        <v>409504215.61715657</v>
      </c>
      <c r="AZ24" s="184">
        <v>37280976.240972884</v>
      </c>
      <c r="BA24" s="184">
        <v>292266748.88697737</v>
      </c>
      <c r="BB24" s="184">
        <v>22681367.661065783</v>
      </c>
      <c r="BC24" s="184">
        <v>151010642.40095273</v>
      </c>
      <c r="BD24" s="184">
        <v>56705040.720443308</v>
      </c>
      <c r="BE24" s="184">
        <v>20025060.531270806</v>
      </c>
      <c r="BF24" s="184">
        <v>16861228.853028744</v>
      </c>
      <c r="BG24" s="184">
        <v>19396775.221170034</v>
      </c>
      <c r="BH24" s="184">
        <v>22202015.926309228</v>
      </c>
      <c r="BI24" s="184">
        <v>73522410.289787725</v>
      </c>
      <c r="BJ24" s="184">
        <v>1894884.7731193681</v>
      </c>
      <c r="BK24" s="184">
        <v>140105996.57749733</v>
      </c>
      <c r="BL24" s="184">
        <v>126469764.60803692</v>
      </c>
      <c r="BM24" s="184">
        <v>3692515.3493591519</v>
      </c>
      <c r="BN24" s="184">
        <v>29188372.074616253</v>
      </c>
      <c r="BO24" s="184">
        <v>74144825.109419554</v>
      </c>
      <c r="BP24" s="184">
        <v>221158178.54648334</v>
      </c>
      <c r="BQ24" s="184">
        <v>3047196.8434858155</v>
      </c>
      <c r="BR24" s="184">
        <v>22732431.919855434</v>
      </c>
      <c r="BS24" s="184">
        <v>1253844.1032909397</v>
      </c>
      <c r="BT24" s="184">
        <v>201491551.33568239</v>
      </c>
      <c r="BU24" s="184">
        <v>44366639.391463786</v>
      </c>
      <c r="BV24" s="184">
        <v>214943929.8608672</v>
      </c>
      <c r="BW24" s="184">
        <v>3961054.6805899907</v>
      </c>
      <c r="BX24" s="184">
        <v>7807824.4478287445</v>
      </c>
      <c r="BY24" s="184">
        <v>10217606.130012561</v>
      </c>
      <c r="BZ24" s="184">
        <v>1503167.6797808118</v>
      </c>
      <c r="CA24" s="184">
        <v>17126215.139113933</v>
      </c>
      <c r="CB24" s="184">
        <v>72299665.981038615</v>
      </c>
      <c r="CC24" s="184">
        <v>36876823.644600816</v>
      </c>
      <c r="CD24" s="184">
        <v>8466014.4133180361</v>
      </c>
      <c r="CE24" s="184">
        <v>5092117.4453440337</v>
      </c>
      <c r="CF24" s="184">
        <v>24314668.827893607</v>
      </c>
      <c r="CG24" s="184">
        <v>13326245.278444849</v>
      </c>
      <c r="CH24" s="184">
        <v>40450735.918468751</v>
      </c>
      <c r="CI24" s="184">
        <v>44440.05</v>
      </c>
      <c r="CJ24" s="184">
        <v>1356368</v>
      </c>
      <c r="CK24" s="184">
        <v>14186.35</v>
      </c>
      <c r="CL24" s="184">
        <v>18488.900000000001</v>
      </c>
      <c r="CM24" s="184">
        <v>4610180.2340328302</v>
      </c>
      <c r="CN24" s="184"/>
      <c r="CO24" s="187"/>
    </row>
    <row r="25" spans="1:95" s="163" customFormat="1" x14ac:dyDescent="0.3">
      <c r="A25" s="168" t="s">
        <v>207</v>
      </c>
      <c r="B25" s="184">
        <v>0</v>
      </c>
      <c r="C25" s="184">
        <v>0</v>
      </c>
      <c r="D25" s="184">
        <v>0</v>
      </c>
      <c r="E25" s="184">
        <v>0</v>
      </c>
      <c r="F25" s="184">
        <v>1706298.6239050901</v>
      </c>
      <c r="G25" s="184">
        <v>0</v>
      </c>
      <c r="H25" s="184">
        <v>3909376.086462548</v>
      </c>
      <c r="I25" s="184">
        <v>0</v>
      </c>
      <c r="J25" s="184">
        <v>19644353.732003991</v>
      </c>
      <c r="K25" s="184">
        <v>0</v>
      </c>
      <c r="L25" s="184">
        <v>0</v>
      </c>
      <c r="M25" s="184">
        <v>0</v>
      </c>
      <c r="N25" s="184">
        <v>1866087.9742463389</v>
      </c>
      <c r="O25" s="184">
        <v>17248783.043757189</v>
      </c>
      <c r="P25" s="184">
        <v>0</v>
      </c>
      <c r="Q25" s="184">
        <v>5117703.4514715439</v>
      </c>
      <c r="R25" s="184">
        <v>0</v>
      </c>
      <c r="S25" s="184">
        <v>2045000.124591874</v>
      </c>
      <c r="T25" s="184">
        <v>61544689.506537192</v>
      </c>
      <c r="U25" s="184">
        <v>35177998.613547429</v>
      </c>
      <c r="V25" s="184">
        <v>1597875.6961594732</v>
      </c>
      <c r="W25" s="184">
        <v>0</v>
      </c>
      <c r="X25" s="184">
        <v>9854667.875362033</v>
      </c>
      <c r="Y25" s="184">
        <v>3440778.6570994901</v>
      </c>
      <c r="Z25" s="184">
        <v>8845359.7603595797</v>
      </c>
      <c r="AA25" s="184">
        <v>0</v>
      </c>
      <c r="AB25" s="184">
        <v>0</v>
      </c>
      <c r="AC25" s="184">
        <v>66592.149999999994</v>
      </c>
      <c r="AD25" s="184">
        <v>0</v>
      </c>
      <c r="AE25" s="184">
        <v>0</v>
      </c>
      <c r="AF25" s="184">
        <v>7678624.5338847153</v>
      </c>
      <c r="AG25" s="184">
        <v>0</v>
      </c>
      <c r="AH25" s="184">
        <v>0</v>
      </c>
      <c r="AI25" s="184">
        <v>0</v>
      </c>
      <c r="AJ25" s="184">
        <v>0</v>
      </c>
      <c r="AK25" s="184">
        <v>11111834.302699586</v>
      </c>
      <c r="AL25" s="184">
        <v>0</v>
      </c>
      <c r="AM25" s="184">
        <v>0</v>
      </c>
      <c r="AN25" s="184">
        <v>0</v>
      </c>
      <c r="AO25" s="184">
        <v>393192.61348265974</v>
      </c>
      <c r="AP25" s="184">
        <v>23194412.711086243</v>
      </c>
      <c r="AQ25" s="184">
        <v>0</v>
      </c>
      <c r="AR25" s="184">
        <v>0</v>
      </c>
      <c r="AS25" s="184">
        <v>0</v>
      </c>
      <c r="AT25" s="184">
        <v>86057439.201732039</v>
      </c>
      <c r="AU25" s="184">
        <v>0</v>
      </c>
      <c r="AV25" s="184">
        <v>0</v>
      </c>
      <c r="AW25" s="184">
        <v>0</v>
      </c>
      <c r="AX25" s="184">
        <v>2682770.5779915815</v>
      </c>
      <c r="AY25" s="184">
        <v>146283966.61813313</v>
      </c>
      <c r="AZ25" s="184">
        <v>9568550.2211586181</v>
      </c>
      <c r="BA25" s="184">
        <v>249913622.6866177</v>
      </c>
      <c r="BB25" s="184">
        <v>26374559.968299799</v>
      </c>
      <c r="BC25" s="184">
        <v>0</v>
      </c>
      <c r="BD25" s="184">
        <v>3279310.843454279</v>
      </c>
      <c r="BE25" s="184">
        <v>0</v>
      </c>
      <c r="BF25" s="184">
        <v>0</v>
      </c>
      <c r="BG25" s="184">
        <v>0</v>
      </c>
      <c r="BH25" s="184">
        <v>0</v>
      </c>
      <c r="BI25" s="184">
        <v>0</v>
      </c>
      <c r="BJ25" s="184">
        <v>266876.66554978897</v>
      </c>
      <c r="BK25" s="184">
        <v>124701439.50435877</v>
      </c>
      <c r="BL25" s="184">
        <v>6813027.5817681625</v>
      </c>
      <c r="BM25" s="184">
        <v>6857451.4683430195</v>
      </c>
      <c r="BN25" s="184">
        <v>71322464.779160157</v>
      </c>
      <c r="BO25" s="184">
        <v>0</v>
      </c>
      <c r="BP25" s="184">
        <v>81980455.902559131</v>
      </c>
      <c r="BQ25" s="184">
        <v>0</v>
      </c>
      <c r="BR25" s="184">
        <v>83409.508748894223</v>
      </c>
      <c r="BS25" s="184">
        <v>0</v>
      </c>
      <c r="BT25" s="184">
        <v>0</v>
      </c>
      <c r="BU25" s="184">
        <v>201227.0537298054</v>
      </c>
      <c r="BV25" s="184">
        <v>7929790.5072684772</v>
      </c>
      <c r="BW25" s="184">
        <v>0</v>
      </c>
      <c r="BX25" s="184">
        <v>14936879.108381324</v>
      </c>
      <c r="BY25" s="184">
        <v>2707124.5753755295</v>
      </c>
      <c r="BZ25" s="184">
        <v>0</v>
      </c>
      <c r="CA25" s="184">
        <v>2753280.9435077449</v>
      </c>
      <c r="CB25" s="184">
        <v>35955451.304679245</v>
      </c>
      <c r="CC25" s="184">
        <v>0</v>
      </c>
      <c r="CD25" s="184">
        <v>0</v>
      </c>
      <c r="CE25" s="184">
        <v>4403161.0975169977</v>
      </c>
      <c r="CF25" s="184">
        <v>0</v>
      </c>
      <c r="CG25" s="184">
        <v>0</v>
      </c>
      <c r="CH25" s="184">
        <v>0</v>
      </c>
      <c r="CI25" s="184">
        <v>74067.7</v>
      </c>
      <c r="CJ25" s="184">
        <v>3390.55</v>
      </c>
      <c r="CK25" s="184">
        <v>8196.6</v>
      </c>
      <c r="CL25" s="184">
        <v>0</v>
      </c>
      <c r="CM25" s="184">
        <v>3504950.4838270475</v>
      </c>
      <c r="CN25" s="184"/>
      <c r="CO25" s="187"/>
    </row>
    <row r="26" spans="1:95" s="163" customFormat="1" x14ac:dyDescent="0.3">
      <c r="A26" s="168" t="s">
        <v>2</v>
      </c>
      <c r="B26" s="184">
        <v>29588617.637894917</v>
      </c>
      <c r="C26" s="184">
        <v>35945785.338553041</v>
      </c>
      <c r="D26" s="184">
        <v>372229.8390853352</v>
      </c>
      <c r="E26" s="184">
        <v>960234.07163651718</v>
      </c>
      <c r="F26" s="184">
        <v>16646105.925546637</v>
      </c>
      <c r="G26" s="184">
        <v>0</v>
      </c>
      <c r="H26" s="184">
        <v>1562966.6933170888</v>
      </c>
      <c r="I26" s="184">
        <v>9875403.2099988367</v>
      </c>
      <c r="J26" s="184">
        <v>33675761.813169904</v>
      </c>
      <c r="K26" s="184">
        <v>1323559.9024158136</v>
      </c>
      <c r="L26" s="184">
        <v>10589903.092029121</v>
      </c>
      <c r="M26" s="184">
        <v>2185470.9845834584</v>
      </c>
      <c r="N26" s="184">
        <v>580924.83597708424</v>
      </c>
      <c r="O26" s="184">
        <v>5234768.6670185803</v>
      </c>
      <c r="P26" s="184">
        <v>2630372.4056123141</v>
      </c>
      <c r="Q26" s="184">
        <v>3411836.9382161936</v>
      </c>
      <c r="R26" s="184">
        <v>1688591.1655511553</v>
      </c>
      <c r="S26" s="184">
        <v>3943954.585235171</v>
      </c>
      <c r="T26" s="184">
        <v>3377634.6238333103</v>
      </c>
      <c r="U26" s="184">
        <v>311284.38038050389</v>
      </c>
      <c r="V26" s="184">
        <v>3495269.5144442371</v>
      </c>
      <c r="W26" s="184">
        <v>1165231.8846099535</v>
      </c>
      <c r="X26" s="184">
        <v>4585285.8464987259</v>
      </c>
      <c r="Y26" s="184">
        <v>1204274.9565886674</v>
      </c>
      <c r="Z26" s="184">
        <v>2125946.7326028002</v>
      </c>
      <c r="AA26" s="184">
        <v>0</v>
      </c>
      <c r="AB26" s="184">
        <v>13245608.265357291</v>
      </c>
      <c r="AC26" s="184">
        <v>7789.05</v>
      </c>
      <c r="AD26" s="184">
        <v>5403341.5489005903</v>
      </c>
      <c r="AE26" s="184">
        <v>23590507.949617755</v>
      </c>
      <c r="AF26" s="184">
        <v>4639138.4607113609</v>
      </c>
      <c r="AG26" s="184">
        <v>1476790.6849008475</v>
      </c>
      <c r="AH26" s="184">
        <v>0</v>
      </c>
      <c r="AI26" s="184">
        <v>5775482.8053162657</v>
      </c>
      <c r="AJ26" s="184">
        <v>0</v>
      </c>
      <c r="AK26" s="184">
        <v>13577121.592361588</v>
      </c>
      <c r="AL26" s="184">
        <v>12649946.465105372</v>
      </c>
      <c r="AM26" s="184">
        <v>0</v>
      </c>
      <c r="AN26" s="184">
        <v>11754659.719794225</v>
      </c>
      <c r="AO26" s="184">
        <v>584881.84299783851</v>
      </c>
      <c r="AP26" s="184">
        <v>1252829.4497990233</v>
      </c>
      <c r="AQ26" s="184">
        <v>0</v>
      </c>
      <c r="AR26" s="184">
        <v>6850291.8357029362</v>
      </c>
      <c r="AS26" s="184">
        <v>3147823.2343897005</v>
      </c>
      <c r="AT26" s="184">
        <v>8256502.6670049122</v>
      </c>
      <c r="AU26" s="184">
        <v>0</v>
      </c>
      <c r="AV26" s="184">
        <v>1297138.9030827412</v>
      </c>
      <c r="AW26" s="184">
        <v>1186065.1284079212</v>
      </c>
      <c r="AX26" s="184">
        <v>1732669.11365003</v>
      </c>
      <c r="AY26" s="184">
        <v>21055236.268113021</v>
      </c>
      <c r="AZ26" s="184">
        <v>281029.62832132587</v>
      </c>
      <c r="BA26" s="184">
        <v>791458.34233068384</v>
      </c>
      <c r="BB26" s="184">
        <v>15593298.096139399</v>
      </c>
      <c r="BC26" s="184">
        <v>0</v>
      </c>
      <c r="BD26" s="184">
        <v>8547513.7459534146</v>
      </c>
      <c r="BE26" s="184">
        <v>1544298.2867087494</v>
      </c>
      <c r="BF26" s="184">
        <v>7945165.404646731</v>
      </c>
      <c r="BG26" s="184">
        <v>7758704.7831349336</v>
      </c>
      <c r="BH26" s="184">
        <v>0</v>
      </c>
      <c r="BI26" s="184">
        <v>6628106.0377388494</v>
      </c>
      <c r="BJ26" s="184">
        <v>133438.33277489449</v>
      </c>
      <c r="BK26" s="184">
        <v>36237421.73961772</v>
      </c>
      <c r="BL26" s="184">
        <v>500202.33939400688</v>
      </c>
      <c r="BM26" s="184">
        <v>3260924.9806603245</v>
      </c>
      <c r="BN26" s="184">
        <v>392974.00367268029</v>
      </c>
      <c r="BO26" s="184">
        <v>2425256.926559499</v>
      </c>
      <c r="BP26" s="184">
        <v>2231363.5504642781</v>
      </c>
      <c r="BQ26" s="184">
        <v>18101.584109574855</v>
      </c>
      <c r="BR26" s="184">
        <v>1973596.7345210409</v>
      </c>
      <c r="BS26" s="184">
        <v>0</v>
      </c>
      <c r="BT26" s="184">
        <v>17888994.897215232</v>
      </c>
      <c r="BU26" s="184">
        <v>745168.25175360951</v>
      </c>
      <c r="BV26" s="184">
        <v>4464327.2003741246</v>
      </c>
      <c r="BW26" s="184">
        <v>402763.83093600796</v>
      </c>
      <c r="BX26" s="184">
        <v>837178.61755398009</v>
      </c>
      <c r="BY26" s="184">
        <v>4029601.9884053399</v>
      </c>
      <c r="BZ26" s="184">
        <v>583632.85770350473</v>
      </c>
      <c r="CA26" s="184">
        <v>9466406.5344195198</v>
      </c>
      <c r="CB26" s="184">
        <v>1976746.2463936459</v>
      </c>
      <c r="CC26" s="184">
        <v>0</v>
      </c>
      <c r="CD26" s="184">
        <v>7483.3653892103875</v>
      </c>
      <c r="CE26" s="184">
        <v>208819.74257392515</v>
      </c>
      <c r="CF26" s="184">
        <v>1737306.3714547069</v>
      </c>
      <c r="CG26" s="184">
        <v>908219.24869223707</v>
      </c>
      <c r="CH26" s="184">
        <v>0</v>
      </c>
      <c r="CI26" s="184">
        <v>85919.9</v>
      </c>
      <c r="CJ26" s="184">
        <v>113596.3</v>
      </c>
      <c r="CK26" s="184">
        <v>18442.349999999999</v>
      </c>
      <c r="CL26" s="184">
        <v>0</v>
      </c>
      <c r="CM26" s="184">
        <v>7754379.2592536034</v>
      </c>
      <c r="CN26" s="184"/>
      <c r="CO26" s="187"/>
    </row>
    <row r="27" spans="1:95" s="163" customFormat="1" x14ac:dyDescent="0.3">
      <c r="A27" s="168" t="s">
        <v>208</v>
      </c>
      <c r="B27" s="184">
        <v>2929822.1388760451</v>
      </c>
      <c r="C27" s="184">
        <v>3559299.6933151507</v>
      </c>
      <c r="D27" s="184">
        <v>2258876.8258830211</v>
      </c>
      <c r="E27" s="184">
        <v>590881.97294369363</v>
      </c>
      <c r="F27" s="184">
        <v>2702905.3346769712</v>
      </c>
      <c r="G27" s="184">
        <v>0</v>
      </c>
      <c r="H27" s="184">
        <v>2830686.8547009537</v>
      </c>
      <c r="I27" s="184">
        <v>13665285.191918595</v>
      </c>
      <c r="J27" s="184">
        <v>50513642.71975486</v>
      </c>
      <c r="K27" s="184">
        <v>2727641.0211375263</v>
      </c>
      <c r="L27" s="184">
        <v>0</v>
      </c>
      <c r="M27" s="184">
        <v>1280817.7599711495</v>
      </c>
      <c r="N27" s="184">
        <v>3788988.6512081637</v>
      </c>
      <c r="O27" s="184">
        <v>1877309.7107109567</v>
      </c>
      <c r="P27" s="184">
        <v>1215686.0790690868</v>
      </c>
      <c r="Q27" s="184">
        <v>3070642.8532240246</v>
      </c>
      <c r="R27" s="184">
        <v>0</v>
      </c>
      <c r="S27" s="184">
        <v>2048788.8323657098</v>
      </c>
      <c r="T27" s="184">
        <v>9907012.1789788324</v>
      </c>
      <c r="U27" s="184">
        <v>233424.58757523613</v>
      </c>
      <c r="V27" s="184">
        <v>1797594.9634694781</v>
      </c>
      <c r="W27" s="184">
        <v>6269337.6485038903</v>
      </c>
      <c r="X27" s="184">
        <v>3920849.9875293621</v>
      </c>
      <c r="Y27" s="184">
        <v>516090.10592261981</v>
      </c>
      <c r="Z27" s="184">
        <v>1471932.4012208513</v>
      </c>
      <c r="AA27" s="184">
        <v>8869099.0211352911</v>
      </c>
      <c r="AB27" s="184">
        <v>12705387.882653806</v>
      </c>
      <c r="AC27" s="184">
        <v>0</v>
      </c>
      <c r="AD27" s="184">
        <v>2673085.2525911094</v>
      </c>
      <c r="AE27" s="184">
        <v>4095088.0511129126</v>
      </c>
      <c r="AF27" s="184">
        <v>1988193.2894324597</v>
      </c>
      <c r="AG27" s="184">
        <v>2215243.561661887</v>
      </c>
      <c r="AH27" s="184">
        <v>772633.22122867254</v>
      </c>
      <c r="AI27" s="184">
        <v>4215553.9509069426</v>
      </c>
      <c r="AJ27" s="184">
        <v>0</v>
      </c>
      <c r="AK27" s="184">
        <v>7977224.6841258435</v>
      </c>
      <c r="AL27" s="184">
        <v>6474726.4995267047</v>
      </c>
      <c r="AM27" s="184">
        <v>0</v>
      </c>
      <c r="AN27" s="184">
        <v>0</v>
      </c>
      <c r="AO27" s="184">
        <v>408853.49824697175</v>
      </c>
      <c r="AP27" s="184">
        <v>498598.62704367493</v>
      </c>
      <c r="AQ27" s="184">
        <v>0</v>
      </c>
      <c r="AR27" s="184">
        <v>2947328.7903100071</v>
      </c>
      <c r="AS27" s="184">
        <v>1488623.8387835955</v>
      </c>
      <c r="AT27" s="184">
        <v>5504388.4546367461</v>
      </c>
      <c r="AU27" s="184">
        <v>70075.8</v>
      </c>
      <c r="AV27" s="184">
        <v>7022867.0700176777</v>
      </c>
      <c r="AW27" s="184">
        <v>1694382.8547339763</v>
      </c>
      <c r="AX27" s="184">
        <v>1748594.3812387253</v>
      </c>
      <c r="AY27" s="184">
        <v>2031389.2178752415</v>
      </c>
      <c r="AZ27" s="184">
        <v>1474026.7509030029</v>
      </c>
      <c r="BA27" s="184">
        <v>809073.61599539372</v>
      </c>
      <c r="BB27" s="184">
        <v>2846788.3465451114</v>
      </c>
      <c r="BC27" s="184">
        <v>5606603.480568083</v>
      </c>
      <c r="BD27" s="184">
        <v>5379589.8285647947</v>
      </c>
      <c r="BE27" s="184">
        <v>0</v>
      </c>
      <c r="BF27" s="184">
        <v>8193120.6470523095</v>
      </c>
      <c r="BG27" s="184">
        <v>3879365.6549001681</v>
      </c>
      <c r="BH27" s="184">
        <v>7048268.098175548</v>
      </c>
      <c r="BI27" s="184">
        <v>5952057.2799531352</v>
      </c>
      <c r="BJ27" s="184">
        <v>53375.333109957799</v>
      </c>
      <c r="BK27" s="184">
        <v>26490252.442362666</v>
      </c>
      <c r="BL27" s="184">
        <v>17156811.904774178</v>
      </c>
      <c r="BM27" s="184">
        <v>1468773.38718789</v>
      </c>
      <c r="BN27" s="184">
        <v>1442000.841928622</v>
      </c>
      <c r="BO27" s="184">
        <v>6230170.0293380162</v>
      </c>
      <c r="BP27" s="184">
        <v>2514942.1361037297</v>
      </c>
      <c r="BQ27" s="184">
        <v>97713.68757704692</v>
      </c>
      <c r="BR27" s="184">
        <v>1695246.8686169407</v>
      </c>
      <c r="BS27" s="184">
        <v>250163.1624753529</v>
      </c>
      <c r="BT27" s="184">
        <v>8696393.964768067</v>
      </c>
      <c r="BU27" s="184">
        <v>748243.58392095217</v>
      </c>
      <c r="BV27" s="184">
        <v>5764383.5288262079</v>
      </c>
      <c r="BW27" s="184">
        <v>301828.21882834536</v>
      </c>
      <c r="BX27" s="184">
        <v>2887072.1391020142</v>
      </c>
      <c r="BY27" s="184">
        <v>3471327.0354803815</v>
      </c>
      <c r="BZ27" s="184">
        <v>659920.00178079109</v>
      </c>
      <c r="CA27" s="184">
        <v>2240297.2177903419</v>
      </c>
      <c r="CB27" s="184">
        <v>557833.66227170266</v>
      </c>
      <c r="CC27" s="184">
        <v>7790134.6718412554</v>
      </c>
      <c r="CD27" s="184">
        <v>147538.70607349902</v>
      </c>
      <c r="CE27" s="184">
        <v>147540.09883435175</v>
      </c>
      <c r="CF27" s="184">
        <v>1203741.7461678358</v>
      </c>
      <c r="CG27" s="184">
        <v>500418.77432438958</v>
      </c>
      <c r="CH27" s="184">
        <v>400088.39833240834</v>
      </c>
      <c r="CI27" s="184">
        <v>35551.85</v>
      </c>
      <c r="CJ27" s="184">
        <v>169546.5</v>
      </c>
      <c r="CK27" s="184">
        <v>22541.599999999999</v>
      </c>
      <c r="CL27" s="184">
        <v>0</v>
      </c>
      <c r="CM27" s="184">
        <v>4281543.5252602594</v>
      </c>
      <c r="CN27" s="184"/>
      <c r="CO27" s="187"/>
    </row>
    <row r="28" spans="1:95" s="163" customFormat="1" x14ac:dyDescent="0.3">
      <c r="A28" s="168" t="s">
        <v>209</v>
      </c>
      <c r="B28" s="184">
        <v>1893560.4082673159</v>
      </c>
      <c r="C28" s="184">
        <v>2300395.2666577608</v>
      </c>
      <c r="D28" s="184">
        <v>347300.77168542607</v>
      </c>
      <c r="E28" s="184">
        <v>2215814.1806192533</v>
      </c>
      <c r="F28" s="184">
        <v>49128097.183176547</v>
      </c>
      <c r="G28" s="184">
        <v>0</v>
      </c>
      <c r="H28" s="184">
        <v>877043.79982692015</v>
      </c>
      <c r="I28" s="184">
        <v>39533920.030660897</v>
      </c>
      <c r="J28" s="184">
        <v>58933061.196011975</v>
      </c>
      <c r="K28" s="184">
        <v>2686955.3386903526</v>
      </c>
      <c r="L28" s="184">
        <v>2823985.0489707938</v>
      </c>
      <c r="M28" s="184">
        <v>150682.24728723767</v>
      </c>
      <c r="N28" s="184">
        <v>406719.14859791537</v>
      </c>
      <c r="O28" s="184">
        <v>4123544.5400100104</v>
      </c>
      <c r="P28" s="184">
        <v>1939059.2414203431</v>
      </c>
      <c r="Q28" s="184">
        <v>6823621.9205796402</v>
      </c>
      <c r="R28" s="184">
        <v>4316444.487290726</v>
      </c>
      <c r="S28" s="184">
        <v>4289674.1695976919</v>
      </c>
      <c r="T28" s="184">
        <v>4422117.9797177669</v>
      </c>
      <c r="U28" s="184">
        <v>13775378.670011124</v>
      </c>
      <c r="V28" s="184">
        <v>1398156.4288494685</v>
      </c>
      <c r="W28" s="184">
        <v>12474447.842050018</v>
      </c>
      <c r="X28" s="184">
        <v>2606377.3796829069</v>
      </c>
      <c r="Y28" s="184">
        <v>0</v>
      </c>
      <c r="Z28" s="184">
        <v>4235807.2096246192</v>
      </c>
      <c r="AA28" s="184">
        <v>36578004.573385641</v>
      </c>
      <c r="AB28" s="184">
        <v>7566299.2673871554</v>
      </c>
      <c r="AC28" s="184">
        <v>52540.7</v>
      </c>
      <c r="AD28" s="184">
        <v>4831150.9201441379</v>
      </c>
      <c r="AE28" s="184">
        <v>143589671.51635492</v>
      </c>
      <c r="AF28" s="184">
        <v>2419728.7270123912</v>
      </c>
      <c r="AG28" s="184">
        <v>2616545.3782110307</v>
      </c>
      <c r="AH28" s="184">
        <v>0</v>
      </c>
      <c r="AI28" s="184">
        <v>11845285.280240458</v>
      </c>
      <c r="AJ28" s="184">
        <v>0</v>
      </c>
      <c r="AK28" s="184">
        <v>14427435.319205025</v>
      </c>
      <c r="AL28" s="184">
        <v>63200671.464714304</v>
      </c>
      <c r="AM28" s="184">
        <v>0</v>
      </c>
      <c r="AN28" s="184">
        <v>12950454.994545447</v>
      </c>
      <c r="AO28" s="184">
        <v>0</v>
      </c>
      <c r="AP28" s="184">
        <v>44608667.684663713</v>
      </c>
      <c r="AQ28" s="184">
        <v>0</v>
      </c>
      <c r="AR28" s="184">
        <v>23699028.974856105</v>
      </c>
      <c r="AS28" s="184">
        <v>1790456.5041243427</v>
      </c>
      <c r="AT28" s="184">
        <v>41282513.335024565</v>
      </c>
      <c r="AU28" s="184">
        <v>1084050</v>
      </c>
      <c r="AV28" s="184">
        <v>24828367.041102514</v>
      </c>
      <c r="AW28" s="184">
        <v>491375.71538576152</v>
      </c>
      <c r="AX28" s="184">
        <v>1661323.914852676</v>
      </c>
      <c r="AY28" s="184">
        <v>103291401.02859513</v>
      </c>
      <c r="AZ28" s="184">
        <v>13516936.835201284</v>
      </c>
      <c r="BA28" s="184">
        <v>23888769.034509055</v>
      </c>
      <c r="BB28" s="184">
        <v>19496334.568124525</v>
      </c>
      <c r="BC28" s="184">
        <v>79599887.006894872</v>
      </c>
      <c r="BD28" s="184">
        <v>15276953.63827139</v>
      </c>
      <c r="BE28" s="184">
        <v>2333888.6176706818</v>
      </c>
      <c r="BF28" s="184">
        <v>5532888.2345969342</v>
      </c>
      <c r="BG28" s="184">
        <v>7370752.3016456775</v>
      </c>
      <c r="BH28" s="184">
        <v>0</v>
      </c>
      <c r="BI28" s="184">
        <v>23729291.481296659</v>
      </c>
      <c r="BJ28" s="184">
        <v>266876.66554978897</v>
      </c>
      <c r="BK28" s="184">
        <v>45611035.544352986</v>
      </c>
      <c r="BL28" s="184">
        <v>19829484.654076278</v>
      </c>
      <c r="BM28" s="184">
        <v>2877239.1655884176</v>
      </c>
      <c r="BN28" s="184">
        <v>5020171.8955294667</v>
      </c>
      <c r="BO28" s="184">
        <v>3658573.086264214</v>
      </c>
      <c r="BP28" s="184">
        <v>0</v>
      </c>
      <c r="BQ28" s="184">
        <v>383619.92776680068</v>
      </c>
      <c r="BR28" s="184">
        <v>897937.13665898051</v>
      </c>
      <c r="BS28" s="184">
        <v>0</v>
      </c>
      <c r="BT28" s="184">
        <v>26278239.000594076</v>
      </c>
      <c r="BU28" s="184">
        <v>826522.78355635982</v>
      </c>
      <c r="BV28" s="184">
        <v>85600892.367722511</v>
      </c>
      <c r="BW28" s="184">
        <v>0</v>
      </c>
      <c r="BX28" s="184">
        <v>0</v>
      </c>
      <c r="BY28" s="184">
        <v>3273981.1460901904</v>
      </c>
      <c r="BZ28" s="184">
        <v>335305.63828944601</v>
      </c>
      <c r="CA28" s="184">
        <v>14199539.201061469</v>
      </c>
      <c r="CB28" s="184">
        <v>4685638.9352813419</v>
      </c>
      <c r="CC28" s="184">
        <v>8068917.0562672019</v>
      </c>
      <c r="CD28" s="184">
        <v>4490.0192335262336</v>
      </c>
      <c r="CE28" s="184">
        <v>427153.83748710703</v>
      </c>
      <c r="CF28" s="184">
        <v>0</v>
      </c>
      <c r="CG28" s="184">
        <v>3360912.8054129309</v>
      </c>
      <c r="CH28" s="184">
        <v>42738.125031167336</v>
      </c>
      <c r="CI28" s="184">
        <v>50366.15</v>
      </c>
      <c r="CJ28" s="184">
        <v>50863.95</v>
      </c>
      <c r="CK28" s="184">
        <v>12294.9</v>
      </c>
      <c r="CL28" s="184">
        <v>0</v>
      </c>
      <c r="CM28" s="184">
        <v>5461665.3798213219</v>
      </c>
      <c r="CN28" s="184"/>
      <c r="CO28" s="187"/>
    </row>
    <row r="29" spans="1:95" s="163" customFormat="1" x14ac:dyDescent="0.3">
      <c r="A29" s="168" t="s">
        <v>210</v>
      </c>
      <c r="B29" s="184">
        <v>0</v>
      </c>
      <c r="C29" s="184">
        <v>0</v>
      </c>
      <c r="D29" s="184">
        <v>28341.411226512668</v>
      </c>
      <c r="E29" s="184">
        <v>0</v>
      </c>
      <c r="F29" s="184">
        <v>0</v>
      </c>
      <c r="G29" s="184">
        <v>0</v>
      </c>
      <c r="H29" s="184">
        <v>0</v>
      </c>
      <c r="I29" s="184">
        <v>0</v>
      </c>
      <c r="J29" s="184">
        <v>14031408.081165912</v>
      </c>
      <c r="K29" s="184">
        <v>34005.943537936124</v>
      </c>
      <c r="L29" s="184">
        <v>0</v>
      </c>
      <c r="M29" s="184">
        <v>0</v>
      </c>
      <c r="N29" s="184">
        <v>2722524.516971048</v>
      </c>
      <c r="O29" s="184">
        <v>3551.8415579326665</v>
      </c>
      <c r="P29" s="184">
        <v>56442.197406638479</v>
      </c>
      <c r="Q29" s="184">
        <v>0</v>
      </c>
      <c r="R29" s="184">
        <v>0</v>
      </c>
      <c r="S29" s="184">
        <v>2185994.1781753367</v>
      </c>
      <c r="T29" s="184">
        <v>0</v>
      </c>
      <c r="U29" s="184">
        <v>0</v>
      </c>
      <c r="V29" s="184">
        <v>0</v>
      </c>
      <c r="W29" s="184">
        <v>0</v>
      </c>
      <c r="X29" s="184">
        <v>10814423.944204632</v>
      </c>
      <c r="Y29" s="184">
        <v>0</v>
      </c>
      <c r="Z29" s="184">
        <v>0</v>
      </c>
      <c r="AA29" s="184">
        <v>0</v>
      </c>
      <c r="AB29" s="184">
        <v>13979135.854120024</v>
      </c>
      <c r="AC29" s="184">
        <v>0</v>
      </c>
      <c r="AD29" s="184">
        <v>0</v>
      </c>
      <c r="AE29" s="184">
        <v>953250.7015531878</v>
      </c>
      <c r="AF29" s="184">
        <v>0</v>
      </c>
      <c r="AG29" s="184">
        <v>1744382.7635775593</v>
      </c>
      <c r="AH29" s="184">
        <v>0</v>
      </c>
      <c r="AI29" s="184">
        <v>0</v>
      </c>
      <c r="AJ29" s="184">
        <v>0</v>
      </c>
      <c r="AK29" s="184">
        <v>11808593.54416403</v>
      </c>
      <c r="AL29" s="184">
        <v>2384113.8383137658</v>
      </c>
      <c r="AM29" s="184">
        <v>0</v>
      </c>
      <c r="AN29" s="184">
        <v>0</v>
      </c>
      <c r="AO29" s="184">
        <v>0</v>
      </c>
      <c r="AP29" s="184">
        <v>17533742.796620138</v>
      </c>
      <c r="AQ29" s="184">
        <v>0</v>
      </c>
      <c r="AR29" s="184">
        <v>0</v>
      </c>
      <c r="AS29" s="184">
        <v>0</v>
      </c>
      <c r="AT29" s="184">
        <v>27521702.228333112</v>
      </c>
      <c r="AU29" s="184">
        <v>0</v>
      </c>
      <c r="AV29" s="184">
        <v>0</v>
      </c>
      <c r="AW29" s="184">
        <v>0</v>
      </c>
      <c r="AX29" s="184">
        <v>0</v>
      </c>
      <c r="AY29" s="184">
        <v>6656737.857322339</v>
      </c>
      <c r="AZ29" s="184">
        <v>0</v>
      </c>
      <c r="BA29" s="184">
        <v>0</v>
      </c>
      <c r="BB29" s="184">
        <v>126897.63272986213</v>
      </c>
      <c r="BC29" s="184">
        <v>0</v>
      </c>
      <c r="BD29" s="184">
        <v>0</v>
      </c>
      <c r="BE29" s="184">
        <v>0</v>
      </c>
      <c r="BF29" s="184">
        <v>5518947.8709585937</v>
      </c>
      <c r="BG29" s="184">
        <v>0</v>
      </c>
      <c r="BH29" s="184">
        <v>0</v>
      </c>
      <c r="BI29" s="184">
        <v>7558959.3847793611</v>
      </c>
      <c r="BJ29" s="184">
        <v>49718.246300045626</v>
      </c>
      <c r="BK29" s="184">
        <v>0</v>
      </c>
      <c r="BL29" s="184">
        <v>0</v>
      </c>
      <c r="BM29" s="184">
        <v>0</v>
      </c>
      <c r="BN29" s="184">
        <v>0</v>
      </c>
      <c r="BO29" s="184">
        <v>0</v>
      </c>
      <c r="BP29" s="184">
        <v>31576691.37606224</v>
      </c>
      <c r="BQ29" s="184">
        <v>0</v>
      </c>
      <c r="BR29" s="184">
        <v>13106.159605350018</v>
      </c>
      <c r="BS29" s="184">
        <v>0</v>
      </c>
      <c r="BT29" s="184">
        <v>2407120.1093655252</v>
      </c>
      <c r="BU29" s="184">
        <v>0</v>
      </c>
      <c r="BV29" s="184">
        <v>29125840.554455265</v>
      </c>
      <c r="BW29" s="184">
        <v>0</v>
      </c>
      <c r="BX29" s="184">
        <v>0</v>
      </c>
      <c r="BY29" s="184">
        <v>0</v>
      </c>
      <c r="BZ29" s="184">
        <v>0</v>
      </c>
      <c r="CA29" s="184">
        <v>1159684.9268695374</v>
      </c>
      <c r="CB29" s="184">
        <v>0</v>
      </c>
      <c r="CC29" s="184">
        <v>0</v>
      </c>
      <c r="CD29" s="184">
        <v>0</v>
      </c>
      <c r="CE29" s="184">
        <v>0</v>
      </c>
      <c r="CF29" s="184">
        <v>0</v>
      </c>
      <c r="CG29" s="184">
        <v>0</v>
      </c>
      <c r="CH29" s="184">
        <v>0</v>
      </c>
      <c r="CI29" s="184">
        <v>0</v>
      </c>
      <c r="CJ29" s="184">
        <v>0</v>
      </c>
      <c r="CK29" s="184">
        <v>0</v>
      </c>
      <c r="CL29" s="184">
        <v>0</v>
      </c>
      <c r="CM29" s="184">
        <v>0</v>
      </c>
      <c r="CN29" s="184"/>
      <c r="CO29" s="187"/>
    </row>
    <row r="30" spans="1:95" s="163" customFormat="1" x14ac:dyDescent="0.3">
      <c r="A30" s="168" t="s">
        <v>211</v>
      </c>
      <c r="B30" s="184">
        <v>236577.81169875164</v>
      </c>
      <c r="C30" s="184">
        <v>287406.97991570533</v>
      </c>
      <c r="D30" s="184">
        <v>1371762.21829462</v>
      </c>
      <c r="E30" s="184">
        <v>73870.419738564698</v>
      </c>
      <c r="F30" s="184">
        <v>20832882.513055641</v>
      </c>
      <c r="G30" s="184">
        <v>0</v>
      </c>
      <c r="H30" s="184">
        <v>267740.94553014147</v>
      </c>
      <c r="I30" s="184">
        <v>1834195.0323137036</v>
      </c>
      <c r="J30" s="184">
        <v>0</v>
      </c>
      <c r="K30" s="184">
        <v>3400.5943537936123</v>
      </c>
      <c r="L30" s="184">
        <v>703357.89414902392</v>
      </c>
      <c r="M30" s="184">
        <v>159227.62485751443</v>
      </c>
      <c r="N30" s="184">
        <v>236580.05467627602</v>
      </c>
      <c r="O30" s="184">
        <v>16144734.354239395</v>
      </c>
      <c r="P30" s="184">
        <v>945614.31463989557</v>
      </c>
      <c r="Q30" s="184">
        <v>341194.08499216888</v>
      </c>
      <c r="R30" s="184">
        <v>358425.87650551432</v>
      </c>
      <c r="S30" s="184">
        <v>0</v>
      </c>
      <c r="T30" s="184">
        <v>11999167.555055249</v>
      </c>
      <c r="U30" s="184">
        <v>155564.79476996837</v>
      </c>
      <c r="V30" s="184">
        <v>199719.26731000494</v>
      </c>
      <c r="W30" s="184">
        <v>587711.96472296619</v>
      </c>
      <c r="X30" s="184">
        <v>19192629.223182149</v>
      </c>
      <c r="Y30" s="184">
        <v>0</v>
      </c>
      <c r="Z30" s="184">
        <v>9385889.9603294376</v>
      </c>
      <c r="AA30" s="184">
        <v>2450988.7737200195</v>
      </c>
      <c r="AB30" s="184">
        <v>11083828.730407631</v>
      </c>
      <c r="AC30" s="184">
        <v>1102.95</v>
      </c>
      <c r="AD30" s="184">
        <v>14942.431880938109</v>
      </c>
      <c r="AE30" s="184">
        <v>33834000.284368627</v>
      </c>
      <c r="AF30" s="184">
        <v>8357401.9351962311</v>
      </c>
      <c r="AG30" s="184">
        <v>5571680.1743993666</v>
      </c>
      <c r="AH30" s="184">
        <v>0</v>
      </c>
      <c r="AI30" s="184">
        <v>1128398.4276002883</v>
      </c>
      <c r="AJ30" s="184">
        <v>0</v>
      </c>
      <c r="AK30" s="184">
        <v>2148148.8592734034</v>
      </c>
      <c r="AL30" s="184">
        <v>28288422.631039377</v>
      </c>
      <c r="AM30" s="184">
        <v>0</v>
      </c>
      <c r="AN30" s="184">
        <v>0</v>
      </c>
      <c r="AO30" s="184">
        <v>1591667.9215462422</v>
      </c>
      <c r="AP30" s="184">
        <v>4847589.62550765</v>
      </c>
      <c r="AQ30" s="184">
        <v>0</v>
      </c>
      <c r="AR30" s="184">
        <v>2659072.5758078494</v>
      </c>
      <c r="AS30" s="184">
        <v>362277.44407716411</v>
      </c>
      <c r="AT30" s="184">
        <v>48712141.506590821</v>
      </c>
      <c r="AU30" s="184">
        <v>2480.4499999999998</v>
      </c>
      <c r="AV30" s="184">
        <v>351792.36500360357</v>
      </c>
      <c r="AW30" s="184">
        <v>16942.010940293654</v>
      </c>
      <c r="AX30" s="184">
        <v>2835653.1468430548</v>
      </c>
      <c r="AY30" s="184">
        <v>58388792.54317724</v>
      </c>
      <c r="AZ30" s="184">
        <v>4016223.465013383</v>
      </c>
      <c r="BA30" s="184">
        <v>394909.85611116939</v>
      </c>
      <c r="BB30" s="184">
        <v>1203902.7012956641</v>
      </c>
      <c r="BC30" s="184">
        <v>433576.45018994948</v>
      </c>
      <c r="BD30" s="184">
        <v>3774197.7230211631</v>
      </c>
      <c r="BE30" s="184">
        <v>0</v>
      </c>
      <c r="BF30" s="184">
        <v>0</v>
      </c>
      <c r="BG30" s="184">
        <v>387899.42815845541</v>
      </c>
      <c r="BH30" s="184">
        <v>0</v>
      </c>
      <c r="BI30" s="184">
        <v>249758.95382400692</v>
      </c>
      <c r="BJ30" s="184">
        <v>26717.890412912056</v>
      </c>
      <c r="BK30" s="184">
        <v>844164.97728600854</v>
      </c>
      <c r="BL30" s="184">
        <v>3019756.4392841589</v>
      </c>
      <c r="BM30" s="184">
        <v>575483.78400220652</v>
      </c>
      <c r="BN30" s="184">
        <v>1859862.7009118772</v>
      </c>
      <c r="BO30" s="184">
        <v>113273.61649079288</v>
      </c>
      <c r="BP30" s="184">
        <v>2979449.7672683531</v>
      </c>
      <c r="BQ30" s="184">
        <v>72377.280926085019</v>
      </c>
      <c r="BR30" s="184">
        <v>12917717.260099987</v>
      </c>
      <c r="BS30" s="184">
        <v>0</v>
      </c>
      <c r="BT30" s="184">
        <v>3098595.5051017236</v>
      </c>
      <c r="BU30" s="184">
        <v>3380.6842974333231</v>
      </c>
      <c r="BV30" s="184">
        <v>361262.89271434932</v>
      </c>
      <c r="BW30" s="184">
        <v>71238.335058708282</v>
      </c>
      <c r="BX30" s="184">
        <v>2534103.0857443954</v>
      </c>
      <c r="BY30" s="184">
        <v>109619.20534290915</v>
      </c>
      <c r="BZ30" s="184">
        <v>0</v>
      </c>
      <c r="CA30" s="184">
        <v>386538.10876724194</v>
      </c>
      <c r="CB30" s="184">
        <v>680540.68519138114</v>
      </c>
      <c r="CC30" s="184">
        <v>363326.48163972801</v>
      </c>
      <c r="CD30" s="184">
        <v>11973.384622736623</v>
      </c>
      <c r="CE30" s="184">
        <v>5185.5474834811894</v>
      </c>
      <c r="CF30" s="184">
        <v>80221.739299168607</v>
      </c>
      <c r="CG30" s="184">
        <v>645878.49730399647</v>
      </c>
      <c r="CH30" s="184">
        <v>0</v>
      </c>
      <c r="CI30" s="184">
        <v>5925.15</v>
      </c>
      <c r="CJ30" s="184">
        <v>1694.8</v>
      </c>
      <c r="CK30" s="184">
        <v>3152.1</v>
      </c>
      <c r="CL30" s="184">
        <v>0</v>
      </c>
      <c r="CM30" s="184">
        <v>1935135.8150783475</v>
      </c>
      <c r="CN30" s="184"/>
      <c r="CO30" s="187"/>
    </row>
    <row r="31" spans="1:95" s="163" customFormat="1" x14ac:dyDescent="0.3">
      <c r="A31" s="168" t="s">
        <v>212</v>
      </c>
      <c r="B31" s="184">
        <v>0</v>
      </c>
      <c r="C31" s="184">
        <v>0</v>
      </c>
      <c r="D31" s="184">
        <v>0</v>
      </c>
      <c r="E31" s="184">
        <v>0</v>
      </c>
      <c r="F31" s="184">
        <v>0</v>
      </c>
      <c r="G31" s="184">
        <v>0</v>
      </c>
      <c r="H31" s="184">
        <v>0</v>
      </c>
      <c r="I31" s="184">
        <v>0</v>
      </c>
      <c r="J31" s="184">
        <v>0</v>
      </c>
      <c r="K31" s="184">
        <v>0</v>
      </c>
      <c r="L31" s="184">
        <v>1414590.0509677145</v>
      </c>
      <c r="M31" s="184">
        <v>0</v>
      </c>
      <c r="N31" s="184">
        <v>1363265.6537918069</v>
      </c>
      <c r="O31" s="184">
        <v>0</v>
      </c>
      <c r="P31" s="184">
        <v>0</v>
      </c>
      <c r="Q31" s="184">
        <v>0</v>
      </c>
      <c r="R31" s="184">
        <v>0</v>
      </c>
      <c r="S31" s="184">
        <v>4701245.1033625985</v>
      </c>
      <c r="T31" s="184">
        <v>0</v>
      </c>
      <c r="U31" s="184">
        <v>2334787.6436943463</v>
      </c>
      <c r="V31" s="184">
        <v>0</v>
      </c>
      <c r="W31" s="184">
        <v>8259.0708153623582</v>
      </c>
      <c r="X31" s="184">
        <v>0</v>
      </c>
      <c r="Y31" s="184">
        <v>0</v>
      </c>
      <c r="Z31" s="184">
        <v>0</v>
      </c>
      <c r="AA31" s="184">
        <v>0</v>
      </c>
      <c r="AB31" s="184">
        <v>8231531.2784590302</v>
      </c>
      <c r="AC31" s="184">
        <v>0</v>
      </c>
      <c r="AD31" s="184">
        <v>0</v>
      </c>
      <c r="AE31" s="184">
        <v>56385510.979638807</v>
      </c>
      <c r="AF31" s="184">
        <v>1764740.1804710135</v>
      </c>
      <c r="AG31" s="184">
        <v>0</v>
      </c>
      <c r="AH31" s="184">
        <v>0</v>
      </c>
      <c r="AI31" s="184">
        <v>5663101.4852631511</v>
      </c>
      <c r="AJ31" s="184">
        <v>0</v>
      </c>
      <c r="AK31" s="184">
        <v>0</v>
      </c>
      <c r="AL31" s="184">
        <v>159643.86680035159</v>
      </c>
      <c r="AM31" s="184">
        <v>0</v>
      </c>
      <c r="AN31" s="184">
        <v>101281.06671108385</v>
      </c>
      <c r="AO31" s="184">
        <v>0</v>
      </c>
      <c r="AP31" s="184">
        <v>0</v>
      </c>
      <c r="AQ31" s="184">
        <v>0</v>
      </c>
      <c r="AR31" s="184">
        <v>0</v>
      </c>
      <c r="AS31" s="184">
        <v>0</v>
      </c>
      <c r="AT31" s="184">
        <v>7514684.0636362471</v>
      </c>
      <c r="AU31" s="184">
        <v>0</v>
      </c>
      <c r="AV31" s="184">
        <v>0</v>
      </c>
      <c r="AW31" s="184">
        <v>0</v>
      </c>
      <c r="AX31" s="184">
        <v>0</v>
      </c>
      <c r="AY31" s="184">
        <v>110549975.49664384</v>
      </c>
      <c r="AZ31" s="184">
        <v>414374.69400540891</v>
      </c>
      <c r="BA31" s="184">
        <v>0</v>
      </c>
      <c r="BB31" s="184">
        <v>58025161.172957979</v>
      </c>
      <c r="BC31" s="184">
        <v>0</v>
      </c>
      <c r="BD31" s="184">
        <v>3403530.9388541239</v>
      </c>
      <c r="BE31" s="184">
        <v>0</v>
      </c>
      <c r="BF31" s="184">
        <v>0</v>
      </c>
      <c r="BG31" s="184">
        <v>0</v>
      </c>
      <c r="BH31" s="184">
        <v>5286201.0736316601</v>
      </c>
      <c r="BI31" s="184">
        <v>15523760.472037762</v>
      </c>
      <c r="BJ31" s="184">
        <v>0</v>
      </c>
      <c r="BK31" s="184">
        <v>0</v>
      </c>
      <c r="BL31" s="184">
        <v>321991.70321426116</v>
      </c>
      <c r="BM31" s="184">
        <v>0</v>
      </c>
      <c r="BN31" s="184">
        <v>0</v>
      </c>
      <c r="BO31" s="184">
        <v>0</v>
      </c>
      <c r="BP31" s="184">
        <v>0</v>
      </c>
      <c r="BQ31" s="184">
        <v>0</v>
      </c>
      <c r="BR31" s="184">
        <v>809608.22906662163</v>
      </c>
      <c r="BS31" s="184">
        <v>0</v>
      </c>
      <c r="BT31" s="184">
        <v>278577.78125999111</v>
      </c>
      <c r="BU31" s="184">
        <v>0</v>
      </c>
      <c r="BV31" s="184">
        <v>0</v>
      </c>
      <c r="BW31" s="184">
        <v>0</v>
      </c>
      <c r="BX31" s="184">
        <v>3519611.9634616952</v>
      </c>
      <c r="BY31" s="184">
        <v>0</v>
      </c>
      <c r="BZ31" s="184">
        <v>869060.07850858325</v>
      </c>
      <c r="CA31" s="184">
        <v>0</v>
      </c>
      <c r="CB31" s="184">
        <v>15746472.917153295</v>
      </c>
      <c r="CC31" s="184">
        <v>0</v>
      </c>
      <c r="CD31" s="184">
        <v>0</v>
      </c>
      <c r="CE31" s="184">
        <v>0</v>
      </c>
      <c r="CF31" s="184">
        <v>0</v>
      </c>
      <c r="CG31" s="184">
        <v>54241.195818377892</v>
      </c>
      <c r="CH31" s="184">
        <v>75117.372152022712</v>
      </c>
      <c r="CI31" s="184">
        <v>0</v>
      </c>
      <c r="CJ31" s="184">
        <v>0</v>
      </c>
      <c r="CK31" s="184">
        <v>0</v>
      </c>
      <c r="CL31" s="184">
        <v>0</v>
      </c>
      <c r="CM31" s="184">
        <v>0</v>
      </c>
      <c r="CN31" s="184"/>
      <c r="CO31" s="187"/>
    </row>
    <row r="32" spans="1:95" s="163" customFormat="1" x14ac:dyDescent="0.3">
      <c r="A32" s="168" t="s">
        <v>80</v>
      </c>
      <c r="B32" s="184">
        <v>0</v>
      </c>
      <c r="C32" s="184">
        <v>0</v>
      </c>
      <c r="D32" s="184">
        <v>0</v>
      </c>
      <c r="E32" s="184">
        <v>0</v>
      </c>
      <c r="F32" s="184">
        <v>0</v>
      </c>
      <c r="G32" s="184">
        <v>0</v>
      </c>
      <c r="H32" s="184">
        <v>0</v>
      </c>
      <c r="I32" s="184">
        <v>0</v>
      </c>
      <c r="J32" s="184">
        <v>0</v>
      </c>
      <c r="K32" s="184">
        <v>0</v>
      </c>
      <c r="L32" s="184">
        <v>0</v>
      </c>
      <c r="M32" s="184">
        <v>0</v>
      </c>
      <c r="N32" s="184">
        <v>0</v>
      </c>
      <c r="O32" s="184">
        <v>0</v>
      </c>
      <c r="P32" s="184">
        <v>3527.6373379149049</v>
      </c>
      <c r="Q32" s="184">
        <v>0</v>
      </c>
      <c r="R32" s="184">
        <v>0</v>
      </c>
      <c r="S32" s="184">
        <v>0</v>
      </c>
      <c r="T32" s="184">
        <v>0</v>
      </c>
      <c r="U32" s="184">
        <v>0</v>
      </c>
      <c r="V32" s="184">
        <v>0</v>
      </c>
      <c r="W32" s="184">
        <v>0</v>
      </c>
      <c r="X32" s="184">
        <v>2509598.7455050396</v>
      </c>
      <c r="Y32" s="184">
        <v>0</v>
      </c>
      <c r="Z32" s="184">
        <v>6266516.9066982316</v>
      </c>
      <c r="AA32" s="184">
        <v>0</v>
      </c>
      <c r="AB32" s="184">
        <v>37101.749818218217</v>
      </c>
      <c r="AC32" s="184">
        <v>0</v>
      </c>
      <c r="AD32" s="184">
        <v>0</v>
      </c>
      <c r="AE32" s="184">
        <v>25715349.355449341</v>
      </c>
      <c r="AF32" s="184">
        <v>0</v>
      </c>
      <c r="AG32" s="184">
        <v>0</v>
      </c>
      <c r="AH32" s="184">
        <v>0</v>
      </c>
      <c r="AI32" s="184">
        <v>0</v>
      </c>
      <c r="AJ32" s="184">
        <v>0</v>
      </c>
      <c r="AK32" s="184">
        <v>0</v>
      </c>
      <c r="AL32" s="184">
        <v>0</v>
      </c>
      <c r="AM32" s="184">
        <v>0</v>
      </c>
      <c r="AN32" s="184">
        <v>0</v>
      </c>
      <c r="AO32" s="184">
        <v>0</v>
      </c>
      <c r="AP32" s="184">
        <v>0</v>
      </c>
      <c r="AQ32" s="184">
        <v>0</v>
      </c>
      <c r="AR32" s="184">
        <v>0</v>
      </c>
      <c r="AS32" s="184">
        <v>0</v>
      </c>
      <c r="AT32" s="184">
        <v>0</v>
      </c>
      <c r="AU32" s="184">
        <v>0</v>
      </c>
      <c r="AV32" s="184">
        <v>0</v>
      </c>
      <c r="AW32" s="184">
        <v>0</v>
      </c>
      <c r="AX32" s="184">
        <v>0</v>
      </c>
      <c r="AY32" s="184">
        <v>18818469.907778554</v>
      </c>
      <c r="AZ32" s="184">
        <v>0</v>
      </c>
      <c r="BA32" s="184">
        <v>0</v>
      </c>
      <c r="BB32" s="184">
        <v>0</v>
      </c>
      <c r="BC32" s="184">
        <v>0</v>
      </c>
      <c r="BD32" s="184">
        <v>1524156.8977194603</v>
      </c>
      <c r="BE32" s="184">
        <v>0</v>
      </c>
      <c r="BF32" s="184">
        <v>0</v>
      </c>
      <c r="BG32" s="184">
        <v>0</v>
      </c>
      <c r="BH32" s="184">
        <v>0</v>
      </c>
      <c r="BI32" s="184">
        <v>1438072.4877144638</v>
      </c>
      <c r="BJ32" s="184">
        <v>0</v>
      </c>
      <c r="BK32" s="184">
        <v>0</v>
      </c>
      <c r="BL32" s="184">
        <v>0</v>
      </c>
      <c r="BM32" s="184">
        <v>0</v>
      </c>
      <c r="BN32" s="184">
        <v>0</v>
      </c>
      <c r="BO32" s="184">
        <v>0</v>
      </c>
      <c r="BP32" s="184">
        <v>0</v>
      </c>
      <c r="BQ32" s="184">
        <v>0</v>
      </c>
      <c r="BR32" s="184">
        <v>0</v>
      </c>
      <c r="BS32" s="184">
        <v>0</v>
      </c>
      <c r="BT32" s="184">
        <v>0</v>
      </c>
      <c r="BU32" s="184">
        <v>0</v>
      </c>
      <c r="BV32" s="184">
        <v>0</v>
      </c>
      <c r="BW32" s="184">
        <v>0</v>
      </c>
      <c r="BX32" s="184">
        <v>3519611.9634616952</v>
      </c>
      <c r="BY32" s="184">
        <v>0</v>
      </c>
      <c r="BZ32" s="184">
        <v>0</v>
      </c>
      <c r="CA32" s="184">
        <v>0</v>
      </c>
      <c r="CB32" s="184">
        <v>0</v>
      </c>
      <c r="CC32" s="184">
        <v>0</v>
      </c>
      <c r="CD32" s="184">
        <v>0</v>
      </c>
      <c r="CE32" s="184">
        <v>0</v>
      </c>
      <c r="CF32" s="184">
        <v>0</v>
      </c>
      <c r="CG32" s="184">
        <v>0</v>
      </c>
      <c r="CH32" s="184">
        <v>0</v>
      </c>
      <c r="CI32" s="184">
        <v>0</v>
      </c>
      <c r="CJ32" s="184">
        <v>0</v>
      </c>
      <c r="CK32" s="184">
        <v>0</v>
      </c>
      <c r="CL32" s="184">
        <v>0</v>
      </c>
      <c r="CM32" s="184">
        <v>0</v>
      </c>
      <c r="CN32" s="184"/>
      <c r="CO32" s="187"/>
    </row>
    <row r="33" spans="1:109" s="175" customFormat="1" x14ac:dyDescent="0.3">
      <c r="A33" s="171" t="s">
        <v>382</v>
      </c>
      <c r="B33" s="203">
        <f>SUM(B24:B32)</f>
        <v>51751496.799960203</v>
      </c>
      <c r="C33" s="203">
        <f>SUM(C24:C32)</f>
        <v>62870398.93806041</v>
      </c>
      <c r="D33" s="203">
        <f t="shared" ref="D33:BO33" si="4">SUM(D24:D32)</f>
        <v>40706513.01885315</v>
      </c>
      <c r="E33" s="203">
        <f t="shared" si="4"/>
        <v>7386119.6109217983</v>
      </c>
      <c r="F33" s="203">
        <f t="shared" si="4"/>
        <v>413167403.92469472</v>
      </c>
      <c r="G33" s="203">
        <f t="shared" si="4"/>
        <v>0</v>
      </c>
      <c r="H33" s="203">
        <f t="shared" si="4"/>
        <v>17234209.234701049</v>
      </c>
      <c r="I33" s="203">
        <f t="shared" si="4"/>
        <v>225221538.09466276</v>
      </c>
      <c r="J33" s="203">
        <f t="shared" si="4"/>
        <v>280632463.82999998</v>
      </c>
      <c r="K33" s="203">
        <f t="shared" si="4"/>
        <v>22164053.819720626</v>
      </c>
      <c r="L33" s="203">
        <f t="shared" si="4"/>
        <v>35299666.082334042</v>
      </c>
      <c r="M33" s="203">
        <f t="shared" si="4"/>
        <v>90435208.401408985</v>
      </c>
      <c r="N33" s="203">
        <f t="shared" si="4"/>
        <v>41318503.219538741</v>
      </c>
      <c r="O33" s="203">
        <f t="shared" si="4"/>
        <v>73176582.495589316</v>
      </c>
      <c r="P33" s="203">
        <f t="shared" si="4"/>
        <v>54684188.963884659</v>
      </c>
      <c r="Q33" s="203">
        <f t="shared" si="4"/>
        <v>34118161.55875095</v>
      </c>
      <c r="R33" s="203">
        <f t="shared" si="4"/>
        <v>57064710.591439642</v>
      </c>
      <c r="S33" s="203">
        <f t="shared" si="4"/>
        <v>54778129.274726145</v>
      </c>
      <c r="T33" s="203">
        <f t="shared" si="4"/>
        <v>138589532.15333217</v>
      </c>
      <c r="U33" s="203">
        <f t="shared" si="4"/>
        <v>77827054.5424878</v>
      </c>
      <c r="V33" s="203">
        <f t="shared" si="4"/>
        <v>9986571.153897414</v>
      </c>
      <c r="W33" s="203">
        <f t="shared" si="4"/>
        <v>125063506.99635741</v>
      </c>
      <c r="X33" s="203">
        <f t="shared" si="4"/>
        <v>83554712.993895262</v>
      </c>
      <c r="Y33" s="203">
        <f t="shared" si="4"/>
        <v>17203893.285497449</v>
      </c>
      <c r="Z33" s="203">
        <f t="shared" si="4"/>
        <v>62136723.566478767</v>
      </c>
      <c r="AA33" s="203">
        <f t="shared" si="4"/>
        <v>80636133.195840746</v>
      </c>
      <c r="AB33" s="203">
        <f t="shared" si="4"/>
        <v>270043691.78232205</v>
      </c>
      <c r="AC33" s="203">
        <f t="shared" si="4"/>
        <v>263219.34999999998</v>
      </c>
      <c r="AD33" s="203">
        <f t="shared" si="4"/>
        <v>70385350.868731931</v>
      </c>
      <c r="AE33" s="203">
        <f t="shared" si="4"/>
        <v>557727368.34059417</v>
      </c>
      <c r="AF33" s="203">
        <f t="shared" si="4"/>
        <v>45192744.342843644</v>
      </c>
      <c r="AG33" s="203">
        <f t="shared" si="4"/>
        <v>84542526.980383456</v>
      </c>
      <c r="AH33" s="203">
        <f t="shared" si="4"/>
        <v>9186999.0964972004</v>
      </c>
      <c r="AI33" s="203">
        <f t="shared" si="4"/>
        <v>100001639.53502351</v>
      </c>
      <c r="AJ33" s="203">
        <f t="shared" si="4"/>
        <v>0</v>
      </c>
      <c r="AK33" s="203">
        <f t="shared" si="4"/>
        <v>73360309.546378821</v>
      </c>
      <c r="AL33" s="203">
        <f t="shared" si="4"/>
        <v>417105591.59942752</v>
      </c>
      <c r="AM33" s="203">
        <f t="shared" si="4"/>
        <v>0</v>
      </c>
      <c r="AN33" s="203">
        <f t="shared" si="4"/>
        <v>79015520.536095843</v>
      </c>
      <c r="AO33" s="203">
        <f t="shared" si="4"/>
        <v>10001563.039981782</v>
      </c>
      <c r="AP33" s="203">
        <f t="shared" si="4"/>
        <v>131215619.90744895</v>
      </c>
      <c r="AQ33" s="203">
        <f t="shared" si="4"/>
        <v>0</v>
      </c>
      <c r="AR33" s="203">
        <f t="shared" si="4"/>
        <v>173925365.74360156</v>
      </c>
      <c r="AS33" s="203">
        <f t="shared" si="4"/>
        <v>26801097.52322476</v>
      </c>
      <c r="AT33" s="203">
        <f t="shared" si="4"/>
        <v>425649929.56941622</v>
      </c>
      <c r="AU33" s="203">
        <f t="shared" si="4"/>
        <v>2680436.25</v>
      </c>
      <c r="AV33" s="203">
        <f t="shared" si="4"/>
        <v>119660601.66496918</v>
      </c>
      <c r="AW33" s="203">
        <f t="shared" si="4"/>
        <v>16943847.680045512</v>
      </c>
      <c r="AX33" s="203">
        <f t="shared" si="4"/>
        <v>13594445.424413709</v>
      </c>
      <c r="AY33" s="203">
        <f t="shared" si="4"/>
        <v>876580184.55479503</v>
      </c>
      <c r="AZ33" s="203">
        <f t="shared" si="4"/>
        <v>66552117.835575908</v>
      </c>
      <c r="BA33" s="203">
        <f t="shared" si="4"/>
        <v>568064582.42254138</v>
      </c>
      <c r="BB33" s="203">
        <f t="shared" si="4"/>
        <v>146348310.14715812</v>
      </c>
      <c r="BC33" s="203">
        <f t="shared" si="4"/>
        <v>236650709.33860564</v>
      </c>
      <c r="BD33" s="203">
        <f t="shared" si="4"/>
        <v>97890294.33628194</v>
      </c>
      <c r="BE33" s="203">
        <f t="shared" si="4"/>
        <v>23903247.435650237</v>
      </c>
      <c r="BF33" s="203">
        <f t="shared" si="4"/>
        <v>44051351.010283321</v>
      </c>
      <c r="BG33" s="203">
        <f t="shared" si="4"/>
        <v>38793497.389009267</v>
      </c>
      <c r="BH33" s="203">
        <f t="shared" si="4"/>
        <v>34536485.098116435</v>
      </c>
      <c r="BI33" s="203">
        <f t="shared" si="4"/>
        <v>134602416.38713196</v>
      </c>
      <c r="BJ33" s="203">
        <f t="shared" si="4"/>
        <v>2691887.9068167559</v>
      </c>
      <c r="BK33" s="203">
        <f t="shared" si="4"/>
        <v>373990310.78547549</v>
      </c>
      <c r="BL33" s="203">
        <f t="shared" si="4"/>
        <v>174111039.23054796</v>
      </c>
      <c r="BM33" s="203">
        <f t="shared" si="4"/>
        <v>18732388.135141011</v>
      </c>
      <c r="BN33" s="203">
        <f t="shared" si="4"/>
        <v>109225846.29581904</v>
      </c>
      <c r="BO33" s="203">
        <f t="shared" si="4"/>
        <v>86572098.768072069</v>
      </c>
      <c r="BP33" s="203">
        <f t="shared" ref="BP33:CM33" si="5">SUM(BP24:BP32)</f>
        <v>342441081.27894104</v>
      </c>
      <c r="BQ33" s="203">
        <f t="shared" si="5"/>
        <v>3619009.3238653233</v>
      </c>
      <c r="BR33" s="203">
        <f t="shared" si="5"/>
        <v>41123053.817173257</v>
      </c>
      <c r="BS33" s="203">
        <f t="shared" si="5"/>
        <v>1504007.2657662926</v>
      </c>
      <c r="BT33" s="203">
        <f t="shared" si="5"/>
        <v>260139472.59398699</v>
      </c>
      <c r="BU33" s="203">
        <f t="shared" si="5"/>
        <v>46891181.748721942</v>
      </c>
      <c r="BV33" s="203">
        <f t="shared" si="5"/>
        <v>348190426.91222817</v>
      </c>
      <c r="BW33" s="203">
        <f t="shared" si="5"/>
        <v>4736885.0654130531</v>
      </c>
      <c r="BX33" s="203">
        <f t="shared" si="5"/>
        <v>36042281.325533852</v>
      </c>
      <c r="BY33" s="203">
        <f t="shared" si="5"/>
        <v>23809260.080706909</v>
      </c>
      <c r="BZ33" s="203">
        <f t="shared" si="5"/>
        <v>3951086.2560631372</v>
      </c>
      <c r="CA33" s="203">
        <f t="shared" si="5"/>
        <v>47331962.071529783</v>
      </c>
      <c r="CB33" s="203">
        <f t="shared" si="5"/>
        <v>131902349.73200923</v>
      </c>
      <c r="CC33" s="203">
        <f t="shared" si="5"/>
        <v>53099201.854349002</v>
      </c>
      <c r="CD33" s="203">
        <f t="shared" si="5"/>
        <v>8637499.8886370081</v>
      </c>
      <c r="CE33" s="203">
        <f t="shared" si="5"/>
        <v>10283977.769239897</v>
      </c>
      <c r="CF33" s="203">
        <f t="shared" si="5"/>
        <v>27335938.684815317</v>
      </c>
      <c r="CG33" s="203">
        <f t="shared" si="5"/>
        <v>18795915.799996782</v>
      </c>
      <c r="CH33" s="203">
        <f t="shared" si="5"/>
        <v>40968679.813984349</v>
      </c>
      <c r="CI33" s="203">
        <f t="shared" si="5"/>
        <v>296270.80000000005</v>
      </c>
      <c r="CJ33" s="203">
        <f t="shared" si="5"/>
        <v>1695460.1</v>
      </c>
      <c r="CK33" s="203">
        <f t="shared" si="5"/>
        <v>78813.900000000009</v>
      </c>
      <c r="CL33" s="203">
        <f t="shared" si="5"/>
        <v>18488.900000000001</v>
      </c>
      <c r="CM33" s="203">
        <f t="shared" si="5"/>
        <v>27547854.697273411</v>
      </c>
      <c r="CN33" s="203"/>
      <c r="CO33" s="192"/>
    </row>
    <row r="34" spans="1:109" x14ac:dyDescent="0.3">
      <c r="A34" s="169"/>
      <c r="B34" s="184"/>
      <c r="C34" s="184"/>
      <c r="D34" s="184"/>
      <c r="E34" s="184"/>
      <c r="F34" s="184"/>
      <c r="G34" s="184"/>
      <c r="H34" s="184"/>
      <c r="I34" s="184"/>
      <c r="J34" s="184"/>
      <c r="K34" s="184"/>
      <c r="L34" s="184"/>
      <c r="M34" s="184"/>
      <c r="N34" s="202"/>
      <c r="O34" s="184"/>
      <c r="P34" s="184"/>
      <c r="Q34" s="184"/>
      <c r="R34" s="184"/>
      <c r="S34" s="184"/>
      <c r="T34" s="184"/>
      <c r="U34" s="184"/>
      <c r="V34" s="184"/>
      <c r="W34" s="184"/>
      <c r="X34" s="184"/>
      <c r="Y34" s="184"/>
      <c r="Z34" s="202"/>
      <c r="AA34" s="184"/>
      <c r="AB34" s="184"/>
      <c r="AC34" s="184"/>
      <c r="AD34" s="184"/>
      <c r="AE34" s="204"/>
      <c r="AF34" s="184"/>
      <c r="AG34" s="184"/>
      <c r="AH34" s="184"/>
      <c r="AI34" s="184"/>
      <c r="AJ34" s="184"/>
      <c r="AK34" s="184"/>
      <c r="AL34" s="184"/>
      <c r="AM34" s="184"/>
      <c r="AN34" s="184"/>
      <c r="AO34" s="184"/>
      <c r="AP34" s="184"/>
      <c r="AQ34" s="184"/>
      <c r="AR34" s="184"/>
      <c r="AS34" s="184"/>
      <c r="AT34" s="184"/>
      <c r="AU34" s="184"/>
      <c r="AV34" s="184"/>
      <c r="AW34" s="184"/>
      <c r="AX34" s="184"/>
      <c r="AY34" s="184"/>
      <c r="AZ34" s="184"/>
      <c r="BA34" s="205"/>
      <c r="BB34" s="202"/>
      <c r="BC34" s="184"/>
      <c r="BD34" s="184"/>
      <c r="BE34" s="184"/>
      <c r="BF34" s="184"/>
      <c r="BG34" s="184"/>
      <c r="BH34" s="202"/>
      <c r="BI34" s="184"/>
      <c r="BJ34" s="184"/>
      <c r="BK34" s="204"/>
      <c r="BL34" s="184"/>
      <c r="BM34" s="184"/>
      <c r="BN34" s="184"/>
      <c r="BO34" s="184"/>
      <c r="BP34" s="184"/>
      <c r="BQ34" s="184"/>
      <c r="BR34" s="184"/>
      <c r="BS34" s="184"/>
      <c r="BT34" s="184"/>
      <c r="BU34" s="184"/>
      <c r="BV34" s="184"/>
      <c r="BW34" s="184"/>
      <c r="BX34" s="184"/>
      <c r="BY34" s="184"/>
      <c r="BZ34" s="184"/>
      <c r="CA34" s="184"/>
      <c r="CB34" s="184"/>
      <c r="CC34" s="184"/>
      <c r="CD34" s="184"/>
      <c r="CE34" s="184"/>
      <c r="CF34" s="184"/>
      <c r="CG34" s="184"/>
      <c r="CH34" s="184"/>
      <c r="CI34" s="184"/>
      <c r="CJ34" s="184"/>
      <c r="CK34" s="184"/>
      <c r="CL34" s="184"/>
      <c r="CM34" s="184"/>
      <c r="CN34" s="184"/>
      <c r="CO34" s="187"/>
      <c r="CP34" s="163"/>
      <c r="CQ34" s="163"/>
      <c r="CR34" s="163"/>
      <c r="CS34" s="163"/>
      <c r="CT34" s="163"/>
      <c r="CU34" s="163"/>
      <c r="CV34" s="163"/>
      <c r="CW34" s="163"/>
      <c r="CX34" s="163"/>
      <c r="CY34" s="163"/>
      <c r="CZ34" s="163"/>
      <c r="DA34" s="163"/>
      <c r="DB34" s="163"/>
      <c r="DC34" s="163"/>
      <c r="DD34" s="163"/>
      <c r="DE34" s="163"/>
    </row>
    <row r="35" spans="1:109" x14ac:dyDescent="0.3">
      <c r="B35" s="206"/>
      <c r="C35" s="184"/>
      <c r="D35" s="202"/>
      <c r="E35" s="202"/>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2"/>
      <c r="AE35" s="202"/>
      <c r="AF35" s="202"/>
      <c r="AG35" s="202"/>
      <c r="AH35" s="202"/>
      <c r="AI35" s="202"/>
      <c r="AJ35" s="202"/>
      <c r="AK35" s="202"/>
      <c r="AL35" s="202"/>
      <c r="AM35" s="202"/>
      <c r="AN35" s="202"/>
      <c r="AO35" s="202"/>
      <c r="AP35" s="202"/>
      <c r="AQ35" s="202"/>
      <c r="AR35" s="202"/>
      <c r="AS35" s="202"/>
      <c r="AT35" s="202"/>
      <c r="AU35" s="202"/>
      <c r="AV35" s="202"/>
      <c r="AW35" s="202"/>
      <c r="AX35" s="202"/>
      <c r="AY35" s="202"/>
      <c r="AZ35" s="202"/>
      <c r="BA35" s="202"/>
      <c r="BB35" s="202"/>
      <c r="BC35" s="202"/>
      <c r="BD35" s="202"/>
      <c r="BE35" s="202"/>
      <c r="BF35" s="202"/>
      <c r="BG35" s="202"/>
      <c r="BH35" s="202"/>
      <c r="BI35" s="202"/>
      <c r="BJ35" s="202"/>
      <c r="BK35" s="204"/>
      <c r="BL35" s="202"/>
      <c r="BM35" s="202"/>
      <c r="BN35" s="202"/>
      <c r="BO35" s="202"/>
      <c r="BP35" s="202"/>
      <c r="BQ35" s="202"/>
      <c r="BR35" s="202"/>
      <c r="BS35" s="202"/>
      <c r="BT35" s="202"/>
      <c r="BU35" s="202"/>
      <c r="BV35" s="202"/>
      <c r="BW35" s="202"/>
      <c r="BX35" s="202"/>
      <c r="BY35" s="202"/>
      <c r="BZ35" s="202"/>
      <c r="CA35" s="202"/>
      <c r="CB35" s="202"/>
      <c r="CC35" s="202"/>
      <c r="CD35" s="202"/>
      <c r="CE35" s="202"/>
      <c r="CF35" s="202"/>
      <c r="CG35" s="202"/>
      <c r="CH35" s="202"/>
      <c r="CI35" s="202"/>
      <c r="CJ35" s="202"/>
      <c r="CK35" s="202"/>
      <c r="CL35" s="202"/>
      <c r="CM35" s="202"/>
      <c r="CN35" s="202"/>
      <c r="CO35" s="187"/>
    </row>
    <row r="36" spans="1:109" x14ac:dyDescent="0.3">
      <c r="B36" s="184"/>
      <c r="C36" s="184"/>
      <c r="D36" s="184"/>
      <c r="E36" s="202"/>
      <c r="F36" s="202"/>
      <c r="G36" s="202"/>
      <c r="H36" s="202"/>
      <c r="I36" s="202"/>
      <c r="J36" s="202"/>
      <c r="K36" s="202"/>
      <c r="L36" s="202"/>
      <c r="M36" s="202"/>
      <c r="N36" s="202"/>
      <c r="O36" s="202"/>
      <c r="P36" s="207"/>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2"/>
      <c r="BQ36" s="202"/>
      <c r="BR36" s="202"/>
      <c r="BS36" s="202"/>
      <c r="BT36" s="202"/>
      <c r="BU36" s="202"/>
      <c r="BV36" s="202"/>
      <c r="BW36" s="202"/>
      <c r="BX36" s="202"/>
      <c r="BY36" s="202"/>
      <c r="BZ36" s="202"/>
      <c r="CA36" s="202"/>
      <c r="CB36" s="202"/>
      <c r="CC36" s="202"/>
      <c r="CD36" s="202"/>
      <c r="CE36" s="202"/>
      <c r="CF36" s="202"/>
      <c r="CG36" s="202"/>
      <c r="CH36" s="202"/>
      <c r="CI36" s="202"/>
      <c r="CJ36" s="202"/>
      <c r="CK36" s="202"/>
      <c r="CL36" s="202"/>
      <c r="CM36" s="202"/>
      <c r="CN36" s="202"/>
      <c r="CO36" s="187"/>
    </row>
    <row r="37" spans="1:109" x14ac:dyDescent="0.3">
      <c r="A37" s="169" t="s">
        <v>405</v>
      </c>
      <c r="B37" s="208"/>
      <c r="C37" s="209"/>
      <c r="D37" s="210"/>
      <c r="E37" s="202"/>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2"/>
      <c r="BD37" s="202"/>
      <c r="BE37" s="202"/>
      <c r="BF37" s="202"/>
      <c r="BG37" s="202"/>
      <c r="BH37" s="202"/>
      <c r="BI37" s="202"/>
      <c r="BJ37" s="202"/>
      <c r="BK37" s="202"/>
      <c r="BL37" s="202"/>
      <c r="BM37" s="202"/>
      <c r="BN37" s="202"/>
      <c r="BO37" s="202"/>
      <c r="BP37" s="202"/>
      <c r="BQ37" s="202"/>
      <c r="BR37" s="202"/>
      <c r="BS37" s="202"/>
      <c r="BT37" s="202"/>
      <c r="BU37" s="202"/>
      <c r="BV37" s="202"/>
      <c r="BW37" s="202"/>
      <c r="BX37" s="202"/>
      <c r="BY37" s="202"/>
      <c r="BZ37" s="202"/>
      <c r="CA37" s="202"/>
      <c r="CB37" s="202"/>
      <c r="CC37" s="202"/>
      <c r="CD37" s="205"/>
      <c r="CE37" s="202"/>
      <c r="CF37" s="202"/>
      <c r="CG37" s="202"/>
      <c r="CH37" s="202"/>
      <c r="CI37" s="202"/>
      <c r="CJ37" s="202"/>
      <c r="CK37" s="202"/>
      <c r="CL37" s="202"/>
      <c r="CM37" s="202"/>
      <c r="CN37" s="202"/>
      <c r="CO37" s="187"/>
    </row>
    <row r="38" spans="1:109" x14ac:dyDescent="0.3">
      <c r="A38" s="168" t="s">
        <v>206</v>
      </c>
      <c r="B38" s="211">
        <f>B24/$B$21</f>
        <v>363894.97064435709</v>
      </c>
      <c r="C38" s="211">
        <f t="shared" ref="C38:C46" si="6">C24/$C$21</f>
        <v>382936.00000000006</v>
      </c>
      <c r="D38" s="211">
        <f>D24/$D$21</f>
        <v>553526.96451050299</v>
      </c>
      <c r="E38" s="211">
        <f>E24/$E$21</f>
        <v>130687</v>
      </c>
      <c r="F38" s="211">
        <f>F24/$F$21</f>
        <v>6916011.2109679133</v>
      </c>
      <c r="G38" s="211">
        <f>G24/$G$21</f>
        <v>0</v>
      </c>
      <c r="H38" s="211">
        <f>H24/$H$21</f>
        <v>208633</v>
      </c>
      <c r="I38" s="211">
        <f>I24/$I$21</f>
        <v>3373540.0083994144</v>
      </c>
      <c r="J38" s="211">
        <f>J24/$J$21</f>
        <v>1323478.0636688361</v>
      </c>
      <c r="K38" s="211">
        <f>K24/$K$21</f>
        <v>708717.30198207521</v>
      </c>
      <c r="L38" s="211">
        <f>L24/$L$21</f>
        <v>767690.65981693543</v>
      </c>
      <c r="M38" s="211">
        <f>M24/$M$21</f>
        <v>4544127.9334085137</v>
      </c>
      <c r="N38" s="211">
        <f>N24/$N$21</f>
        <v>507558</v>
      </c>
      <c r="O38" s="211">
        <f>O24/$O$21</f>
        <v>525908.48958223534</v>
      </c>
      <c r="P38" s="211">
        <f>P24/$P$21</f>
        <v>498540.19034410006</v>
      </c>
      <c r="Q38" s="211">
        <f>Q24/$Q$21</f>
        <v>322528.73170939705</v>
      </c>
      <c r="R38" s="211">
        <f>R24/$R$21</f>
        <v>1455561.9228170523</v>
      </c>
      <c r="S38" s="211">
        <f>S24/$S$21</f>
        <v>1554146.9911038962</v>
      </c>
      <c r="T38" s="211">
        <f>T24/$T$21</f>
        <v>1049557.9768475201</v>
      </c>
      <c r="U38" s="211">
        <f>U24/$U$21</f>
        <v>333852</v>
      </c>
      <c r="V38" s="211">
        <f>V24/$V$21</f>
        <v>10556.935828616639</v>
      </c>
      <c r="W38" s="211">
        <f>W24/$W$21</f>
        <v>1627087.5841733988</v>
      </c>
      <c r="X38" s="211">
        <f>X24/$X$21</f>
        <v>216887.88916432473</v>
      </c>
      <c r="Y38" s="211">
        <f>Y24/$Y$21</f>
        <v>248140</v>
      </c>
      <c r="Z38" s="211">
        <f>Z24/$Z$21</f>
        <v>448946.49381574354</v>
      </c>
      <c r="AA38" s="211">
        <f>AA24/$AA$21</f>
        <v>590356</v>
      </c>
      <c r="AB38" s="211">
        <f>AB24/$AB$21</f>
        <v>4023766.3518357011</v>
      </c>
      <c r="AC38" s="211">
        <f>AC24/$AC$21</f>
        <v>2343.9771111399405</v>
      </c>
      <c r="AD38" s="211">
        <f>AD24/$AD$21</f>
        <v>2205290.5598759139</v>
      </c>
      <c r="AE38" s="211">
        <f>AE24/$AE$21</f>
        <v>3236596.0922416151</v>
      </c>
      <c r="AF38" s="211">
        <f>AF24/$AF$21</f>
        <v>238843.70572298818</v>
      </c>
      <c r="AG38" s="211">
        <f>AG24/$AG$21</f>
        <v>1540043.9568219744</v>
      </c>
      <c r="AH38" s="211">
        <f>AH24/$AH$21</f>
        <v>525315.86493048538</v>
      </c>
      <c r="AI38" s="211">
        <f>AI24/$AI$21</f>
        <v>1084817.1346261154</v>
      </c>
      <c r="AJ38" s="211">
        <f>AJ24/$AJ$21</f>
        <v>0</v>
      </c>
      <c r="AK38" s="211">
        <f>AK24/$AK$21</f>
        <v>119209.19237224213</v>
      </c>
      <c r="AL38" s="211">
        <f>AL24/$AL$21</f>
        <v>3763255.8321899469</v>
      </c>
      <c r="AM38" s="211">
        <f>AM24/$AM$21</f>
        <v>0</v>
      </c>
      <c r="AN38" s="211">
        <f>AN24/$AN$21</f>
        <v>832885.14421425143</v>
      </c>
      <c r="AO38" s="211">
        <f>AO24/$AO$21</f>
        <v>63672.909316770187</v>
      </c>
      <c r="AP38" s="211">
        <f>AP24/$AP$21</f>
        <v>181001.64780949935</v>
      </c>
      <c r="AQ38" s="211">
        <f>AQ24/$AQ$21</f>
        <v>0</v>
      </c>
      <c r="AR38" s="211">
        <f>AR24/$AR$21</f>
        <v>1918235.7669189884</v>
      </c>
      <c r="AS38" s="211">
        <f>AS24/$AS$21</f>
        <v>186394.40836435297</v>
      </c>
      <c r="AT38" s="211">
        <f>AT24/$AT$21</f>
        <v>2747097.3886529701</v>
      </c>
      <c r="AU38" s="211">
        <f>AU24/$AU$21</f>
        <v>18301.955918721731</v>
      </c>
      <c r="AV38" s="211">
        <f>AV24/$AV$21</f>
        <v>2144016</v>
      </c>
      <c r="AW38" s="211">
        <f>AW24/$AW$21</f>
        <v>1416954</v>
      </c>
      <c r="AX38" s="211">
        <f>AX24/$AX$21</f>
        <v>9210</v>
      </c>
      <c r="AY38" s="211">
        <f>AY24/$AY$21</f>
        <v>10826630.133738484</v>
      </c>
      <c r="AZ38" s="211">
        <f>AZ24/$AZ$21</f>
        <v>761188.328755519</v>
      </c>
      <c r="BA38" s="211">
        <f>BA24/$BA$21</f>
        <v>4067550.53783673</v>
      </c>
      <c r="BB38" s="211">
        <f>BB24/$BB$21</f>
        <v>593614.74381613184</v>
      </c>
      <c r="BC38" s="211">
        <f>BC24/$BC$21</f>
        <v>1779753.1966876988</v>
      </c>
      <c r="BD38" s="211">
        <f>BD24/$BD$21</f>
        <v>455119</v>
      </c>
      <c r="BE38" s="211">
        <f>BE24/$BE$21</f>
        <v>604602.6203745323</v>
      </c>
      <c r="BF38" s="211">
        <f>BF24/$BF$21</f>
        <v>666085.76631637162</v>
      </c>
      <c r="BG38" s="211">
        <f>BG24/$BG$21</f>
        <v>649384.88808657345</v>
      </c>
      <c r="BH38" s="211">
        <f>BH24/$BH$21</f>
        <v>695278.6088914912</v>
      </c>
      <c r="BI38" s="211">
        <f>BI24/$BI$21</f>
        <v>1054803.6975967865</v>
      </c>
      <c r="BJ38" s="211">
        <f>BJ24/$BJ$21</f>
        <v>62695</v>
      </c>
      <c r="BK38" s="211">
        <f>BK24/$BK$21</f>
        <v>2291579.4780099201</v>
      </c>
      <c r="BL38" s="211">
        <f>BL24/$BL$21</f>
        <v>3090648.8028506273</v>
      </c>
      <c r="BM38" s="211">
        <f>BM24/$BM$21</f>
        <v>43342.198769803566</v>
      </c>
      <c r="BN38" s="211">
        <f>BN24/$BN$21</f>
        <v>381826.64487588994</v>
      </c>
      <c r="BO38" s="211">
        <f>BO24/$BO$21</f>
        <v>2557721.1962618497</v>
      </c>
      <c r="BP38" s="211">
        <f>BP24/$BP$21</f>
        <v>4466243.796734211</v>
      </c>
      <c r="BQ38" s="211">
        <f>BQ24/$BQ$21</f>
        <v>131700.19870739835</v>
      </c>
      <c r="BR38" s="211">
        <f>BR24/$BR$21</f>
        <v>538859.03681008436</v>
      </c>
      <c r="BS38" s="211">
        <f>BS24/$BS$21</f>
        <v>219029</v>
      </c>
      <c r="BT38" s="211">
        <f>BT24/$BT$21</f>
        <v>2595152</v>
      </c>
      <c r="BU38" s="211">
        <f>BU24/$BU$21</f>
        <v>2034153.0000000002</v>
      </c>
      <c r="BV38" s="211">
        <f>BV24/$BV$21</f>
        <v>5688014.1347458009</v>
      </c>
      <c r="BW38" s="211">
        <f>BW24/$BW$21</f>
        <v>363796.20278903458</v>
      </c>
      <c r="BX38" s="211">
        <f>BX24/$BX$21</f>
        <v>65928.688637680374</v>
      </c>
      <c r="BY38" s="211">
        <f>BY24/$BY$21</f>
        <v>341094.5474474447</v>
      </c>
      <c r="BZ38" s="211">
        <f>BZ24/$BZ$21</f>
        <v>28824.731996550236</v>
      </c>
      <c r="CA38" s="211">
        <f>CA24/$CA$21</f>
        <v>246763.58625874267</v>
      </c>
      <c r="CB38" s="211">
        <f>CB24/$CB$21</f>
        <v>1135956.6101477034</v>
      </c>
      <c r="CC38" s="211">
        <f>CC24/$CC$21</f>
        <v>259529.76957167021</v>
      </c>
      <c r="CD38" s="211">
        <f>CD24/$CD$21</f>
        <v>476863.76654306293</v>
      </c>
      <c r="CE38" s="211">
        <f>CE24/$CE$21</f>
        <v>83031.303786589968</v>
      </c>
      <c r="CF38" s="211">
        <f>CF24/$CF$21</f>
        <v>350982</v>
      </c>
      <c r="CG38" s="211">
        <f>CG24/$CG$21</f>
        <v>228487</v>
      </c>
      <c r="CH38" s="211">
        <f>CH24/$CH$21</f>
        <v>610342.97730417852</v>
      </c>
      <c r="CI38" s="211">
        <f>CI24/$CI$21</f>
        <v>493.39301808969662</v>
      </c>
      <c r="CJ38" s="211">
        <f>CJ24/$CJ$21</f>
        <v>29996.875929777627</v>
      </c>
      <c r="CK38" s="211">
        <f>CK24/$CK$21</f>
        <v>37.076575212104316</v>
      </c>
      <c r="CL38" s="211"/>
      <c r="CM38" s="211">
        <f>CM24/$CM$21</f>
        <v>49946.281340140631</v>
      </c>
      <c r="CN38" s="202"/>
      <c r="CO38" s="187">
        <f t="shared" si="0"/>
        <v>105447175.02892029</v>
      </c>
    </row>
    <row r="39" spans="1:109" x14ac:dyDescent="0.3">
      <c r="A39" s="168" t="s">
        <v>207</v>
      </c>
      <c r="B39" s="211">
        <f>B25/$B$21</f>
        <v>0</v>
      </c>
      <c r="C39" s="211">
        <f t="shared" si="6"/>
        <v>0</v>
      </c>
      <c r="D39" s="211">
        <f t="shared" ref="D39:D46" si="7">D25/$D$21</f>
        <v>0</v>
      </c>
      <c r="E39" s="211">
        <f t="shared" ref="E39:E46" si="8">E25/$E$21</f>
        <v>0</v>
      </c>
      <c r="F39" s="211">
        <f t="shared" ref="F39:F46" si="9">F25/$F$21</f>
        <v>36631.195382342725</v>
      </c>
      <c r="G39" s="211">
        <f t="shared" ref="G39:G46" si="10">G25/$G$21</f>
        <v>0</v>
      </c>
      <c r="H39" s="211">
        <f t="shared" ref="H39:H46" si="11">H25/$H$21</f>
        <v>104750</v>
      </c>
      <c r="I39" s="211">
        <f t="shared" ref="I39:I46" si="12">I25/$I$21</f>
        <v>0</v>
      </c>
      <c r="J39" s="211">
        <f t="shared" ref="J39:J46" si="13">J25/$J$21</f>
        <v>250388.23579511096</v>
      </c>
      <c r="K39" s="211">
        <f t="shared" ref="K39:K46" si="14">K25/$K$21</f>
        <v>0</v>
      </c>
      <c r="L39" s="211">
        <f t="shared" ref="L39:L46" si="15">L25/$L$21</f>
        <v>0</v>
      </c>
      <c r="M39" s="211">
        <f t="shared" ref="M39:M46" si="16">M25/$M$21</f>
        <v>0</v>
      </c>
      <c r="N39" s="211">
        <f t="shared" ref="N39:N46" si="17">N25/$N$21</f>
        <v>31204</v>
      </c>
      <c r="O39" s="211">
        <f t="shared" ref="O39:O46" si="18">O25/$O$21</f>
        <v>317801.15920301661</v>
      </c>
      <c r="P39" s="211">
        <f t="shared" ref="P39:P46" si="19">P25/$P$21</f>
        <v>0</v>
      </c>
      <c r="Q39" s="211">
        <f t="shared" ref="Q39:Q46" si="20">Q25/$Q$21</f>
        <v>107509.21341879405</v>
      </c>
      <c r="R39" s="211">
        <f t="shared" ref="R39:R46" si="21">R25/$R$21</f>
        <v>0</v>
      </c>
      <c r="S39" s="211">
        <f t="shared" ref="S39:S46" si="22">S25/$S$21</f>
        <v>89367.842523745785</v>
      </c>
      <c r="T39" s="211">
        <f t="shared" ref="T39:T46" si="23">T25/$T$21</f>
        <v>1364516.406952929</v>
      </c>
      <c r="U39" s="211">
        <f t="shared" ref="U39:U46" si="24">U25/$U$21</f>
        <v>454523</v>
      </c>
      <c r="V39" s="211">
        <f t="shared" ref="V39:V46" si="25">V25/$V$21</f>
        <v>11261.131337106688</v>
      </c>
      <c r="W39" s="211">
        <f t="shared" ref="W39:W46" si="26">W25/$W$21</f>
        <v>0</v>
      </c>
      <c r="X39" s="211">
        <f t="shared" ref="X39:X46" si="27">X25/$X$21</f>
        <v>71077.338424293441</v>
      </c>
      <c r="Y39" s="211">
        <f t="shared" ref="Y39:Y46" si="28">Y25/$Y$21</f>
        <v>70897</v>
      </c>
      <c r="Z39" s="211">
        <f t="shared" ref="Z39:Z46" si="29">Z25/$Z$21</f>
        <v>133234.59816307685</v>
      </c>
      <c r="AA39" s="211">
        <f t="shared" ref="AA39:AA46" si="30">AA25/$AA$21</f>
        <v>0</v>
      </c>
      <c r="AB39" s="211">
        <f t="shared" ref="AB39:AB46" si="31">AB25/$AB$21</f>
        <v>0</v>
      </c>
      <c r="AC39" s="211">
        <f t="shared" ref="AC39:AC46" si="32">AC25/$AC$21</f>
        <v>1154.5623185972622</v>
      </c>
      <c r="AD39" s="211">
        <f t="shared" ref="AD39:AD46" si="33">AD25/$AD$21</f>
        <v>0</v>
      </c>
      <c r="AE39" s="211">
        <f t="shared" ref="AE39:AE46" si="34">AE25/$AE$21</f>
        <v>0</v>
      </c>
      <c r="AF39" s="211">
        <f t="shared" ref="AF39:AF46" si="35">AF25/$AF$21</f>
        <v>99972.712709511179</v>
      </c>
      <c r="AG39" s="211">
        <f t="shared" ref="AG39:AG46" si="36">AG25/$AG$21</f>
        <v>0</v>
      </c>
      <c r="AH39" s="211">
        <f t="shared" ref="AH39:AH46" si="37">AH25/$AH$21</f>
        <v>0</v>
      </c>
      <c r="AI39" s="211">
        <f t="shared" ref="AI39:AI46" si="38">AI25/$AI$21</f>
        <v>0</v>
      </c>
      <c r="AJ39" s="211">
        <f t="shared" ref="AJ39:AJ46" si="39">AJ25/$AJ$21</f>
        <v>0</v>
      </c>
      <c r="AK39" s="211">
        <f t="shared" ref="AK39:AK46" si="40">AK25/$AK$21</f>
        <v>107606.66445251116</v>
      </c>
      <c r="AL39" s="211">
        <f t="shared" ref="AL39:AL46" si="41">AL25/$AL$21</f>
        <v>0</v>
      </c>
      <c r="AM39" s="211">
        <f t="shared" ref="AM39:AM46" si="42">AM25/$AM$21</f>
        <v>0</v>
      </c>
      <c r="AN39" s="211">
        <f t="shared" ref="AN39:AN46" si="43">AN25/$AN$21</f>
        <v>0</v>
      </c>
      <c r="AO39" s="211">
        <f t="shared" ref="AO39:AO46" si="44">AO25/$AO$21</f>
        <v>3564.8347826086956</v>
      </c>
      <c r="AP39" s="211">
        <f t="shared" ref="AP39:AP46" si="45">AP25/$AP$21</f>
        <v>106880.10539264444</v>
      </c>
      <c r="AQ39" s="211">
        <f t="shared" ref="AQ39:AQ46" si="46">AQ25/$AQ$21</f>
        <v>0</v>
      </c>
      <c r="AR39" s="211">
        <f t="shared" ref="AR39:AR46" si="47">AR25/$AR$21</f>
        <v>0</v>
      </c>
      <c r="AS39" s="211">
        <f t="shared" ref="AS39:AS46" si="48">AS25/$AS$21</f>
        <v>0</v>
      </c>
      <c r="AT39" s="211">
        <f t="shared" ref="AT39:AT46" si="49">AT25/$AT$21</f>
        <v>1177328.2341817007</v>
      </c>
      <c r="AU39" s="211">
        <f t="shared" ref="AU39:AU46" si="50">AU25/$AU$21</f>
        <v>0</v>
      </c>
      <c r="AV39" s="211">
        <f t="shared" ref="AV39:AV45" si="51">AV25/$AV$21</f>
        <v>0</v>
      </c>
      <c r="AW39" s="211">
        <f t="shared" ref="AW39:AW46" si="52">AW25/$AW$21</f>
        <v>0</v>
      </c>
      <c r="AX39" s="211">
        <f t="shared" ref="AX39:AX46" si="53">AX25/$AX$21</f>
        <v>8423</v>
      </c>
      <c r="AY39" s="211">
        <f>AY25/$AY$21</f>
        <v>3867511.8366823508</v>
      </c>
      <c r="AZ39" s="211">
        <f t="shared" ref="AZ39:AZ46" si="54">AZ25/$AZ$21</f>
        <v>195366.89984669004</v>
      </c>
      <c r="BA39" s="211">
        <f t="shared" ref="BA39:BA46" si="55">BA25/$BA$21</f>
        <v>3478111.3289243267</v>
      </c>
      <c r="BB39" s="211">
        <f t="shared" ref="BB39:BB46" si="56">BB25/$BB$21</f>
        <v>690272.64549486211</v>
      </c>
      <c r="BC39" s="211">
        <f t="shared" ref="BC39:BC46" si="57">BC25/$BC$21</f>
        <v>0</v>
      </c>
      <c r="BD39" s="211">
        <f t="shared" ref="BD39:BD46" si="58">BD25/$BD$21</f>
        <v>26320</v>
      </c>
      <c r="BE39" s="211">
        <f t="shared" ref="BE39:BE46" si="59">BE25/$BE$21</f>
        <v>0</v>
      </c>
      <c r="BF39" s="211">
        <f t="shared" ref="BF39:BF45" si="60">BF25/$BF$21</f>
        <v>0</v>
      </c>
      <c r="BG39" s="211">
        <f t="shared" ref="BG39:BG46" si="61">BG25/$BG$21</f>
        <v>0</v>
      </c>
      <c r="BH39" s="211">
        <f t="shared" ref="BH39:BH46" si="62">BH25/$BH$21</f>
        <v>0</v>
      </c>
      <c r="BI39" s="211">
        <f t="shared" ref="BI39:BI46" si="63">BI25/$BI$21</f>
        <v>0</v>
      </c>
      <c r="BJ39" s="211">
        <f t="shared" ref="BJ39:BJ46" si="64">BJ25/$BJ$21</f>
        <v>8830</v>
      </c>
      <c r="BK39" s="211">
        <f t="shared" ref="BK39:BK46" si="65">BK25/$BK$21</f>
        <v>2039621.9050368688</v>
      </c>
      <c r="BL39" s="211">
        <f t="shared" ref="BL39:BL46" si="66">BL25/$BL$21</f>
        <v>166495.72808679019</v>
      </c>
      <c r="BM39" s="211">
        <f t="shared" ref="BM39:BM46" si="67">BM25/$BM$21</f>
        <v>80491.750602143729</v>
      </c>
      <c r="BN39" s="211">
        <f t="shared" ref="BN39:BN46" si="68">BN25/$BN$21</f>
        <v>933002.27094845916</v>
      </c>
      <c r="BO39" s="211">
        <f t="shared" ref="BO39:BO46" si="69">BO25/$BO$21</f>
        <v>0</v>
      </c>
      <c r="BP39" s="211">
        <f t="shared" ref="BP39:BP46" si="70">BP25/$BP$21</f>
        <v>1655578.3965786751</v>
      </c>
      <c r="BQ39" s="211">
        <f t="shared" ref="BQ39:BQ46" si="71">BQ25/$BQ$21</f>
        <v>0</v>
      </c>
      <c r="BR39" s="211">
        <f t="shared" ref="BR39:BR46" si="72">BR25/$BR$21</f>
        <v>1977.1737447049736</v>
      </c>
      <c r="BS39" s="211">
        <f t="shared" ref="BS39:BS46" si="73">BS25/$BS$21</f>
        <v>0</v>
      </c>
      <c r="BT39" s="211">
        <f t="shared" ref="BT39:BT46" si="74">BT25/$BT$21</f>
        <v>0</v>
      </c>
      <c r="BU39" s="211">
        <f t="shared" ref="BU39:BU46" si="75">BU25/$BU$21</f>
        <v>9226</v>
      </c>
      <c r="BV39" s="211">
        <f t="shared" ref="BV39:BV46" si="76">BV25/$BV$21</f>
        <v>209844.30925829074</v>
      </c>
      <c r="BW39" s="211">
        <f t="shared" ref="BW39:BW46" si="77">BW25/$BW$21</f>
        <v>0</v>
      </c>
      <c r="BX39" s="211">
        <f t="shared" ref="BX39:BX46" si="78">BX25/$BX$21</f>
        <v>126125.89570056184</v>
      </c>
      <c r="BY39" s="211">
        <f t="shared" ref="BY39:BY46" si="79">BY25/$BY$21</f>
        <v>90371.993221511744</v>
      </c>
      <c r="BZ39" s="211">
        <f t="shared" ref="BZ39:BZ46" si="80">BZ25/$BZ$21</f>
        <v>0</v>
      </c>
      <c r="CA39" s="211">
        <f t="shared" ref="CA39:CA46" si="81">CA25/$CA$21</f>
        <v>39670.731336671546</v>
      </c>
      <c r="CB39" s="211">
        <f t="shared" ref="CB39:CB46" si="82">CB25/$CB$21</f>
        <v>564924.22234849609</v>
      </c>
      <c r="CC39" s="211">
        <f t="shared" ref="CC39:CC46" si="83">CC25/$CC$21</f>
        <v>0</v>
      </c>
      <c r="CD39" s="211">
        <f t="shared" ref="CD39:CD46" si="84">CD25/$CD$21</f>
        <v>0</v>
      </c>
      <c r="CE39" s="211">
        <f t="shared" ref="CE39:CE46" si="85">CE25/$CE$21</f>
        <v>71797.284849255491</v>
      </c>
      <c r="CF39" s="211">
        <f t="shared" ref="CF39:CF46" si="86">CF25/$CF$21</f>
        <v>0</v>
      </c>
      <c r="CG39" s="211">
        <f t="shared" ref="CG39:CG46" si="87">CG25/$CG$21</f>
        <v>0</v>
      </c>
      <c r="CH39" s="211">
        <f t="shared" ref="CH39:CH46" si="88">CH25/$CH$21</f>
        <v>0</v>
      </c>
      <c r="CI39" s="211">
        <f t="shared" ref="CI39:CI46" si="89">CI25/$CI$21</f>
        <v>822.33224413478877</v>
      </c>
      <c r="CJ39" s="211">
        <f t="shared" ref="CJ39:CJ46" si="90">CJ25/$CJ$21</f>
        <v>74.984007056866233</v>
      </c>
      <c r="CK39" s="211">
        <f t="shared" ref="CK39:CK46" si="91">CK25/$CK$21</f>
        <v>21.422131583073465</v>
      </c>
      <c r="CL39" s="211"/>
      <c r="CM39" s="211">
        <f t="shared" ref="CM39:CM46" si="92">CM25/$CM$21</f>
        <v>37972.32083383252</v>
      </c>
      <c r="CN39" s="202"/>
      <c r="CO39" s="187">
        <f t="shared" si="0"/>
        <v>18842522.666915253</v>
      </c>
    </row>
    <row r="40" spans="1:109" x14ac:dyDescent="0.3">
      <c r="A40" s="168" t="s">
        <v>2</v>
      </c>
      <c r="B40" s="211">
        <f t="shared" ref="B40" si="93">B26/$B$21</f>
        <v>629550.38672812528</v>
      </c>
      <c r="C40" s="211">
        <f t="shared" si="6"/>
        <v>662492</v>
      </c>
      <c r="D40" s="211">
        <f t="shared" si="7"/>
        <v>5671.6373556005219</v>
      </c>
      <c r="E40" s="211">
        <f t="shared" si="8"/>
        <v>35396</v>
      </c>
      <c r="F40" s="211">
        <f t="shared" si="9"/>
        <v>357362.27526125521</v>
      </c>
      <c r="G40" s="211">
        <f t="shared" si="10"/>
        <v>0</v>
      </c>
      <c r="H40" s="211">
        <f t="shared" si="11"/>
        <v>41879</v>
      </c>
      <c r="I40" s="211">
        <f t="shared" si="12"/>
        <v>207812.98444534384</v>
      </c>
      <c r="J40" s="211">
        <f t="shared" si="13"/>
        <v>429233.49398452311</v>
      </c>
      <c r="K40" s="211">
        <f t="shared" si="14"/>
        <v>60956.581243602581</v>
      </c>
      <c r="L40" s="211">
        <f t="shared" si="15"/>
        <v>411262.62688787217</v>
      </c>
      <c r="M40" s="211">
        <f t="shared" si="16"/>
        <v>114599.27563644706</v>
      </c>
      <c r="N40" s="211">
        <f t="shared" si="17"/>
        <v>9714</v>
      </c>
      <c r="O40" s="211">
        <f t="shared" si="18"/>
        <v>96448.285442389111</v>
      </c>
      <c r="P40" s="211">
        <f t="shared" si="19"/>
        <v>27380.473619501532</v>
      </c>
      <c r="Q40" s="211">
        <f t="shared" si="20"/>
        <v>71673.536581205946</v>
      </c>
      <c r="R40" s="211">
        <f t="shared" si="21"/>
        <v>48477.089800519032</v>
      </c>
      <c r="S40" s="211">
        <f t="shared" si="22"/>
        <v>172353.39404414158</v>
      </c>
      <c r="T40" s="211">
        <f t="shared" si="23"/>
        <v>74886.03643736463</v>
      </c>
      <c r="U40" s="211">
        <f t="shared" si="24"/>
        <v>4022.0000000000005</v>
      </c>
      <c r="V40" s="211">
        <f t="shared" si="25"/>
        <v>24633.13582861664</v>
      </c>
      <c r="W40" s="211">
        <f t="shared" si="26"/>
        <v>18132.758170044846</v>
      </c>
      <c r="X40" s="211">
        <f t="shared" si="27"/>
        <v>33071.628390291109</v>
      </c>
      <c r="Y40" s="211">
        <f t="shared" si="28"/>
        <v>24814</v>
      </c>
      <c r="Z40" s="211">
        <f t="shared" si="29"/>
        <v>32022.401158155459</v>
      </c>
      <c r="AA40" s="211">
        <f t="shared" si="30"/>
        <v>0</v>
      </c>
      <c r="AB40" s="211">
        <f t="shared" si="31"/>
        <v>262296.2456447283</v>
      </c>
      <c r="AC40" s="211">
        <f t="shared" si="32"/>
        <v>135.04510107677868</v>
      </c>
      <c r="AD40" s="211">
        <f t="shared" si="33"/>
        <v>207367.75340273374</v>
      </c>
      <c r="AE40" s="211">
        <f t="shared" si="34"/>
        <v>283246.08930385276</v>
      </c>
      <c r="AF40" s="211">
        <f t="shared" si="35"/>
        <v>60399.783125963688</v>
      </c>
      <c r="AG40" s="211">
        <f t="shared" si="36"/>
        <v>32069.802821233847</v>
      </c>
      <c r="AH40" s="211">
        <f t="shared" si="37"/>
        <v>0</v>
      </c>
      <c r="AI40" s="211">
        <f t="shared" si="38"/>
        <v>87782.087604085114</v>
      </c>
      <c r="AJ40" s="211">
        <f t="shared" si="39"/>
        <v>0</v>
      </c>
      <c r="AK40" s="211">
        <f t="shared" si="40"/>
        <v>131480.43136903641</v>
      </c>
      <c r="AL40" s="211">
        <f t="shared" si="41"/>
        <v>156622.10096473154</v>
      </c>
      <c r="AM40" s="211">
        <f t="shared" si="42"/>
        <v>0</v>
      </c>
      <c r="AN40" s="211">
        <f t="shared" si="43"/>
        <v>180602.09420737994</v>
      </c>
      <c r="AO40" s="211">
        <f t="shared" si="44"/>
        <v>5302.7627329192546</v>
      </c>
      <c r="AP40" s="211">
        <f t="shared" si="45"/>
        <v>5773.0516957442478</v>
      </c>
      <c r="AQ40" s="211">
        <f t="shared" si="46"/>
        <v>0</v>
      </c>
      <c r="AR40" s="211">
        <f t="shared" si="47"/>
        <v>95380.045072811903</v>
      </c>
      <c r="AS40" s="211">
        <f t="shared" si="48"/>
        <v>29319.36325815634</v>
      </c>
      <c r="AT40" s="211">
        <f t="shared" si="49"/>
        <v>112954.94957356056</v>
      </c>
      <c r="AU40" s="211">
        <f t="shared" si="50"/>
        <v>0</v>
      </c>
      <c r="AV40" s="211">
        <f t="shared" si="51"/>
        <v>32278</v>
      </c>
      <c r="AW40" s="211">
        <f t="shared" si="52"/>
        <v>123983</v>
      </c>
      <c r="AX40" s="211">
        <f t="shared" si="53"/>
        <v>5440</v>
      </c>
      <c r="AY40" s="211">
        <f t="shared" ref="AY40:AY46" si="94">AY26/$AY$21</f>
        <v>556666.44386013341</v>
      </c>
      <c r="AZ40" s="211">
        <f t="shared" si="54"/>
        <v>5737.9525613815404</v>
      </c>
      <c r="BA40" s="211">
        <f t="shared" si="55"/>
        <v>11014.926666418271</v>
      </c>
      <c r="BB40" s="211">
        <f t="shared" si="56"/>
        <v>408106.41549088195</v>
      </c>
      <c r="BC40" s="211">
        <f t="shared" si="57"/>
        <v>0</v>
      </c>
      <c r="BD40" s="211">
        <f t="shared" si="58"/>
        <v>68603</v>
      </c>
      <c r="BE40" s="211">
        <f t="shared" si="59"/>
        <v>46625.916027868217</v>
      </c>
      <c r="BF40" s="211">
        <f t="shared" si="60"/>
        <v>313865.71128318587</v>
      </c>
      <c r="BG40" s="211">
        <f t="shared" si="61"/>
        <v>259753.77761731468</v>
      </c>
      <c r="BH40" s="211">
        <f t="shared" si="62"/>
        <v>0</v>
      </c>
      <c r="BI40" s="211">
        <f t="shared" si="63"/>
        <v>95091.424901797916</v>
      </c>
      <c r="BJ40" s="211">
        <f t="shared" si="64"/>
        <v>4415</v>
      </c>
      <c r="BK40" s="211">
        <f t="shared" si="65"/>
        <v>592700.76958173432</v>
      </c>
      <c r="BL40" s="211">
        <f t="shared" si="66"/>
        <v>12223.868418056092</v>
      </c>
      <c r="BM40" s="211">
        <f t="shared" si="67"/>
        <v>38276.254886720213</v>
      </c>
      <c r="BN40" s="211">
        <f t="shared" si="68"/>
        <v>5140.6753676500775</v>
      </c>
      <c r="BO40" s="211">
        <f t="shared" si="69"/>
        <v>83662.359959549445</v>
      </c>
      <c r="BP40" s="211">
        <f t="shared" si="70"/>
        <v>45061.926631057315</v>
      </c>
      <c r="BQ40" s="211">
        <f t="shared" si="71"/>
        <v>782.3525510818514</v>
      </c>
      <c r="BR40" s="211">
        <f t="shared" si="72"/>
        <v>46782.959217251184</v>
      </c>
      <c r="BS40" s="211">
        <f t="shared" si="73"/>
        <v>0</v>
      </c>
      <c r="BT40" s="211">
        <f t="shared" si="74"/>
        <v>230405.00000000003</v>
      </c>
      <c r="BU40" s="211">
        <f t="shared" si="75"/>
        <v>34165</v>
      </c>
      <c r="BV40" s="211">
        <f t="shared" si="76"/>
        <v>118138.51284051199</v>
      </c>
      <c r="BW40" s="211">
        <f t="shared" si="77"/>
        <v>36991.146078665079</v>
      </c>
      <c r="BX40" s="211">
        <f t="shared" si="78"/>
        <v>7069.0739500666941</v>
      </c>
      <c r="BY40" s="211">
        <f t="shared" si="79"/>
        <v>134520.28284699138</v>
      </c>
      <c r="BZ40" s="211">
        <f t="shared" si="80"/>
        <v>11191.739241052177</v>
      </c>
      <c r="CA40" s="211">
        <f t="shared" si="81"/>
        <v>136397.00345008122</v>
      </c>
      <c r="CB40" s="211">
        <f t="shared" si="82"/>
        <v>31058.206628014428</v>
      </c>
      <c r="CC40" s="211">
        <f t="shared" si="83"/>
        <v>0</v>
      </c>
      <c r="CD40" s="211">
        <f t="shared" si="84"/>
        <v>421.51426063049428</v>
      </c>
      <c r="CE40" s="211">
        <f t="shared" si="85"/>
        <v>3404.9834216110985</v>
      </c>
      <c r="CF40" s="211">
        <f t="shared" si="86"/>
        <v>25078</v>
      </c>
      <c r="CG40" s="211">
        <f t="shared" si="87"/>
        <v>15572</v>
      </c>
      <c r="CH40" s="211">
        <f t="shared" si="88"/>
        <v>0</v>
      </c>
      <c r="CI40" s="211">
        <f t="shared" si="89"/>
        <v>953.92059133517898</v>
      </c>
      <c r="CJ40" s="211">
        <f t="shared" si="90"/>
        <v>2512.2489746011397</v>
      </c>
      <c r="CK40" s="211">
        <f t="shared" si="91"/>
        <v>48.199796061915293</v>
      </c>
      <c r="CL40" s="211"/>
      <c r="CM40" s="211">
        <f t="shared" si="92"/>
        <v>84010.253057293739</v>
      </c>
      <c r="CN40" s="202"/>
      <c r="CO40" s="187">
        <f t="shared" si="0"/>
        <v>8872726.4270520154</v>
      </c>
    </row>
    <row r="41" spans="1:109" x14ac:dyDescent="0.3">
      <c r="A41" s="168" t="s">
        <v>208</v>
      </c>
      <c r="B41" s="211">
        <f t="shared" ref="B41:B46" si="95">B27/$B$21</f>
        <v>62337.169081254251</v>
      </c>
      <c r="C41" s="211">
        <f t="shared" si="6"/>
        <v>65599</v>
      </c>
      <c r="D41" s="211">
        <f t="shared" si="7"/>
        <v>34418.332014595377</v>
      </c>
      <c r="E41" s="211">
        <f t="shared" si="8"/>
        <v>21781</v>
      </c>
      <c r="F41" s="211">
        <f t="shared" si="9"/>
        <v>58026.568167727637</v>
      </c>
      <c r="G41" s="211">
        <f t="shared" si="10"/>
        <v>0</v>
      </c>
      <c r="H41" s="211">
        <f t="shared" si="11"/>
        <v>75847</v>
      </c>
      <c r="I41" s="211">
        <f t="shared" si="12"/>
        <v>287565.34175273444</v>
      </c>
      <c r="J41" s="211">
        <f t="shared" si="13"/>
        <v>643850.24097678473</v>
      </c>
      <c r="K41" s="211">
        <f t="shared" si="14"/>
        <v>125621.56892549738</v>
      </c>
      <c r="L41" s="211">
        <f t="shared" si="15"/>
        <v>0</v>
      </c>
      <c r="M41" s="211">
        <f t="shared" si="16"/>
        <v>67162.084763603605</v>
      </c>
      <c r="N41" s="211">
        <f t="shared" si="17"/>
        <v>63358</v>
      </c>
      <c r="O41" s="211">
        <f t="shared" si="18"/>
        <v>34588.596814831631</v>
      </c>
      <c r="P41" s="211">
        <f t="shared" si="19"/>
        <v>12654.504946343464</v>
      </c>
      <c r="Q41" s="211">
        <f t="shared" si="20"/>
        <v>64505.96463248237</v>
      </c>
      <c r="R41" s="211">
        <f t="shared" si="21"/>
        <v>0</v>
      </c>
      <c r="S41" s="211">
        <f t="shared" si="22"/>
        <v>89533.411530627011</v>
      </c>
      <c r="T41" s="211">
        <f t="shared" si="23"/>
        <v>219649.83121189053</v>
      </c>
      <c r="U41" s="211">
        <f t="shared" si="24"/>
        <v>3016</v>
      </c>
      <c r="V41" s="211">
        <f t="shared" si="25"/>
        <v>12668.665668553343</v>
      </c>
      <c r="W41" s="211">
        <f t="shared" si="26"/>
        <v>97560.309641485423</v>
      </c>
      <c r="X41" s="211">
        <f t="shared" si="27"/>
        <v>28279.347919096985</v>
      </c>
      <c r="Y41" s="211">
        <f t="shared" si="28"/>
        <v>10634</v>
      </c>
      <c r="Z41" s="211">
        <f t="shared" si="29"/>
        <v>22171.209234331993</v>
      </c>
      <c r="AA41" s="211">
        <f t="shared" si="30"/>
        <v>159934</v>
      </c>
      <c r="AB41" s="211">
        <f t="shared" si="31"/>
        <v>251598.52792839811</v>
      </c>
      <c r="AC41" s="211">
        <f t="shared" si="32"/>
        <v>0</v>
      </c>
      <c r="AD41" s="211">
        <f t="shared" si="33"/>
        <v>102586.83047651917</v>
      </c>
      <c r="AE41" s="211">
        <f t="shared" si="34"/>
        <v>49168.830035788313</v>
      </c>
      <c r="AF41" s="211">
        <f t="shared" si="35"/>
        <v>25885.505360795585</v>
      </c>
      <c r="AG41" s="211">
        <f t="shared" si="36"/>
        <v>48105.953639783635</v>
      </c>
      <c r="AH41" s="211">
        <f t="shared" si="37"/>
        <v>48236.135069514596</v>
      </c>
      <c r="AI41" s="211">
        <f t="shared" si="38"/>
        <v>64072.58729566876</v>
      </c>
      <c r="AJ41" s="211">
        <f t="shared" si="39"/>
        <v>0</v>
      </c>
      <c r="AK41" s="211">
        <f t="shared" si="40"/>
        <v>77251.200518574391</v>
      </c>
      <c r="AL41" s="211">
        <f t="shared" si="41"/>
        <v>80165.182542489696</v>
      </c>
      <c r="AM41" s="211">
        <f t="shared" si="42"/>
        <v>0</v>
      </c>
      <c r="AN41" s="211">
        <f t="shared" si="43"/>
        <v>0</v>
      </c>
      <c r="AO41" s="211">
        <f t="shared" si="44"/>
        <v>3706.8223602484472</v>
      </c>
      <c r="AP41" s="211">
        <f t="shared" si="45"/>
        <v>2297.5478823649896</v>
      </c>
      <c r="AQ41" s="211">
        <f t="shared" si="46"/>
        <v>0</v>
      </c>
      <c r="AR41" s="211">
        <f t="shared" si="47"/>
        <v>41037.135293859807</v>
      </c>
      <c r="AS41" s="211">
        <f t="shared" si="48"/>
        <v>13865.296693671995</v>
      </c>
      <c r="AT41" s="211">
        <f t="shared" si="49"/>
        <v>75304.029490772853</v>
      </c>
      <c r="AU41" s="211">
        <f t="shared" si="50"/>
        <v>841.64519832865892</v>
      </c>
      <c r="AV41" s="211">
        <f t="shared" si="51"/>
        <v>174757</v>
      </c>
      <c r="AW41" s="211">
        <f t="shared" si="52"/>
        <v>177119</v>
      </c>
      <c r="AX41" s="211">
        <f t="shared" si="53"/>
        <v>5490</v>
      </c>
      <c r="AY41" s="211">
        <f t="shared" si="94"/>
        <v>53706.650336808205</v>
      </c>
      <c r="AZ41" s="211">
        <f t="shared" si="54"/>
        <v>30096.099195698112</v>
      </c>
      <c r="BA41" s="211">
        <f t="shared" si="55"/>
        <v>11260.082901747457</v>
      </c>
      <c r="BB41" s="211">
        <f t="shared" si="56"/>
        <v>74505.892249785029</v>
      </c>
      <c r="BC41" s="211">
        <f t="shared" si="57"/>
        <v>66077.266532033973</v>
      </c>
      <c r="BD41" s="211">
        <f t="shared" si="58"/>
        <v>43177</v>
      </c>
      <c r="BE41" s="211">
        <f t="shared" si="59"/>
        <v>0</v>
      </c>
      <c r="BF41" s="211">
        <f t="shared" si="60"/>
        <v>323660.93196902657</v>
      </c>
      <c r="BG41" s="211">
        <f t="shared" si="61"/>
        <v>129877.3328519441</v>
      </c>
      <c r="BH41" s="211">
        <f t="shared" si="62"/>
        <v>220723.65206200501</v>
      </c>
      <c r="BI41" s="211">
        <f t="shared" si="63"/>
        <v>85392.358635370911</v>
      </c>
      <c r="BJ41" s="211">
        <f t="shared" si="64"/>
        <v>1766</v>
      </c>
      <c r="BK41" s="211">
        <f t="shared" si="65"/>
        <v>433275.66518998169</v>
      </c>
      <c r="BL41" s="211">
        <f t="shared" si="66"/>
        <v>419275.55047298654</v>
      </c>
      <c r="BM41" s="211">
        <f t="shared" si="67"/>
        <v>17240.244676665614</v>
      </c>
      <c r="BN41" s="211">
        <f t="shared" si="68"/>
        <v>18863.482416021416</v>
      </c>
      <c r="BO41" s="211">
        <f t="shared" si="69"/>
        <v>214917.73588833679</v>
      </c>
      <c r="BP41" s="211">
        <f t="shared" si="70"/>
        <v>50788.737673374977</v>
      </c>
      <c r="BQ41" s="211">
        <f t="shared" si="71"/>
        <v>4223.1968367387899</v>
      </c>
      <c r="BR41" s="211">
        <f t="shared" si="72"/>
        <v>40184.838032236614</v>
      </c>
      <c r="BS41" s="211">
        <f t="shared" si="73"/>
        <v>43700</v>
      </c>
      <c r="BT41" s="211">
        <f t="shared" si="74"/>
        <v>112007</v>
      </c>
      <c r="BU41" s="211">
        <f t="shared" si="75"/>
        <v>34306</v>
      </c>
      <c r="BV41" s="211">
        <f t="shared" si="76"/>
        <v>152541.61869694525</v>
      </c>
      <c r="BW41" s="211">
        <f t="shared" si="77"/>
        <v>27720.889702026219</v>
      </c>
      <c r="BX41" s="211">
        <f t="shared" si="78"/>
        <v>24378.222308303804</v>
      </c>
      <c r="BY41" s="211">
        <f t="shared" si="79"/>
        <v>115883.37905601034</v>
      </c>
      <c r="BZ41" s="211">
        <f t="shared" si="80"/>
        <v>12654.620935748168</v>
      </c>
      <c r="CA41" s="211">
        <f t="shared" si="81"/>
        <v>32279.3898860265</v>
      </c>
      <c r="CB41" s="211">
        <f t="shared" si="82"/>
        <v>8764.561044951859</v>
      </c>
      <c r="CC41" s="211">
        <f t="shared" si="83"/>
        <v>54825</v>
      </c>
      <c r="CD41" s="211">
        <f t="shared" si="84"/>
        <v>8310.3878229194343</v>
      </c>
      <c r="CE41" s="211">
        <f t="shared" si="85"/>
        <v>2405.766736236561</v>
      </c>
      <c r="CF41" s="211">
        <f t="shared" si="86"/>
        <v>17376</v>
      </c>
      <c r="CG41" s="211">
        <f t="shared" si="87"/>
        <v>8580</v>
      </c>
      <c r="CH41" s="211">
        <f t="shared" si="88"/>
        <v>6036.7540584489325</v>
      </c>
      <c r="CI41" s="211">
        <f t="shared" si="89"/>
        <v>394.71230500803171</v>
      </c>
      <c r="CJ41" s="211">
        <f t="shared" si="90"/>
        <v>3749.6205490162279</v>
      </c>
      <c r="CK41" s="211">
        <f t="shared" si="91"/>
        <v>58.913344715248861</v>
      </c>
      <c r="CL41" s="211"/>
      <c r="CM41" s="211">
        <f t="shared" si="92"/>
        <v>46385.860557915781</v>
      </c>
      <c r="CN41" s="202"/>
      <c r="CO41" s="187">
        <f t="shared" si="0"/>
        <v>6453622.7919936534</v>
      </c>
    </row>
    <row r="42" spans="1:109" x14ac:dyDescent="0.3">
      <c r="A42" s="168" t="s">
        <v>209</v>
      </c>
      <c r="B42" s="211">
        <f t="shared" si="95"/>
        <v>40288.860463390236</v>
      </c>
      <c r="C42" s="211">
        <f t="shared" si="6"/>
        <v>42397</v>
      </c>
      <c r="D42" s="211">
        <f t="shared" si="7"/>
        <v>5291.7950779017856</v>
      </c>
      <c r="E42" s="211">
        <f t="shared" si="8"/>
        <v>81679.000000000015</v>
      </c>
      <c r="F42" s="211">
        <f t="shared" si="9"/>
        <v>1054692.8312940854</v>
      </c>
      <c r="G42" s="211">
        <f t="shared" si="10"/>
        <v>0</v>
      </c>
      <c r="H42" s="211">
        <f t="shared" si="11"/>
        <v>23500</v>
      </c>
      <c r="I42" s="211">
        <f t="shared" si="12"/>
        <v>831931.79394202854</v>
      </c>
      <c r="J42" s="211">
        <f t="shared" si="13"/>
        <v>751164.70738533291</v>
      </c>
      <c r="K42" s="211">
        <f t="shared" si="14"/>
        <v>123747.78890011595</v>
      </c>
      <c r="L42" s="211">
        <f t="shared" si="15"/>
        <v>109670.45679633981</v>
      </c>
      <c r="M42" s="211">
        <f t="shared" si="16"/>
        <v>7901.3066346797777</v>
      </c>
      <c r="N42" s="211">
        <f t="shared" si="17"/>
        <v>6801</v>
      </c>
      <c r="O42" s="211">
        <f t="shared" si="18"/>
        <v>75974.474924753915</v>
      </c>
      <c r="P42" s="211">
        <f t="shared" si="19"/>
        <v>20184.351194180505</v>
      </c>
      <c r="Q42" s="211">
        <f t="shared" si="20"/>
        <v>143345.98170939702</v>
      </c>
      <c r="R42" s="211">
        <f t="shared" si="21"/>
        <v>123919.08195317912</v>
      </c>
      <c r="S42" s="211">
        <f t="shared" si="22"/>
        <v>187461.56592205315</v>
      </c>
      <c r="T42" s="211">
        <f t="shared" si="23"/>
        <v>98043.431288503038</v>
      </c>
      <c r="U42" s="211">
        <f t="shared" si="24"/>
        <v>177987</v>
      </c>
      <c r="V42" s="211">
        <f t="shared" si="25"/>
        <v>9853.5970056600345</v>
      </c>
      <c r="W42" s="211">
        <f t="shared" si="26"/>
        <v>194121.14362150934</v>
      </c>
      <c r="X42" s="211">
        <f t="shared" si="27"/>
        <v>18798.641356580414</v>
      </c>
      <c r="Y42" s="211">
        <f t="shared" si="28"/>
        <v>0</v>
      </c>
      <c r="Z42" s="211">
        <f t="shared" si="29"/>
        <v>63802.500605996596</v>
      </c>
      <c r="AA42" s="211">
        <f t="shared" si="30"/>
        <v>659601</v>
      </c>
      <c r="AB42" s="211">
        <f t="shared" si="31"/>
        <v>149831.69149360131</v>
      </c>
      <c r="AC42" s="211">
        <f t="shared" si="32"/>
        <v>910.94089037105994</v>
      </c>
      <c r="AD42" s="211">
        <f t="shared" si="33"/>
        <v>185408.40026366268</v>
      </c>
      <c r="AE42" s="211">
        <f t="shared" si="34"/>
        <v>1724049.9021171506</v>
      </c>
      <c r="AF42" s="211">
        <f t="shared" si="35"/>
        <v>31503.929355193668</v>
      </c>
      <c r="AG42" s="211">
        <f t="shared" si="36"/>
        <v>56820.573971640668</v>
      </c>
      <c r="AH42" s="211">
        <f t="shared" si="37"/>
        <v>0</v>
      </c>
      <c r="AI42" s="211">
        <f t="shared" si="38"/>
        <v>180037.56659241027</v>
      </c>
      <c r="AJ42" s="211">
        <f t="shared" si="39"/>
        <v>0</v>
      </c>
      <c r="AK42" s="211">
        <f t="shared" si="40"/>
        <v>139714.8435633918</v>
      </c>
      <c r="AL42" s="211">
        <f t="shared" si="41"/>
        <v>782503.0702296223</v>
      </c>
      <c r="AM42" s="211">
        <f t="shared" si="42"/>
        <v>0</v>
      </c>
      <c r="AN42" s="211">
        <f t="shared" si="43"/>
        <v>198974.6490929705</v>
      </c>
      <c r="AO42" s="211">
        <f t="shared" si="44"/>
        <v>0</v>
      </c>
      <c r="AP42" s="211">
        <f t="shared" si="45"/>
        <v>205557.22461916239</v>
      </c>
      <c r="AQ42" s="211">
        <f t="shared" si="46"/>
        <v>0</v>
      </c>
      <c r="AR42" s="211">
        <f t="shared" si="47"/>
        <v>329973.45310496545</v>
      </c>
      <c r="AS42" s="211">
        <f t="shared" si="48"/>
        <v>16676.617692139258</v>
      </c>
      <c r="AT42" s="211">
        <f t="shared" si="49"/>
        <v>564774.74786780286</v>
      </c>
      <c r="AU42" s="211">
        <f t="shared" si="50"/>
        <v>13019.979468635145</v>
      </c>
      <c r="AV42" s="211">
        <f t="shared" si="51"/>
        <v>617829</v>
      </c>
      <c r="AW42" s="211">
        <f t="shared" si="52"/>
        <v>51365</v>
      </c>
      <c r="AX42" s="211">
        <f t="shared" si="53"/>
        <v>5216</v>
      </c>
      <c r="AY42" s="211">
        <f t="shared" si="94"/>
        <v>2730857.8331651301</v>
      </c>
      <c r="AZ42" s="211">
        <f t="shared" si="54"/>
        <v>275983.50678845524</v>
      </c>
      <c r="BA42" s="211">
        <f t="shared" si="55"/>
        <v>332466.06295316515</v>
      </c>
      <c r="BB42" s="211">
        <f t="shared" si="56"/>
        <v>510256.34004766244</v>
      </c>
      <c r="BC42" s="211">
        <f t="shared" si="57"/>
        <v>938133.57193960913</v>
      </c>
      <c r="BD42" s="211">
        <f t="shared" si="58"/>
        <v>122614</v>
      </c>
      <c r="BE42" s="211">
        <f t="shared" si="59"/>
        <v>70465.46359759949</v>
      </c>
      <c r="BF42" s="211">
        <f t="shared" si="60"/>
        <v>218571.14518805311</v>
      </c>
      <c r="BG42" s="211">
        <f t="shared" si="61"/>
        <v>246765.51148017621</v>
      </c>
      <c r="BH42" s="211">
        <f t="shared" si="62"/>
        <v>0</v>
      </c>
      <c r="BI42" s="211">
        <f t="shared" si="63"/>
        <v>340436.94020869548</v>
      </c>
      <c r="BJ42" s="211">
        <f t="shared" si="64"/>
        <v>8830</v>
      </c>
      <c r="BK42" s="211">
        <f t="shared" si="65"/>
        <v>746015.98487903469</v>
      </c>
      <c r="BL42" s="211">
        <f t="shared" si="66"/>
        <v>484589.91915741359</v>
      </c>
      <c r="BM42" s="211">
        <f t="shared" si="67"/>
        <v>33772.607565420156</v>
      </c>
      <c r="BN42" s="211">
        <f t="shared" si="68"/>
        <v>65671.199019599793</v>
      </c>
      <c r="BO42" s="211">
        <f t="shared" si="69"/>
        <v>126207.18866086174</v>
      </c>
      <c r="BP42" s="211">
        <f t="shared" si="70"/>
        <v>0</v>
      </c>
      <c r="BQ42" s="211">
        <f t="shared" si="71"/>
        <v>16580.097483039623</v>
      </c>
      <c r="BR42" s="211">
        <f t="shared" si="72"/>
        <v>21285.075977878059</v>
      </c>
      <c r="BS42" s="211">
        <f t="shared" si="73"/>
        <v>0</v>
      </c>
      <c r="BT42" s="211">
        <f t="shared" si="74"/>
        <v>338456</v>
      </c>
      <c r="BU42" s="211">
        <f t="shared" si="75"/>
        <v>37895</v>
      </c>
      <c r="BV42" s="211">
        <f t="shared" si="76"/>
        <v>2265237.6647697305</v>
      </c>
      <c r="BW42" s="211">
        <f t="shared" si="77"/>
        <v>0</v>
      </c>
      <c r="BX42" s="211">
        <f t="shared" si="78"/>
        <v>0</v>
      </c>
      <c r="BY42" s="211">
        <f t="shared" si="79"/>
        <v>109295.37732883102</v>
      </c>
      <c r="BZ42" s="211">
        <f t="shared" si="80"/>
        <v>6429.8183699870624</v>
      </c>
      <c r="CA42" s="211">
        <f t="shared" si="81"/>
        <v>204594.48792471574</v>
      </c>
      <c r="CB42" s="211">
        <f t="shared" si="82"/>
        <v>73619.73875085701</v>
      </c>
      <c r="CC42" s="211">
        <f t="shared" si="83"/>
        <v>56787</v>
      </c>
      <c r="CD42" s="211">
        <f t="shared" si="84"/>
        <v>252.90855637829662</v>
      </c>
      <c r="CE42" s="211">
        <f t="shared" si="85"/>
        <v>6965.1064463230259</v>
      </c>
      <c r="CF42" s="211">
        <f t="shared" si="86"/>
        <v>0</v>
      </c>
      <c r="CG42" s="211">
        <f t="shared" si="87"/>
        <v>57625</v>
      </c>
      <c r="CH42" s="211">
        <f t="shared" si="88"/>
        <v>644.85636376299442</v>
      </c>
      <c r="CI42" s="211">
        <f t="shared" si="89"/>
        <v>559.18719168989173</v>
      </c>
      <c r="CJ42" s="211">
        <f t="shared" si="90"/>
        <v>1124.8861647048682</v>
      </c>
      <c r="CK42" s="211">
        <f t="shared" si="91"/>
        <v>32.133197374610198</v>
      </c>
      <c r="CL42" s="211"/>
      <c r="CM42" s="211">
        <f t="shared" si="92"/>
        <v>59171.195441015196</v>
      </c>
      <c r="CN42" s="202"/>
      <c r="CO42" s="187">
        <f t="shared" si="0"/>
        <v>20614519.709015574</v>
      </c>
    </row>
    <row r="43" spans="1:109" x14ac:dyDescent="0.3">
      <c r="A43" s="168" t="s">
        <v>210</v>
      </c>
      <c r="B43" s="211">
        <f t="shared" si="95"/>
        <v>0</v>
      </c>
      <c r="C43" s="211">
        <f t="shared" si="6"/>
        <v>0</v>
      </c>
      <c r="D43" s="211">
        <f t="shared" si="7"/>
        <v>431.83589745978003</v>
      </c>
      <c r="E43" s="211">
        <f t="shared" si="8"/>
        <v>0</v>
      </c>
      <c r="F43" s="211">
        <f t="shared" si="9"/>
        <v>0</v>
      </c>
      <c r="G43" s="211">
        <f t="shared" si="10"/>
        <v>0</v>
      </c>
      <c r="H43" s="211">
        <f t="shared" si="11"/>
        <v>0</v>
      </c>
      <c r="I43" s="211">
        <f t="shared" si="12"/>
        <v>0</v>
      </c>
      <c r="J43" s="211">
        <f t="shared" si="13"/>
        <v>178845.25818941215</v>
      </c>
      <c r="K43" s="211">
        <f t="shared" si="14"/>
        <v>1566.1444988262733</v>
      </c>
      <c r="L43" s="211">
        <f t="shared" si="15"/>
        <v>0</v>
      </c>
      <c r="M43" s="211">
        <f t="shared" si="16"/>
        <v>0</v>
      </c>
      <c r="N43" s="211">
        <f t="shared" si="17"/>
        <v>45525</v>
      </c>
      <c r="O43" s="211">
        <f t="shared" si="18"/>
        <v>65.441101644848288</v>
      </c>
      <c r="P43" s="211">
        <f t="shared" si="19"/>
        <v>587.52672960747998</v>
      </c>
      <c r="Q43" s="211">
        <f t="shared" si="20"/>
        <v>0</v>
      </c>
      <c r="R43" s="211">
        <f t="shared" si="21"/>
        <v>0</v>
      </c>
      <c r="S43" s="211">
        <f t="shared" si="22"/>
        <v>95529.37485125415</v>
      </c>
      <c r="T43" s="211">
        <f t="shared" si="23"/>
        <v>0</v>
      </c>
      <c r="U43" s="211">
        <f t="shared" si="24"/>
        <v>0</v>
      </c>
      <c r="V43" s="211">
        <f t="shared" si="25"/>
        <v>0</v>
      </c>
      <c r="W43" s="211">
        <f t="shared" si="26"/>
        <v>0</v>
      </c>
      <c r="X43" s="211">
        <f t="shared" si="27"/>
        <v>77999.632282663457</v>
      </c>
      <c r="Y43" s="211">
        <f t="shared" si="28"/>
        <v>0</v>
      </c>
      <c r="Z43" s="211">
        <f t="shared" si="29"/>
        <v>0</v>
      </c>
      <c r="AA43" s="211">
        <f t="shared" si="30"/>
        <v>0</v>
      </c>
      <c r="AB43" s="211">
        <f t="shared" si="31"/>
        <v>276821.93059288611</v>
      </c>
      <c r="AC43" s="211">
        <f t="shared" si="32"/>
        <v>0</v>
      </c>
      <c r="AD43" s="211">
        <f t="shared" si="33"/>
        <v>0</v>
      </c>
      <c r="AE43" s="211">
        <f t="shared" si="34"/>
        <v>11445.473489495995</v>
      </c>
      <c r="AF43" s="211">
        <f t="shared" si="35"/>
        <v>0</v>
      </c>
      <c r="AG43" s="211">
        <f t="shared" si="36"/>
        <v>37880.799117071409</v>
      </c>
      <c r="AH43" s="211">
        <f t="shared" si="37"/>
        <v>0</v>
      </c>
      <c r="AI43" s="211">
        <f t="shared" si="38"/>
        <v>0</v>
      </c>
      <c r="AJ43" s="211">
        <f t="shared" si="39"/>
        <v>0</v>
      </c>
      <c r="AK43" s="211">
        <f t="shared" si="40"/>
        <v>114354.05969419825</v>
      </c>
      <c r="AL43" s="211">
        <f t="shared" si="41"/>
        <v>29518.300281018768</v>
      </c>
      <c r="AM43" s="211">
        <f t="shared" si="42"/>
        <v>0</v>
      </c>
      <c r="AN43" s="211">
        <f t="shared" si="43"/>
        <v>0</v>
      </c>
      <c r="AO43" s="211">
        <f t="shared" si="44"/>
        <v>0</v>
      </c>
      <c r="AP43" s="211">
        <f t="shared" si="45"/>
        <v>80795.677018136368</v>
      </c>
      <c r="AQ43" s="211">
        <f t="shared" si="46"/>
        <v>0</v>
      </c>
      <c r="AR43" s="211">
        <f t="shared" si="47"/>
        <v>0</v>
      </c>
      <c r="AS43" s="211">
        <f t="shared" si="48"/>
        <v>0</v>
      </c>
      <c r="AT43" s="211">
        <f t="shared" si="49"/>
        <v>376516.86346606811</v>
      </c>
      <c r="AU43" s="211">
        <f t="shared" si="50"/>
        <v>0</v>
      </c>
      <c r="AV43" s="211">
        <f t="shared" si="51"/>
        <v>0</v>
      </c>
      <c r="AW43" s="211">
        <f t="shared" si="52"/>
        <v>0</v>
      </c>
      <c r="AX43" s="211">
        <f t="shared" si="53"/>
        <v>0</v>
      </c>
      <c r="AY43" s="211">
        <f t="shared" si="94"/>
        <v>175993.3986756847</v>
      </c>
      <c r="AZ43" s="211">
        <f t="shared" si="54"/>
        <v>0</v>
      </c>
      <c r="BA43" s="211">
        <f t="shared" si="55"/>
        <v>0</v>
      </c>
      <c r="BB43" s="211">
        <f t="shared" si="56"/>
        <v>3321.1535948565047</v>
      </c>
      <c r="BC43" s="211">
        <f t="shared" si="57"/>
        <v>0</v>
      </c>
      <c r="BD43" s="211">
        <f t="shared" si="58"/>
        <v>0</v>
      </c>
      <c r="BE43" s="211">
        <f t="shared" si="59"/>
        <v>0</v>
      </c>
      <c r="BF43" s="211">
        <f t="shared" si="60"/>
        <v>218020.44524336283</v>
      </c>
      <c r="BG43" s="211">
        <f t="shared" si="61"/>
        <v>0</v>
      </c>
      <c r="BH43" s="211">
        <f t="shared" si="62"/>
        <v>0</v>
      </c>
      <c r="BI43" s="211">
        <f t="shared" si="63"/>
        <v>108446.09524664456</v>
      </c>
      <c r="BJ43" s="211">
        <f t="shared" si="64"/>
        <v>1645</v>
      </c>
      <c r="BK43" s="211">
        <f t="shared" si="65"/>
        <v>0</v>
      </c>
      <c r="BL43" s="211">
        <f t="shared" si="66"/>
        <v>0</v>
      </c>
      <c r="BM43" s="211">
        <f t="shared" si="67"/>
        <v>0</v>
      </c>
      <c r="BN43" s="211">
        <f t="shared" si="68"/>
        <v>0</v>
      </c>
      <c r="BO43" s="211">
        <f t="shared" si="69"/>
        <v>0</v>
      </c>
      <c r="BP43" s="211">
        <f t="shared" si="70"/>
        <v>637684.7689134269</v>
      </c>
      <c r="BQ43" s="211">
        <f t="shared" si="71"/>
        <v>0</v>
      </c>
      <c r="BR43" s="211">
        <f t="shared" si="72"/>
        <v>310.67386745584315</v>
      </c>
      <c r="BS43" s="211">
        <f t="shared" si="73"/>
        <v>0</v>
      </c>
      <c r="BT43" s="211">
        <f t="shared" si="74"/>
        <v>31003</v>
      </c>
      <c r="BU43" s="211">
        <f t="shared" si="75"/>
        <v>0</v>
      </c>
      <c r="BV43" s="211">
        <f t="shared" si="76"/>
        <v>770750.73888958257</v>
      </c>
      <c r="BW43" s="211">
        <f t="shared" si="77"/>
        <v>0</v>
      </c>
      <c r="BX43" s="211">
        <f t="shared" si="78"/>
        <v>0</v>
      </c>
      <c r="BY43" s="211">
        <f t="shared" si="79"/>
        <v>0</v>
      </c>
      <c r="BZ43" s="211">
        <f t="shared" si="80"/>
        <v>0</v>
      </c>
      <c r="CA43" s="211">
        <f t="shared" si="81"/>
        <v>16709.355170423274</v>
      </c>
      <c r="CB43" s="211">
        <f t="shared" si="82"/>
        <v>0</v>
      </c>
      <c r="CC43" s="211">
        <f t="shared" si="83"/>
        <v>0</v>
      </c>
      <c r="CD43" s="211">
        <f t="shared" si="84"/>
        <v>0</v>
      </c>
      <c r="CE43" s="211">
        <f t="shared" si="85"/>
        <v>0</v>
      </c>
      <c r="CF43" s="211">
        <f t="shared" si="86"/>
        <v>0</v>
      </c>
      <c r="CG43" s="211">
        <f t="shared" si="87"/>
        <v>0</v>
      </c>
      <c r="CH43" s="211">
        <f t="shared" si="88"/>
        <v>0</v>
      </c>
      <c r="CI43" s="211">
        <f t="shared" si="89"/>
        <v>0</v>
      </c>
      <c r="CJ43" s="211">
        <f t="shared" si="90"/>
        <v>0</v>
      </c>
      <c r="CK43" s="211">
        <f t="shared" si="91"/>
        <v>0</v>
      </c>
      <c r="CL43" s="211"/>
      <c r="CM43" s="211">
        <f t="shared" si="92"/>
        <v>0</v>
      </c>
      <c r="CN43" s="202"/>
      <c r="CO43" s="187">
        <f t="shared" si="0"/>
        <v>3291767.9468111796</v>
      </c>
    </row>
    <row r="44" spans="1:109" x14ac:dyDescent="0.3">
      <c r="A44" s="168" t="s">
        <v>211</v>
      </c>
      <c r="B44" s="211">
        <f t="shared" si="95"/>
        <v>5033.6130828732712</v>
      </c>
      <c r="C44" s="211">
        <f t="shared" si="6"/>
        <v>5297</v>
      </c>
      <c r="D44" s="211">
        <f t="shared" si="7"/>
        <v>20901.43514393959</v>
      </c>
      <c r="E44" s="211">
        <f t="shared" si="8"/>
        <v>2723</v>
      </c>
      <c r="F44" s="211">
        <f t="shared" si="9"/>
        <v>447244.91892667679</v>
      </c>
      <c r="G44" s="211">
        <f t="shared" si="10"/>
        <v>0</v>
      </c>
      <c r="H44" s="211">
        <f t="shared" si="11"/>
        <v>7173.9999999999991</v>
      </c>
      <c r="I44" s="211">
        <f t="shared" si="12"/>
        <v>38597.871460478775</v>
      </c>
      <c r="J44" s="211">
        <f t="shared" si="13"/>
        <v>0</v>
      </c>
      <c r="K44" s="211">
        <f t="shared" si="14"/>
        <v>156.61444988262733</v>
      </c>
      <c r="L44" s="211">
        <f t="shared" si="15"/>
        <v>27315.152242306667</v>
      </c>
      <c r="M44" s="211">
        <f t="shared" si="16"/>
        <v>8349.3995567554775</v>
      </c>
      <c r="N44" s="211">
        <f t="shared" si="17"/>
        <v>3956</v>
      </c>
      <c r="O44" s="211">
        <f t="shared" si="18"/>
        <v>297459.55293112859</v>
      </c>
      <c r="P44" s="211">
        <f t="shared" si="19"/>
        <v>9843.2327456664952</v>
      </c>
      <c r="Q44" s="211">
        <f t="shared" si="20"/>
        <v>7167.5719487235719</v>
      </c>
      <c r="R44" s="211">
        <f t="shared" si="21"/>
        <v>10289.905429249493</v>
      </c>
      <c r="S44" s="211">
        <f t="shared" si="22"/>
        <v>0</v>
      </c>
      <c r="T44" s="211">
        <f t="shared" si="23"/>
        <v>266035.31726179278</v>
      </c>
      <c r="U44" s="211">
        <f t="shared" si="24"/>
        <v>2010</v>
      </c>
      <c r="V44" s="211">
        <f t="shared" si="25"/>
        <v>1407.5343314466559</v>
      </c>
      <c r="W44" s="211">
        <f t="shared" si="26"/>
        <v>9145.6808474913269</v>
      </c>
      <c r="X44" s="211">
        <f t="shared" si="27"/>
        <v>138427.90237088394</v>
      </c>
      <c r="Y44" s="211">
        <f t="shared" si="28"/>
        <v>0</v>
      </c>
      <c r="Z44" s="211">
        <f t="shared" si="29"/>
        <v>141376.41782209589</v>
      </c>
      <c r="AA44" s="211">
        <f t="shared" si="30"/>
        <v>44198</v>
      </c>
      <c r="AB44" s="211">
        <f t="shared" si="31"/>
        <v>219487.59204654585</v>
      </c>
      <c r="AC44" s="211">
        <f t="shared" si="32"/>
        <v>19.122742084417617</v>
      </c>
      <c r="AD44" s="211">
        <f t="shared" si="33"/>
        <v>573.45598117038958</v>
      </c>
      <c r="AE44" s="211">
        <f t="shared" si="34"/>
        <v>406237.47002480878</v>
      </c>
      <c r="AF44" s="211">
        <f t="shared" si="35"/>
        <v>108810.1311606376</v>
      </c>
      <c r="AG44" s="211">
        <f t="shared" si="36"/>
        <v>120993.91362829617</v>
      </c>
      <c r="AH44" s="211">
        <f t="shared" si="37"/>
        <v>0</v>
      </c>
      <c r="AI44" s="211">
        <f t="shared" si="38"/>
        <v>17150.630165973846</v>
      </c>
      <c r="AJ44" s="211">
        <f t="shared" si="39"/>
        <v>0</v>
      </c>
      <c r="AK44" s="211">
        <f t="shared" si="40"/>
        <v>20802.608030045885</v>
      </c>
      <c r="AL44" s="211">
        <f t="shared" si="41"/>
        <v>350245.92378104897</v>
      </c>
      <c r="AM44" s="211">
        <f t="shared" si="42"/>
        <v>0</v>
      </c>
      <c r="AN44" s="211">
        <f t="shared" si="43"/>
        <v>0</v>
      </c>
      <c r="AO44" s="211">
        <f t="shared" si="44"/>
        <v>14430.670807453416</v>
      </c>
      <c r="AP44" s="211">
        <f t="shared" si="45"/>
        <v>22337.745582448213</v>
      </c>
      <c r="AQ44" s="211">
        <f t="shared" si="46"/>
        <v>0</v>
      </c>
      <c r="AR44" s="211">
        <f t="shared" si="47"/>
        <v>37023.599609374229</v>
      </c>
      <c r="AS44" s="211">
        <f t="shared" si="48"/>
        <v>3374.3139916794394</v>
      </c>
      <c r="AT44" s="211">
        <f t="shared" si="49"/>
        <v>666417.45414624701</v>
      </c>
      <c r="AU44" s="211">
        <f t="shared" si="50"/>
        <v>29.791437731632342</v>
      </c>
      <c r="AV44" s="211">
        <f t="shared" si="51"/>
        <v>8754</v>
      </c>
      <c r="AW44" s="211">
        <f t="shared" si="52"/>
        <v>1770.9999999999998</v>
      </c>
      <c r="AX44" s="211">
        <f t="shared" si="53"/>
        <v>8903</v>
      </c>
      <c r="AY44" s="211">
        <f t="shared" si="94"/>
        <v>1543705.3800969049</v>
      </c>
      <c r="AZ44" s="211">
        <f t="shared" si="54"/>
        <v>82001.673118269668</v>
      </c>
      <c r="BA44" s="211">
        <f t="shared" si="55"/>
        <v>5496.0607176124295</v>
      </c>
      <c r="BB44" s="211">
        <f t="shared" si="56"/>
        <v>31508.434777323018</v>
      </c>
      <c r="BC44" s="211">
        <f t="shared" si="57"/>
        <v>5109.9648406581373</v>
      </c>
      <c r="BD44" s="211">
        <f t="shared" si="58"/>
        <v>30292</v>
      </c>
      <c r="BE44" s="211">
        <f t="shared" si="59"/>
        <v>0</v>
      </c>
      <c r="BF44" s="211">
        <f t="shared" si="60"/>
        <v>0</v>
      </c>
      <c r="BG44" s="211">
        <f t="shared" si="61"/>
        <v>12986.489963991538</v>
      </c>
      <c r="BH44" s="211">
        <f t="shared" si="62"/>
        <v>0</v>
      </c>
      <c r="BI44" s="211">
        <f t="shared" si="63"/>
        <v>3583.2158788469469</v>
      </c>
      <c r="BJ44" s="211">
        <f t="shared" si="64"/>
        <v>884</v>
      </c>
      <c r="BK44" s="211">
        <f t="shared" si="65"/>
        <v>13807.197302460259</v>
      </c>
      <c r="BL44" s="211">
        <f t="shared" si="66"/>
        <v>73796.346920542652</v>
      </c>
      <c r="BM44" s="211">
        <f t="shared" si="67"/>
        <v>6754.9434992467204</v>
      </c>
      <c r="BN44" s="211">
        <f t="shared" si="68"/>
        <v>24329.72737237965</v>
      </c>
      <c r="BO44" s="211">
        <f t="shared" si="69"/>
        <v>3907.5192294024259</v>
      </c>
      <c r="BP44" s="211">
        <f t="shared" si="70"/>
        <v>60169.373469254708</v>
      </c>
      <c r="BQ44" s="211">
        <f t="shared" si="71"/>
        <v>3128.1544217413993</v>
      </c>
      <c r="BR44" s="211">
        <f t="shared" si="72"/>
        <v>306206.95159687725</v>
      </c>
      <c r="BS44" s="211">
        <f t="shared" si="73"/>
        <v>0</v>
      </c>
      <c r="BT44" s="211">
        <f t="shared" si="74"/>
        <v>39909</v>
      </c>
      <c r="BU44" s="211">
        <f t="shared" si="75"/>
        <v>155</v>
      </c>
      <c r="BV44" s="211">
        <f t="shared" si="76"/>
        <v>9560.0207991381158</v>
      </c>
      <c r="BW44" s="211">
        <f t="shared" si="77"/>
        <v>6542.7614302741367</v>
      </c>
      <c r="BX44" s="211">
        <f t="shared" si="78"/>
        <v>21397.777887063959</v>
      </c>
      <c r="BY44" s="211">
        <f t="shared" si="79"/>
        <v>3659.4200992108649</v>
      </c>
      <c r="BZ44" s="211">
        <f t="shared" si="80"/>
        <v>0</v>
      </c>
      <c r="CA44" s="211">
        <f t="shared" si="81"/>
        <v>5569.4459733390604</v>
      </c>
      <c r="CB44" s="211">
        <f t="shared" si="82"/>
        <v>10692.507072167407</v>
      </c>
      <c r="CC44" s="211">
        <f t="shared" si="83"/>
        <v>2557</v>
      </c>
      <c r="CD44" s="211">
        <f t="shared" si="84"/>
        <v>674.42281700879096</v>
      </c>
      <c r="CE44" s="211">
        <f t="shared" si="85"/>
        <v>84.554759983864457</v>
      </c>
      <c r="CF44" s="211">
        <f t="shared" si="86"/>
        <v>1158</v>
      </c>
      <c r="CG44" s="211">
        <f t="shared" si="87"/>
        <v>11074</v>
      </c>
      <c r="CH44" s="211">
        <f t="shared" si="88"/>
        <v>0</v>
      </c>
      <c r="CI44" s="211">
        <f t="shared" si="89"/>
        <v>65.783626281567322</v>
      </c>
      <c r="CJ44" s="211">
        <f t="shared" si="90"/>
        <v>37.481498624110216</v>
      </c>
      <c r="CK44" s="211">
        <f t="shared" si="91"/>
        <v>8.2381354418912558</v>
      </c>
      <c r="CL44" s="211"/>
      <c r="CM44" s="211">
        <f t="shared" si="92"/>
        <v>20965.08876980214</v>
      </c>
      <c r="CN44" s="202"/>
      <c r="CO44" s="187">
        <f t="shared" si="0"/>
        <v>5843250.4797607856</v>
      </c>
    </row>
    <row r="45" spans="1:109" x14ac:dyDescent="0.3">
      <c r="A45" s="168" t="s">
        <v>212</v>
      </c>
      <c r="B45" s="211">
        <f t="shared" si="95"/>
        <v>0</v>
      </c>
      <c r="C45" s="211">
        <f t="shared" si="6"/>
        <v>0</v>
      </c>
      <c r="D45" s="211">
        <f t="shared" si="7"/>
        <v>0</v>
      </c>
      <c r="E45" s="211">
        <f t="shared" si="8"/>
        <v>0</v>
      </c>
      <c r="F45" s="211">
        <f t="shared" si="9"/>
        <v>0</v>
      </c>
      <c r="G45" s="211">
        <f t="shared" si="10"/>
        <v>0</v>
      </c>
      <c r="H45" s="211">
        <f t="shared" si="11"/>
        <v>0</v>
      </c>
      <c r="I45" s="211">
        <f t="shared" si="12"/>
        <v>0</v>
      </c>
      <c r="J45" s="211">
        <f t="shared" si="13"/>
        <v>0</v>
      </c>
      <c r="K45" s="211">
        <f t="shared" si="14"/>
        <v>0</v>
      </c>
      <c r="L45" s="211">
        <f t="shared" si="15"/>
        <v>54936.104256546059</v>
      </c>
      <c r="M45" s="211">
        <f t="shared" si="16"/>
        <v>0</v>
      </c>
      <c r="N45" s="211">
        <f t="shared" si="17"/>
        <v>22796</v>
      </c>
      <c r="O45" s="211">
        <f t="shared" si="18"/>
        <v>0</v>
      </c>
      <c r="P45" s="211">
        <f t="shared" si="19"/>
        <v>0</v>
      </c>
      <c r="Q45" s="211">
        <f t="shared" si="20"/>
        <v>0</v>
      </c>
      <c r="R45" s="211">
        <f t="shared" si="21"/>
        <v>0</v>
      </c>
      <c r="S45" s="211">
        <f t="shared" si="22"/>
        <v>205447.48482432886</v>
      </c>
      <c r="T45" s="211">
        <f t="shared" si="23"/>
        <v>0</v>
      </c>
      <c r="U45" s="211">
        <f t="shared" si="24"/>
        <v>30167.000000000004</v>
      </c>
      <c r="V45" s="211">
        <f t="shared" si="25"/>
        <v>0</v>
      </c>
      <c r="W45" s="211">
        <f t="shared" si="26"/>
        <v>128.52354607029221</v>
      </c>
      <c r="X45" s="211">
        <f t="shared" si="27"/>
        <v>0</v>
      </c>
      <c r="Y45" s="211">
        <f t="shared" si="28"/>
        <v>0</v>
      </c>
      <c r="Z45" s="211">
        <f t="shared" si="29"/>
        <v>0</v>
      </c>
      <c r="AA45" s="211">
        <f t="shared" si="30"/>
        <v>0</v>
      </c>
      <c r="AB45" s="211">
        <f t="shared" si="31"/>
        <v>163004.95281095451</v>
      </c>
      <c r="AC45" s="211">
        <f t="shared" si="32"/>
        <v>0</v>
      </c>
      <c r="AD45" s="211">
        <f t="shared" si="33"/>
        <v>0</v>
      </c>
      <c r="AE45" s="211">
        <f t="shared" si="34"/>
        <v>677008.54566130391</v>
      </c>
      <c r="AF45" s="211">
        <f t="shared" si="35"/>
        <v>22976.232564910089</v>
      </c>
      <c r="AG45" s="211">
        <f t="shared" si="36"/>
        <v>0</v>
      </c>
      <c r="AH45" s="211">
        <f t="shared" si="37"/>
        <v>0</v>
      </c>
      <c r="AI45" s="211">
        <f t="shared" si="38"/>
        <v>86073.993715746532</v>
      </c>
      <c r="AJ45" s="211">
        <f t="shared" si="39"/>
        <v>0</v>
      </c>
      <c r="AK45" s="211">
        <f t="shared" si="40"/>
        <v>0</v>
      </c>
      <c r="AL45" s="211">
        <f t="shared" si="41"/>
        <v>1976.5900111417227</v>
      </c>
      <c r="AM45" s="211">
        <f t="shared" si="42"/>
        <v>0</v>
      </c>
      <c r="AN45" s="211">
        <f t="shared" si="43"/>
        <v>1556.1124853981999</v>
      </c>
      <c r="AO45" s="211">
        <f t="shared" si="44"/>
        <v>0</v>
      </c>
      <c r="AP45" s="211">
        <f t="shared" si="45"/>
        <v>0</v>
      </c>
      <c r="AQ45" s="211">
        <f t="shared" si="46"/>
        <v>0</v>
      </c>
      <c r="AR45" s="211">
        <f t="shared" si="47"/>
        <v>0</v>
      </c>
      <c r="AS45" s="211">
        <f t="shared" si="48"/>
        <v>0</v>
      </c>
      <c r="AT45" s="211">
        <f t="shared" si="49"/>
        <v>102806.33262087777</v>
      </c>
      <c r="AU45" s="211">
        <f t="shared" si="50"/>
        <v>0</v>
      </c>
      <c r="AV45" s="211">
        <f t="shared" si="51"/>
        <v>0</v>
      </c>
      <c r="AW45" s="211">
        <f t="shared" si="52"/>
        <v>0</v>
      </c>
      <c r="AX45" s="211">
        <f t="shared" si="53"/>
        <v>0</v>
      </c>
      <c r="AY45" s="211">
        <f t="shared" si="94"/>
        <v>2922762.8198948163</v>
      </c>
      <c r="AZ45" s="211">
        <f t="shared" si="54"/>
        <v>8460.5397339864739</v>
      </c>
      <c r="BA45" s="211">
        <f t="shared" si="55"/>
        <v>0</v>
      </c>
      <c r="BB45" s="211">
        <f t="shared" si="56"/>
        <v>1518629.3745284972</v>
      </c>
      <c r="BC45" s="211">
        <f t="shared" si="57"/>
        <v>0</v>
      </c>
      <c r="BD45" s="211">
        <f t="shared" si="58"/>
        <v>27317</v>
      </c>
      <c r="BE45" s="211">
        <f t="shared" si="59"/>
        <v>0</v>
      </c>
      <c r="BF45" s="211">
        <f t="shared" si="60"/>
        <v>0</v>
      </c>
      <c r="BG45" s="211">
        <f t="shared" si="61"/>
        <v>0</v>
      </c>
      <c r="BH45" s="211">
        <f t="shared" si="62"/>
        <v>165542.73904650373</v>
      </c>
      <c r="BI45" s="211">
        <f t="shared" si="63"/>
        <v>222714.67817733786</v>
      </c>
      <c r="BJ45" s="211">
        <f t="shared" si="64"/>
        <v>0</v>
      </c>
      <c r="BK45" s="211">
        <f t="shared" si="65"/>
        <v>0</v>
      </c>
      <c r="BL45" s="211">
        <f t="shared" si="66"/>
        <v>7868.7840935836612</v>
      </c>
      <c r="BM45" s="211">
        <f t="shared" si="67"/>
        <v>0</v>
      </c>
      <c r="BN45" s="211">
        <f t="shared" si="68"/>
        <v>0</v>
      </c>
      <c r="BO45" s="211">
        <f t="shared" si="69"/>
        <v>0</v>
      </c>
      <c r="BP45" s="211">
        <f t="shared" si="70"/>
        <v>0</v>
      </c>
      <c r="BQ45" s="211">
        <f t="shared" si="71"/>
        <v>0</v>
      </c>
      <c r="BR45" s="211">
        <f t="shared" si="72"/>
        <v>19191.290753511788</v>
      </c>
      <c r="BS45" s="211">
        <f t="shared" si="73"/>
        <v>0</v>
      </c>
      <c r="BT45" s="211">
        <f t="shared" si="74"/>
        <v>3588</v>
      </c>
      <c r="BU45" s="211">
        <f t="shared" si="75"/>
        <v>0</v>
      </c>
      <c r="BV45" s="211">
        <f t="shared" si="76"/>
        <v>0</v>
      </c>
      <c r="BW45" s="211">
        <f t="shared" si="77"/>
        <v>0</v>
      </c>
      <c r="BX45" s="211">
        <f t="shared" si="78"/>
        <v>29719.341516323315</v>
      </c>
      <c r="BY45" s="211">
        <f t="shared" si="79"/>
        <v>0</v>
      </c>
      <c r="BZ45" s="211">
        <f t="shared" si="80"/>
        <v>16665.089456662354</v>
      </c>
      <c r="CA45" s="211">
        <f t="shared" si="81"/>
        <v>0</v>
      </c>
      <c r="CB45" s="211">
        <f t="shared" si="82"/>
        <v>247405.15400780994</v>
      </c>
      <c r="CC45" s="211">
        <f t="shared" si="83"/>
        <v>0</v>
      </c>
      <c r="CD45" s="211">
        <f t="shared" si="84"/>
        <v>0</v>
      </c>
      <c r="CE45" s="211">
        <f t="shared" si="85"/>
        <v>0</v>
      </c>
      <c r="CF45" s="211">
        <f t="shared" si="86"/>
        <v>0</v>
      </c>
      <c r="CG45" s="211">
        <f t="shared" si="87"/>
        <v>930</v>
      </c>
      <c r="CH45" s="211">
        <f t="shared" si="88"/>
        <v>1133.4122736095592</v>
      </c>
      <c r="CI45" s="211">
        <f t="shared" si="89"/>
        <v>0</v>
      </c>
      <c r="CJ45" s="211">
        <f t="shared" si="90"/>
        <v>0</v>
      </c>
      <c r="CK45" s="211">
        <f t="shared" si="91"/>
        <v>0</v>
      </c>
      <c r="CL45" s="211"/>
      <c r="CM45" s="211">
        <f t="shared" si="92"/>
        <v>0</v>
      </c>
      <c r="CN45" s="202"/>
      <c r="CO45" s="187">
        <f t="shared" si="0"/>
        <v>6560806.0959799215</v>
      </c>
    </row>
    <row r="46" spans="1:109" x14ac:dyDescent="0.3">
      <c r="A46" s="168" t="s">
        <v>80</v>
      </c>
      <c r="B46" s="211">
        <f t="shared" si="95"/>
        <v>0</v>
      </c>
      <c r="C46" s="211">
        <f t="shared" si="6"/>
        <v>0</v>
      </c>
      <c r="D46" s="211">
        <f t="shared" si="7"/>
        <v>0</v>
      </c>
      <c r="E46" s="211">
        <f t="shared" si="8"/>
        <v>0</v>
      </c>
      <c r="F46" s="211">
        <f t="shared" si="9"/>
        <v>0</v>
      </c>
      <c r="G46" s="211">
        <f t="shared" si="10"/>
        <v>0</v>
      </c>
      <c r="H46" s="211">
        <f t="shared" si="11"/>
        <v>0</v>
      </c>
      <c r="I46" s="211">
        <f t="shared" si="12"/>
        <v>0</v>
      </c>
      <c r="J46" s="211">
        <f t="shared" si="13"/>
        <v>0</v>
      </c>
      <c r="K46" s="211">
        <f t="shared" si="14"/>
        <v>0</v>
      </c>
      <c r="L46" s="211">
        <f t="shared" si="15"/>
        <v>0</v>
      </c>
      <c r="M46" s="211">
        <f t="shared" si="16"/>
        <v>0</v>
      </c>
      <c r="N46" s="211">
        <f t="shared" si="17"/>
        <v>0</v>
      </c>
      <c r="O46" s="211">
        <f t="shared" si="18"/>
        <v>0</v>
      </c>
      <c r="P46" s="211">
        <f t="shared" si="19"/>
        <v>36.720420600467499</v>
      </c>
      <c r="Q46" s="211">
        <f t="shared" si="20"/>
        <v>0</v>
      </c>
      <c r="R46" s="211">
        <f t="shared" si="21"/>
        <v>0</v>
      </c>
      <c r="S46" s="211">
        <f t="shared" si="22"/>
        <v>0</v>
      </c>
      <c r="T46" s="211">
        <f t="shared" si="23"/>
        <v>0</v>
      </c>
      <c r="U46" s="211">
        <f t="shared" si="24"/>
        <v>0</v>
      </c>
      <c r="V46" s="211">
        <f t="shared" si="25"/>
        <v>0</v>
      </c>
      <c r="W46" s="211">
        <f t="shared" si="26"/>
        <v>0</v>
      </c>
      <c r="X46" s="211">
        <f t="shared" si="27"/>
        <v>18100.620091865952</v>
      </c>
      <c r="Y46" s="211">
        <f t="shared" si="28"/>
        <v>0</v>
      </c>
      <c r="Z46" s="211">
        <f t="shared" si="29"/>
        <v>94390.37920059968</v>
      </c>
      <c r="AA46" s="211">
        <f t="shared" si="30"/>
        <v>0</v>
      </c>
      <c r="AB46" s="211">
        <f t="shared" si="31"/>
        <v>734.70764718452995</v>
      </c>
      <c r="AC46" s="211">
        <f t="shared" si="32"/>
        <v>0</v>
      </c>
      <c r="AD46" s="211">
        <f t="shared" si="33"/>
        <v>0</v>
      </c>
      <c r="AE46" s="211">
        <f t="shared" si="34"/>
        <v>308758.59712598508</v>
      </c>
      <c r="AF46" s="211">
        <f t="shared" si="35"/>
        <v>0</v>
      </c>
      <c r="AG46" s="211">
        <f t="shared" si="36"/>
        <v>0</v>
      </c>
      <c r="AH46" s="211">
        <f t="shared" si="37"/>
        <v>0</v>
      </c>
      <c r="AI46" s="211">
        <f t="shared" si="38"/>
        <v>0</v>
      </c>
      <c r="AJ46" s="211">
        <f t="shared" si="39"/>
        <v>0</v>
      </c>
      <c r="AK46" s="211">
        <f t="shared" si="40"/>
        <v>0</v>
      </c>
      <c r="AL46" s="211">
        <f t="shared" si="41"/>
        <v>0</v>
      </c>
      <c r="AM46" s="211">
        <f t="shared" si="42"/>
        <v>0</v>
      </c>
      <c r="AN46" s="211">
        <f t="shared" si="43"/>
        <v>0</v>
      </c>
      <c r="AO46" s="211">
        <f t="shared" si="44"/>
        <v>0</v>
      </c>
      <c r="AP46" s="211">
        <f t="shared" si="45"/>
        <v>0</v>
      </c>
      <c r="AQ46" s="211">
        <f t="shared" si="46"/>
        <v>0</v>
      </c>
      <c r="AR46" s="211">
        <f t="shared" si="47"/>
        <v>0</v>
      </c>
      <c r="AS46" s="211">
        <f t="shared" si="48"/>
        <v>0</v>
      </c>
      <c r="AT46" s="211">
        <f t="shared" si="49"/>
        <v>0</v>
      </c>
      <c r="AU46" s="211">
        <f t="shared" si="50"/>
        <v>0</v>
      </c>
      <c r="AV46" s="211">
        <f>AV32/$AV$21</f>
        <v>0</v>
      </c>
      <c r="AW46" s="211">
        <f t="shared" si="52"/>
        <v>0</v>
      </c>
      <c r="AX46" s="211">
        <f t="shared" si="53"/>
        <v>0</v>
      </c>
      <c r="AY46" s="211">
        <f t="shared" si="94"/>
        <v>497529.95354969008</v>
      </c>
      <c r="AZ46" s="211">
        <f t="shared" si="54"/>
        <v>0</v>
      </c>
      <c r="BA46" s="211">
        <f t="shared" si="55"/>
        <v>0</v>
      </c>
      <c r="BB46" s="211">
        <f t="shared" si="56"/>
        <v>0</v>
      </c>
      <c r="BC46" s="211">
        <f t="shared" si="57"/>
        <v>0</v>
      </c>
      <c r="BD46" s="211">
        <f t="shared" si="58"/>
        <v>12233</v>
      </c>
      <c r="BE46" s="211">
        <f t="shared" si="59"/>
        <v>0</v>
      </c>
      <c r="BF46" s="211">
        <f>BF32/$BF$21</f>
        <v>0</v>
      </c>
      <c r="BG46" s="211">
        <f t="shared" si="61"/>
        <v>0</v>
      </c>
      <c r="BH46" s="211">
        <f t="shared" si="62"/>
        <v>0</v>
      </c>
      <c r="BI46" s="211">
        <f t="shared" si="63"/>
        <v>20631.58935451986</v>
      </c>
      <c r="BJ46" s="211">
        <f t="shared" si="64"/>
        <v>0</v>
      </c>
      <c r="BK46" s="211">
        <f t="shared" si="65"/>
        <v>0</v>
      </c>
      <c r="BL46" s="211">
        <f t="shared" si="66"/>
        <v>0</v>
      </c>
      <c r="BM46" s="211">
        <f t="shared" si="67"/>
        <v>0</v>
      </c>
      <c r="BN46" s="211">
        <f t="shared" si="68"/>
        <v>0</v>
      </c>
      <c r="BO46" s="211">
        <f t="shared" si="69"/>
        <v>0</v>
      </c>
      <c r="BP46" s="211">
        <f t="shared" si="70"/>
        <v>0</v>
      </c>
      <c r="BQ46" s="211">
        <f t="shared" si="71"/>
        <v>0</v>
      </c>
      <c r="BR46" s="211">
        <f t="shared" si="72"/>
        <v>0</v>
      </c>
      <c r="BS46" s="211">
        <f t="shared" si="73"/>
        <v>0</v>
      </c>
      <c r="BT46" s="211">
        <f t="shared" si="74"/>
        <v>0</v>
      </c>
      <c r="BU46" s="211">
        <f t="shared" si="75"/>
        <v>0</v>
      </c>
      <c r="BV46" s="211">
        <f t="shared" si="76"/>
        <v>0</v>
      </c>
      <c r="BW46" s="211">
        <f t="shared" si="77"/>
        <v>0</v>
      </c>
      <c r="BX46" s="211">
        <f t="shared" si="78"/>
        <v>29719.341516323315</v>
      </c>
      <c r="BY46" s="211">
        <f t="shared" si="79"/>
        <v>0</v>
      </c>
      <c r="BZ46" s="211">
        <f t="shared" si="80"/>
        <v>0</v>
      </c>
      <c r="CA46" s="211">
        <f t="shared" si="81"/>
        <v>0</v>
      </c>
      <c r="CB46" s="211">
        <f t="shared" si="82"/>
        <v>0</v>
      </c>
      <c r="CC46" s="211">
        <f t="shared" si="83"/>
        <v>0</v>
      </c>
      <c r="CD46" s="211">
        <f t="shared" si="84"/>
        <v>0</v>
      </c>
      <c r="CE46" s="211">
        <f t="shared" si="85"/>
        <v>0</v>
      </c>
      <c r="CF46" s="211">
        <f t="shared" si="86"/>
        <v>0</v>
      </c>
      <c r="CG46" s="211">
        <f t="shared" si="87"/>
        <v>0</v>
      </c>
      <c r="CH46" s="211">
        <f t="shared" si="88"/>
        <v>0</v>
      </c>
      <c r="CI46" s="211">
        <f t="shared" si="89"/>
        <v>0</v>
      </c>
      <c r="CJ46" s="211">
        <f t="shared" si="90"/>
        <v>0</v>
      </c>
      <c r="CK46" s="211">
        <f t="shared" si="91"/>
        <v>0</v>
      </c>
      <c r="CL46" s="211"/>
      <c r="CM46" s="211">
        <f t="shared" si="92"/>
        <v>0</v>
      </c>
      <c r="CN46" s="202"/>
      <c r="CO46" s="187">
        <f t="shared" si="0"/>
        <v>982134.90890676889</v>
      </c>
    </row>
    <row r="47" spans="1:109" s="154" customFormat="1" x14ac:dyDescent="0.3">
      <c r="A47" s="176" t="s">
        <v>421</v>
      </c>
      <c r="B47" s="212">
        <f t="shared" ref="B47:I47" si="96">SUM(B38:B46)</f>
        <v>1101104.9999999998</v>
      </c>
      <c r="C47" s="212">
        <f t="shared" si="96"/>
        <v>1158721</v>
      </c>
      <c r="D47" s="212">
        <f t="shared" si="96"/>
        <v>620242</v>
      </c>
      <c r="E47" s="212">
        <f t="shared" si="96"/>
        <v>272266</v>
      </c>
      <c r="F47" s="212">
        <f t="shared" si="96"/>
        <v>8869969</v>
      </c>
      <c r="G47" s="212">
        <f t="shared" si="96"/>
        <v>0</v>
      </c>
      <c r="H47" s="212">
        <f t="shared" si="96"/>
        <v>461783</v>
      </c>
      <c r="I47" s="212">
        <f t="shared" si="96"/>
        <v>4739448</v>
      </c>
      <c r="J47" s="212">
        <f t="shared" ref="J47:BU47" si="97">SUM(J38:J46)</f>
        <v>3576960</v>
      </c>
      <c r="K47" s="212">
        <f t="shared" si="97"/>
        <v>1020766</v>
      </c>
      <c r="L47" s="212">
        <f t="shared" si="97"/>
        <v>1370875</v>
      </c>
      <c r="M47" s="212">
        <f t="shared" si="97"/>
        <v>4742139.9999999981</v>
      </c>
      <c r="N47" s="212">
        <f t="shared" si="97"/>
        <v>690912</v>
      </c>
      <c r="O47" s="212">
        <f t="shared" si="97"/>
        <v>1348246</v>
      </c>
      <c r="P47" s="212">
        <f t="shared" si="97"/>
        <v>569227.00000000012</v>
      </c>
      <c r="Q47" s="212">
        <f t="shared" si="97"/>
        <v>716731</v>
      </c>
      <c r="R47" s="212">
        <f t="shared" si="97"/>
        <v>1638247.9999999998</v>
      </c>
      <c r="S47" s="212">
        <f t="shared" si="97"/>
        <v>2393840.0648000464</v>
      </c>
      <c r="T47" s="212">
        <f t="shared" si="97"/>
        <v>3072689</v>
      </c>
      <c r="U47" s="212">
        <f t="shared" si="97"/>
        <v>1005577</v>
      </c>
      <c r="V47" s="212">
        <f t="shared" si="97"/>
        <v>70381</v>
      </c>
      <c r="W47" s="212">
        <f t="shared" si="97"/>
        <v>1946176</v>
      </c>
      <c r="X47" s="212">
        <f t="shared" si="97"/>
        <v>602643.00000000012</v>
      </c>
      <c r="Y47" s="212">
        <f t="shared" si="97"/>
        <v>354485</v>
      </c>
      <c r="Z47" s="212">
        <f t="shared" si="97"/>
        <v>935944</v>
      </c>
      <c r="AA47" s="212">
        <f t="shared" si="97"/>
        <v>1454089</v>
      </c>
      <c r="AB47" s="212">
        <f t="shared" si="97"/>
        <v>5347542</v>
      </c>
      <c r="AC47" s="212">
        <f t="shared" si="97"/>
        <v>4563.6481632694595</v>
      </c>
      <c r="AD47" s="212">
        <f t="shared" si="97"/>
        <v>2701226.9999999995</v>
      </c>
      <c r="AE47" s="212">
        <f t="shared" si="97"/>
        <v>6696511</v>
      </c>
      <c r="AF47" s="212">
        <f t="shared" si="97"/>
        <v>588392</v>
      </c>
      <c r="AG47" s="212">
        <f t="shared" si="97"/>
        <v>1835915</v>
      </c>
      <c r="AH47" s="212">
        <f t="shared" si="97"/>
        <v>573552</v>
      </c>
      <c r="AI47" s="212">
        <f t="shared" si="97"/>
        <v>1519934</v>
      </c>
      <c r="AJ47" s="212">
        <f t="shared" si="97"/>
        <v>0</v>
      </c>
      <c r="AK47" s="212">
        <f t="shared" si="97"/>
        <v>710419</v>
      </c>
      <c r="AL47" s="212">
        <f t="shared" si="97"/>
        <v>5164286.9999999991</v>
      </c>
      <c r="AM47" s="212">
        <f t="shared" si="97"/>
        <v>0</v>
      </c>
      <c r="AN47" s="212">
        <f t="shared" si="97"/>
        <v>1214018.0000000002</v>
      </c>
      <c r="AO47" s="212">
        <f t="shared" si="97"/>
        <v>90677.999999999985</v>
      </c>
      <c r="AP47" s="212">
        <f t="shared" si="97"/>
        <v>604643.00000000012</v>
      </c>
      <c r="AQ47" s="212">
        <f t="shared" si="97"/>
        <v>0</v>
      </c>
      <c r="AR47" s="212">
        <f t="shared" si="97"/>
        <v>2421649.9999999995</v>
      </c>
      <c r="AS47" s="212">
        <f t="shared" si="97"/>
        <v>249630</v>
      </c>
      <c r="AT47" s="212">
        <f t="shared" si="97"/>
        <v>5823200</v>
      </c>
      <c r="AU47" s="212">
        <f t="shared" si="97"/>
        <v>32193.372023417171</v>
      </c>
      <c r="AV47" s="212">
        <f t="shared" si="97"/>
        <v>2977634</v>
      </c>
      <c r="AW47" s="212">
        <f t="shared" si="97"/>
        <v>1771192</v>
      </c>
      <c r="AX47" s="212">
        <f t="shared" si="97"/>
        <v>42682</v>
      </c>
      <c r="AY47" s="212">
        <f t="shared" si="97"/>
        <v>23175364.450000003</v>
      </c>
      <c r="AZ47" s="212">
        <f t="shared" si="97"/>
        <v>1358835</v>
      </c>
      <c r="BA47" s="212">
        <f t="shared" si="97"/>
        <v>7905899</v>
      </c>
      <c r="BB47" s="212">
        <f t="shared" si="97"/>
        <v>3830215.0000000009</v>
      </c>
      <c r="BC47" s="212">
        <f t="shared" si="97"/>
        <v>2789074</v>
      </c>
      <c r="BD47" s="212">
        <f t="shared" si="97"/>
        <v>785675</v>
      </c>
      <c r="BE47" s="212">
        <f t="shared" si="97"/>
        <v>721694</v>
      </c>
      <c r="BF47" s="212">
        <f t="shared" si="97"/>
        <v>1740204</v>
      </c>
      <c r="BG47" s="212">
        <f t="shared" si="97"/>
        <v>1298768</v>
      </c>
      <c r="BH47" s="212">
        <f t="shared" si="97"/>
        <v>1081545</v>
      </c>
      <c r="BI47" s="212">
        <f t="shared" si="97"/>
        <v>1931100.0000000002</v>
      </c>
      <c r="BJ47" s="212">
        <f t="shared" si="97"/>
        <v>89065</v>
      </c>
      <c r="BK47" s="212">
        <f t="shared" si="97"/>
        <v>6117001</v>
      </c>
      <c r="BL47" s="212">
        <f t="shared" si="97"/>
        <v>4254899</v>
      </c>
      <c r="BM47" s="212">
        <f t="shared" si="97"/>
        <v>219878</v>
      </c>
      <c r="BN47" s="212">
        <f t="shared" si="97"/>
        <v>1428834</v>
      </c>
      <c r="BO47" s="212">
        <f t="shared" si="97"/>
        <v>2986416</v>
      </c>
      <c r="BP47" s="212">
        <f t="shared" si="97"/>
        <v>6915527.0000000009</v>
      </c>
      <c r="BQ47" s="212">
        <f t="shared" si="97"/>
        <v>156414.00000000003</v>
      </c>
      <c r="BR47" s="212">
        <f t="shared" si="97"/>
        <v>974798.00000000012</v>
      </c>
      <c r="BS47" s="212">
        <f t="shared" si="97"/>
        <v>262729</v>
      </c>
      <c r="BT47" s="212">
        <f t="shared" si="97"/>
        <v>3350520</v>
      </c>
      <c r="BU47" s="212">
        <f t="shared" si="97"/>
        <v>2149900</v>
      </c>
      <c r="BV47" s="212">
        <f t="shared" ref="BV47:CM47" si="98">SUM(BV38:BV46)</f>
        <v>9214087</v>
      </c>
      <c r="BW47" s="212">
        <f t="shared" si="98"/>
        <v>435051</v>
      </c>
      <c r="BX47" s="212">
        <f t="shared" si="98"/>
        <v>304338.34151632333</v>
      </c>
      <c r="BY47" s="212">
        <f t="shared" si="98"/>
        <v>794825.00000000012</v>
      </c>
      <c r="BZ47" s="212">
        <f t="shared" si="98"/>
        <v>75766</v>
      </c>
      <c r="CA47" s="212">
        <f t="shared" si="98"/>
        <v>681984</v>
      </c>
      <c r="CB47" s="212">
        <f t="shared" si="98"/>
        <v>2072421.0000000002</v>
      </c>
      <c r="CC47" s="212">
        <f t="shared" si="98"/>
        <v>373698.76957167021</v>
      </c>
      <c r="CD47" s="212">
        <f t="shared" si="98"/>
        <v>486522.99999999988</v>
      </c>
      <c r="CE47" s="212">
        <f t="shared" si="98"/>
        <v>167689</v>
      </c>
      <c r="CF47" s="212">
        <f t="shared" si="98"/>
        <v>394594</v>
      </c>
      <c r="CG47" s="212">
        <f t="shared" si="98"/>
        <v>322268</v>
      </c>
      <c r="CH47" s="212">
        <f t="shared" si="98"/>
        <v>618158</v>
      </c>
      <c r="CI47" s="212">
        <f t="shared" si="98"/>
        <v>3289.3289765391551</v>
      </c>
      <c r="CJ47" s="212">
        <f t="shared" si="98"/>
        <v>37496.097123780841</v>
      </c>
      <c r="CK47" s="212">
        <f t="shared" si="98"/>
        <v>205.98318038884338</v>
      </c>
      <c r="CL47" s="212">
        <f t="shared" si="98"/>
        <v>0</v>
      </c>
      <c r="CM47" s="212">
        <f t="shared" si="98"/>
        <v>298451</v>
      </c>
      <c r="CN47" s="197"/>
      <c r="CO47" s="192">
        <f t="shared" si="0"/>
        <v>176908526.05535543</v>
      </c>
    </row>
    <row r="48" spans="1:109" s="154" customFormat="1" x14ac:dyDescent="0.3">
      <c r="A48" s="171" t="s">
        <v>198</v>
      </c>
      <c r="B48" s="188">
        <v>1101104.8999999999</v>
      </c>
      <c r="C48" s="188">
        <v>2005094</v>
      </c>
      <c r="D48" s="188">
        <v>620242</v>
      </c>
      <c r="E48" s="188">
        <v>272266</v>
      </c>
      <c r="F48" s="193">
        <v>8869969</v>
      </c>
      <c r="G48" s="188">
        <v>141426</v>
      </c>
      <c r="H48" s="188">
        <v>461783</v>
      </c>
      <c r="I48" s="193">
        <v>4739448</v>
      </c>
      <c r="J48" s="188">
        <v>3576960</v>
      </c>
      <c r="K48" s="188">
        <v>1020766</v>
      </c>
      <c r="L48" s="188">
        <v>1370875</v>
      </c>
      <c r="M48" s="193">
        <v>4742140</v>
      </c>
      <c r="N48" s="188">
        <v>690912</v>
      </c>
      <c r="O48" s="188">
        <v>1348246</v>
      </c>
      <c r="P48" s="188">
        <v>569227</v>
      </c>
      <c r="Q48" s="188">
        <v>716731</v>
      </c>
      <c r="R48" s="188">
        <v>1638248</v>
      </c>
      <c r="S48" s="188">
        <v>1214494</v>
      </c>
      <c r="T48" s="193">
        <v>3072689</v>
      </c>
      <c r="U48" s="188">
        <v>1005557</v>
      </c>
      <c r="V48" s="188">
        <v>70381</v>
      </c>
      <c r="W48" s="193">
        <v>1946176</v>
      </c>
      <c r="X48" s="188">
        <v>602643</v>
      </c>
      <c r="Y48" s="188">
        <v>354485</v>
      </c>
      <c r="Z48" s="188">
        <v>935944</v>
      </c>
      <c r="AA48" s="188">
        <v>1454089</v>
      </c>
      <c r="AB48" s="193">
        <v>5347542</v>
      </c>
      <c r="AC48" s="188">
        <v>440400</v>
      </c>
      <c r="AD48" s="193">
        <v>2701227</v>
      </c>
      <c r="AE48" s="193">
        <v>6696511</v>
      </c>
      <c r="AF48" s="188">
        <v>1653210</v>
      </c>
      <c r="AG48" s="188">
        <v>1835915</v>
      </c>
      <c r="AH48" s="188">
        <v>573552</v>
      </c>
      <c r="AI48" s="188">
        <v>1519934</v>
      </c>
      <c r="AJ48" s="188">
        <v>1273305</v>
      </c>
      <c r="AK48" s="188">
        <v>710419</v>
      </c>
      <c r="AL48" s="193">
        <v>5164287</v>
      </c>
      <c r="AM48" s="188">
        <v>344242</v>
      </c>
      <c r="AN48" s="188">
        <v>1214018</v>
      </c>
      <c r="AO48" s="188">
        <v>90678</v>
      </c>
      <c r="AP48" s="188">
        <v>604643</v>
      </c>
      <c r="AQ48" s="188">
        <v>42602</v>
      </c>
      <c r="AR48" s="188">
        <v>2421650</v>
      </c>
      <c r="AS48" s="188">
        <v>249630</v>
      </c>
      <c r="AT48" s="193">
        <v>5823200</v>
      </c>
      <c r="AU48" s="188">
        <v>2068366</v>
      </c>
      <c r="AV48" s="193">
        <v>2977634</v>
      </c>
      <c r="AW48" s="188">
        <v>1771192</v>
      </c>
      <c r="AX48" s="188">
        <v>42682</v>
      </c>
      <c r="AY48" s="193">
        <v>89727204</v>
      </c>
      <c r="AZ48" s="188">
        <v>1358834.9458333333</v>
      </c>
      <c r="BA48" s="193">
        <v>7905899</v>
      </c>
      <c r="BB48" s="188">
        <v>3830215</v>
      </c>
      <c r="BC48" s="188">
        <v>2789074</v>
      </c>
      <c r="BD48" s="188">
        <v>785675</v>
      </c>
      <c r="BE48" s="188">
        <v>721694</v>
      </c>
      <c r="BF48" s="188">
        <v>1740204</v>
      </c>
      <c r="BG48" s="188">
        <v>1298768</v>
      </c>
      <c r="BH48" s="188">
        <v>1081545</v>
      </c>
      <c r="BI48" s="188">
        <v>1931100</v>
      </c>
      <c r="BJ48" s="188">
        <v>89065</v>
      </c>
      <c r="BK48" s="193">
        <v>6117001</v>
      </c>
      <c r="BL48" s="193">
        <v>4254899</v>
      </c>
      <c r="BM48" s="188">
        <v>219878</v>
      </c>
      <c r="BN48" s="188">
        <v>1428834</v>
      </c>
      <c r="BO48" s="188">
        <v>2986416</v>
      </c>
      <c r="BP48" s="193">
        <v>6915527</v>
      </c>
      <c r="BQ48" s="188">
        <v>156414</v>
      </c>
      <c r="BR48" s="188">
        <v>974798</v>
      </c>
      <c r="BS48" s="188">
        <v>262729</v>
      </c>
      <c r="BT48" s="188">
        <v>3350520</v>
      </c>
      <c r="BU48" s="188">
        <v>2149900</v>
      </c>
      <c r="BV48" s="193">
        <v>9214087</v>
      </c>
      <c r="BW48" s="188">
        <v>435051</v>
      </c>
      <c r="BX48" s="188">
        <v>274619</v>
      </c>
      <c r="BY48" s="188">
        <v>794825</v>
      </c>
      <c r="BZ48" s="188">
        <v>75766</v>
      </c>
      <c r="CA48" s="188">
        <v>681984</v>
      </c>
      <c r="CB48" s="188">
        <v>2072421</v>
      </c>
      <c r="CC48" s="188">
        <v>352197</v>
      </c>
      <c r="CD48" s="188">
        <v>486523</v>
      </c>
      <c r="CE48" s="188">
        <v>167689</v>
      </c>
      <c r="CF48" s="188">
        <v>394594</v>
      </c>
      <c r="CG48" s="188">
        <v>322268</v>
      </c>
      <c r="CH48" s="188">
        <v>618158</v>
      </c>
      <c r="CI48" s="188">
        <v>361390</v>
      </c>
      <c r="CJ48" s="188">
        <v>566988</v>
      </c>
      <c r="CK48" s="188">
        <v>125326</v>
      </c>
      <c r="CL48" s="188">
        <v>571536</v>
      </c>
      <c r="CM48" s="188">
        <v>298451</v>
      </c>
      <c r="CN48" s="188"/>
      <c r="CO48" s="192">
        <f>SUM(B48:CM48)</f>
        <v>249998801.84583333</v>
      </c>
    </row>
    <row r="49" spans="1:93" s="154" customFormat="1" x14ac:dyDescent="0.3">
      <c r="A49" s="171" t="s">
        <v>433</v>
      </c>
      <c r="B49" s="188"/>
      <c r="C49" s="188"/>
      <c r="D49" s="188"/>
      <c r="E49" s="188"/>
      <c r="F49" s="193"/>
      <c r="G49" s="188"/>
      <c r="H49" s="188"/>
      <c r="I49" s="193"/>
      <c r="J49" s="188"/>
      <c r="K49" s="188"/>
      <c r="L49" s="188"/>
      <c r="M49" s="193"/>
      <c r="N49" s="188"/>
      <c r="O49" s="188"/>
      <c r="P49" s="188"/>
      <c r="Q49" s="188"/>
      <c r="R49" s="188"/>
      <c r="S49" s="188"/>
      <c r="T49" s="193"/>
      <c r="U49" s="188"/>
      <c r="V49" s="188"/>
      <c r="W49" s="193"/>
      <c r="X49" s="188"/>
      <c r="Y49" s="188"/>
      <c r="Z49" s="188"/>
      <c r="AA49" s="188"/>
      <c r="AB49" s="193"/>
      <c r="AC49" s="188"/>
      <c r="AD49" s="193"/>
      <c r="AE49" s="193"/>
      <c r="AF49" s="188"/>
      <c r="AG49" s="188"/>
      <c r="AH49" s="188"/>
      <c r="AI49" s="188"/>
      <c r="AJ49" s="188"/>
      <c r="AK49" s="188"/>
      <c r="AL49" s="193"/>
      <c r="AM49" s="188"/>
      <c r="AN49" s="188"/>
      <c r="AO49" s="188"/>
      <c r="AP49" s="188"/>
      <c r="AQ49" s="188"/>
      <c r="AR49" s="188"/>
      <c r="AS49" s="188"/>
      <c r="AT49" s="193"/>
      <c r="AU49" s="188"/>
      <c r="AV49" s="193"/>
      <c r="AW49" s="188"/>
      <c r="AX49" s="188"/>
      <c r="AY49" s="193"/>
      <c r="AZ49" s="188"/>
      <c r="BA49" s="193"/>
      <c r="BB49" s="188"/>
      <c r="BC49" s="188"/>
      <c r="BD49" s="188"/>
      <c r="BE49" s="188"/>
      <c r="BF49" s="188"/>
      <c r="BG49" s="188"/>
      <c r="BH49" s="188"/>
      <c r="BI49" s="188"/>
      <c r="BJ49" s="188"/>
      <c r="BK49" s="193"/>
      <c r="BL49" s="193"/>
      <c r="BM49" s="188"/>
      <c r="BN49" s="188"/>
      <c r="BO49" s="188"/>
      <c r="BP49" s="193"/>
      <c r="BQ49" s="188"/>
      <c r="BR49" s="188"/>
      <c r="BS49" s="188"/>
      <c r="BT49" s="188"/>
      <c r="BU49" s="188"/>
      <c r="BV49" s="193"/>
      <c r="BW49" s="188"/>
      <c r="BX49" s="188"/>
      <c r="BY49" s="188"/>
      <c r="BZ49" s="188"/>
      <c r="CA49" s="188"/>
      <c r="CB49" s="188"/>
      <c r="CC49" s="188"/>
      <c r="CD49" s="188"/>
      <c r="CE49" s="188"/>
      <c r="CF49" s="188"/>
      <c r="CG49" s="188"/>
      <c r="CH49" s="188"/>
      <c r="CI49" s="188"/>
      <c r="CJ49" s="188"/>
      <c r="CK49" s="188"/>
      <c r="CL49" s="188"/>
      <c r="CM49" s="188"/>
      <c r="CN49" s="188"/>
      <c r="CO49" s="192">
        <f>CO48-CO47</f>
        <v>73090275.790477902</v>
      </c>
    </row>
    <row r="50" spans="1:93" x14ac:dyDescent="0.3">
      <c r="A50" s="169"/>
      <c r="B50" s="183"/>
      <c r="C50" s="183"/>
      <c r="D50" s="183"/>
      <c r="E50" s="183"/>
      <c r="F50" s="195"/>
      <c r="G50" s="183"/>
      <c r="H50" s="183"/>
      <c r="I50" s="195"/>
      <c r="J50" s="183"/>
      <c r="K50" s="183"/>
      <c r="L50" s="183"/>
      <c r="M50" s="195"/>
      <c r="N50" s="183"/>
      <c r="O50" s="183"/>
      <c r="P50" s="183"/>
      <c r="Q50" s="183"/>
      <c r="R50" s="183"/>
      <c r="S50" s="183"/>
      <c r="T50" s="195"/>
      <c r="U50" s="183"/>
      <c r="V50" s="183"/>
      <c r="W50" s="195"/>
      <c r="X50" s="183"/>
      <c r="Y50" s="183"/>
      <c r="Z50" s="183"/>
      <c r="AA50" s="183"/>
      <c r="AB50" s="195"/>
      <c r="AC50" s="183"/>
      <c r="AD50" s="195"/>
      <c r="AE50" s="195"/>
      <c r="AF50" s="183"/>
      <c r="AG50" s="183"/>
      <c r="AH50" s="183"/>
      <c r="AI50" s="183"/>
      <c r="AJ50" s="183"/>
      <c r="AK50" s="183"/>
      <c r="AL50" s="195"/>
      <c r="AM50" s="183"/>
      <c r="AN50" s="183"/>
      <c r="AO50" s="183"/>
      <c r="AP50" s="183"/>
      <c r="AQ50" s="183"/>
      <c r="AR50" s="183"/>
      <c r="AS50" s="183"/>
      <c r="AT50" s="195"/>
      <c r="AU50" s="183"/>
      <c r="AV50" s="195"/>
      <c r="AW50" s="183"/>
      <c r="AX50" s="183"/>
      <c r="AY50" s="195"/>
      <c r="AZ50" s="183"/>
      <c r="BA50" s="195"/>
      <c r="BB50" s="183"/>
      <c r="BC50" s="183"/>
      <c r="BD50" s="183"/>
      <c r="BE50" s="183"/>
      <c r="BF50" s="183"/>
      <c r="BG50" s="183"/>
      <c r="BH50" s="183"/>
      <c r="BI50" s="183"/>
      <c r="BJ50" s="183"/>
      <c r="BK50" s="195"/>
      <c r="BL50" s="195"/>
      <c r="BM50" s="183"/>
      <c r="BN50" s="183"/>
      <c r="BO50" s="183"/>
      <c r="BP50" s="195"/>
      <c r="BQ50" s="183"/>
      <c r="BR50" s="183"/>
      <c r="BS50" s="183"/>
      <c r="BT50" s="183"/>
      <c r="BU50" s="183"/>
      <c r="BV50" s="195"/>
      <c r="BW50" s="183"/>
      <c r="BX50" s="183"/>
      <c r="BY50" s="183"/>
      <c r="BZ50" s="183"/>
      <c r="CA50" s="183"/>
      <c r="CB50" s="183"/>
      <c r="CC50" s="183"/>
      <c r="CD50" s="183"/>
      <c r="CE50" s="183"/>
      <c r="CF50" s="183"/>
      <c r="CG50" s="183"/>
      <c r="CH50" s="183"/>
      <c r="CI50" s="183"/>
      <c r="CJ50" s="183"/>
      <c r="CK50" s="183"/>
      <c r="CL50" s="183"/>
      <c r="CM50" s="183"/>
      <c r="CN50" s="183"/>
      <c r="CO50" s="187"/>
    </row>
    <row r="51" spans="1:93" x14ac:dyDescent="0.3">
      <c r="B51" s="202"/>
      <c r="C51" s="202"/>
      <c r="D51" s="202"/>
      <c r="E51" s="202"/>
      <c r="F51" s="202"/>
      <c r="G51" s="202"/>
      <c r="H51" s="202"/>
      <c r="I51" s="202"/>
      <c r="J51" s="202"/>
      <c r="K51" s="202"/>
      <c r="L51" s="202"/>
      <c r="M51" s="202"/>
      <c r="N51" s="202"/>
      <c r="O51" s="202"/>
      <c r="P51" s="202"/>
      <c r="Q51" s="202"/>
      <c r="R51" s="202"/>
      <c r="S51" s="202"/>
      <c r="T51" s="202"/>
      <c r="U51" s="202"/>
      <c r="V51" s="202"/>
      <c r="W51" s="202"/>
      <c r="X51" s="202"/>
      <c r="Y51" s="202"/>
      <c r="Z51" s="202"/>
      <c r="AA51" s="202"/>
      <c r="AB51" s="202"/>
      <c r="AC51" s="202"/>
      <c r="AD51" s="202"/>
      <c r="AE51" s="202"/>
      <c r="AF51" s="202"/>
      <c r="AG51" s="202"/>
      <c r="AH51" s="202"/>
      <c r="AI51" s="202"/>
      <c r="AJ51" s="202"/>
      <c r="AK51" s="202"/>
      <c r="AL51" s="202"/>
      <c r="AM51" s="202"/>
      <c r="AN51" s="202"/>
      <c r="AO51" s="202"/>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2"/>
      <c r="BQ51" s="202"/>
      <c r="BR51" s="202"/>
      <c r="BS51" s="202"/>
      <c r="BT51" s="202"/>
      <c r="BU51" s="202"/>
      <c r="BV51" s="202"/>
      <c r="BW51" s="202"/>
      <c r="BX51" s="202"/>
      <c r="BY51" s="202"/>
      <c r="BZ51" s="202"/>
      <c r="CA51" s="202"/>
      <c r="CB51" s="202"/>
      <c r="CC51" s="202"/>
      <c r="CD51" s="202"/>
      <c r="CE51" s="202"/>
      <c r="CF51" s="202"/>
      <c r="CG51" s="202"/>
      <c r="CH51" s="202"/>
      <c r="CI51" s="202"/>
      <c r="CJ51" s="202"/>
      <c r="CK51" s="202"/>
      <c r="CL51" s="202"/>
      <c r="CM51" s="202"/>
      <c r="CN51" s="202"/>
      <c r="CO51" s="187"/>
    </row>
    <row r="52" spans="1:93" s="156" customFormat="1" ht="15" customHeight="1" x14ac:dyDescent="0.3">
      <c r="A52" s="178" t="s">
        <v>410</v>
      </c>
      <c r="B52" s="213">
        <f>B10-B14</f>
        <v>471902.10000000009</v>
      </c>
      <c r="C52" s="213">
        <f t="shared" ref="C52:BN52" si="99">C10-C14</f>
        <v>2418910</v>
      </c>
      <c r="D52" s="213">
        <f t="shared" si="99"/>
        <v>587408</v>
      </c>
      <c r="E52" s="213">
        <f t="shared" si="99"/>
        <v>577887</v>
      </c>
      <c r="F52" s="213">
        <f t="shared" si="99"/>
        <v>6420526</v>
      </c>
      <c r="G52" s="213">
        <f t="shared" si="99"/>
        <v>208494</v>
      </c>
      <c r="H52" s="213">
        <f t="shared" si="99"/>
        <v>572422</v>
      </c>
      <c r="I52" s="213">
        <f t="shared" si="99"/>
        <v>2898443</v>
      </c>
      <c r="J52" s="213">
        <f t="shared" si="99"/>
        <v>2384640</v>
      </c>
      <c r="K52" s="213">
        <f t="shared" si="99"/>
        <v>1769237</v>
      </c>
      <c r="L52" s="213">
        <f t="shared" si="99"/>
        <v>902231</v>
      </c>
      <c r="M52" s="213">
        <f t="shared" si="99"/>
        <v>2427236</v>
      </c>
      <c r="N52" s="213">
        <f t="shared" si="99"/>
        <v>750043</v>
      </c>
      <c r="O52" s="213">
        <f t="shared" si="99"/>
        <v>1883406</v>
      </c>
      <c r="P52" s="213">
        <f t="shared" si="99"/>
        <v>449592</v>
      </c>
      <c r="Q52" s="213">
        <f t="shared" si="99"/>
        <v>468135</v>
      </c>
      <c r="R52" s="213">
        <f t="shared" si="99"/>
        <v>724692</v>
      </c>
      <c r="S52" s="213">
        <f t="shared" si="99"/>
        <v>2121443</v>
      </c>
      <c r="T52" s="213">
        <f t="shared" si="99"/>
        <v>2634624</v>
      </c>
      <c r="U52" s="213">
        <f t="shared" si="99"/>
        <v>1184565</v>
      </c>
      <c r="V52" s="213">
        <f t="shared" si="99"/>
        <v>30160</v>
      </c>
      <c r="W52" s="213">
        <f t="shared" si="99"/>
        <v>2154750</v>
      </c>
      <c r="X52" s="213">
        <f t="shared" si="99"/>
        <v>372336</v>
      </c>
      <c r="Y52" s="213">
        <f t="shared" si="99"/>
        <v>168789</v>
      </c>
      <c r="Z52" s="213">
        <f t="shared" si="99"/>
        <v>362493</v>
      </c>
      <c r="AA52" s="213">
        <f t="shared" si="99"/>
        <v>1053234</v>
      </c>
      <c r="AB52" s="213">
        <f t="shared" si="99"/>
        <v>5884451</v>
      </c>
      <c r="AC52" s="213">
        <f t="shared" si="99"/>
        <v>595599.99999999988</v>
      </c>
      <c r="AD52" s="213">
        <f t="shared" si="99"/>
        <v>4021718</v>
      </c>
      <c r="AE52" s="213">
        <f t="shared" si="99"/>
        <v>3219180</v>
      </c>
      <c r="AF52" s="213">
        <f t="shared" si="99"/>
        <v>1973026</v>
      </c>
      <c r="AG52" s="213">
        <f t="shared" si="99"/>
        <v>2685674</v>
      </c>
      <c r="AH52" s="213">
        <f t="shared" si="99"/>
        <v>466188</v>
      </c>
      <c r="AI52" s="213">
        <f t="shared" si="99"/>
        <v>628467</v>
      </c>
      <c r="AJ52" s="213">
        <f t="shared" si="99"/>
        <v>1031635</v>
      </c>
      <c r="AK52" s="213">
        <f t="shared" si="99"/>
        <v>553563</v>
      </c>
      <c r="AL52" s="213">
        <f t="shared" si="99"/>
        <v>1722408</v>
      </c>
      <c r="AM52" s="213">
        <f t="shared" si="99"/>
        <v>238254</v>
      </c>
      <c r="AN52" s="213">
        <f t="shared" si="99"/>
        <v>1067533</v>
      </c>
      <c r="AO52" s="213">
        <f t="shared" si="99"/>
        <v>63017</v>
      </c>
      <c r="AP52" s="213">
        <f t="shared" si="99"/>
        <v>455419</v>
      </c>
      <c r="AQ52" s="213">
        <f t="shared" si="99"/>
        <v>22370</v>
      </c>
      <c r="AR52" s="213">
        <f t="shared" si="99"/>
        <v>579601</v>
      </c>
      <c r="AS52" s="213">
        <f t="shared" si="99"/>
        <v>232291</v>
      </c>
      <c r="AT52" s="213">
        <f t="shared" si="99"/>
        <v>6672275</v>
      </c>
      <c r="AU52" s="213">
        <f t="shared" si="99"/>
        <v>674325</v>
      </c>
      <c r="AV52" s="213">
        <f t="shared" si="99"/>
        <v>2712529</v>
      </c>
      <c r="AW52" s="213">
        <f t="shared" si="99"/>
        <v>443648</v>
      </c>
      <c r="AX52" s="213">
        <f t="shared" si="99"/>
        <v>40851</v>
      </c>
      <c r="AY52" s="213">
        <f t="shared" si="99"/>
        <v>103915593</v>
      </c>
      <c r="AZ52" s="213">
        <f t="shared" si="99"/>
        <v>2515233.0541666667</v>
      </c>
      <c r="BA52" s="213">
        <f t="shared" si="99"/>
        <v>3631296</v>
      </c>
      <c r="BB52" s="213">
        <f t="shared" si="99"/>
        <v>4411974</v>
      </c>
      <c r="BC52" s="213">
        <f t="shared" si="99"/>
        <v>1872176</v>
      </c>
      <c r="BD52" s="213">
        <f t="shared" si="99"/>
        <v>97230</v>
      </c>
      <c r="BE52" s="213">
        <f t="shared" si="99"/>
        <v>435886</v>
      </c>
      <c r="BF52" s="213">
        <f t="shared" si="99"/>
        <v>1018246</v>
      </c>
      <c r="BG52" s="213">
        <f t="shared" si="99"/>
        <v>2402005</v>
      </c>
      <c r="BH52" s="213">
        <f t="shared" si="99"/>
        <v>1108455</v>
      </c>
      <c r="BI52" s="213">
        <f t="shared" si="99"/>
        <v>1253287</v>
      </c>
      <c r="BJ52" s="213">
        <f t="shared" si="99"/>
        <v>51207</v>
      </c>
      <c r="BK52" s="213">
        <f t="shared" si="99"/>
        <v>1284709</v>
      </c>
      <c r="BL52" s="213">
        <f t="shared" si="99"/>
        <v>4010596</v>
      </c>
      <c r="BM52" s="213">
        <f t="shared" si="99"/>
        <v>137922</v>
      </c>
      <c r="BN52" s="213">
        <f t="shared" si="99"/>
        <v>1018385</v>
      </c>
      <c r="BO52" s="213">
        <f t="shared" ref="BO52:CM52" si="100">BO10-BO14</f>
        <v>2474384</v>
      </c>
      <c r="BP52" s="213">
        <f t="shared" si="100"/>
        <v>3831708</v>
      </c>
      <c r="BQ52" s="213">
        <f t="shared" si="100"/>
        <v>227616</v>
      </c>
      <c r="BR52" s="213">
        <f t="shared" si="100"/>
        <v>2249205</v>
      </c>
      <c r="BS52" s="213">
        <f t="shared" si="100"/>
        <v>87718</v>
      </c>
      <c r="BT52" s="213">
        <f t="shared" si="100"/>
        <v>2415485</v>
      </c>
      <c r="BU52" s="213">
        <f t="shared" si="100"/>
        <v>878140</v>
      </c>
      <c r="BV52" s="213">
        <f t="shared" si="100"/>
        <v>3958120</v>
      </c>
      <c r="BW52" s="213">
        <f t="shared" si="100"/>
        <v>1450536</v>
      </c>
      <c r="BX52" s="213">
        <f t="shared" si="100"/>
        <v>114773</v>
      </c>
      <c r="BY52" s="213">
        <f t="shared" si="100"/>
        <v>374034</v>
      </c>
      <c r="BZ52" s="213">
        <f t="shared" si="100"/>
        <v>167260</v>
      </c>
      <c r="CA52" s="213">
        <f t="shared" si="100"/>
        <v>403382</v>
      </c>
      <c r="CB52" s="213">
        <f t="shared" si="100"/>
        <v>1094770</v>
      </c>
      <c r="CC52" s="213">
        <f t="shared" si="100"/>
        <v>248366</v>
      </c>
      <c r="CD52" s="213">
        <f t="shared" si="100"/>
        <v>161933</v>
      </c>
      <c r="CE52" s="213">
        <f t="shared" si="100"/>
        <v>102011</v>
      </c>
      <c r="CF52" s="213">
        <f t="shared" si="100"/>
        <v>344414</v>
      </c>
      <c r="CG52" s="213">
        <f t="shared" si="100"/>
        <v>299022</v>
      </c>
      <c r="CH52" s="213">
        <f t="shared" si="100"/>
        <v>216675</v>
      </c>
      <c r="CI52" s="213">
        <f t="shared" si="100"/>
        <v>286610</v>
      </c>
      <c r="CJ52" s="213">
        <f t="shared" si="100"/>
        <v>1341012</v>
      </c>
      <c r="CK52" s="213">
        <f t="shared" si="100"/>
        <v>11492</v>
      </c>
      <c r="CL52" s="213">
        <f t="shared" si="100"/>
        <v>0</v>
      </c>
      <c r="CM52" s="213">
        <f t="shared" si="100"/>
        <v>160914</v>
      </c>
      <c r="CN52" s="197"/>
      <c r="CO52" s="192">
        <f t="shared" si="0"/>
        <v>224045401.15416667</v>
      </c>
    </row>
    <row r="53" spans="1:93" ht="15" customHeight="1" x14ac:dyDescent="0.3">
      <c r="B53" s="202"/>
      <c r="C53" s="202"/>
      <c r="D53" s="202"/>
      <c r="E53" s="202"/>
      <c r="F53" s="202"/>
      <c r="G53" s="202"/>
      <c r="H53" s="202"/>
      <c r="I53" s="202"/>
      <c r="J53" s="202"/>
      <c r="K53" s="202"/>
      <c r="L53" s="202"/>
      <c r="M53" s="202"/>
      <c r="N53" s="202"/>
      <c r="O53" s="202"/>
      <c r="P53" s="202"/>
      <c r="Q53" s="202"/>
      <c r="R53" s="202"/>
      <c r="S53" s="202"/>
      <c r="T53" s="202"/>
      <c r="U53" s="202"/>
      <c r="V53" s="202"/>
      <c r="W53" s="202"/>
      <c r="X53" s="202"/>
      <c r="Y53" s="202"/>
      <c r="Z53" s="202"/>
      <c r="AA53" s="202"/>
      <c r="AB53" s="202"/>
      <c r="AC53" s="202"/>
      <c r="AD53" s="202"/>
      <c r="AE53" s="202"/>
      <c r="AF53" s="202"/>
      <c r="AG53" s="202"/>
      <c r="AH53" s="202"/>
      <c r="AI53" s="202"/>
      <c r="AJ53" s="202"/>
      <c r="AK53" s="202"/>
      <c r="AL53" s="202"/>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2"/>
      <c r="BQ53" s="202"/>
      <c r="BR53" s="202"/>
      <c r="BS53" s="202"/>
      <c r="BT53" s="202"/>
      <c r="BU53" s="202"/>
      <c r="BV53" s="202"/>
      <c r="BW53" s="202"/>
      <c r="BX53" s="202"/>
      <c r="BY53" s="202"/>
      <c r="BZ53" s="202"/>
      <c r="CA53" s="202"/>
      <c r="CB53" s="202"/>
      <c r="CC53" s="202"/>
      <c r="CD53" s="202"/>
      <c r="CE53" s="202"/>
      <c r="CF53" s="202"/>
      <c r="CG53" s="202"/>
      <c r="CH53" s="202"/>
      <c r="CI53" s="202"/>
      <c r="CJ53" s="202"/>
      <c r="CK53" s="202"/>
      <c r="CL53" s="202"/>
      <c r="CM53" s="202"/>
      <c r="CN53" s="202"/>
      <c r="CO53" s="187"/>
    </row>
    <row r="54" spans="1:93" x14ac:dyDescent="0.3">
      <c r="A54" s="169" t="s">
        <v>412</v>
      </c>
      <c r="B54" s="202"/>
      <c r="C54" s="202"/>
      <c r="D54" s="202"/>
      <c r="E54" s="202"/>
      <c r="F54" s="202"/>
      <c r="G54" s="202"/>
      <c r="H54" s="202"/>
      <c r="I54" s="202"/>
      <c r="J54" s="202"/>
      <c r="K54" s="202"/>
      <c r="L54" s="202"/>
      <c r="M54" s="202"/>
      <c r="N54" s="202"/>
      <c r="O54" s="202"/>
      <c r="P54" s="202"/>
      <c r="Q54" s="202"/>
      <c r="R54" s="202"/>
      <c r="S54" s="202"/>
      <c r="T54" s="202"/>
      <c r="U54" s="202"/>
      <c r="V54" s="202"/>
      <c r="W54" s="202"/>
      <c r="X54" s="202"/>
      <c r="Y54" s="202"/>
      <c r="Z54" s="202"/>
      <c r="AA54" s="202"/>
      <c r="AB54" s="202"/>
      <c r="AC54" s="202"/>
      <c r="AD54" s="202"/>
      <c r="AE54" s="202"/>
      <c r="AF54" s="202"/>
      <c r="AG54" s="202"/>
      <c r="AH54" s="202"/>
      <c r="AI54" s="202"/>
      <c r="AJ54" s="202"/>
      <c r="AK54" s="202"/>
      <c r="AL54" s="202"/>
      <c r="AM54" s="202"/>
      <c r="AN54" s="202"/>
      <c r="AO54" s="202"/>
      <c r="AP54" s="202"/>
      <c r="AQ54" s="202"/>
      <c r="AR54" s="202"/>
      <c r="AS54" s="202"/>
      <c r="AT54" s="202"/>
      <c r="AU54" s="202"/>
      <c r="AV54" s="202"/>
      <c r="AW54" s="202"/>
      <c r="AX54" s="202"/>
      <c r="AY54" s="202"/>
      <c r="AZ54" s="202"/>
      <c r="BA54" s="202"/>
      <c r="BB54" s="202"/>
      <c r="BC54" s="202"/>
      <c r="BD54" s="202"/>
      <c r="BE54" s="202"/>
      <c r="BF54" s="202"/>
      <c r="BG54" s="202"/>
      <c r="BH54" s="202"/>
      <c r="BI54" s="202"/>
      <c r="BJ54" s="202"/>
      <c r="BK54" s="202"/>
      <c r="BL54" s="202"/>
      <c r="BM54" s="202"/>
      <c r="BN54" s="202"/>
      <c r="BO54" s="202"/>
      <c r="BP54" s="202"/>
      <c r="BQ54" s="202"/>
      <c r="BR54" s="202"/>
      <c r="BS54" s="202"/>
      <c r="BT54" s="202"/>
      <c r="BU54" s="202"/>
      <c r="BV54" s="202"/>
      <c r="BW54" s="202"/>
      <c r="BX54" s="202"/>
      <c r="BY54" s="202"/>
      <c r="BZ54" s="202"/>
      <c r="CA54" s="202"/>
      <c r="CB54" s="202"/>
      <c r="CC54" s="202"/>
      <c r="CD54" s="202"/>
      <c r="CE54" s="202"/>
      <c r="CF54" s="202"/>
      <c r="CG54" s="202"/>
      <c r="CH54" s="202"/>
      <c r="CI54" s="202"/>
      <c r="CJ54" s="202"/>
      <c r="CK54" s="202"/>
      <c r="CL54" s="202"/>
      <c r="CM54" s="202"/>
      <c r="CN54" s="202"/>
      <c r="CO54" s="187"/>
    </row>
    <row r="55" spans="1:93" x14ac:dyDescent="0.3">
      <c r="A55" s="168" t="s">
        <v>206</v>
      </c>
      <c r="B55" s="214">
        <f>B38/B47</f>
        <v>0.33048162586161828</v>
      </c>
      <c r="C55" s="214">
        <f t="shared" ref="C55:C63" si="101">C38/$C$47</f>
        <v>0.33048162586161817</v>
      </c>
      <c r="D55" s="214">
        <f t="shared" ref="D55:D63" si="102">D38/$D$47</f>
        <v>0.89243708828248169</v>
      </c>
      <c r="E55" s="214">
        <f t="shared" ref="E55:E63" si="103">E38/$E$47</f>
        <v>0.47999750244246436</v>
      </c>
      <c r="F55" s="214">
        <f t="shared" ref="F55:F63" si="104">F38/$F$47</f>
        <v>0.77971086606592577</v>
      </c>
      <c r="G55" s="214" t="e">
        <f t="shared" ref="G55:AQ55" si="105">G38/G47</f>
        <v>#DIV/0!</v>
      </c>
      <c r="H55" s="214">
        <f t="shared" ref="H55:H63" si="106">H38/$H$47</f>
        <v>0.45179878860850226</v>
      </c>
      <c r="I55" s="214">
        <f t="shared" ref="I55:I63" si="107">I38/$I$47</f>
        <v>0.71180019453729937</v>
      </c>
      <c r="J55" s="214">
        <f t="shared" ref="J55:J63" si="108">J38/$J$47</f>
        <v>0.37000080058732449</v>
      </c>
      <c r="K55" s="214">
        <f t="shared" ref="K55:K63" si="109">K38/$K$47</f>
        <v>0.69429947900113753</v>
      </c>
      <c r="L55" s="214">
        <f t="shared" ref="L55:L63" si="110">L38/$L$47</f>
        <v>0.5600004813107945</v>
      </c>
      <c r="M55" s="214">
        <f t="shared" ref="M55:M63" si="111">M38/$M$47</f>
        <v>0.95824415420221998</v>
      </c>
      <c r="N55" s="214">
        <f t="shared" ref="N55:N63" si="112">N38/$N$47</f>
        <v>0.73462032791440879</v>
      </c>
      <c r="O55" s="214">
        <f t="shared" ref="O55:O63" si="113">O38/$O$47</f>
        <v>0.39006864443301542</v>
      </c>
      <c r="P55" s="214">
        <f t="shared" ref="P55:P63" si="114">P38/$P$47</f>
        <v>0.87581964724811012</v>
      </c>
      <c r="Q55" s="214">
        <f t="shared" ref="Q55:Q63" si="115">Q38/$Q$47</f>
        <v>0.44999969543580093</v>
      </c>
      <c r="R55" s="214">
        <f t="shared" ref="R55:R63" si="116">R38/$R$47</f>
        <v>0.8884869218928102</v>
      </c>
      <c r="S55" s="214">
        <f t="shared" ref="S55:S63" si="117">S38/$S$47</f>
        <v>0.64922757955164878</v>
      </c>
      <c r="T55" s="214">
        <f t="shared" ref="T55:T63" si="118">T38/$T$47</f>
        <v>0.34157637718868394</v>
      </c>
      <c r="U55" s="214">
        <f t="shared" ref="U55:U63" si="119">U38/$U$47</f>
        <v>0.33200043358191367</v>
      </c>
      <c r="V55" s="214">
        <f t="shared" ref="V55:V63" si="120">V38/$V$47</f>
        <v>0.14999695697157811</v>
      </c>
      <c r="W55" s="214">
        <f t="shared" ref="W55:W63" si="121">W38/$W$47</f>
        <v>0.83604339184811594</v>
      </c>
      <c r="X55" s="214">
        <f t="shared" ref="X55:X63" si="122">X38/$X$47</f>
        <v>0.35989448008908209</v>
      </c>
      <c r="Y55" s="214">
        <f t="shared" ref="Y55:Y63" si="123">Y38/$Y$47</f>
        <v>0.70000141049691811</v>
      </c>
      <c r="Z55" s="214">
        <f t="shared" ref="Z55:Z63" si="124">Z38/$Z$47</f>
        <v>0.47967238832210424</v>
      </c>
      <c r="AA55" s="214">
        <f t="shared" ref="AA55:AA63" si="125">AA38/$AA$47</f>
        <v>0.40599715698282568</v>
      </c>
      <c r="AB55" s="214">
        <f t="shared" ref="AB55:AB63" si="126">AB38/$AB$47</f>
        <v>0.7524515659410812</v>
      </c>
      <c r="AC55" s="214">
        <f t="shared" ref="AC55:AC63" si="127">AC38/$AC$47</f>
        <v>0.51361915451884521</v>
      </c>
      <c r="AD55" s="214">
        <f t="shared" ref="AD55:AD63" si="128">AD38/$AD$47</f>
        <v>0.81640327150436243</v>
      </c>
      <c r="AE55" s="214">
        <f t="shared" ref="AE55:AE63" si="129">AE38/$AE$47</f>
        <v>0.48332573369051662</v>
      </c>
      <c r="AF55" s="214">
        <f t="shared" ref="AF55:AF63" si="130">AF38/$AF$47</f>
        <v>0.40592616099978956</v>
      </c>
      <c r="AG55" s="214">
        <f t="shared" ref="AG55:AG63" si="131">AG38/$AG$47</f>
        <v>0.83884273336291404</v>
      </c>
      <c r="AH55" s="214">
        <f t="shared" ref="AH55:AH63" si="132">AH38/$AH$47</f>
        <v>0.91589928189682079</v>
      </c>
      <c r="AI55" s="214">
        <f t="shared" ref="AI55:AI63" si="133">AI38/$AI$47</f>
        <v>0.71372647406144962</v>
      </c>
      <c r="AJ55" s="214" t="e">
        <f t="shared" si="105"/>
        <v>#DIV/0!</v>
      </c>
      <c r="AK55" s="214">
        <f t="shared" ref="AK55:AK63" si="134">AK38/$AK$47</f>
        <v>0.16780124457854045</v>
      </c>
      <c r="AL55" s="214">
        <f t="shared" ref="AL55:AL63" si="135">AL38/$AL$47</f>
        <v>0.72870772522711225</v>
      </c>
      <c r="AM55" s="214" t="e">
        <f t="shared" si="105"/>
        <v>#DIV/0!</v>
      </c>
      <c r="AN55" s="214">
        <f t="shared" ref="AN55:AN63" si="136">AN38/$AN$47</f>
        <v>0.68605666819952527</v>
      </c>
      <c r="AO55" s="214">
        <f t="shared" ref="AO55:AO63" si="137">AO38/$AO$47</f>
        <v>0.70218696174121831</v>
      </c>
      <c r="AP55" s="214">
        <f t="shared" ref="AP55:AP63" si="138">AP38/$AP$47</f>
        <v>0.29935292033398109</v>
      </c>
      <c r="AQ55" s="214" t="e">
        <f t="shared" si="105"/>
        <v>#DIV/0!</v>
      </c>
      <c r="AR55" s="214">
        <f t="shared" ref="AR55:AR63" si="139">AR38/$AR$47</f>
        <v>0.79211932645881478</v>
      </c>
      <c r="AS55" s="214">
        <f t="shared" ref="AS55:AS63" si="140">AS38/$AS$47</f>
        <v>0.74668272388876722</v>
      </c>
      <c r="AT55" s="214">
        <f t="shared" ref="AT55:AT63" si="141">AT38/$AT$47</f>
        <v>0.47175047888668947</v>
      </c>
      <c r="AU55" s="214">
        <f t="shared" ref="AU55:AU63" si="142">AU38/$AU$47</f>
        <v>0.56850074311597587</v>
      </c>
      <c r="AV55" s="214">
        <f t="shared" ref="AV55:AV63" si="143">AV38/$AV$47</f>
        <v>0.72004013925149968</v>
      </c>
      <c r="AW55" s="214">
        <f t="shared" ref="AW55:AW63" si="144">AW38/$AW$47</f>
        <v>0.80000022583661168</v>
      </c>
      <c r="AX55" s="214">
        <f t="shared" ref="AX55:AX63" si="145">AX38/$AX$47</f>
        <v>0.21578182840541679</v>
      </c>
      <c r="AY55" s="214">
        <f t="shared" ref="AY55:AY63" si="146">AY38/$AY$47</f>
        <v>0.46716115973479255</v>
      </c>
      <c r="AZ55" s="214">
        <f t="shared" ref="AZ55:AZ63" si="147">AZ38/$AZ$47</f>
        <v>0.56017715819471758</v>
      </c>
      <c r="BA55" s="214">
        <f t="shared" ref="BA55:BA63" si="148">BA38/$BA$47</f>
        <v>0.51449563646547092</v>
      </c>
      <c r="BB55" s="214">
        <f t="shared" ref="BB55:BB63" si="149">BB38/$BB$47</f>
        <v>0.1549820946908024</v>
      </c>
      <c r="BC55" s="214">
        <f t="shared" ref="BC55:BC63" si="150">BC38/$BC$47</f>
        <v>0.63811616209813682</v>
      </c>
      <c r="BD55" s="214">
        <f t="shared" ref="BD55:BD63" si="151">BD38/$BD$47</f>
        <v>0.57927132720272378</v>
      </c>
      <c r="BE55" s="214">
        <f t="shared" ref="BE55:BE63" si="152">BE38/$BE$47</f>
        <v>0.83775481072938429</v>
      </c>
      <c r="BF55" s="214">
        <f t="shared" ref="BF55:BF63" si="153">BF38/$BF$47</f>
        <v>0.38276303600978484</v>
      </c>
      <c r="BG55" s="214">
        <f t="shared" ref="BG55:BG63" si="154">BG38/$BG$47</f>
        <v>0.50000068379154206</v>
      </c>
      <c r="BH55" s="214">
        <f t="shared" ref="BH55:BH63" si="155">BH38/$BH$47</f>
        <v>0.64285684728004033</v>
      </c>
      <c r="BI55" s="214">
        <f t="shared" ref="BI55:BI63" si="156">BI38/$BI$47</f>
        <v>0.54621909667898416</v>
      </c>
      <c r="BJ55" s="214">
        <f t="shared" ref="BJ55:BJ63" si="157">BJ38/$BJ$47</f>
        <v>0.70392410037612985</v>
      </c>
      <c r="BK55" s="214">
        <f t="shared" ref="BK55:BK63" si="158">BK38/$BK$47</f>
        <v>0.37462466950878709</v>
      </c>
      <c r="BL55" s="214">
        <f t="shared" ref="BL55:BL63" si="159">BL38/$BL$47</f>
        <v>0.72637418722527314</v>
      </c>
      <c r="BM55" s="214">
        <f t="shared" ref="BM55:BM63" si="160">BM38/$BM$47</f>
        <v>0.19711930602335642</v>
      </c>
      <c r="BN55" s="214">
        <f t="shared" ref="BN55:BN63" si="161">BN38/$BN$47</f>
        <v>0.26722953462465893</v>
      </c>
      <c r="BO55" s="214">
        <f t="shared" ref="BO55:BO63" si="162">BO38/$BO$47</f>
        <v>0.85645174559132076</v>
      </c>
      <c r="BP55" s="214">
        <f t="shared" ref="BP55:BP63" si="163">BP38/$BP$47</f>
        <v>0.64582840855573409</v>
      </c>
      <c r="BQ55" s="214">
        <f t="shared" ref="BQ55:BQ63" si="164">BQ38/$BQ$47</f>
        <v>0.84199751113965704</v>
      </c>
      <c r="BR55" s="214">
        <f t="shared" ref="BR55:BR63" si="165">BR38/$BR$47</f>
        <v>0.55279046203427207</v>
      </c>
      <c r="BS55" s="214">
        <f t="shared" ref="BS55:BS63" si="166">BS38/$BS$47</f>
        <v>0.83366891359537776</v>
      </c>
      <c r="BT55" s="214">
        <f t="shared" ref="BT55:BT63" si="167">BT38/$BT$47</f>
        <v>0.77455200983727901</v>
      </c>
      <c r="BU55" s="214">
        <f t="shared" ref="BU55:BU63" si="168">BU38/$BU$47</f>
        <v>0.94616168193869488</v>
      </c>
      <c r="BV55" s="214">
        <f t="shared" ref="BV55:BV63" si="169">BV38/$BV$47</f>
        <v>0.61731717257996377</v>
      </c>
      <c r="BW55" s="214">
        <f t="shared" ref="BW55:BW63" si="170">BW38/$BW$47</f>
        <v>0.8362150708515429</v>
      </c>
      <c r="BX55" s="214">
        <f t="shared" ref="BX55:BX63" si="171">BX38/$BX$47</f>
        <v>0.21662958505063765</v>
      </c>
      <c r="BY55" s="214">
        <f t="shared" ref="BY55:BY63" si="172">BY38/$BY$47</f>
        <v>0.42914421092371863</v>
      </c>
      <c r="BZ55" s="214">
        <f t="shared" ref="BZ55:BZ63" si="173">BZ38/$BZ$47</f>
        <v>0.38044415696420869</v>
      </c>
      <c r="CA55" s="214">
        <f t="shared" ref="CA55:CA63" si="174">CA38/$CA$47</f>
        <v>0.36183192898769279</v>
      </c>
      <c r="CB55" s="214">
        <f t="shared" ref="CB55:CB63" si="175">CB38/$CB$47</f>
        <v>0.54813023519241666</v>
      </c>
      <c r="CC55" s="214">
        <f t="shared" ref="CC55:CC63" si="176">CC38/$CC$47</f>
        <v>0.69448922689561066</v>
      </c>
      <c r="CD55" s="214">
        <f t="shared" ref="CD55:CD63" si="177">CD38/$CD$47</f>
        <v>0.98014639912822832</v>
      </c>
      <c r="CE55" s="214">
        <f t="shared" ref="CE55:CE63" si="178">CE38/$CE$47</f>
        <v>0.49515056912850558</v>
      </c>
      <c r="CF55" s="214">
        <f t="shared" ref="CF55:CF63" si="179">CF38/$CF$47</f>
        <v>0.88947627181356026</v>
      </c>
      <c r="CG55" s="214">
        <f t="shared" ref="CG55:CG63" si="180">CG38/$CG$47</f>
        <v>0.70899685975647597</v>
      </c>
      <c r="CH55" s="214">
        <f t="shared" ref="CH55:CH63" si="181">CH38/$CH$47</f>
        <v>0.98735756441585898</v>
      </c>
      <c r="CI55" s="214">
        <f t="shared" ref="CI55:CI63" si="182">CI38/$CI$47</f>
        <v>0.14999807608444707</v>
      </c>
      <c r="CJ55" s="214">
        <f t="shared" ref="CJ55:CJ63" si="183">CJ38/$CJ$47</f>
        <v>0.79999995281516789</v>
      </c>
      <c r="CK55" s="214">
        <f t="shared" ref="CK55:CK63" si="184">CK38/$CK$47</f>
        <v>0.17999807140618598</v>
      </c>
      <c r="CL55" s="214" t="e">
        <f t="shared" ref="CL55" si="185">CL38/CL47</f>
        <v>#DIV/0!</v>
      </c>
      <c r="CM55" s="214">
        <f t="shared" ref="CM55:CM63" si="186">CM38/$CM$47</f>
        <v>0.16735169706297057</v>
      </c>
      <c r="CN55" s="202"/>
      <c r="CO55" s="187"/>
    </row>
    <row r="56" spans="1:93" x14ac:dyDescent="0.3">
      <c r="A56" s="168" t="s">
        <v>207</v>
      </c>
      <c r="B56" s="214">
        <f t="shared" ref="B56:B63" si="187">B39/$B$47</f>
        <v>0</v>
      </c>
      <c r="C56" s="214">
        <f t="shared" si="101"/>
        <v>0</v>
      </c>
      <c r="D56" s="214">
        <f t="shared" si="102"/>
        <v>0</v>
      </c>
      <c r="E56" s="214">
        <f t="shared" si="103"/>
        <v>0</v>
      </c>
      <c r="F56" s="214">
        <f t="shared" si="104"/>
        <v>4.12979970756862E-3</v>
      </c>
      <c r="G56" s="208"/>
      <c r="H56" s="214">
        <f t="shared" si="106"/>
        <v>0.22683814692182258</v>
      </c>
      <c r="I56" s="214">
        <f t="shared" si="107"/>
        <v>0</v>
      </c>
      <c r="J56" s="214">
        <f t="shared" si="108"/>
        <v>7.0000289574138647E-2</v>
      </c>
      <c r="K56" s="214">
        <f t="shared" si="109"/>
        <v>0</v>
      </c>
      <c r="L56" s="214">
        <f t="shared" si="110"/>
        <v>0</v>
      </c>
      <c r="M56" s="214">
        <f t="shared" si="111"/>
        <v>0</v>
      </c>
      <c r="N56" s="214">
        <f t="shared" si="112"/>
        <v>4.5163494048446114E-2</v>
      </c>
      <c r="O56" s="214">
        <f t="shared" si="113"/>
        <v>0.23571452034941442</v>
      </c>
      <c r="P56" s="214">
        <f t="shared" si="114"/>
        <v>0</v>
      </c>
      <c r="Q56" s="214">
        <f t="shared" si="115"/>
        <v>0.14999939087160183</v>
      </c>
      <c r="R56" s="214">
        <f t="shared" si="116"/>
        <v>0</v>
      </c>
      <c r="S56" s="214">
        <f t="shared" si="117"/>
        <v>3.7332419921382899E-2</v>
      </c>
      <c r="T56" s="214">
        <f t="shared" si="118"/>
        <v>0.44407891815700484</v>
      </c>
      <c r="U56" s="214">
        <f t="shared" si="119"/>
        <v>0.45200218382083124</v>
      </c>
      <c r="V56" s="214">
        <f t="shared" si="120"/>
        <v>0.16000243442273751</v>
      </c>
      <c r="W56" s="214">
        <f t="shared" si="121"/>
        <v>0</v>
      </c>
      <c r="X56" s="214">
        <f t="shared" si="122"/>
        <v>0.11794269314385702</v>
      </c>
      <c r="Y56" s="214">
        <f t="shared" si="123"/>
        <v>0.2</v>
      </c>
      <c r="Z56" s="214">
        <f t="shared" si="124"/>
        <v>0.14235317301363848</v>
      </c>
      <c r="AA56" s="214">
        <f t="shared" si="125"/>
        <v>0</v>
      </c>
      <c r="AB56" s="214">
        <f t="shared" si="126"/>
        <v>0</v>
      </c>
      <c r="AC56" s="214">
        <f t="shared" si="127"/>
        <v>0.25299108899098788</v>
      </c>
      <c r="AD56" s="214">
        <f t="shared" si="128"/>
        <v>0</v>
      </c>
      <c r="AE56" s="214">
        <f t="shared" si="129"/>
        <v>0</v>
      </c>
      <c r="AF56" s="214">
        <f t="shared" si="130"/>
        <v>0.16990834802225588</v>
      </c>
      <c r="AG56" s="214">
        <f t="shared" si="131"/>
        <v>0</v>
      </c>
      <c r="AH56" s="214">
        <f t="shared" si="132"/>
        <v>0</v>
      </c>
      <c r="AI56" s="214">
        <f t="shared" si="133"/>
        <v>0</v>
      </c>
      <c r="AJ56" s="208"/>
      <c r="AK56" s="214">
        <f t="shared" si="134"/>
        <v>0.15146929411025206</v>
      </c>
      <c r="AL56" s="214">
        <f t="shared" si="135"/>
        <v>0</v>
      </c>
      <c r="AM56" s="208"/>
      <c r="AN56" s="214">
        <f t="shared" si="136"/>
        <v>0</v>
      </c>
      <c r="AO56" s="214">
        <f t="shared" si="137"/>
        <v>3.9313116550968218E-2</v>
      </c>
      <c r="AP56" s="214">
        <f t="shared" si="138"/>
        <v>0.17676563756240363</v>
      </c>
      <c r="AQ56" s="208"/>
      <c r="AR56" s="214">
        <f t="shared" si="139"/>
        <v>0</v>
      </c>
      <c r="AS56" s="214">
        <f t="shared" si="140"/>
        <v>0</v>
      </c>
      <c r="AT56" s="214">
        <f t="shared" si="141"/>
        <v>0.20217891093929466</v>
      </c>
      <c r="AU56" s="214">
        <f t="shared" si="142"/>
        <v>0</v>
      </c>
      <c r="AV56" s="214">
        <f t="shared" si="143"/>
        <v>0</v>
      </c>
      <c r="AW56" s="214">
        <f t="shared" si="144"/>
        <v>0</v>
      </c>
      <c r="AX56" s="214">
        <f t="shared" si="145"/>
        <v>0.19734314230823297</v>
      </c>
      <c r="AY56" s="214">
        <f t="shared" si="146"/>
        <v>0.16688030278990285</v>
      </c>
      <c r="AZ56" s="214">
        <f t="shared" si="147"/>
        <v>0.14377529269314526</v>
      </c>
      <c r="BA56" s="214">
        <f t="shared" si="148"/>
        <v>0.43993875066255295</v>
      </c>
      <c r="BB56" s="214">
        <f t="shared" si="149"/>
        <v>0.18021772811574857</v>
      </c>
      <c r="BC56" s="214">
        <f t="shared" si="150"/>
        <v>0</v>
      </c>
      <c r="BD56" s="214">
        <f t="shared" si="151"/>
        <v>3.3499856811022369E-2</v>
      </c>
      <c r="BE56" s="214">
        <f t="shared" si="152"/>
        <v>0</v>
      </c>
      <c r="BF56" s="214">
        <f t="shared" si="153"/>
        <v>0</v>
      </c>
      <c r="BG56" s="214">
        <f t="shared" si="154"/>
        <v>0</v>
      </c>
      <c r="BH56" s="214">
        <f t="shared" si="155"/>
        <v>0</v>
      </c>
      <c r="BI56" s="214">
        <f t="shared" si="156"/>
        <v>0</v>
      </c>
      <c r="BJ56" s="214">
        <f t="shared" si="157"/>
        <v>9.9141076741705497E-2</v>
      </c>
      <c r="BK56" s="214">
        <f t="shared" si="158"/>
        <v>0.33343494713126071</v>
      </c>
      <c r="BL56" s="214">
        <f t="shared" si="159"/>
        <v>3.91303596364544E-2</v>
      </c>
      <c r="BM56" s="214">
        <f t="shared" si="160"/>
        <v>0.36607459865081421</v>
      </c>
      <c r="BN56" s="214">
        <f t="shared" si="161"/>
        <v>0.65298157165105197</v>
      </c>
      <c r="BO56" s="214">
        <f t="shared" si="162"/>
        <v>0</v>
      </c>
      <c r="BP56" s="214">
        <f t="shared" si="163"/>
        <v>0.23940017826243393</v>
      </c>
      <c r="BQ56" s="214">
        <f t="shared" si="164"/>
        <v>0</v>
      </c>
      <c r="BR56" s="214">
        <f t="shared" si="165"/>
        <v>2.0282907276225159E-3</v>
      </c>
      <c r="BS56" s="214">
        <f t="shared" si="166"/>
        <v>0</v>
      </c>
      <c r="BT56" s="214">
        <f t="shared" si="167"/>
        <v>0</v>
      </c>
      <c r="BU56" s="214">
        <f t="shared" si="168"/>
        <v>4.2913623889483232E-3</v>
      </c>
      <c r="BV56" s="214">
        <f t="shared" si="169"/>
        <v>2.2774292152688676E-2</v>
      </c>
      <c r="BW56" s="214">
        <f t="shared" si="170"/>
        <v>0</v>
      </c>
      <c r="BX56" s="214">
        <f t="shared" si="171"/>
        <v>0.41442657232130914</v>
      </c>
      <c r="BY56" s="214">
        <f t="shared" si="172"/>
        <v>0.11370049158180949</v>
      </c>
      <c r="BZ56" s="214">
        <f t="shared" si="173"/>
        <v>0</v>
      </c>
      <c r="CA56" s="214">
        <f t="shared" si="174"/>
        <v>5.816959244890136E-2</v>
      </c>
      <c r="CB56" s="214">
        <f t="shared" si="175"/>
        <v>0.27259143887679965</v>
      </c>
      <c r="CC56" s="214">
        <f t="shared" si="176"/>
        <v>0</v>
      </c>
      <c r="CD56" s="214">
        <f t="shared" si="177"/>
        <v>0</v>
      </c>
      <c r="CE56" s="214">
        <f t="shared" si="178"/>
        <v>0.42815739165512046</v>
      </c>
      <c r="CF56" s="214">
        <f t="shared" si="179"/>
        <v>0</v>
      </c>
      <c r="CG56" s="214">
        <f t="shared" si="180"/>
        <v>0</v>
      </c>
      <c r="CH56" s="214">
        <f t="shared" si="181"/>
        <v>0</v>
      </c>
      <c r="CI56" s="214">
        <f t="shared" si="182"/>
        <v>0.25</v>
      </c>
      <c r="CJ56" s="214">
        <f t="shared" si="183"/>
        <v>1.9997816521898685E-3</v>
      </c>
      <c r="CK56" s="214">
        <f t="shared" si="184"/>
        <v>0.10399942142185579</v>
      </c>
      <c r="CL56" s="208"/>
      <c r="CM56" s="214">
        <f t="shared" si="186"/>
        <v>0.12723134060141369</v>
      </c>
      <c r="CN56" s="202"/>
      <c r="CO56" s="187"/>
    </row>
    <row r="57" spans="1:93" x14ac:dyDescent="0.3">
      <c r="A57" s="168" t="s">
        <v>2</v>
      </c>
      <c r="B57" s="214">
        <f t="shared" si="187"/>
        <v>0.57174419036161439</v>
      </c>
      <c r="C57" s="214">
        <f t="shared" si="101"/>
        <v>0.57174419036161428</v>
      </c>
      <c r="D57" s="214">
        <f t="shared" si="102"/>
        <v>9.1442329858354033E-3</v>
      </c>
      <c r="E57" s="214">
        <f t="shared" si="103"/>
        <v>0.13000521548779503</v>
      </c>
      <c r="F57" s="214">
        <f t="shared" si="104"/>
        <v>4.0289010622388335E-2</v>
      </c>
      <c r="G57" s="208"/>
      <c r="H57" s="214">
        <f t="shared" si="106"/>
        <v>9.0689782863379559E-2</v>
      </c>
      <c r="I57" s="214">
        <f t="shared" si="107"/>
        <v>4.3847508073797593E-2</v>
      </c>
      <c r="J57" s="214">
        <f t="shared" si="108"/>
        <v>0.11999952305435987</v>
      </c>
      <c r="K57" s="214">
        <f t="shared" si="109"/>
        <v>5.9716508233623164E-2</v>
      </c>
      <c r="L57" s="214">
        <f t="shared" si="110"/>
        <v>0.30000009255976817</v>
      </c>
      <c r="M57" s="214">
        <f t="shared" si="111"/>
        <v>2.4166151913787258E-2</v>
      </c>
      <c r="N57" s="214">
        <f t="shared" si="112"/>
        <v>1.4059677643462554E-2</v>
      </c>
      <c r="O57" s="214">
        <f t="shared" si="113"/>
        <v>7.1536118365928117E-2</v>
      </c>
      <c r="P57" s="214">
        <f t="shared" si="114"/>
        <v>4.8101150541877892E-2</v>
      </c>
      <c r="Q57" s="214">
        <f t="shared" si="115"/>
        <v>0.10000060912839817</v>
      </c>
      <c r="R57" s="214">
        <f t="shared" si="116"/>
        <v>2.959081274661653E-2</v>
      </c>
      <c r="S57" s="214">
        <f t="shared" si="117"/>
        <v>7.1998708927339297E-2</v>
      </c>
      <c r="T57" s="214">
        <f t="shared" si="118"/>
        <v>2.4371498852426857E-2</v>
      </c>
      <c r="U57" s="214">
        <f t="shared" si="119"/>
        <v>3.9996937081894276E-3</v>
      </c>
      <c r="V57" s="214">
        <f t="shared" si="120"/>
        <v>0.34999695697157812</v>
      </c>
      <c r="W57" s="214">
        <f t="shared" si="121"/>
        <v>9.3171214576918248E-3</v>
      </c>
      <c r="X57" s="214">
        <f t="shared" si="122"/>
        <v>5.4877644625908044E-2</v>
      </c>
      <c r="Y57" s="214">
        <f t="shared" si="123"/>
        <v>7.0000141049691808E-2</v>
      </c>
      <c r="Z57" s="214">
        <f t="shared" si="124"/>
        <v>3.4214014041604478E-2</v>
      </c>
      <c r="AA57" s="214">
        <f t="shared" si="125"/>
        <v>0</v>
      </c>
      <c r="AB57" s="214">
        <f t="shared" si="126"/>
        <v>4.9049871070620539E-2</v>
      </c>
      <c r="AC57" s="214">
        <f t="shared" si="127"/>
        <v>2.9591479501791949E-2</v>
      </c>
      <c r="AD57" s="214">
        <f t="shared" si="128"/>
        <v>7.6767984846417489E-2</v>
      </c>
      <c r="AE57" s="214">
        <f t="shared" si="129"/>
        <v>4.2297562014585323E-2</v>
      </c>
      <c r="AF57" s="214">
        <f t="shared" si="130"/>
        <v>0.10265228474548208</v>
      </c>
      <c r="AG57" s="214">
        <f t="shared" si="131"/>
        <v>1.7468021570298104E-2</v>
      </c>
      <c r="AH57" s="214">
        <f t="shared" si="132"/>
        <v>0</v>
      </c>
      <c r="AI57" s="214">
        <f t="shared" si="133"/>
        <v>5.7753881158053647E-2</v>
      </c>
      <c r="AJ57" s="208"/>
      <c r="AK57" s="214">
        <f t="shared" si="134"/>
        <v>0.18507448613992081</v>
      </c>
      <c r="AL57" s="214">
        <f t="shared" si="135"/>
        <v>3.0327923479994735E-2</v>
      </c>
      <c r="AM57" s="208"/>
      <c r="AN57" s="214">
        <f t="shared" si="136"/>
        <v>0.14876393447822017</v>
      </c>
      <c r="AO57" s="214">
        <f t="shared" si="137"/>
        <v>5.8479043791429625E-2</v>
      </c>
      <c r="AP57" s="214">
        <f t="shared" si="138"/>
        <v>9.5478682391828672E-3</v>
      </c>
      <c r="AQ57" s="208"/>
      <c r="AR57" s="214">
        <f t="shared" si="139"/>
        <v>3.9386387410572099E-2</v>
      </c>
      <c r="AS57" s="214">
        <f t="shared" si="140"/>
        <v>0.11745128092839939</v>
      </c>
      <c r="AT57" s="214">
        <f t="shared" si="141"/>
        <v>1.9397401698990343E-2</v>
      </c>
      <c r="AU57" s="214">
        <f t="shared" si="142"/>
        <v>0</v>
      </c>
      <c r="AV57" s="214">
        <f t="shared" si="143"/>
        <v>1.084015026695692E-2</v>
      </c>
      <c r="AW57" s="214">
        <f t="shared" si="144"/>
        <v>6.9999751579727099E-2</v>
      </c>
      <c r="AX57" s="214">
        <f t="shared" si="145"/>
        <v>0.12745419614825923</v>
      </c>
      <c r="AY57" s="214">
        <f t="shared" si="146"/>
        <v>2.4019749292880411E-2</v>
      </c>
      <c r="AZ57" s="214">
        <f t="shared" si="147"/>
        <v>4.2227000050642947E-3</v>
      </c>
      <c r="BA57" s="214">
        <f t="shared" si="148"/>
        <v>1.3932541595102937E-3</v>
      </c>
      <c r="BB57" s="214">
        <f t="shared" si="149"/>
        <v>0.10654921864461443</v>
      </c>
      <c r="BC57" s="214">
        <f t="shared" si="150"/>
        <v>0</v>
      </c>
      <c r="BD57" s="214">
        <f t="shared" si="151"/>
        <v>8.7317274954656826E-2</v>
      </c>
      <c r="BE57" s="214">
        <f t="shared" si="152"/>
        <v>6.4606212643957439E-2</v>
      </c>
      <c r="BF57" s="214">
        <f t="shared" si="153"/>
        <v>0.18036144686668107</v>
      </c>
      <c r="BG57" s="214">
        <f t="shared" si="154"/>
        <v>0.20000013675830841</v>
      </c>
      <c r="BH57" s="214">
        <f t="shared" si="155"/>
        <v>0</v>
      </c>
      <c r="BI57" s="214">
        <f t="shared" si="156"/>
        <v>4.9242102895654241E-2</v>
      </c>
      <c r="BJ57" s="214">
        <f t="shared" si="157"/>
        <v>4.9570538370852749E-2</v>
      </c>
      <c r="BK57" s="214">
        <f t="shared" si="158"/>
        <v>9.6894012209861394E-2</v>
      </c>
      <c r="BL57" s="214">
        <f t="shared" si="159"/>
        <v>2.8728927333072046E-3</v>
      </c>
      <c r="BM57" s="214">
        <f t="shared" si="160"/>
        <v>0.17407951175979502</v>
      </c>
      <c r="BN57" s="214">
        <f t="shared" si="161"/>
        <v>3.5978114796051028E-3</v>
      </c>
      <c r="BO57" s="214">
        <f t="shared" si="162"/>
        <v>2.8014302079666546E-2</v>
      </c>
      <c r="BP57" s="214">
        <f t="shared" si="163"/>
        <v>6.5160510010382876E-3</v>
      </c>
      <c r="BQ57" s="214">
        <f t="shared" si="164"/>
        <v>5.0018064308939821E-3</v>
      </c>
      <c r="BR57" s="214">
        <f t="shared" si="165"/>
        <v>4.7992465328459001E-2</v>
      </c>
      <c r="BS57" s="214">
        <f t="shared" si="166"/>
        <v>0</v>
      </c>
      <c r="BT57" s="214">
        <f t="shared" si="167"/>
        <v>6.8766937669376707E-2</v>
      </c>
      <c r="BU57" s="214">
        <f t="shared" si="168"/>
        <v>1.5891436811014466E-2</v>
      </c>
      <c r="BV57" s="214">
        <f t="shared" si="169"/>
        <v>1.2821510458986548E-2</v>
      </c>
      <c r="BW57" s="214">
        <f t="shared" si="170"/>
        <v>8.5027148722023577E-2</v>
      </c>
      <c r="BX57" s="214">
        <f t="shared" si="171"/>
        <v>2.3227681122417961E-2</v>
      </c>
      <c r="BY57" s="214">
        <f t="shared" si="172"/>
        <v>0.16924515817568819</v>
      </c>
      <c r="BZ57" s="214">
        <f t="shared" si="173"/>
        <v>0.14771453212591634</v>
      </c>
      <c r="CA57" s="214">
        <f t="shared" si="174"/>
        <v>0.2000002983209008</v>
      </c>
      <c r="CB57" s="214">
        <f t="shared" si="175"/>
        <v>1.49864369392196E-2</v>
      </c>
      <c r="CC57" s="214">
        <f t="shared" si="176"/>
        <v>0</v>
      </c>
      <c r="CD57" s="214">
        <f t="shared" si="177"/>
        <v>8.6638095348111886E-4</v>
      </c>
      <c r="CE57" s="214">
        <f t="shared" si="178"/>
        <v>2.0305347527930267E-2</v>
      </c>
      <c r="CF57" s="214">
        <f t="shared" si="179"/>
        <v>6.3553931382636333E-2</v>
      </c>
      <c r="CG57" s="214">
        <f t="shared" si="180"/>
        <v>4.8320031774796129E-2</v>
      </c>
      <c r="CH57" s="214">
        <f t="shared" si="181"/>
        <v>0</v>
      </c>
      <c r="CI57" s="214">
        <f t="shared" si="182"/>
        <v>0.29000461739732702</v>
      </c>
      <c r="CJ57" s="214">
        <f t="shared" si="183"/>
        <v>6.7000279157262393E-2</v>
      </c>
      <c r="CK57" s="214">
        <f t="shared" si="184"/>
        <v>0.23399869819917554</v>
      </c>
      <c r="CL57" s="208"/>
      <c r="CM57" s="214">
        <f t="shared" si="186"/>
        <v>0.28148759111979432</v>
      </c>
      <c r="CN57" s="202"/>
      <c r="CO57" s="187"/>
    </row>
    <row r="58" spans="1:93" x14ac:dyDescent="0.3">
      <c r="A58" s="168" t="s">
        <v>208</v>
      </c>
      <c r="B58" s="214">
        <f t="shared" si="187"/>
        <v>5.6613283094032144E-2</v>
      </c>
      <c r="C58" s="214">
        <f t="shared" si="101"/>
        <v>5.661328309403213E-2</v>
      </c>
      <c r="D58" s="214">
        <f t="shared" si="102"/>
        <v>5.5491779038819328E-2</v>
      </c>
      <c r="E58" s="214">
        <f t="shared" si="103"/>
        <v>7.9998971593955914E-2</v>
      </c>
      <c r="F58" s="214">
        <f t="shared" si="104"/>
        <v>6.5419132995535425E-3</v>
      </c>
      <c r="G58" s="208"/>
      <c r="H58" s="214">
        <f t="shared" si="106"/>
        <v>0.1642481425258184</v>
      </c>
      <c r="I58" s="214">
        <f t="shared" si="107"/>
        <v>6.0674859551731436E-2</v>
      </c>
      <c r="J58" s="214">
        <f t="shared" si="108"/>
        <v>0.17999928458153983</v>
      </c>
      <c r="K58" s="214">
        <f t="shared" si="109"/>
        <v>0.12306598076885142</v>
      </c>
      <c r="L58" s="214">
        <f t="shared" si="110"/>
        <v>0</v>
      </c>
      <c r="M58" s="214">
        <f t="shared" si="111"/>
        <v>1.4162822009388933E-2</v>
      </c>
      <c r="N58" s="214">
        <f t="shared" si="112"/>
        <v>9.170198230744292E-2</v>
      </c>
      <c r="O58" s="214">
        <f t="shared" si="113"/>
        <v>2.5654514691556014E-2</v>
      </c>
      <c r="P58" s="214">
        <f t="shared" si="114"/>
        <v>2.2231034273397891E-2</v>
      </c>
      <c r="Q58" s="214">
        <f t="shared" si="115"/>
        <v>9.0000243651359252E-2</v>
      </c>
      <c r="R58" s="214">
        <f t="shared" si="116"/>
        <v>0</v>
      </c>
      <c r="S58" s="214">
        <f t="shared" si="117"/>
        <v>3.7401584528206813E-2</v>
      </c>
      <c r="T58" s="214">
        <f t="shared" si="118"/>
        <v>7.1484563264258283E-2</v>
      </c>
      <c r="U58" s="214">
        <f t="shared" si="119"/>
        <v>2.9992730541768555E-3</v>
      </c>
      <c r="V58" s="214">
        <f t="shared" si="120"/>
        <v>0.18000121721136875</v>
      </c>
      <c r="W58" s="214">
        <f t="shared" si="121"/>
        <v>5.0129232732027025E-2</v>
      </c>
      <c r="X58" s="214">
        <f t="shared" si="122"/>
        <v>4.6925539530197777E-2</v>
      </c>
      <c r="Y58" s="214">
        <f t="shared" si="123"/>
        <v>2.9998448453390128E-2</v>
      </c>
      <c r="Z58" s="214">
        <f t="shared" si="124"/>
        <v>2.3688606619981529E-2</v>
      </c>
      <c r="AA58" s="214">
        <f t="shared" si="125"/>
        <v>0.10998914096729979</v>
      </c>
      <c r="AB58" s="214">
        <f t="shared" si="126"/>
        <v>4.7049378560916046E-2</v>
      </c>
      <c r="AC58" s="214">
        <f t="shared" si="127"/>
        <v>0</v>
      </c>
      <c r="AD58" s="214">
        <f t="shared" si="128"/>
        <v>3.7977863569599736E-2</v>
      </c>
      <c r="AE58" s="214">
        <f t="shared" si="129"/>
        <v>7.3424549046194817E-3</v>
      </c>
      <c r="AF58" s="214">
        <f t="shared" si="130"/>
        <v>4.3993639207867516E-2</v>
      </c>
      <c r="AG58" s="214">
        <f t="shared" si="131"/>
        <v>2.6202712892363554E-2</v>
      </c>
      <c r="AH58" s="214">
        <f t="shared" si="132"/>
        <v>8.4100718103179123E-2</v>
      </c>
      <c r="AI58" s="214">
        <f t="shared" si="133"/>
        <v>4.2154848365566371E-2</v>
      </c>
      <c r="AJ58" s="208"/>
      <c r="AK58" s="214">
        <f t="shared" si="134"/>
        <v>0.10874033565906091</v>
      </c>
      <c r="AL58" s="214">
        <f t="shared" si="135"/>
        <v>1.5522991371798219E-2</v>
      </c>
      <c r="AM58" s="208"/>
      <c r="AN58" s="214">
        <f t="shared" si="136"/>
        <v>0</v>
      </c>
      <c r="AO58" s="214">
        <f t="shared" si="137"/>
        <v>4.0878960279764086E-2</v>
      </c>
      <c r="AP58" s="214">
        <f t="shared" si="138"/>
        <v>3.7998420263940691E-3</v>
      </c>
      <c r="AQ58" s="208"/>
      <c r="AR58" s="214">
        <f t="shared" si="139"/>
        <v>1.6945939873169044E-2</v>
      </c>
      <c r="AS58" s="214">
        <f t="shared" si="140"/>
        <v>5.5543390993358151E-2</v>
      </c>
      <c r="AT58" s="214">
        <f t="shared" si="141"/>
        <v>1.293172645465944E-2</v>
      </c>
      <c r="AU58" s="214">
        <f t="shared" si="142"/>
        <v>2.6143430943377219E-2</v>
      </c>
      <c r="AV58" s="214">
        <f t="shared" si="143"/>
        <v>5.8689885996734317E-2</v>
      </c>
      <c r="AW58" s="214">
        <f t="shared" si="144"/>
        <v>9.9999887081694133E-2</v>
      </c>
      <c r="AX58" s="214">
        <f t="shared" si="145"/>
        <v>0.12862565015697483</v>
      </c>
      <c r="AY58" s="214">
        <f t="shared" si="146"/>
        <v>2.3174026217658121E-3</v>
      </c>
      <c r="AZ58" s="214">
        <f t="shared" si="147"/>
        <v>2.2148457462236485E-2</v>
      </c>
      <c r="BA58" s="214">
        <f t="shared" si="148"/>
        <v>1.4242634394579865E-3</v>
      </c>
      <c r="BB58" s="214">
        <f t="shared" si="149"/>
        <v>1.9452143613291947E-2</v>
      </c>
      <c r="BC58" s="214">
        <f t="shared" si="150"/>
        <v>2.3691471266819732E-2</v>
      </c>
      <c r="BD58" s="214">
        <f t="shared" si="151"/>
        <v>5.4955293219206412E-2</v>
      </c>
      <c r="BE58" s="214">
        <f t="shared" si="152"/>
        <v>0</v>
      </c>
      <c r="BF58" s="214">
        <f t="shared" si="153"/>
        <v>0.18599022411684296</v>
      </c>
      <c r="BG58" s="214">
        <f t="shared" si="154"/>
        <v>0.10000041027492523</v>
      </c>
      <c r="BH58" s="214">
        <f t="shared" si="155"/>
        <v>0.20408180155426267</v>
      </c>
      <c r="BI58" s="214">
        <f t="shared" si="156"/>
        <v>4.4219542558837401E-2</v>
      </c>
      <c r="BJ58" s="214">
        <f t="shared" si="157"/>
        <v>1.9828215348341099E-2</v>
      </c>
      <c r="BK58" s="214">
        <f t="shared" si="158"/>
        <v>7.0831387013012045E-2</v>
      </c>
      <c r="BL58" s="214">
        <f t="shared" si="159"/>
        <v>9.8539483657070714E-2</v>
      </c>
      <c r="BM58" s="214">
        <f t="shared" si="160"/>
        <v>7.8408229457542888E-2</v>
      </c>
      <c r="BN58" s="214">
        <f t="shared" si="161"/>
        <v>1.3202011161563495E-2</v>
      </c>
      <c r="BO58" s="214">
        <f t="shared" si="162"/>
        <v>7.1965103283781223E-2</v>
      </c>
      <c r="BP58" s="214">
        <f t="shared" si="163"/>
        <v>7.3441601302944763E-3</v>
      </c>
      <c r="BQ58" s="214">
        <f t="shared" si="164"/>
        <v>2.7000120428726258E-2</v>
      </c>
      <c r="BR58" s="214">
        <f t="shared" si="165"/>
        <v>4.1223759211894778E-2</v>
      </c>
      <c r="BS58" s="214">
        <f t="shared" si="166"/>
        <v>0.16633108640462224</v>
      </c>
      <c r="BT58" s="214">
        <f t="shared" si="167"/>
        <v>3.3429736279741655E-2</v>
      </c>
      <c r="BU58" s="214">
        <f t="shared" si="168"/>
        <v>1.5957021256802643E-2</v>
      </c>
      <c r="BV58" s="214">
        <f t="shared" si="169"/>
        <v>1.6555261383677543E-2</v>
      </c>
      <c r="BW58" s="214">
        <f t="shared" si="170"/>
        <v>6.3718712753277701E-2</v>
      </c>
      <c r="BX58" s="214">
        <f t="shared" si="171"/>
        <v>8.0102369576053781E-2</v>
      </c>
      <c r="BY58" s="214">
        <f t="shared" si="172"/>
        <v>0.14579735043061093</v>
      </c>
      <c r="BZ58" s="214">
        <f t="shared" si="173"/>
        <v>0.16702242345838725</v>
      </c>
      <c r="CA58" s="214">
        <f t="shared" si="174"/>
        <v>4.7331594122481613E-2</v>
      </c>
      <c r="CB58" s="214">
        <f t="shared" si="175"/>
        <v>4.2291412048767402E-3</v>
      </c>
      <c r="CC58" s="214">
        <f t="shared" si="176"/>
        <v>0.1467090728257946</v>
      </c>
      <c r="CD58" s="214">
        <f t="shared" si="177"/>
        <v>1.7081181820632192E-2</v>
      </c>
      <c r="CE58" s="214">
        <f t="shared" si="178"/>
        <v>1.4346598382938421E-2</v>
      </c>
      <c r="CF58" s="214">
        <f t="shared" si="179"/>
        <v>4.4035134847463471E-2</v>
      </c>
      <c r="CG58" s="214">
        <f t="shared" si="180"/>
        <v>2.6623803790633883E-2</v>
      </c>
      <c r="CH58" s="214">
        <f t="shared" si="181"/>
        <v>9.76571371469581E-3</v>
      </c>
      <c r="CI58" s="214">
        <f t="shared" si="182"/>
        <v>0.11999781956237335</v>
      </c>
      <c r="CJ58" s="214">
        <f t="shared" si="183"/>
        <v>0.10000028900709607</v>
      </c>
      <c r="CK58" s="214">
        <f t="shared" si="184"/>
        <v>0.28601046262144114</v>
      </c>
      <c r="CL58" s="208"/>
      <c r="CM58" s="214">
        <f t="shared" si="186"/>
        <v>0.15542203094617132</v>
      </c>
      <c r="CN58" s="202"/>
      <c r="CO58" s="187"/>
    </row>
    <row r="59" spans="1:93" x14ac:dyDescent="0.3">
      <c r="A59" s="168" t="s">
        <v>209</v>
      </c>
      <c r="B59" s="214">
        <f t="shared" si="187"/>
        <v>3.6589480988089458E-2</v>
      </c>
      <c r="C59" s="214">
        <f t="shared" si="101"/>
        <v>3.6589480988089451E-2</v>
      </c>
      <c r="D59" s="214">
        <f t="shared" si="102"/>
        <v>8.531823188210063E-3</v>
      </c>
      <c r="E59" s="214">
        <f t="shared" si="103"/>
        <v>0.29999706169701695</v>
      </c>
      <c r="F59" s="214">
        <f t="shared" si="104"/>
        <v>0.1189060335266206</v>
      </c>
      <c r="G59" s="208"/>
      <c r="H59" s="214">
        <f t="shared" si="106"/>
        <v>5.0889703605373086E-2</v>
      </c>
      <c r="I59" s="214">
        <f t="shared" si="107"/>
        <v>0.17553347857008422</v>
      </c>
      <c r="J59" s="214">
        <f t="shared" si="108"/>
        <v>0.21000086872241594</v>
      </c>
      <c r="K59" s="214">
        <f t="shared" si="109"/>
        <v>0.12123032007347026</v>
      </c>
      <c r="L59" s="214">
        <f t="shared" si="110"/>
        <v>8.0000333215165365E-2</v>
      </c>
      <c r="M59" s="214">
        <f t="shared" si="111"/>
        <v>1.6661900818364243E-3</v>
      </c>
      <c r="N59" s="214">
        <f t="shared" si="112"/>
        <v>9.8435111852160622E-3</v>
      </c>
      <c r="O59" s="214">
        <f t="shared" si="113"/>
        <v>5.6350602875702142E-2</v>
      </c>
      <c r="P59" s="214">
        <f t="shared" si="114"/>
        <v>3.5459230138732881E-2</v>
      </c>
      <c r="Q59" s="214">
        <f t="shared" si="115"/>
        <v>0.1999996954358009</v>
      </c>
      <c r="R59" s="214">
        <f t="shared" si="116"/>
        <v>7.5641222789943369E-2</v>
      </c>
      <c r="S59" s="214">
        <f t="shared" si="117"/>
        <v>7.8309979300021246E-2</v>
      </c>
      <c r="T59" s="214">
        <f t="shared" si="118"/>
        <v>3.1908023001515295E-2</v>
      </c>
      <c r="U59" s="214">
        <f t="shared" si="119"/>
        <v>0.17699987171544299</v>
      </c>
      <c r="V59" s="214">
        <f t="shared" si="120"/>
        <v>0.14000365163410627</v>
      </c>
      <c r="W59" s="214">
        <f t="shared" si="121"/>
        <v>9.9744906740967587E-2</v>
      </c>
      <c r="X59" s="214">
        <f t="shared" si="122"/>
        <v>3.1193660851582795E-2</v>
      </c>
      <c r="Y59" s="214">
        <f t="shared" si="123"/>
        <v>0</v>
      </c>
      <c r="Z59" s="214">
        <f t="shared" si="124"/>
        <v>6.8169143245746106E-2</v>
      </c>
      <c r="AA59" s="214">
        <f t="shared" si="125"/>
        <v>0.45361803851071014</v>
      </c>
      <c r="AB59" s="214">
        <f t="shared" si="126"/>
        <v>2.8018796578615241E-2</v>
      </c>
      <c r="AC59" s="214">
        <f t="shared" si="127"/>
        <v>0.19960804553312661</v>
      </c>
      <c r="AD59" s="214">
        <f t="shared" si="128"/>
        <v>6.8638585451597636E-2</v>
      </c>
      <c r="AE59" s="214">
        <f t="shared" si="129"/>
        <v>0.25745494961736798</v>
      </c>
      <c r="AF59" s="214">
        <f t="shared" si="130"/>
        <v>5.3542416204152447E-2</v>
      </c>
      <c r="AG59" s="214">
        <f t="shared" si="131"/>
        <v>3.0949457884292392E-2</v>
      </c>
      <c r="AH59" s="214">
        <f t="shared" si="132"/>
        <v>0</v>
      </c>
      <c r="AI59" s="214">
        <f t="shared" si="133"/>
        <v>0.11845091075823705</v>
      </c>
      <c r="AJ59" s="208"/>
      <c r="AK59" s="214">
        <f t="shared" si="134"/>
        <v>0.19666540951662581</v>
      </c>
      <c r="AL59" s="214">
        <f t="shared" si="135"/>
        <v>0.1515219952395408</v>
      </c>
      <c r="AM59" s="208"/>
      <c r="AN59" s="214">
        <f t="shared" si="136"/>
        <v>0.16389761032618172</v>
      </c>
      <c r="AO59" s="214">
        <f t="shared" si="137"/>
        <v>0</v>
      </c>
      <c r="AP59" s="214">
        <f t="shared" si="138"/>
        <v>0.3399646148539921</v>
      </c>
      <c r="AQ59" s="208"/>
      <c r="AR59" s="214">
        <f t="shared" si="139"/>
        <v>0.13625976218898914</v>
      </c>
      <c r="AS59" s="214">
        <f t="shared" si="140"/>
        <v>6.6805342675717097E-2</v>
      </c>
      <c r="AT59" s="214">
        <f t="shared" si="141"/>
        <v>9.6987008494951718E-2</v>
      </c>
      <c r="AU59" s="214">
        <f t="shared" si="142"/>
        <v>0.40443043553078345</v>
      </c>
      <c r="AV59" s="214">
        <f t="shared" si="143"/>
        <v>0.20748990641563067</v>
      </c>
      <c r="AW59" s="214">
        <f t="shared" si="144"/>
        <v>2.9000243903540668E-2</v>
      </c>
      <c r="AX59" s="214">
        <f t="shared" si="145"/>
        <v>0.12220608218921325</v>
      </c>
      <c r="AY59" s="214">
        <f t="shared" si="146"/>
        <v>0.11783451514028423</v>
      </c>
      <c r="AZ59" s="214">
        <f t="shared" si="147"/>
        <v>0.20310303074946939</v>
      </c>
      <c r="BA59" s="214">
        <f t="shared" si="148"/>
        <v>4.2052910485343306E-2</v>
      </c>
      <c r="BB59" s="214">
        <f t="shared" si="149"/>
        <v>0.13321872011040173</v>
      </c>
      <c r="BC59" s="214">
        <f t="shared" si="150"/>
        <v>0.33636022993280534</v>
      </c>
      <c r="BD59" s="214">
        <f t="shared" si="151"/>
        <v>0.15606198491742768</v>
      </c>
      <c r="BE59" s="214">
        <f t="shared" si="152"/>
        <v>9.7638976626658242E-2</v>
      </c>
      <c r="BF59" s="214">
        <f t="shared" si="153"/>
        <v>0.12560087506295417</v>
      </c>
      <c r="BG59" s="214">
        <f t="shared" si="154"/>
        <v>0.18999968545589066</v>
      </c>
      <c r="BH59" s="214">
        <f t="shared" si="155"/>
        <v>0</v>
      </c>
      <c r="BI59" s="214">
        <f t="shared" si="156"/>
        <v>0.1762917198532937</v>
      </c>
      <c r="BJ59" s="214">
        <f t="shared" si="157"/>
        <v>9.9141076741705497E-2</v>
      </c>
      <c r="BK59" s="214">
        <f t="shared" si="158"/>
        <v>0.12195780005251507</v>
      </c>
      <c r="BL59" s="214">
        <f t="shared" si="159"/>
        <v>0.11388987591889105</v>
      </c>
      <c r="BM59" s="214">
        <f t="shared" si="160"/>
        <v>0.15359702910441317</v>
      </c>
      <c r="BN59" s="214">
        <f t="shared" si="161"/>
        <v>4.5961391609941948E-2</v>
      </c>
      <c r="BO59" s="214">
        <f t="shared" si="162"/>
        <v>4.2260418059929271E-2</v>
      </c>
      <c r="BP59" s="214">
        <f t="shared" si="163"/>
        <v>0</v>
      </c>
      <c r="BQ59" s="214">
        <f t="shared" si="164"/>
        <v>0.10600136485889766</v>
      </c>
      <c r="BR59" s="214">
        <f t="shared" si="165"/>
        <v>2.1835370997763698E-2</v>
      </c>
      <c r="BS59" s="214">
        <f t="shared" si="166"/>
        <v>0</v>
      </c>
      <c r="BT59" s="214">
        <f t="shared" si="167"/>
        <v>0.10101596170146723</v>
      </c>
      <c r="BU59" s="214">
        <f t="shared" si="168"/>
        <v>1.7626401227964092E-2</v>
      </c>
      <c r="BV59" s="214">
        <f t="shared" si="169"/>
        <v>0.24584504843179042</v>
      </c>
      <c r="BW59" s="214">
        <f t="shared" si="170"/>
        <v>0</v>
      </c>
      <c r="BX59" s="214">
        <f t="shared" si="171"/>
        <v>0</v>
      </c>
      <c r="BY59" s="214">
        <f t="shared" si="172"/>
        <v>0.13750873126641841</v>
      </c>
      <c r="BZ59" s="214">
        <f t="shared" si="173"/>
        <v>8.4864165588615773E-2</v>
      </c>
      <c r="CA59" s="214">
        <f t="shared" si="174"/>
        <v>0.29999895587684716</v>
      </c>
      <c r="CB59" s="214">
        <f t="shared" si="175"/>
        <v>3.5523544082431614E-2</v>
      </c>
      <c r="CC59" s="214">
        <f t="shared" si="176"/>
        <v>0.15195929080817872</v>
      </c>
      <c r="CD59" s="214">
        <f t="shared" si="177"/>
        <v>5.1982857208867142E-4</v>
      </c>
      <c r="CE59" s="214">
        <f t="shared" si="178"/>
        <v>4.1535857726642929E-2</v>
      </c>
      <c r="CF59" s="214">
        <f t="shared" si="179"/>
        <v>0</v>
      </c>
      <c r="CG59" s="214">
        <f t="shared" si="180"/>
        <v>0.17881080343068503</v>
      </c>
      <c r="CH59" s="214">
        <f t="shared" si="181"/>
        <v>1.0431901937093663E-3</v>
      </c>
      <c r="CI59" s="214">
        <f t="shared" si="182"/>
        <v>0.17000038478311061</v>
      </c>
      <c r="CJ59" s="214">
        <f t="shared" si="183"/>
        <v>3.0000086702128816E-2</v>
      </c>
      <c r="CK59" s="214">
        <f t="shared" si="184"/>
        <v>0.15599913213278369</v>
      </c>
      <c r="CL59" s="208"/>
      <c r="CM59" s="214">
        <f t="shared" si="186"/>
        <v>0.19826100579664735</v>
      </c>
      <c r="CN59" s="202"/>
      <c r="CO59" s="187"/>
    </row>
    <row r="60" spans="1:93" x14ac:dyDescent="0.3">
      <c r="A60" s="168" t="s">
        <v>210</v>
      </c>
      <c r="B60" s="214">
        <f t="shared" si="187"/>
        <v>0</v>
      </c>
      <c r="C60" s="214">
        <f t="shared" si="101"/>
        <v>0</v>
      </c>
      <c r="D60" s="214">
        <f t="shared" si="102"/>
        <v>6.9623775471474041E-4</v>
      </c>
      <c r="E60" s="214">
        <f t="shared" si="103"/>
        <v>0</v>
      </c>
      <c r="F60" s="214">
        <f t="shared" si="104"/>
        <v>0</v>
      </c>
      <c r="G60" s="208"/>
      <c r="H60" s="214">
        <f t="shared" si="106"/>
        <v>0</v>
      </c>
      <c r="I60" s="214">
        <f t="shared" si="107"/>
        <v>0</v>
      </c>
      <c r="J60" s="214">
        <f t="shared" si="108"/>
        <v>4.9999233480221235E-2</v>
      </c>
      <c r="K60" s="214">
        <f t="shared" si="109"/>
        <v>1.5342835662887216E-3</v>
      </c>
      <c r="L60" s="214">
        <f t="shared" si="110"/>
        <v>0</v>
      </c>
      <c r="M60" s="214">
        <f t="shared" si="111"/>
        <v>0</v>
      </c>
      <c r="N60" s="214">
        <f t="shared" si="112"/>
        <v>6.5891169931916072E-2</v>
      </c>
      <c r="O60" s="214">
        <f t="shared" si="113"/>
        <v>4.8537953492796037E-5</v>
      </c>
      <c r="P60" s="214">
        <f t="shared" si="114"/>
        <v>1.0321483865092132E-3</v>
      </c>
      <c r="Q60" s="214">
        <f t="shared" si="115"/>
        <v>0</v>
      </c>
      <c r="R60" s="214">
        <f t="shared" si="116"/>
        <v>0</v>
      </c>
      <c r="S60" s="214">
        <f t="shared" si="117"/>
        <v>3.9906331361044191E-2</v>
      </c>
      <c r="T60" s="214">
        <f t="shared" si="118"/>
        <v>0</v>
      </c>
      <c r="U60" s="214">
        <f t="shared" si="119"/>
        <v>0</v>
      </c>
      <c r="V60" s="214">
        <f t="shared" si="120"/>
        <v>0</v>
      </c>
      <c r="W60" s="214">
        <f t="shared" si="121"/>
        <v>0</v>
      </c>
      <c r="X60" s="214">
        <f t="shared" si="122"/>
        <v>0.12942925128585819</v>
      </c>
      <c r="Y60" s="214">
        <f t="shared" si="123"/>
        <v>0</v>
      </c>
      <c r="Z60" s="214">
        <f t="shared" si="124"/>
        <v>0</v>
      </c>
      <c r="AA60" s="214">
        <f t="shared" si="125"/>
        <v>0</v>
      </c>
      <c r="AB60" s="214">
        <f t="shared" si="126"/>
        <v>5.1766200357638355E-2</v>
      </c>
      <c r="AC60" s="214">
        <f t="shared" si="127"/>
        <v>0</v>
      </c>
      <c r="AD60" s="214">
        <f t="shared" si="128"/>
        <v>0</v>
      </c>
      <c r="AE60" s="214">
        <f t="shared" si="129"/>
        <v>1.7091696690255561E-3</v>
      </c>
      <c r="AF60" s="214">
        <f t="shared" si="130"/>
        <v>0</v>
      </c>
      <c r="AG60" s="214">
        <f t="shared" si="131"/>
        <v>2.0633198768500397E-2</v>
      </c>
      <c r="AH60" s="214">
        <f t="shared" si="132"/>
        <v>0</v>
      </c>
      <c r="AI60" s="214">
        <f t="shared" si="133"/>
        <v>0</v>
      </c>
      <c r="AJ60" s="208"/>
      <c r="AK60" s="214">
        <f t="shared" si="134"/>
        <v>0.16096706266892954</v>
      </c>
      <c r="AL60" s="214">
        <f t="shared" si="135"/>
        <v>5.7158520200404767E-3</v>
      </c>
      <c r="AM60" s="208"/>
      <c r="AN60" s="214">
        <f t="shared" si="136"/>
        <v>0</v>
      </c>
      <c r="AO60" s="214">
        <f t="shared" si="137"/>
        <v>0</v>
      </c>
      <c r="AP60" s="214">
        <f t="shared" si="138"/>
        <v>0.13362542362705987</v>
      </c>
      <c r="AQ60" s="208"/>
      <c r="AR60" s="214">
        <f t="shared" si="139"/>
        <v>0</v>
      </c>
      <c r="AS60" s="214">
        <f t="shared" si="140"/>
        <v>0</v>
      </c>
      <c r="AT60" s="214">
        <f t="shared" si="141"/>
        <v>6.4658068324300752E-2</v>
      </c>
      <c r="AU60" s="214">
        <f t="shared" si="142"/>
        <v>0</v>
      </c>
      <c r="AV60" s="214">
        <f t="shared" si="143"/>
        <v>0</v>
      </c>
      <c r="AW60" s="214">
        <f t="shared" si="144"/>
        <v>0</v>
      </c>
      <c r="AX60" s="214">
        <f t="shared" si="145"/>
        <v>0</v>
      </c>
      <c r="AY60" s="214">
        <f t="shared" si="146"/>
        <v>7.5939862372125366E-3</v>
      </c>
      <c r="AZ60" s="214">
        <f t="shared" si="147"/>
        <v>0</v>
      </c>
      <c r="BA60" s="214">
        <f t="shared" si="148"/>
        <v>0</v>
      </c>
      <c r="BB60" s="214">
        <f t="shared" si="149"/>
        <v>8.6709325582415189E-4</v>
      </c>
      <c r="BC60" s="214">
        <f t="shared" si="150"/>
        <v>0</v>
      </c>
      <c r="BD60" s="214">
        <f t="shared" si="151"/>
        <v>0</v>
      </c>
      <c r="BE60" s="214">
        <f t="shared" si="152"/>
        <v>0</v>
      </c>
      <c r="BF60" s="214">
        <f t="shared" si="153"/>
        <v>0.12528441794373696</v>
      </c>
      <c r="BG60" s="214">
        <f t="shared" si="154"/>
        <v>0</v>
      </c>
      <c r="BH60" s="214">
        <f t="shared" si="155"/>
        <v>0</v>
      </c>
      <c r="BI60" s="214">
        <f t="shared" si="156"/>
        <v>5.615767968859435E-2</v>
      </c>
      <c r="BJ60" s="214">
        <f t="shared" si="157"/>
        <v>1.8469656992084433E-2</v>
      </c>
      <c r="BK60" s="214">
        <f t="shared" si="158"/>
        <v>0</v>
      </c>
      <c r="BL60" s="214">
        <f t="shared" si="159"/>
        <v>0</v>
      </c>
      <c r="BM60" s="214">
        <f t="shared" si="160"/>
        <v>0</v>
      </c>
      <c r="BN60" s="214">
        <f t="shared" si="161"/>
        <v>0</v>
      </c>
      <c r="BO60" s="214">
        <f t="shared" si="162"/>
        <v>0</v>
      </c>
      <c r="BP60" s="214">
        <f t="shared" si="163"/>
        <v>9.2210581914209402E-2</v>
      </c>
      <c r="BQ60" s="214">
        <f t="shared" si="164"/>
        <v>0</v>
      </c>
      <c r="BR60" s="214">
        <f t="shared" si="165"/>
        <v>3.1870589338082669E-4</v>
      </c>
      <c r="BS60" s="214">
        <f t="shared" si="166"/>
        <v>0</v>
      </c>
      <c r="BT60" s="214">
        <f t="shared" si="167"/>
        <v>9.2531905495266409E-3</v>
      </c>
      <c r="BU60" s="214">
        <f t="shared" si="168"/>
        <v>0</v>
      </c>
      <c r="BV60" s="214">
        <f t="shared" si="169"/>
        <v>8.3649170980215681E-2</v>
      </c>
      <c r="BW60" s="214">
        <f t="shared" si="170"/>
        <v>0</v>
      </c>
      <c r="BX60" s="214">
        <f t="shared" si="171"/>
        <v>0</v>
      </c>
      <c r="BY60" s="214">
        <f t="shared" si="172"/>
        <v>0</v>
      </c>
      <c r="BZ60" s="214">
        <f t="shared" si="173"/>
        <v>0</v>
      </c>
      <c r="CA60" s="214">
        <f t="shared" si="174"/>
        <v>2.4501095583508225E-2</v>
      </c>
      <c r="CB60" s="214">
        <f t="shared" si="175"/>
        <v>0</v>
      </c>
      <c r="CC60" s="214">
        <f t="shared" si="176"/>
        <v>0</v>
      </c>
      <c r="CD60" s="214">
        <f t="shared" si="177"/>
        <v>0</v>
      </c>
      <c r="CE60" s="214">
        <f t="shared" si="178"/>
        <v>0</v>
      </c>
      <c r="CF60" s="214">
        <f t="shared" si="179"/>
        <v>0</v>
      </c>
      <c r="CG60" s="214">
        <f t="shared" si="180"/>
        <v>0</v>
      </c>
      <c r="CH60" s="214">
        <f t="shared" si="181"/>
        <v>0</v>
      </c>
      <c r="CI60" s="214">
        <f t="shared" si="182"/>
        <v>0</v>
      </c>
      <c r="CJ60" s="214">
        <f t="shared" si="183"/>
        <v>0</v>
      </c>
      <c r="CK60" s="214">
        <f t="shared" si="184"/>
        <v>0</v>
      </c>
      <c r="CL60" s="208"/>
      <c r="CM60" s="214">
        <f t="shared" si="186"/>
        <v>0</v>
      </c>
      <c r="CN60" s="202"/>
      <c r="CO60" s="187"/>
    </row>
    <row r="61" spans="1:93" x14ac:dyDescent="0.3">
      <c r="A61" s="168" t="s">
        <v>211</v>
      </c>
      <c r="B61" s="214">
        <f t="shared" si="187"/>
        <v>4.5714196946460804E-3</v>
      </c>
      <c r="C61" s="214">
        <f t="shared" si="101"/>
        <v>4.5714196946460795E-3</v>
      </c>
      <c r="D61" s="214">
        <f t="shared" si="102"/>
        <v>3.3698838749938877E-2</v>
      </c>
      <c r="E61" s="214">
        <f t="shared" si="103"/>
        <v>1.0001248778767822E-2</v>
      </c>
      <c r="F61" s="214">
        <f t="shared" si="104"/>
        <v>5.0422376777943284E-2</v>
      </c>
      <c r="G61" s="208"/>
      <c r="H61" s="214">
        <f t="shared" si="106"/>
        <v>1.5535435475104106E-2</v>
      </c>
      <c r="I61" s="214">
        <f t="shared" si="107"/>
        <v>8.1439592670873862E-3</v>
      </c>
      <c r="J61" s="214">
        <f t="shared" si="108"/>
        <v>0</v>
      </c>
      <c r="K61" s="214">
        <f t="shared" si="109"/>
        <v>1.5342835662887215E-4</v>
      </c>
      <c r="L61" s="214">
        <f t="shared" si="110"/>
        <v>1.9925341291005136E-2</v>
      </c>
      <c r="M61" s="214">
        <f t="shared" si="111"/>
        <v>1.7606817927677126E-3</v>
      </c>
      <c r="N61" s="214">
        <f t="shared" si="112"/>
        <v>5.7257653651984625E-3</v>
      </c>
      <c r="O61" s="214">
        <f t="shared" si="113"/>
        <v>0.22062706133089111</v>
      </c>
      <c r="P61" s="214">
        <f t="shared" si="114"/>
        <v>1.7292280137215017E-2</v>
      </c>
      <c r="Q61" s="214">
        <f t="shared" si="115"/>
        <v>1.0000365477038906E-2</v>
      </c>
      <c r="R61" s="214">
        <f t="shared" si="116"/>
        <v>6.281042570630023E-3</v>
      </c>
      <c r="S61" s="214">
        <f t="shared" si="117"/>
        <v>0</v>
      </c>
      <c r="T61" s="214">
        <f t="shared" si="118"/>
        <v>8.6580619536110806E-2</v>
      </c>
      <c r="U61" s="214">
        <f t="shared" si="119"/>
        <v>1.9988524001642838E-3</v>
      </c>
      <c r="V61" s="214">
        <f t="shared" si="120"/>
        <v>1.9998782788631247E-2</v>
      </c>
      <c r="W61" s="214">
        <f t="shared" si="121"/>
        <v>4.6993082061906662E-3</v>
      </c>
      <c r="X61" s="214">
        <f t="shared" si="122"/>
        <v>0.22970133623203773</v>
      </c>
      <c r="Y61" s="214">
        <f t="shared" si="123"/>
        <v>0</v>
      </c>
      <c r="Z61" s="214">
        <f t="shared" si="124"/>
        <v>0.15105221874609578</v>
      </c>
      <c r="AA61" s="214">
        <f t="shared" si="125"/>
        <v>3.0395663539164383E-2</v>
      </c>
      <c r="AB61" s="214">
        <f t="shared" si="126"/>
        <v>4.1044575628680587E-2</v>
      </c>
      <c r="AC61" s="214">
        <f t="shared" si="127"/>
        <v>4.1902314552482557E-3</v>
      </c>
      <c r="AD61" s="214">
        <f t="shared" si="128"/>
        <v>2.1229462802289096E-4</v>
      </c>
      <c r="AE61" s="214">
        <f t="shared" si="129"/>
        <v>6.0664048789706874E-2</v>
      </c>
      <c r="AF61" s="214">
        <f t="shared" si="130"/>
        <v>0.18492795816502874</v>
      </c>
      <c r="AG61" s="214">
        <f t="shared" si="131"/>
        <v>6.5903875521631544E-2</v>
      </c>
      <c r="AH61" s="214">
        <f t="shared" si="132"/>
        <v>0</v>
      </c>
      <c r="AI61" s="214">
        <f t="shared" si="133"/>
        <v>1.1283799274161803E-2</v>
      </c>
      <c r="AJ61" s="208"/>
      <c r="AK61" s="214">
        <f t="shared" si="134"/>
        <v>2.9282167326670439E-2</v>
      </c>
      <c r="AL61" s="214">
        <f t="shared" si="135"/>
        <v>6.7820770569305897E-2</v>
      </c>
      <c r="AM61" s="208"/>
      <c r="AN61" s="214">
        <f t="shared" si="136"/>
        <v>0</v>
      </c>
      <c r="AO61" s="214">
        <f t="shared" si="137"/>
        <v>0.15914191763661989</v>
      </c>
      <c r="AP61" s="214">
        <f t="shared" si="138"/>
        <v>3.6943693356986204E-2</v>
      </c>
      <c r="AQ61" s="208"/>
      <c r="AR61" s="214">
        <f t="shared" si="139"/>
        <v>1.5288584068455076E-2</v>
      </c>
      <c r="AS61" s="214">
        <f t="shared" si="140"/>
        <v>1.351726151375812E-2</v>
      </c>
      <c r="AT61" s="214">
        <f t="shared" si="141"/>
        <v>0.11444179388416112</v>
      </c>
      <c r="AU61" s="214">
        <f t="shared" si="142"/>
        <v>9.2539040986331961E-4</v>
      </c>
      <c r="AV61" s="214">
        <f t="shared" si="143"/>
        <v>2.9399180691784149E-3</v>
      </c>
      <c r="AW61" s="214">
        <f t="shared" si="144"/>
        <v>9.9989159842637045E-4</v>
      </c>
      <c r="AX61" s="214">
        <f t="shared" si="145"/>
        <v>0.2085891007919029</v>
      </c>
      <c r="AY61" s="214">
        <f t="shared" si="146"/>
        <v>6.6609756382791416E-2</v>
      </c>
      <c r="AZ61" s="214">
        <f t="shared" si="147"/>
        <v>6.0347042222396147E-2</v>
      </c>
      <c r="BA61" s="214">
        <f t="shared" si="148"/>
        <v>6.9518478766455647E-4</v>
      </c>
      <c r="BB61" s="214">
        <f t="shared" si="149"/>
        <v>8.2262835839040389E-3</v>
      </c>
      <c r="BC61" s="214">
        <f t="shared" si="150"/>
        <v>1.8321367022381397E-3</v>
      </c>
      <c r="BD61" s="214">
        <f t="shared" si="151"/>
        <v>3.8555382314570272E-2</v>
      </c>
      <c r="BE61" s="214">
        <f t="shared" si="152"/>
        <v>0</v>
      </c>
      <c r="BF61" s="214">
        <f t="shared" si="153"/>
        <v>0</v>
      </c>
      <c r="BG61" s="214">
        <f t="shared" si="154"/>
        <v>9.9990837193336592E-3</v>
      </c>
      <c r="BH61" s="214">
        <f t="shared" si="155"/>
        <v>0</v>
      </c>
      <c r="BI61" s="214">
        <f t="shared" si="156"/>
        <v>1.8555309817445739E-3</v>
      </c>
      <c r="BJ61" s="214">
        <f t="shared" si="157"/>
        <v>9.925335429180936E-3</v>
      </c>
      <c r="BK61" s="214">
        <f t="shared" si="158"/>
        <v>2.2571840845637034E-3</v>
      </c>
      <c r="BL61" s="214">
        <f t="shared" si="159"/>
        <v>1.7343853971749423E-2</v>
      </c>
      <c r="BM61" s="214">
        <f t="shared" si="160"/>
        <v>3.0721325004078263E-2</v>
      </c>
      <c r="BN61" s="214">
        <f t="shared" si="161"/>
        <v>1.7027679473178584E-2</v>
      </c>
      <c r="BO61" s="214">
        <f t="shared" si="162"/>
        <v>1.3084309853022573E-3</v>
      </c>
      <c r="BP61" s="214">
        <f t="shared" si="163"/>
        <v>8.700620136289642E-3</v>
      </c>
      <c r="BQ61" s="214">
        <f t="shared" si="164"/>
        <v>1.9999197141824892E-2</v>
      </c>
      <c r="BR61" s="214">
        <f t="shared" si="165"/>
        <v>0.31412349183818311</v>
      </c>
      <c r="BS61" s="214">
        <f t="shared" si="166"/>
        <v>0</v>
      </c>
      <c r="BT61" s="214">
        <f t="shared" si="167"/>
        <v>1.1911285412413595E-2</v>
      </c>
      <c r="BU61" s="214">
        <f t="shared" si="168"/>
        <v>7.2096376575654688E-5</v>
      </c>
      <c r="BV61" s="214">
        <f t="shared" si="169"/>
        <v>1.0375440126773401E-3</v>
      </c>
      <c r="BW61" s="214">
        <f t="shared" si="170"/>
        <v>1.5039067673155875E-2</v>
      </c>
      <c r="BX61" s="214">
        <f t="shared" si="171"/>
        <v>7.030917557233346E-2</v>
      </c>
      <c r="BY61" s="214">
        <f t="shared" si="172"/>
        <v>4.6040576217543034E-3</v>
      </c>
      <c r="BZ61" s="214">
        <f t="shared" si="173"/>
        <v>0</v>
      </c>
      <c r="CA61" s="214">
        <f t="shared" si="174"/>
        <v>8.1665346596680576E-3</v>
      </c>
      <c r="CB61" s="214">
        <f t="shared" si="175"/>
        <v>5.1594280660963226E-3</v>
      </c>
      <c r="CC61" s="214">
        <f t="shared" si="176"/>
        <v>6.8424094704159924E-3</v>
      </c>
      <c r="CD61" s="214">
        <f t="shared" si="177"/>
        <v>1.3862095255697904E-3</v>
      </c>
      <c r="CE61" s="214">
        <f t="shared" si="178"/>
        <v>5.0423557886244454E-4</v>
      </c>
      <c r="CF61" s="214">
        <f t="shared" si="179"/>
        <v>2.9346619563399342E-3</v>
      </c>
      <c r="CG61" s="214">
        <f t="shared" si="180"/>
        <v>3.4362704333039583E-2</v>
      </c>
      <c r="CH61" s="214">
        <f t="shared" si="181"/>
        <v>0</v>
      </c>
      <c r="CI61" s="214">
        <f t="shared" si="182"/>
        <v>1.9999102172741964E-2</v>
      </c>
      <c r="CJ61" s="214">
        <f t="shared" si="183"/>
        <v>9.9961066615486863E-4</v>
      </c>
      <c r="CK61" s="214">
        <f t="shared" si="184"/>
        <v>3.9994214218557894E-2</v>
      </c>
      <c r="CL61" s="208"/>
      <c r="CM61" s="214">
        <f t="shared" si="186"/>
        <v>7.0246334473002742E-2</v>
      </c>
      <c r="CN61" s="202"/>
      <c r="CO61" s="187"/>
    </row>
    <row r="62" spans="1:93" x14ac:dyDescent="0.3">
      <c r="A62" s="168" t="s">
        <v>212</v>
      </c>
      <c r="B62" s="214">
        <f t="shared" si="187"/>
        <v>0</v>
      </c>
      <c r="C62" s="214">
        <f t="shared" si="101"/>
        <v>0</v>
      </c>
      <c r="D62" s="214">
        <f t="shared" si="102"/>
        <v>0</v>
      </c>
      <c r="E62" s="214">
        <f t="shared" si="103"/>
        <v>0</v>
      </c>
      <c r="F62" s="214">
        <f t="shared" si="104"/>
        <v>0</v>
      </c>
      <c r="G62" s="208"/>
      <c r="H62" s="214">
        <f t="shared" si="106"/>
        <v>0</v>
      </c>
      <c r="I62" s="214">
        <f t="shared" si="107"/>
        <v>0</v>
      </c>
      <c r="J62" s="214">
        <f t="shared" si="108"/>
        <v>0</v>
      </c>
      <c r="K62" s="214">
        <f t="shared" si="109"/>
        <v>0</v>
      </c>
      <c r="L62" s="214">
        <f t="shared" si="110"/>
        <v>4.0073751623266936E-2</v>
      </c>
      <c r="M62" s="214">
        <f t="shared" si="111"/>
        <v>0</v>
      </c>
      <c r="N62" s="214">
        <f t="shared" si="112"/>
        <v>3.2994071603909034E-2</v>
      </c>
      <c r="O62" s="214">
        <f t="shared" si="113"/>
        <v>0</v>
      </c>
      <c r="P62" s="214">
        <f t="shared" si="114"/>
        <v>0</v>
      </c>
      <c r="Q62" s="214">
        <f t="shared" si="115"/>
        <v>0</v>
      </c>
      <c r="R62" s="214">
        <f t="shared" si="116"/>
        <v>0</v>
      </c>
      <c r="S62" s="214">
        <f t="shared" si="117"/>
        <v>8.5823396410356911E-2</v>
      </c>
      <c r="T62" s="214">
        <f t="shared" si="118"/>
        <v>0</v>
      </c>
      <c r="U62" s="214">
        <f t="shared" si="119"/>
        <v>2.999969171928157E-2</v>
      </c>
      <c r="V62" s="214">
        <f t="shared" si="120"/>
        <v>0</v>
      </c>
      <c r="W62" s="214">
        <f t="shared" si="121"/>
        <v>6.6039015007014886E-5</v>
      </c>
      <c r="X62" s="214">
        <f t="shared" si="122"/>
        <v>0</v>
      </c>
      <c r="Y62" s="214">
        <f t="shared" si="123"/>
        <v>0</v>
      </c>
      <c r="Z62" s="214">
        <f t="shared" si="124"/>
        <v>0</v>
      </c>
      <c r="AA62" s="214">
        <f t="shared" si="125"/>
        <v>0</v>
      </c>
      <c r="AB62" s="214">
        <f t="shared" si="126"/>
        <v>3.0482220207144611E-2</v>
      </c>
      <c r="AC62" s="214">
        <f t="shared" si="127"/>
        <v>0</v>
      </c>
      <c r="AD62" s="214">
        <f t="shared" si="128"/>
        <v>0</v>
      </c>
      <c r="AE62" s="214">
        <f t="shared" si="129"/>
        <v>0.10109869836117702</v>
      </c>
      <c r="AF62" s="214">
        <f t="shared" si="130"/>
        <v>3.9049192655423746E-2</v>
      </c>
      <c r="AG62" s="214">
        <f t="shared" si="131"/>
        <v>0</v>
      </c>
      <c r="AH62" s="214">
        <f t="shared" si="132"/>
        <v>0</v>
      </c>
      <c r="AI62" s="214">
        <f t="shared" si="133"/>
        <v>5.6630086382531433E-2</v>
      </c>
      <c r="AJ62" s="208"/>
      <c r="AK62" s="214">
        <f t="shared" si="134"/>
        <v>0</v>
      </c>
      <c r="AL62" s="214">
        <f t="shared" si="135"/>
        <v>3.8274209220783489E-4</v>
      </c>
      <c r="AM62" s="208"/>
      <c r="AN62" s="214">
        <f t="shared" si="136"/>
        <v>1.2817869960727102E-3</v>
      </c>
      <c r="AO62" s="214">
        <f t="shared" si="137"/>
        <v>0</v>
      </c>
      <c r="AP62" s="214">
        <f t="shared" si="138"/>
        <v>0</v>
      </c>
      <c r="AQ62" s="208"/>
      <c r="AR62" s="214">
        <f t="shared" si="139"/>
        <v>0</v>
      </c>
      <c r="AS62" s="214">
        <f t="shared" si="140"/>
        <v>0</v>
      </c>
      <c r="AT62" s="214">
        <f t="shared" si="141"/>
        <v>1.7654611316952496E-2</v>
      </c>
      <c r="AU62" s="214">
        <f t="shared" si="142"/>
        <v>0</v>
      </c>
      <c r="AV62" s="214">
        <f t="shared" si="143"/>
        <v>0</v>
      </c>
      <c r="AW62" s="214">
        <f t="shared" si="144"/>
        <v>0</v>
      </c>
      <c r="AX62" s="214">
        <f t="shared" si="145"/>
        <v>0</v>
      </c>
      <c r="AY62" s="214">
        <f t="shared" si="146"/>
        <v>0.12611507474674538</v>
      </c>
      <c r="AZ62" s="214">
        <f t="shared" si="147"/>
        <v>6.2263186729709452E-3</v>
      </c>
      <c r="BA62" s="214">
        <f t="shared" si="148"/>
        <v>0</v>
      </c>
      <c r="BB62" s="214">
        <f t="shared" si="149"/>
        <v>0.39648671798541252</v>
      </c>
      <c r="BC62" s="214">
        <f t="shared" si="150"/>
        <v>0</v>
      </c>
      <c r="BD62" s="214">
        <f t="shared" si="151"/>
        <v>3.4768829350558438E-2</v>
      </c>
      <c r="BE62" s="214">
        <f t="shared" si="152"/>
        <v>0</v>
      </c>
      <c r="BF62" s="214">
        <f t="shared" si="153"/>
        <v>0</v>
      </c>
      <c r="BG62" s="214">
        <f t="shared" si="154"/>
        <v>0</v>
      </c>
      <c r="BH62" s="214">
        <f t="shared" si="155"/>
        <v>0.15306135116569697</v>
      </c>
      <c r="BI62" s="214">
        <f t="shared" si="156"/>
        <v>0.11533047391504211</v>
      </c>
      <c r="BJ62" s="214">
        <f t="shared" si="157"/>
        <v>0</v>
      </c>
      <c r="BK62" s="214">
        <f t="shared" si="158"/>
        <v>0</v>
      </c>
      <c r="BL62" s="214">
        <f t="shared" si="159"/>
        <v>1.8493468572541114E-3</v>
      </c>
      <c r="BM62" s="214">
        <f t="shared" si="160"/>
        <v>0</v>
      </c>
      <c r="BN62" s="214">
        <f t="shared" si="161"/>
        <v>0</v>
      </c>
      <c r="BO62" s="214">
        <f t="shared" si="162"/>
        <v>0</v>
      </c>
      <c r="BP62" s="214">
        <f t="shared" si="163"/>
        <v>0</v>
      </c>
      <c r="BQ62" s="214">
        <f t="shared" si="164"/>
        <v>0</v>
      </c>
      <c r="BR62" s="214">
        <f t="shared" si="165"/>
        <v>1.9687453968424008E-2</v>
      </c>
      <c r="BS62" s="214">
        <f t="shared" si="166"/>
        <v>0</v>
      </c>
      <c r="BT62" s="214">
        <f t="shared" si="167"/>
        <v>1.0708785501951936E-3</v>
      </c>
      <c r="BU62" s="214">
        <f t="shared" si="168"/>
        <v>0</v>
      </c>
      <c r="BV62" s="214">
        <f t="shared" si="169"/>
        <v>0</v>
      </c>
      <c r="BW62" s="214">
        <f t="shared" si="170"/>
        <v>0</v>
      </c>
      <c r="BX62" s="214">
        <f t="shared" si="171"/>
        <v>9.765230817862397E-2</v>
      </c>
      <c r="BY62" s="214">
        <f t="shared" si="172"/>
        <v>0</v>
      </c>
      <c r="BZ62" s="214">
        <f t="shared" si="173"/>
        <v>0.2199547218628719</v>
      </c>
      <c r="CA62" s="214">
        <f t="shared" si="174"/>
        <v>0</v>
      </c>
      <c r="CB62" s="214">
        <f t="shared" si="175"/>
        <v>0.11937977563815938</v>
      </c>
      <c r="CC62" s="214">
        <f t="shared" si="176"/>
        <v>0</v>
      </c>
      <c r="CD62" s="214">
        <f t="shared" si="177"/>
        <v>0</v>
      </c>
      <c r="CE62" s="214">
        <f t="shared" si="178"/>
        <v>0</v>
      </c>
      <c r="CF62" s="214">
        <f t="shared" si="179"/>
        <v>0</v>
      </c>
      <c r="CG62" s="214">
        <f t="shared" si="180"/>
        <v>2.8857969143694069E-3</v>
      </c>
      <c r="CH62" s="214">
        <f t="shared" si="181"/>
        <v>1.8335316757359108E-3</v>
      </c>
      <c r="CI62" s="214">
        <f t="shared" si="182"/>
        <v>0</v>
      </c>
      <c r="CJ62" s="214">
        <f t="shared" si="183"/>
        <v>0</v>
      </c>
      <c r="CK62" s="214">
        <f t="shared" si="184"/>
        <v>0</v>
      </c>
      <c r="CL62" s="208"/>
      <c r="CM62" s="214">
        <f t="shared" si="186"/>
        <v>0</v>
      </c>
      <c r="CN62" s="202"/>
      <c r="CO62" s="187"/>
    </row>
    <row r="63" spans="1:93" x14ac:dyDescent="0.3">
      <c r="A63" s="168" t="s">
        <v>80</v>
      </c>
      <c r="B63" s="214">
        <f t="shared" si="187"/>
        <v>0</v>
      </c>
      <c r="C63" s="214">
        <f t="shared" si="101"/>
        <v>0</v>
      </c>
      <c r="D63" s="214">
        <f t="shared" si="102"/>
        <v>0</v>
      </c>
      <c r="E63" s="214">
        <f t="shared" si="103"/>
        <v>0</v>
      </c>
      <c r="F63" s="214">
        <f t="shared" si="104"/>
        <v>0</v>
      </c>
      <c r="G63" s="208"/>
      <c r="H63" s="214">
        <f t="shared" si="106"/>
        <v>0</v>
      </c>
      <c r="I63" s="214">
        <f t="shared" si="107"/>
        <v>0</v>
      </c>
      <c r="J63" s="214">
        <f t="shared" si="108"/>
        <v>0</v>
      </c>
      <c r="K63" s="214">
        <f t="shared" si="109"/>
        <v>0</v>
      </c>
      <c r="L63" s="214">
        <f t="shared" si="110"/>
        <v>0</v>
      </c>
      <c r="M63" s="214">
        <f t="shared" si="111"/>
        <v>0</v>
      </c>
      <c r="N63" s="214">
        <f t="shared" si="112"/>
        <v>0</v>
      </c>
      <c r="O63" s="214">
        <f t="shared" si="113"/>
        <v>0</v>
      </c>
      <c r="P63" s="214">
        <f t="shared" si="114"/>
        <v>6.4509274156825824E-5</v>
      </c>
      <c r="Q63" s="214">
        <f t="shared" si="115"/>
        <v>0</v>
      </c>
      <c r="R63" s="214">
        <f t="shared" si="116"/>
        <v>0</v>
      </c>
      <c r="S63" s="214">
        <f t="shared" si="117"/>
        <v>0</v>
      </c>
      <c r="T63" s="214">
        <f t="shared" si="118"/>
        <v>0</v>
      </c>
      <c r="U63" s="214">
        <f t="shared" si="119"/>
        <v>0</v>
      </c>
      <c r="V63" s="214">
        <f t="shared" si="120"/>
        <v>0</v>
      </c>
      <c r="W63" s="214">
        <f t="shared" si="121"/>
        <v>0</v>
      </c>
      <c r="X63" s="214">
        <f t="shared" si="122"/>
        <v>3.0035394241476211E-2</v>
      </c>
      <c r="Y63" s="214">
        <f t="shared" si="123"/>
        <v>0</v>
      </c>
      <c r="Z63" s="214">
        <f t="shared" si="124"/>
        <v>0.10085045601082937</v>
      </c>
      <c r="AA63" s="214">
        <f t="shared" si="125"/>
        <v>0</v>
      </c>
      <c r="AB63" s="214">
        <f t="shared" si="126"/>
        <v>1.3739165530341415E-4</v>
      </c>
      <c r="AC63" s="214">
        <f t="shared" si="127"/>
        <v>0</v>
      </c>
      <c r="AD63" s="214">
        <f t="shared" si="128"/>
        <v>0</v>
      </c>
      <c r="AE63" s="214">
        <f t="shared" si="129"/>
        <v>4.6107382953001208E-2</v>
      </c>
      <c r="AF63" s="214">
        <f t="shared" si="130"/>
        <v>0</v>
      </c>
      <c r="AG63" s="214">
        <f t="shared" si="131"/>
        <v>0</v>
      </c>
      <c r="AH63" s="214">
        <f t="shared" si="132"/>
        <v>0</v>
      </c>
      <c r="AI63" s="214">
        <f t="shared" si="133"/>
        <v>0</v>
      </c>
      <c r="AJ63" s="208"/>
      <c r="AK63" s="214">
        <f t="shared" si="134"/>
        <v>0</v>
      </c>
      <c r="AL63" s="214">
        <f t="shared" si="135"/>
        <v>0</v>
      </c>
      <c r="AM63" s="208"/>
      <c r="AN63" s="214">
        <f t="shared" si="136"/>
        <v>0</v>
      </c>
      <c r="AO63" s="214">
        <f t="shared" si="137"/>
        <v>0</v>
      </c>
      <c r="AP63" s="214">
        <f t="shared" si="138"/>
        <v>0</v>
      </c>
      <c r="AQ63" s="208"/>
      <c r="AR63" s="214">
        <f t="shared" si="139"/>
        <v>0</v>
      </c>
      <c r="AS63" s="214">
        <f t="shared" si="140"/>
        <v>0</v>
      </c>
      <c r="AT63" s="214">
        <f t="shared" si="141"/>
        <v>0</v>
      </c>
      <c r="AU63" s="214">
        <f t="shared" si="142"/>
        <v>0</v>
      </c>
      <c r="AV63" s="214">
        <f t="shared" si="143"/>
        <v>0</v>
      </c>
      <c r="AW63" s="214">
        <f t="shared" si="144"/>
        <v>0</v>
      </c>
      <c r="AX63" s="214">
        <f t="shared" si="145"/>
        <v>0</v>
      </c>
      <c r="AY63" s="214">
        <f t="shared" si="146"/>
        <v>2.1468053053624796E-2</v>
      </c>
      <c r="AZ63" s="214">
        <f t="shared" si="147"/>
        <v>0</v>
      </c>
      <c r="BA63" s="214">
        <f t="shared" si="148"/>
        <v>0</v>
      </c>
      <c r="BB63" s="214">
        <f t="shared" si="149"/>
        <v>0</v>
      </c>
      <c r="BC63" s="214">
        <f t="shared" si="150"/>
        <v>0</v>
      </c>
      <c r="BD63" s="214">
        <f t="shared" si="151"/>
        <v>1.5570051229834219E-2</v>
      </c>
      <c r="BE63" s="214">
        <f t="shared" si="152"/>
        <v>0</v>
      </c>
      <c r="BF63" s="214">
        <f t="shared" si="153"/>
        <v>0</v>
      </c>
      <c r="BG63" s="214">
        <f t="shared" si="154"/>
        <v>0</v>
      </c>
      <c r="BH63" s="214">
        <f t="shared" si="155"/>
        <v>0</v>
      </c>
      <c r="BI63" s="214">
        <f t="shared" si="156"/>
        <v>1.0683853427849338E-2</v>
      </c>
      <c r="BJ63" s="214">
        <f t="shared" si="157"/>
        <v>0</v>
      </c>
      <c r="BK63" s="214">
        <f t="shared" si="158"/>
        <v>0</v>
      </c>
      <c r="BL63" s="214">
        <f t="shared" si="159"/>
        <v>0</v>
      </c>
      <c r="BM63" s="214">
        <f t="shared" si="160"/>
        <v>0</v>
      </c>
      <c r="BN63" s="214">
        <f t="shared" si="161"/>
        <v>0</v>
      </c>
      <c r="BO63" s="214">
        <f t="shared" si="162"/>
        <v>0</v>
      </c>
      <c r="BP63" s="214">
        <f t="shared" si="163"/>
        <v>0</v>
      </c>
      <c r="BQ63" s="214">
        <f t="shared" si="164"/>
        <v>0</v>
      </c>
      <c r="BR63" s="214">
        <f t="shared" si="165"/>
        <v>0</v>
      </c>
      <c r="BS63" s="214">
        <f t="shared" si="166"/>
        <v>0</v>
      </c>
      <c r="BT63" s="214">
        <f t="shared" si="167"/>
        <v>0</v>
      </c>
      <c r="BU63" s="214">
        <f t="shared" si="168"/>
        <v>0</v>
      </c>
      <c r="BV63" s="214">
        <f t="shared" si="169"/>
        <v>0</v>
      </c>
      <c r="BW63" s="214">
        <f t="shared" si="170"/>
        <v>0</v>
      </c>
      <c r="BX63" s="214">
        <f t="shared" si="171"/>
        <v>9.765230817862397E-2</v>
      </c>
      <c r="BY63" s="214">
        <f t="shared" si="172"/>
        <v>0</v>
      </c>
      <c r="BZ63" s="214">
        <f t="shared" si="173"/>
        <v>0</v>
      </c>
      <c r="CA63" s="214">
        <f t="shared" si="174"/>
        <v>0</v>
      </c>
      <c r="CB63" s="214">
        <f t="shared" si="175"/>
        <v>0</v>
      </c>
      <c r="CC63" s="214">
        <f t="shared" si="176"/>
        <v>0</v>
      </c>
      <c r="CD63" s="214">
        <f t="shared" si="177"/>
        <v>0</v>
      </c>
      <c r="CE63" s="214">
        <f t="shared" si="178"/>
        <v>0</v>
      </c>
      <c r="CF63" s="214">
        <f t="shared" si="179"/>
        <v>0</v>
      </c>
      <c r="CG63" s="214">
        <f t="shared" si="180"/>
        <v>0</v>
      </c>
      <c r="CH63" s="214">
        <f t="shared" si="181"/>
        <v>0</v>
      </c>
      <c r="CI63" s="214">
        <f t="shared" si="182"/>
        <v>0</v>
      </c>
      <c r="CJ63" s="214">
        <f t="shared" si="183"/>
        <v>0</v>
      </c>
      <c r="CK63" s="214">
        <f t="shared" si="184"/>
        <v>0</v>
      </c>
      <c r="CL63" s="208"/>
      <c r="CM63" s="214">
        <f t="shared" si="186"/>
        <v>0</v>
      </c>
      <c r="CN63" s="202"/>
      <c r="CO63" s="187"/>
    </row>
    <row r="64" spans="1:93" s="154" customFormat="1" x14ac:dyDescent="0.3">
      <c r="A64" s="171" t="s">
        <v>1</v>
      </c>
      <c r="B64" s="215">
        <f>SUM(B55:B63)</f>
        <v>1.0000000000000002</v>
      </c>
      <c r="C64" s="215">
        <f t="shared" ref="C64:BN64" si="188">SUM(C55:C63)</f>
        <v>1</v>
      </c>
      <c r="D64" s="215">
        <f t="shared" si="188"/>
        <v>1.0000000000000002</v>
      </c>
      <c r="E64" s="215">
        <f t="shared" si="188"/>
        <v>1</v>
      </c>
      <c r="F64" s="215">
        <f t="shared" si="188"/>
        <v>1.0000000000000002</v>
      </c>
      <c r="G64" s="215" t="e">
        <f t="shared" si="188"/>
        <v>#DIV/0!</v>
      </c>
      <c r="H64" s="215">
        <f t="shared" si="188"/>
        <v>0.99999999999999989</v>
      </c>
      <c r="I64" s="215">
        <f t="shared" si="188"/>
        <v>1</v>
      </c>
      <c r="J64" s="215">
        <f t="shared" si="188"/>
        <v>1</v>
      </c>
      <c r="K64" s="215">
        <f t="shared" si="188"/>
        <v>1</v>
      </c>
      <c r="L64" s="215">
        <f t="shared" si="188"/>
        <v>1</v>
      </c>
      <c r="M64" s="215">
        <f t="shared" si="188"/>
        <v>1.0000000000000002</v>
      </c>
      <c r="N64" s="215">
        <f t="shared" si="188"/>
        <v>1.0000000000000002</v>
      </c>
      <c r="O64" s="215">
        <f t="shared" si="188"/>
        <v>1</v>
      </c>
      <c r="P64" s="215">
        <f t="shared" si="188"/>
        <v>0.99999999999999989</v>
      </c>
      <c r="Q64" s="215">
        <f t="shared" si="188"/>
        <v>0.99999999999999989</v>
      </c>
      <c r="R64" s="215">
        <f t="shared" si="188"/>
        <v>1.0000000000000002</v>
      </c>
      <c r="S64" s="215">
        <f t="shared" si="188"/>
        <v>1.0000000000000002</v>
      </c>
      <c r="T64" s="215">
        <f t="shared" si="188"/>
        <v>1</v>
      </c>
      <c r="U64" s="215">
        <f t="shared" si="188"/>
        <v>1</v>
      </c>
      <c r="V64" s="215">
        <f t="shared" si="188"/>
        <v>1</v>
      </c>
      <c r="W64" s="215">
        <f t="shared" si="188"/>
        <v>1.0000000000000002</v>
      </c>
      <c r="X64" s="215">
        <f t="shared" si="188"/>
        <v>0.99999999999999978</v>
      </c>
      <c r="Y64" s="215">
        <f t="shared" si="188"/>
        <v>1</v>
      </c>
      <c r="Z64" s="215">
        <f t="shared" si="188"/>
        <v>1</v>
      </c>
      <c r="AA64" s="215">
        <f t="shared" si="188"/>
        <v>1</v>
      </c>
      <c r="AB64" s="215">
        <f t="shared" si="188"/>
        <v>1</v>
      </c>
      <c r="AC64" s="215">
        <f t="shared" si="188"/>
        <v>0.99999999999999989</v>
      </c>
      <c r="AD64" s="215">
        <f t="shared" si="188"/>
        <v>1.0000000000000002</v>
      </c>
      <c r="AE64" s="215">
        <f t="shared" si="188"/>
        <v>1</v>
      </c>
      <c r="AF64" s="215">
        <f t="shared" si="188"/>
        <v>0.99999999999999989</v>
      </c>
      <c r="AG64" s="215">
        <f t="shared" si="188"/>
        <v>1</v>
      </c>
      <c r="AH64" s="215">
        <f t="shared" si="188"/>
        <v>0.99999999999999989</v>
      </c>
      <c r="AI64" s="215">
        <f t="shared" si="188"/>
        <v>1</v>
      </c>
      <c r="AJ64" s="215" t="e">
        <f t="shared" si="188"/>
        <v>#DIV/0!</v>
      </c>
      <c r="AK64" s="215">
        <f t="shared" si="188"/>
        <v>1</v>
      </c>
      <c r="AL64" s="215">
        <f t="shared" si="188"/>
        <v>1.0000000000000002</v>
      </c>
      <c r="AM64" s="215" t="e">
        <f t="shared" si="188"/>
        <v>#DIV/0!</v>
      </c>
      <c r="AN64" s="215">
        <f t="shared" si="188"/>
        <v>0.99999999999999989</v>
      </c>
      <c r="AO64" s="215">
        <f t="shared" si="188"/>
        <v>1.0000000000000002</v>
      </c>
      <c r="AP64" s="215">
        <f t="shared" si="188"/>
        <v>0.99999999999999978</v>
      </c>
      <c r="AQ64" s="215" t="e">
        <f t="shared" si="188"/>
        <v>#DIV/0!</v>
      </c>
      <c r="AR64" s="215">
        <f t="shared" si="188"/>
        <v>1.0000000000000002</v>
      </c>
      <c r="AS64" s="215">
        <f t="shared" si="188"/>
        <v>1</v>
      </c>
      <c r="AT64" s="215">
        <f t="shared" si="188"/>
        <v>0.99999999999999989</v>
      </c>
      <c r="AU64" s="215">
        <f t="shared" si="188"/>
        <v>0.99999999999999989</v>
      </c>
      <c r="AV64" s="215">
        <f t="shared" si="188"/>
        <v>1</v>
      </c>
      <c r="AW64" s="215">
        <f t="shared" si="188"/>
        <v>1</v>
      </c>
      <c r="AX64" s="215">
        <f t="shared" si="188"/>
        <v>1</v>
      </c>
      <c r="AY64" s="215">
        <f t="shared" si="188"/>
        <v>0.99999999999999989</v>
      </c>
      <c r="AZ64" s="215">
        <f t="shared" si="188"/>
        <v>1.0000000000000002</v>
      </c>
      <c r="BA64" s="215">
        <f t="shared" si="188"/>
        <v>1</v>
      </c>
      <c r="BB64" s="215">
        <f t="shared" si="188"/>
        <v>0.99999999999999978</v>
      </c>
      <c r="BC64" s="215">
        <f t="shared" si="188"/>
        <v>1</v>
      </c>
      <c r="BD64" s="215">
        <f t="shared" si="188"/>
        <v>1</v>
      </c>
      <c r="BE64" s="215">
        <f t="shared" si="188"/>
        <v>0.99999999999999989</v>
      </c>
      <c r="BF64" s="215">
        <f t="shared" si="188"/>
        <v>1</v>
      </c>
      <c r="BG64" s="215">
        <f t="shared" si="188"/>
        <v>1</v>
      </c>
      <c r="BH64" s="215">
        <f t="shared" si="188"/>
        <v>1</v>
      </c>
      <c r="BI64" s="215">
        <f t="shared" si="188"/>
        <v>1</v>
      </c>
      <c r="BJ64" s="215">
        <f t="shared" si="188"/>
        <v>1</v>
      </c>
      <c r="BK64" s="215">
        <f t="shared" si="188"/>
        <v>1</v>
      </c>
      <c r="BL64" s="215">
        <f t="shared" si="188"/>
        <v>1</v>
      </c>
      <c r="BM64" s="215">
        <f t="shared" si="188"/>
        <v>1</v>
      </c>
      <c r="BN64" s="215">
        <f t="shared" si="188"/>
        <v>1</v>
      </c>
      <c r="BO64" s="215">
        <f t="shared" ref="BO64:CM64" si="189">SUM(BO55:BO63)</f>
        <v>1.0000000000000002</v>
      </c>
      <c r="BP64" s="215">
        <f t="shared" si="189"/>
        <v>0.99999999999999978</v>
      </c>
      <c r="BQ64" s="215">
        <f t="shared" si="189"/>
        <v>0.99999999999999978</v>
      </c>
      <c r="BR64" s="215">
        <f t="shared" si="189"/>
        <v>1</v>
      </c>
      <c r="BS64" s="215">
        <f t="shared" si="189"/>
        <v>1</v>
      </c>
      <c r="BT64" s="215">
        <f t="shared" si="189"/>
        <v>1</v>
      </c>
      <c r="BU64" s="215">
        <f t="shared" si="189"/>
        <v>1</v>
      </c>
      <c r="BV64" s="215">
        <f t="shared" si="189"/>
        <v>1</v>
      </c>
      <c r="BW64" s="215">
        <f t="shared" si="189"/>
        <v>1</v>
      </c>
      <c r="BX64" s="215">
        <f t="shared" si="189"/>
        <v>1</v>
      </c>
      <c r="BY64" s="215">
        <f t="shared" si="189"/>
        <v>0.99999999999999989</v>
      </c>
      <c r="BZ64" s="215">
        <f t="shared" si="189"/>
        <v>1</v>
      </c>
      <c r="CA64" s="215">
        <f t="shared" si="189"/>
        <v>1</v>
      </c>
      <c r="CB64" s="215">
        <f t="shared" si="189"/>
        <v>1</v>
      </c>
      <c r="CC64" s="215">
        <f t="shared" si="189"/>
        <v>1</v>
      </c>
      <c r="CD64" s="215">
        <f t="shared" si="189"/>
        <v>1.0000000000000002</v>
      </c>
      <c r="CE64" s="215">
        <f t="shared" si="189"/>
        <v>1</v>
      </c>
      <c r="CF64" s="215">
        <f t="shared" si="189"/>
        <v>1</v>
      </c>
      <c r="CG64" s="215">
        <f t="shared" si="189"/>
        <v>1</v>
      </c>
      <c r="CH64" s="215">
        <f t="shared" si="189"/>
        <v>1</v>
      </c>
      <c r="CI64" s="215">
        <f t="shared" si="189"/>
        <v>0.99999999999999989</v>
      </c>
      <c r="CJ64" s="215">
        <f t="shared" si="189"/>
        <v>0.99999999999999989</v>
      </c>
      <c r="CK64" s="215">
        <f t="shared" si="189"/>
        <v>1</v>
      </c>
      <c r="CL64" s="215" t="e">
        <f t="shared" si="189"/>
        <v>#DIV/0!</v>
      </c>
      <c r="CM64" s="215">
        <f t="shared" si="189"/>
        <v>1</v>
      </c>
      <c r="CN64" s="197"/>
      <c r="CO64" s="192"/>
    </row>
    <row r="65" spans="1:93" x14ac:dyDescent="0.3">
      <c r="B65" s="202"/>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2"/>
      <c r="BQ65" s="202"/>
      <c r="BR65" s="202"/>
      <c r="BS65" s="202"/>
      <c r="BT65" s="202"/>
      <c r="BU65" s="202"/>
      <c r="BV65" s="202"/>
      <c r="BW65" s="202"/>
      <c r="BX65" s="202"/>
      <c r="BY65" s="202"/>
      <c r="BZ65" s="202"/>
      <c r="CA65" s="202"/>
      <c r="CB65" s="202"/>
      <c r="CC65" s="202"/>
      <c r="CD65" s="202"/>
      <c r="CE65" s="202"/>
      <c r="CF65" s="202"/>
      <c r="CG65" s="202"/>
      <c r="CH65" s="202"/>
      <c r="CI65" s="202"/>
      <c r="CJ65" s="202"/>
      <c r="CK65" s="202"/>
      <c r="CL65" s="202"/>
      <c r="CM65" s="202"/>
      <c r="CN65" s="202"/>
      <c r="CO65" s="187"/>
    </row>
    <row r="66" spans="1:93" x14ac:dyDescent="0.3">
      <c r="B66" s="202"/>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c r="AA66" s="202"/>
      <c r="AB66" s="202"/>
      <c r="AC66" s="202"/>
      <c r="AD66" s="202"/>
      <c r="AE66" s="202"/>
      <c r="AF66" s="202"/>
      <c r="AG66" s="202"/>
      <c r="AH66" s="202"/>
      <c r="AI66" s="202"/>
      <c r="AJ66" s="202"/>
      <c r="AK66" s="202"/>
      <c r="AL66" s="202"/>
      <c r="AM66" s="202"/>
      <c r="AN66" s="202"/>
      <c r="AO66" s="202"/>
      <c r="AP66" s="202"/>
      <c r="AQ66" s="202"/>
      <c r="AR66" s="202"/>
      <c r="AS66" s="202"/>
      <c r="AT66" s="202"/>
      <c r="AU66" s="202"/>
      <c r="AV66" s="202"/>
      <c r="AW66" s="202"/>
      <c r="AX66" s="202"/>
      <c r="AY66" s="202"/>
      <c r="AZ66" s="202"/>
      <c r="BA66" s="202"/>
      <c r="BB66" s="202"/>
      <c r="BC66" s="202"/>
      <c r="BD66" s="202"/>
      <c r="BE66" s="202"/>
      <c r="BF66" s="202"/>
      <c r="BG66" s="202"/>
      <c r="BH66" s="202"/>
      <c r="BI66" s="202"/>
      <c r="BJ66" s="202"/>
      <c r="BK66" s="202"/>
      <c r="BL66" s="202"/>
      <c r="BM66" s="202"/>
      <c r="BN66" s="202"/>
      <c r="BO66" s="202"/>
      <c r="BP66" s="202"/>
      <c r="BQ66" s="202"/>
      <c r="BR66" s="202"/>
      <c r="BS66" s="202"/>
      <c r="BT66" s="202"/>
      <c r="BU66" s="202"/>
      <c r="BV66" s="202"/>
      <c r="BW66" s="202"/>
      <c r="BX66" s="202"/>
      <c r="BY66" s="202"/>
      <c r="BZ66" s="202"/>
      <c r="CA66" s="202"/>
      <c r="CB66" s="202"/>
      <c r="CC66" s="202"/>
      <c r="CD66" s="202"/>
      <c r="CE66" s="202"/>
      <c r="CF66" s="202"/>
      <c r="CG66" s="202"/>
      <c r="CH66" s="202"/>
      <c r="CI66" s="202"/>
      <c r="CJ66" s="202"/>
      <c r="CK66" s="202"/>
      <c r="CL66" s="202"/>
      <c r="CM66" s="202"/>
      <c r="CN66" s="202"/>
      <c r="CO66" s="187"/>
    </row>
    <row r="67" spans="1:93" s="179" customFormat="1" x14ac:dyDescent="0.3">
      <c r="A67" s="176" t="s">
        <v>411</v>
      </c>
      <c r="B67" s="212">
        <f>B17</f>
        <v>0</v>
      </c>
      <c r="C67" s="212">
        <f t="shared" ref="C67:BN67" si="190">C17</f>
        <v>0</v>
      </c>
      <c r="D67" s="212">
        <f t="shared" si="190"/>
        <v>0</v>
      </c>
      <c r="E67" s="212">
        <f t="shared" si="190"/>
        <v>0</v>
      </c>
      <c r="F67" s="212">
        <f t="shared" si="190"/>
        <v>7850064</v>
      </c>
      <c r="G67" s="212">
        <f t="shared" si="190"/>
        <v>0</v>
      </c>
      <c r="H67" s="212">
        <f t="shared" si="190"/>
        <v>0</v>
      </c>
      <c r="I67" s="212">
        <f t="shared" si="190"/>
        <v>1950734</v>
      </c>
      <c r="J67" s="212">
        <f t="shared" si="190"/>
        <v>240000</v>
      </c>
      <c r="K67" s="212">
        <f t="shared" si="190"/>
        <v>0</v>
      </c>
      <c r="L67" s="212">
        <f t="shared" si="190"/>
        <v>0</v>
      </c>
      <c r="M67" s="212">
        <f t="shared" si="190"/>
        <v>0</v>
      </c>
      <c r="N67" s="212">
        <f t="shared" si="190"/>
        <v>0</v>
      </c>
      <c r="O67" s="212">
        <f t="shared" si="190"/>
        <v>1816500</v>
      </c>
      <c r="P67" s="212" t="str">
        <f t="shared" si="190"/>
        <v>NO DATA</v>
      </c>
      <c r="Q67" s="212">
        <f t="shared" si="190"/>
        <v>0</v>
      </c>
      <c r="R67" s="212">
        <f t="shared" si="190"/>
        <v>297423</v>
      </c>
      <c r="S67" s="212">
        <f t="shared" si="190"/>
        <v>0</v>
      </c>
      <c r="T67" s="212">
        <f t="shared" si="190"/>
        <v>396060</v>
      </c>
      <c r="U67" s="212">
        <f t="shared" si="190"/>
        <v>0</v>
      </c>
      <c r="V67" s="212">
        <f t="shared" si="190"/>
        <v>0</v>
      </c>
      <c r="W67" s="212">
        <f t="shared" si="190"/>
        <v>175140</v>
      </c>
      <c r="X67" s="212">
        <f t="shared" si="190"/>
        <v>0</v>
      </c>
      <c r="Y67" s="212">
        <f t="shared" si="190"/>
        <v>0</v>
      </c>
      <c r="Z67" s="212">
        <f t="shared" si="190"/>
        <v>0</v>
      </c>
      <c r="AA67" s="212">
        <f t="shared" si="190"/>
        <v>0</v>
      </c>
      <c r="AB67" s="212">
        <f t="shared" si="190"/>
        <v>0</v>
      </c>
      <c r="AC67" s="212">
        <f t="shared" si="190"/>
        <v>0</v>
      </c>
      <c r="AD67" s="212">
        <f t="shared" si="190"/>
        <v>0</v>
      </c>
      <c r="AE67" s="212">
        <f t="shared" si="190"/>
        <v>4692420</v>
      </c>
      <c r="AF67" s="212" t="str">
        <f t="shared" si="190"/>
        <v>NO DATA</v>
      </c>
      <c r="AG67" s="212">
        <f t="shared" si="190"/>
        <v>0</v>
      </c>
      <c r="AH67" s="212">
        <f t="shared" si="190"/>
        <v>0</v>
      </c>
      <c r="AI67" s="212">
        <f t="shared" si="190"/>
        <v>0</v>
      </c>
      <c r="AJ67" s="212">
        <f t="shared" si="190"/>
        <v>0</v>
      </c>
      <c r="AK67" s="212">
        <f t="shared" si="190"/>
        <v>72204</v>
      </c>
      <c r="AL67" s="212">
        <f t="shared" si="190"/>
        <v>0</v>
      </c>
      <c r="AM67" s="212">
        <f t="shared" si="190"/>
        <v>0</v>
      </c>
      <c r="AN67" s="212">
        <f t="shared" si="190"/>
        <v>0</v>
      </c>
      <c r="AO67" s="212">
        <f t="shared" si="190"/>
        <v>0</v>
      </c>
      <c r="AP67" s="212">
        <f t="shared" si="190"/>
        <v>752000</v>
      </c>
      <c r="AQ67" s="212">
        <f t="shared" si="190"/>
        <v>0</v>
      </c>
      <c r="AR67" s="212">
        <f t="shared" si="190"/>
        <v>0</v>
      </c>
      <c r="AS67" s="212">
        <f t="shared" si="190"/>
        <v>0</v>
      </c>
      <c r="AT67" s="212">
        <f t="shared" si="190"/>
        <v>6000</v>
      </c>
      <c r="AU67" s="212">
        <f t="shared" si="190"/>
        <v>1261585.8799999999</v>
      </c>
      <c r="AV67" s="212">
        <f t="shared" si="190"/>
        <v>0</v>
      </c>
      <c r="AW67" s="212">
        <f t="shared" si="190"/>
        <v>0</v>
      </c>
      <c r="AX67" s="212">
        <f t="shared" si="190"/>
        <v>0</v>
      </c>
      <c r="AY67" s="212">
        <f t="shared" si="190"/>
        <v>80525515</v>
      </c>
      <c r="AZ67" s="212">
        <f t="shared" si="190"/>
        <v>993631</v>
      </c>
      <c r="BA67" s="212">
        <f t="shared" si="190"/>
        <v>4393860</v>
      </c>
      <c r="BB67" s="212">
        <f t="shared" si="190"/>
        <v>0</v>
      </c>
      <c r="BC67" s="212">
        <f t="shared" si="190"/>
        <v>995579.1</v>
      </c>
      <c r="BD67" s="212">
        <f t="shared" si="190"/>
        <v>0</v>
      </c>
      <c r="BE67" s="212">
        <f t="shared" si="190"/>
        <v>0</v>
      </c>
      <c r="BF67" s="212">
        <f t="shared" si="190"/>
        <v>0</v>
      </c>
      <c r="BG67" s="212">
        <f t="shared" si="190"/>
        <v>0</v>
      </c>
      <c r="BH67" s="212">
        <f t="shared" si="190"/>
        <v>0</v>
      </c>
      <c r="BI67" s="212">
        <f t="shared" si="190"/>
        <v>1116976</v>
      </c>
      <c r="BJ67" s="212">
        <f t="shared" si="190"/>
        <v>0</v>
      </c>
      <c r="BK67" s="212">
        <f t="shared" si="190"/>
        <v>3810236</v>
      </c>
      <c r="BL67" s="212">
        <f t="shared" si="190"/>
        <v>1471640</v>
      </c>
      <c r="BM67" s="212">
        <f t="shared" si="190"/>
        <v>0</v>
      </c>
      <c r="BN67" s="212">
        <f t="shared" si="190"/>
        <v>0</v>
      </c>
      <c r="BO67" s="212">
        <f t="shared" ref="BO67:CM67" si="191">BO17</f>
        <v>0</v>
      </c>
      <c r="BP67" s="212">
        <f t="shared" si="191"/>
        <v>1379820.48</v>
      </c>
      <c r="BQ67" s="212">
        <f t="shared" si="191"/>
        <v>0</v>
      </c>
      <c r="BR67" s="212">
        <f t="shared" si="191"/>
        <v>0</v>
      </c>
      <c r="BS67" s="212">
        <f t="shared" si="191"/>
        <v>0</v>
      </c>
      <c r="BT67" s="212">
        <f t="shared" si="191"/>
        <v>0</v>
      </c>
      <c r="BU67" s="212">
        <f t="shared" si="191"/>
        <v>0</v>
      </c>
      <c r="BV67" s="212">
        <f t="shared" si="191"/>
        <v>4015000</v>
      </c>
      <c r="BW67" s="212">
        <f t="shared" si="191"/>
        <v>0</v>
      </c>
      <c r="BX67" s="212">
        <f t="shared" si="191"/>
        <v>0</v>
      </c>
      <c r="BY67" s="212">
        <f t="shared" si="191"/>
        <v>0</v>
      </c>
      <c r="BZ67" s="212">
        <f t="shared" si="191"/>
        <v>0</v>
      </c>
      <c r="CA67" s="212">
        <f t="shared" si="191"/>
        <v>0</v>
      </c>
      <c r="CB67" s="212">
        <f t="shared" si="191"/>
        <v>2500</v>
      </c>
      <c r="CC67" s="199">
        <f t="shared" si="191"/>
        <v>0</v>
      </c>
      <c r="CD67" s="199">
        <f t="shared" si="191"/>
        <v>0</v>
      </c>
      <c r="CE67" s="199">
        <f t="shared" si="191"/>
        <v>0</v>
      </c>
      <c r="CF67" s="199">
        <f t="shared" si="191"/>
        <v>0</v>
      </c>
      <c r="CG67" s="199">
        <f t="shared" si="191"/>
        <v>0</v>
      </c>
      <c r="CH67" s="199">
        <f t="shared" si="191"/>
        <v>0</v>
      </c>
      <c r="CI67" s="199">
        <f t="shared" si="191"/>
        <v>0</v>
      </c>
      <c r="CJ67" s="199">
        <f t="shared" si="191"/>
        <v>0</v>
      </c>
      <c r="CK67" s="199">
        <f t="shared" si="191"/>
        <v>0</v>
      </c>
      <c r="CL67" s="199">
        <f t="shared" si="191"/>
        <v>0</v>
      </c>
      <c r="CM67" s="199">
        <f t="shared" si="191"/>
        <v>0</v>
      </c>
      <c r="CN67" s="216"/>
      <c r="CO67" s="217"/>
    </row>
    <row r="68" spans="1:93" x14ac:dyDescent="0.3">
      <c r="A68" s="155" t="s">
        <v>206</v>
      </c>
      <c r="B68" s="211"/>
      <c r="C68" s="211"/>
      <c r="D68" s="211"/>
      <c r="E68" s="211"/>
      <c r="F68" s="211">
        <f>$F$67*F55</f>
        <v>6120780.2001129454</v>
      </c>
      <c r="G68" s="211"/>
      <c r="H68" s="211"/>
      <c r="I68" s="211">
        <f>$I$67*I55</f>
        <v>1388532.8406905241</v>
      </c>
      <c r="J68" s="211">
        <f>$J$67*J55</f>
        <v>88800.192140957879</v>
      </c>
      <c r="K68" s="211"/>
      <c r="L68" s="211"/>
      <c r="M68" s="211"/>
      <c r="N68" s="211"/>
      <c r="O68" s="211">
        <f>$O$67*O55</f>
        <v>708559.69261257246</v>
      </c>
      <c r="P68" s="211"/>
      <c r="Q68" s="211"/>
      <c r="R68" s="211">
        <f>$R$67*R55</f>
        <v>264256.44577012531</v>
      </c>
      <c r="S68" s="211"/>
      <c r="T68" s="211">
        <f>$T$67*T55</f>
        <v>135284.73994935016</v>
      </c>
      <c r="U68" s="211"/>
      <c r="V68" s="211"/>
      <c r="W68" s="211">
        <f>$W$67*W55</f>
        <v>146424.63964827903</v>
      </c>
      <c r="X68" s="211"/>
      <c r="Y68" s="211"/>
      <c r="Z68" s="211"/>
      <c r="AA68" s="211"/>
      <c r="AB68" s="211"/>
      <c r="AC68" s="211"/>
      <c r="AD68" s="211"/>
      <c r="AE68" s="211">
        <f>$AE$67*AE55</f>
        <v>2267967.339284054</v>
      </c>
      <c r="AF68" s="211"/>
      <c r="AG68" s="211"/>
      <c r="AH68" s="211"/>
      <c r="AI68" s="211"/>
      <c r="AJ68" s="211"/>
      <c r="AK68" s="211">
        <f>$AK$67*AK55</f>
        <v>12115.921063548934</v>
      </c>
      <c r="AL68" s="211"/>
      <c r="AM68" s="211"/>
      <c r="AN68" s="211"/>
      <c r="AO68" s="211"/>
      <c r="AP68" s="211">
        <f>$AP$67*AP55</f>
        <v>225113.39609115379</v>
      </c>
      <c r="AQ68" s="211"/>
      <c r="AR68" s="211"/>
      <c r="AS68" s="211"/>
      <c r="AT68" s="211">
        <f>$AT$67*AT55</f>
        <v>2830.502873320137</v>
      </c>
      <c r="AU68" s="211">
        <f>$AU$67*AU55</f>
        <v>717212.51028462232</v>
      </c>
      <c r="AV68" s="211"/>
      <c r="AW68" s="211"/>
      <c r="AX68" s="211"/>
      <c r="AY68" s="211">
        <f>$AY$67*AY55</f>
        <v>37618392.975641437</v>
      </c>
      <c r="AZ68" s="211">
        <f>$AZ$67*AZ55</f>
        <v>556609.38987417542</v>
      </c>
      <c r="BA68" s="211">
        <f>$BA$67*BA55</f>
        <v>2260621.7972401739</v>
      </c>
      <c r="BB68" s="211"/>
      <c r="BC68" s="211">
        <f>$BC$67*BC55</f>
        <v>635295.1143571171</v>
      </c>
      <c r="BD68" s="211"/>
      <c r="BE68" s="211"/>
      <c r="BF68" s="211"/>
      <c r="BG68" s="211"/>
      <c r="BH68" s="211"/>
      <c r="BI68" s="211">
        <f>$BI$67*BI55</f>
        <v>610113.62173210504</v>
      </c>
      <c r="BJ68" s="211"/>
      <c r="BK68" s="211">
        <f>$BK$67*BK55</f>
        <v>1427408.4022504829</v>
      </c>
      <c r="BL68" s="211">
        <f>$BL$67*BL55</f>
        <v>1068961.3088882009</v>
      </c>
      <c r="BM68" s="211"/>
      <c r="BN68" s="211"/>
      <c r="BO68" s="211"/>
      <c r="BP68" s="211">
        <f>$BP$67*BP55</f>
        <v>891127.26469100907</v>
      </c>
      <c r="BQ68" s="211"/>
      <c r="BR68" s="211"/>
      <c r="BS68" s="211"/>
      <c r="BT68" s="211"/>
      <c r="BU68" s="211"/>
      <c r="BV68" s="211">
        <f>$BV$67*BV55</f>
        <v>2478528.4479085547</v>
      </c>
      <c r="BW68" s="211"/>
      <c r="BX68" s="211"/>
      <c r="BY68" s="211"/>
      <c r="BZ68" s="211"/>
      <c r="CA68" s="211"/>
      <c r="CB68" s="211">
        <f>$CB$67*CB55</f>
        <v>1370.3255879810417</v>
      </c>
      <c r="CC68" s="202"/>
      <c r="CD68" s="202"/>
      <c r="CE68" s="202"/>
      <c r="CF68" s="202"/>
      <c r="CG68" s="202"/>
      <c r="CH68" s="202"/>
      <c r="CI68" s="202"/>
      <c r="CJ68" s="202"/>
      <c r="CK68" s="202"/>
      <c r="CL68" s="202"/>
      <c r="CM68" s="202"/>
      <c r="CN68" s="202"/>
      <c r="CO68" s="187"/>
    </row>
    <row r="69" spans="1:93" x14ac:dyDescent="0.3">
      <c r="A69" s="155" t="s">
        <v>207</v>
      </c>
      <c r="B69" s="211"/>
      <c r="C69" s="211"/>
      <c r="D69" s="211"/>
      <c r="E69" s="211"/>
      <c r="F69" s="211">
        <f t="shared" ref="F69:F76" si="192">$F$67*F56</f>
        <v>32419.192011594951</v>
      </c>
      <c r="G69" s="211"/>
      <c r="H69" s="211"/>
      <c r="I69" s="211">
        <f t="shared" ref="I69:I76" si="193">$I$67*I56</f>
        <v>0</v>
      </c>
      <c r="J69" s="211">
        <f t="shared" ref="J69:J76" si="194">$J$67*J56</f>
        <v>16800.069497793276</v>
      </c>
      <c r="K69" s="211"/>
      <c r="L69" s="211"/>
      <c r="M69" s="211"/>
      <c r="N69" s="211"/>
      <c r="O69" s="211">
        <f t="shared" ref="O69:O76" si="195">$O$67*O56</f>
        <v>428175.42621471127</v>
      </c>
      <c r="P69" s="211"/>
      <c r="Q69" s="211"/>
      <c r="R69" s="211">
        <f t="shared" ref="R69:R76" si="196">$R$67*R56</f>
        <v>0</v>
      </c>
      <c r="S69" s="211"/>
      <c r="T69" s="211">
        <f t="shared" ref="T69:T76" si="197">$T$67*T56</f>
        <v>175881.89632526334</v>
      </c>
      <c r="U69" s="211"/>
      <c r="V69" s="211"/>
      <c r="W69" s="211">
        <f t="shared" ref="W69:W76" si="198">$W$67*W56</f>
        <v>0</v>
      </c>
      <c r="X69" s="211"/>
      <c r="Y69" s="211"/>
      <c r="Z69" s="211"/>
      <c r="AA69" s="211"/>
      <c r="AB69" s="211"/>
      <c r="AC69" s="211"/>
      <c r="AD69" s="211"/>
      <c r="AE69" s="211">
        <f t="shared" ref="AE69:AE76" si="199">$AE$67*AE56</f>
        <v>0</v>
      </c>
      <c r="AF69" s="211"/>
      <c r="AG69" s="211"/>
      <c r="AH69" s="211"/>
      <c r="AI69" s="211"/>
      <c r="AJ69" s="211"/>
      <c r="AK69" s="211">
        <f t="shared" ref="AK69:AK76" si="200">$AK$67*AK56</f>
        <v>10936.688911936641</v>
      </c>
      <c r="AL69" s="211"/>
      <c r="AM69" s="211"/>
      <c r="AN69" s="211"/>
      <c r="AO69" s="211"/>
      <c r="AP69" s="211">
        <f t="shared" ref="AP69:AP76" si="201">$AP$67*AP56</f>
        <v>132927.75944692752</v>
      </c>
      <c r="AQ69" s="211"/>
      <c r="AR69" s="211"/>
      <c r="AS69" s="211"/>
      <c r="AT69" s="211">
        <f t="shared" ref="AT69:AT76" si="202">$AT$67*AT56</f>
        <v>1213.0734656357679</v>
      </c>
      <c r="AU69" s="211">
        <f t="shared" ref="AU69:AU76" si="203">$AU$67*AU56</f>
        <v>0</v>
      </c>
      <c r="AV69" s="211"/>
      <c r="AW69" s="211"/>
      <c r="AX69" s="211"/>
      <c r="AY69" s="211">
        <f t="shared" ref="AY69:AY76" si="204">$AY$67*AY56</f>
        <v>13438122.325512864</v>
      </c>
      <c r="AZ69" s="211">
        <f t="shared" ref="AZ69:AZ76" si="205">$AZ$67*AZ56</f>
        <v>142859.58785398261</v>
      </c>
      <c r="BA69" s="211">
        <f t="shared" ref="BA69:BA76" si="206">$BA$67*BA56</f>
        <v>1933029.2789861648</v>
      </c>
      <c r="BB69" s="211"/>
      <c r="BC69" s="211">
        <f t="shared" ref="BC69:BC76" si="207">$BC$67*BC56</f>
        <v>0</v>
      </c>
      <c r="BD69" s="211"/>
      <c r="BE69" s="211"/>
      <c r="BF69" s="211"/>
      <c r="BG69" s="211"/>
      <c r="BH69" s="211"/>
      <c r="BI69" s="211">
        <f t="shared" ref="BI69:BI76" si="208">$BI$67*BI56</f>
        <v>0</v>
      </c>
      <c r="BJ69" s="211"/>
      <c r="BK69" s="211">
        <f t="shared" ref="BK69:BK76" si="209">$BK$67*BK56</f>
        <v>1270465.8392176263</v>
      </c>
      <c r="BL69" s="211">
        <f t="shared" ref="BL69:BL76" si="210">$BL$67*BL56</f>
        <v>57585.802455391749</v>
      </c>
      <c r="BM69" s="211"/>
      <c r="BN69" s="211"/>
      <c r="BO69" s="211"/>
      <c r="BP69" s="211">
        <f t="shared" ref="BP69:BP76" si="211">$BP$67*BP56</f>
        <v>330329.26888215716</v>
      </c>
      <c r="BQ69" s="211"/>
      <c r="BR69" s="211"/>
      <c r="BS69" s="211"/>
      <c r="BT69" s="211"/>
      <c r="BU69" s="211"/>
      <c r="BV69" s="211">
        <f t="shared" ref="BV69:BV76" si="212">$BV$67*BV56</f>
        <v>91438.782993045039</v>
      </c>
      <c r="BW69" s="211"/>
      <c r="BX69" s="211"/>
      <c r="BY69" s="211"/>
      <c r="BZ69" s="211"/>
      <c r="CA69" s="211"/>
      <c r="CB69" s="211">
        <f t="shared" ref="CB69:CB76" si="213">$CB$67*CB56</f>
        <v>681.47859719199914</v>
      </c>
      <c r="CC69" s="202"/>
      <c r="CD69" s="202"/>
      <c r="CE69" s="202"/>
      <c r="CF69" s="202"/>
      <c r="CG69" s="202"/>
      <c r="CH69" s="202"/>
      <c r="CI69" s="202"/>
      <c r="CJ69" s="202"/>
      <c r="CK69" s="202"/>
      <c r="CL69" s="202"/>
      <c r="CM69" s="202"/>
      <c r="CN69" s="202"/>
      <c r="CO69" s="187"/>
    </row>
    <row r="70" spans="1:93" x14ac:dyDescent="0.3">
      <c r="A70" s="155" t="s">
        <v>2</v>
      </c>
      <c r="B70" s="211"/>
      <c r="C70" s="211"/>
      <c r="D70" s="211"/>
      <c r="E70" s="211"/>
      <c r="F70" s="211">
        <f t="shared" si="192"/>
        <v>316271.31188242824</v>
      </c>
      <c r="G70" s="211"/>
      <c r="H70" s="211"/>
      <c r="I70" s="211">
        <f t="shared" si="193"/>
        <v>85534.824814831474</v>
      </c>
      <c r="J70" s="211">
        <f t="shared" si="194"/>
        <v>28799.88553304637</v>
      </c>
      <c r="K70" s="211"/>
      <c r="L70" s="211"/>
      <c r="M70" s="211"/>
      <c r="N70" s="211"/>
      <c r="O70" s="211">
        <f t="shared" si="195"/>
        <v>129945.35901170842</v>
      </c>
      <c r="P70" s="211"/>
      <c r="Q70" s="211"/>
      <c r="R70" s="211">
        <f t="shared" si="196"/>
        <v>8800.988299536928</v>
      </c>
      <c r="S70" s="211"/>
      <c r="T70" s="211">
        <f t="shared" si="197"/>
        <v>9652.57583549218</v>
      </c>
      <c r="U70" s="211"/>
      <c r="V70" s="211"/>
      <c r="W70" s="211">
        <f t="shared" si="198"/>
        <v>1631.8006521001462</v>
      </c>
      <c r="X70" s="211"/>
      <c r="Y70" s="211"/>
      <c r="Z70" s="211"/>
      <c r="AA70" s="211"/>
      <c r="AB70" s="211"/>
      <c r="AC70" s="211"/>
      <c r="AD70" s="211"/>
      <c r="AE70" s="211">
        <f t="shared" si="199"/>
        <v>198477.92594848046</v>
      </c>
      <c r="AF70" s="211"/>
      <c r="AG70" s="211"/>
      <c r="AH70" s="211"/>
      <c r="AI70" s="211"/>
      <c r="AJ70" s="211"/>
      <c r="AK70" s="211">
        <f t="shared" si="200"/>
        <v>13363.118197246842</v>
      </c>
      <c r="AL70" s="211"/>
      <c r="AM70" s="211"/>
      <c r="AN70" s="211"/>
      <c r="AO70" s="211"/>
      <c r="AP70" s="211">
        <f t="shared" si="201"/>
        <v>7179.9969158655158</v>
      </c>
      <c r="AQ70" s="211"/>
      <c r="AR70" s="211"/>
      <c r="AS70" s="211"/>
      <c r="AT70" s="211">
        <f t="shared" si="202"/>
        <v>116.38441019394206</v>
      </c>
      <c r="AU70" s="211">
        <f t="shared" si="203"/>
        <v>0</v>
      </c>
      <c r="AV70" s="211"/>
      <c r="AW70" s="211"/>
      <c r="AX70" s="211"/>
      <c r="AY70" s="211">
        <f t="shared" si="204"/>
        <v>1934202.6819800809</v>
      </c>
      <c r="AZ70" s="211">
        <f t="shared" si="205"/>
        <v>4195.8056287320405</v>
      </c>
      <c r="BA70" s="211">
        <f t="shared" si="206"/>
        <v>6121.7637213058988</v>
      </c>
      <c r="BB70" s="211"/>
      <c r="BC70" s="211">
        <f t="shared" si="207"/>
        <v>0</v>
      </c>
      <c r="BD70" s="211"/>
      <c r="BE70" s="211"/>
      <c r="BF70" s="211"/>
      <c r="BG70" s="211"/>
      <c r="BH70" s="211"/>
      <c r="BI70" s="211">
        <f t="shared" si="208"/>
        <v>55002.247123976289</v>
      </c>
      <c r="BJ70" s="211"/>
      <c r="BK70" s="211">
        <f t="shared" si="209"/>
        <v>369189.05350645346</v>
      </c>
      <c r="BL70" s="211">
        <f t="shared" si="210"/>
        <v>4227.8638620442143</v>
      </c>
      <c r="BM70" s="211"/>
      <c r="BN70" s="211"/>
      <c r="BO70" s="211"/>
      <c r="BP70" s="211">
        <f t="shared" si="211"/>
        <v>8990.9806199571303</v>
      </c>
      <c r="BQ70" s="211"/>
      <c r="BR70" s="211"/>
      <c r="BS70" s="211"/>
      <c r="BT70" s="211"/>
      <c r="BU70" s="211"/>
      <c r="BV70" s="211">
        <f t="shared" si="212"/>
        <v>51478.364492830988</v>
      </c>
      <c r="BW70" s="211"/>
      <c r="BX70" s="211"/>
      <c r="BY70" s="211"/>
      <c r="BZ70" s="211"/>
      <c r="CA70" s="211"/>
      <c r="CB70" s="211">
        <f t="shared" si="213"/>
        <v>37.466092348049003</v>
      </c>
      <c r="CC70" s="202"/>
      <c r="CD70" s="202"/>
      <c r="CE70" s="202"/>
      <c r="CF70" s="202"/>
      <c r="CG70" s="202"/>
      <c r="CH70" s="202"/>
      <c r="CI70" s="202"/>
      <c r="CJ70" s="202"/>
      <c r="CK70" s="202"/>
      <c r="CL70" s="202"/>
      <c r="CM70" s="202"/>
      <c r="CN70" s="202"/>
      <c r="CO70" s="187"/>
    </row>
    <row r="71" spans="1:93" x14ac:dyDescent="0.3">
      <c r="A71" s="155" t="s">
        <v>208</v>
      </c>
      <c r="B71" s="211"/>
      <c r="C71" s="211"/>
      <c r="D71" s="211"/>
      <c r="E71" s="211"/>
      <c r="F71" s="211">
        <f t="shared" si="192"/>
        <v>51354.438083946479</v>
      </c>
      <c r="G71" s="211"/>
      <c r="H71" s="211"/>
      <c r="I71" s="211">
        <f t="shared" si="193"/>
        <v>118360.51147278727</v>
      </c>
      <c r="J71" s="211">
        <f t="shared" si="194"/>
        <v>43199.828299569555</v>
      </c>
      <c r="K71" s="211"/>
      <c r="L71" s="211"/>
      <c r="M71" s="211"/>
      <c r="N71" s="211"/>
      <c r="O71" s="211">
        <f t="shared" si="195"/>
        <v>46601.425937211498</v>
      </c>
      <c r="P71" s="211"/>
      <c r="Q71" s="211"/>
      <c r="R71" s="211">
        <f t="shared" si="196"/>
        <v>0</v>
      </c>
      <c r="S71" s="211"/>
      <c r="T71" s="211">
        <f t="shared" si="197"/>
        <v>28312.176126442137</v>
      </c>
      <c r="U71" s="211"/>
      <c r="V71" s="211"/>
      <c r="W71" s="211">
        <f t="shared" si="198"/>
        <v>8779.6338206872133</v>
      </c>
      <c r="X71" s="211"/>
      <c r="Y71" s="211"/>
      <c r="Z71" s="211"/>
      <c r="AA71" s="211"/>
      <c r="AB71" s="211"/>
      <c r="AC71" s="211"/>
      <c r="AD71" s="211"/>
      <c r="AE71" s="211">
        <f t="shared" si="199"/>
        <v>34453.88224353455</v>
      </c>
      <c r="AF71" s="211"/>
      <c r="AG71" s="211"/>
      <c r="AH71" s="211"/>
      <c r="AI71" s="211"/>
      <c r="AJ71" s="211"/>
      <c r="AK71" s="211">
        <f t="shared" si="200"/>
        <v>7851.4871959268339</v>
      </c>
      <c r="AL71" s="211"/>
      <c r="AM71" s="211"/>
      <c r="AN71" s="211"/>
      <c r="AO71" s="211"/>
      <c r="AP71" s="211">
        <f t="shared" si="201"/>
        <v>2857.4812038483401</v>
      </c>
      <c r="AQ71" s="211"/>
      <c r="AR71" s="211"/>
      <c r="AS71" s="211"/>
      <c r="AT71" s="211">
        <f t="shared" si="202"/>
        <v>77.590358727956641</v>
      </c>
      <c r="AU71" s="211">
        <f t="shared" si="203"/>
        <v>32982.183332919776</v>
      </c>
      <c r="AV71" s="211"/>
      <c r="AW71" s="211"/>
      <c r="AX71" s="211"/>
      <c r="AY71" s="211">
        <f t="shared" si="204"/>
        <v>186610.03958004224</v>
      </c>
      <c r="AZ71" s="211">
        <f t="shared" si="205"/>
        <v>22007.3939366595</v>
      </c>
      <c r="BA71" s="211">
        <f t="shared" si="206"/>
        <v>6258.0141560968686</v>
      </c>
      <c r="BB71" s="211"/>
      <c r="BC71" s="211">
        <f t="shared" si="207"/>
        <v>23586.733641496248</v>
      </c>
      <c r="BD71" s="211"/>
      <c r="BE71" s="211"/>
      <c r="BF71" s="211"/>
      <c r="BG71" s="211"/>
      <c r="BH71" s="211"/>
      <c r="BI71" s="211">
        <f t="shared" si="208"/>
        <v>49392.167769199965</v>
      </c>
      <c r="BJ71" s="211"/>
      <c r="BK71" s="211">
        <f t="shared" si="209"/>
        <v>269884.30072691094</v>
      </c>
      <c r="BL71" s="211">
        <f t="shared" si="210"/>
        <v>145014.64572909154</v>
      </c>
      <c r="BM71" s="211"/>
      <c r="BN71" s="211"/>
      <c r="BO71" s="211"/>
      <c r="BP71" s="211">
        <f t="shared" si="211"/>
        <v>10133.622556179787</v>
      </c>
      <c r="BQ71" s="211"/>
      <c r="BR71" s="211"/>
      <c r="BS71" s="211"/>
      <c r="BT71" s="211"/>
      <c r="BU71" s="211"/>
      <c r="BV71" s="211">
        <f t="shared" si="212"/>
        <v>66469.374455465339</v>
      </c>
      <c r="BW71" s="211"/>
      <c r="BX71" s="211"/>
      <c r="BY71" s="211"/>
      <c r="BZ71" s="211"/>
      <c r="CA71" s="211"/>
      <c r="CB71" s="211">
        <f t="shared" si="213"/>
        <v>10.572853012191851</v>
      </c>
      <c r="CC71" s="202"/>
      <c r="CD71" s="202"/>
      <c r="CE71" s="202"/>
      <c r="CF71" s="202"/>
      <c r="CG71" s="202"/>
      <c r="CH71" s="202"/>
      <c r="CI71" s="202"/>
      <c r="CJ71" s="202"/>
      <c r="CK71" s="202"/>
      <c r="CL71" s="202"/>
      <c r="CM71" s="202"/>
      <c r="CN71" s="202"/>
      <c r="CO71" s="187"/>
    </row>
    <row r="72" spans="1:93" x14ac:dyDescent="0.3">
      <c r="A72" s="155" t="s">
        <v>209</v>
      </c>
      <c r="B72" s="211"/>
      <c r="C72" s="211"/>
      <c r="D72" s="211"/>
      <c r="E72" s="211"/>
      <c r="F72" s="211">
        <f t="shared" si="192"/>
        <v>933419.97317011748</v>
      </c>
      <c r="G72" s="211"/>
      <c r="H72" s="211"/>
      <c r="I72" s="211">
        <f t="shared" si="193"/>
        <v>342419.12478493468</v>
      </c>
      <c r="J72" s="211">
        <f t="shared" si="194"/>
        <v>50400.208493379825</v>
      </c>
      <c r="K72" s="211"/>
      <c r="L72" s="211"/>
      <c r="M72" s="211"/>
      <c r="N72" s="211"/>
      <c r="O72" s="211">
        <f t="shared" si="195"/>
        <v>102360.87012371294</v>
      </c>
      <c r="P72" s="211"/>
      <c r="Q72" s="211"/>
      <c r="R72" s="211">
        <f t="shared" si="196"/>
        <v>22497.439405853325</v>
      </c>
      <c r="S72" s="211"/>
      <c r="T72" s="211">
        <f t="shared" si="197"/>
        <v>12637.491589980147</v>
      </c>
      <c r="U72" s="211"/>
      <c r="V72" s="211"/>
      <c r="W72" s="211">
        <f t="shared" si="198"/>
        <v>17469.322966613065</v>
      </c>
      <c r="X72" s="211"/>
      <c r="Y72" s="211"/>
      <c r="Z72" s="211"/>
      <c r="AA72" s="211"/>
      <c r="AB72" s="211"/>
      <c r="AC72" s="211"/>
      <c r="AD72" s="211"/>
      <c r="AE72" s="211">
        <f t="shared" si="199"/>
        <v>1208086.75468353</v>
      </c>
      <c r="AF72" s="211"/>
      <c r="AG72" s="211"/>
      <c r="AH72" s="211"/>
      <c r="AI72" s="211"/>
      <c r="AJ72" s="211"/>
      <c r="AK72" s="211">
        <f t="shared" si="200"/>
        <v>14200.029228738451</v>
      </c>
      <c r="AL72" s="211"/>
      <c r="AM72" s="211"/>
      <c r="AN72" s="211"/>
      <c r="AO72" s="211"/>
      <c r="AP72" s="211">
        <f t="shared" si="201"/>
        <v>255653.39037020205</v>
      </c>
      <c r="AQ72" s="211"/>
      <c r="AR72" s="211"/>
      <c r="AS72" s="211"/>
      <c r="AT72" s="211">
        <f t="shared" si="202"/>
        <v>581.92205096971031</v>
      </c>
      <c r="AU72" s="211">
        <f t="shared" si="203"/>
        <v>510223.72690788668</v>
      </c>
      <c r="AV72" s="211"/>
      <c r="AW72" s="211"/>
      <c r="AX72" s="211"/>
      <c r="AY72" s="211">
        <f t="shared" si="204"/>
        <v>9488685.0164466854</v>
      </c>
      <c r="AZ72" s="211">
        <f t="shared" si="205"/>
        <v>201809.46754662602</v>
      </c>
      <c r="BA72" s="211">
        <f t="shared" si="206"/>
        <v>184774.60126513054</v>
      </c>
      <c r="BB72" s="211"/>
      <c r="BC72" s="211">
        <f t="shared" si="207"/>
        <v>334873.21499229537</v>
      </c>
      <c r="BD72" s="211"/>
      <c r="BE72" s="211"/>
      <c r="BF72" s="211"/>
      <c r="BG72" s="211"/>
      <c r="BH72" s="211"/>
      <c r="BI72" s="211">
        <f t="shared" si="208"/>
        <v>196913.62007485257</v>
      </c>
      <c r="BJ72" s="211"/>
      <c r="BK72" s="211">
        <f t="shared" si="209"/>
        <v>464688.00024089479</v>
      </c>
      <c r="BL72" s="211">
        <f t="shared" si="210"/>
        <v>167604.89699727681</v>
      </c>
      <c r="BM72" s="211"/>
      <c r="BN72" s="211"/>
      <c r="BO72" s="211"/>
      <c r="BP72" s="211">
        <f t="shared" si="211"/>
        <v>0</v>
      </c>
      <c r="BQ72" s="211"/>
      <c r="BR72" s="211"/>
      <c r="BS72" s="211"/>
      <c r="BT72" s="211"/>
      <c r="BU72" s="211"/>
      <c r="BV72" s="211">
        <f t="shared" si="212"/>
        <v>987067.86945363856</v>
      </c>
      <c r="BW72" s="211"/>
      <c r="BX72" s="211"/>
      <c r="BY72" s="211"/>
      <c r="BZ72" s="211"/>
      <c r="CA72" s="211"/>
      <c r="CB72" s="211">
        <f t="shared" si="213"/>
        <v>88.808860206079032</v>
      </c>
      <c r="CC72" s="202"/>
      <c r="CD72" s="202"/>
      <c r="CE72" s="202"/>
      <c r="CF72" s="202"/>
      <c r="CG72" s="202"/>
      <c r="CH72" s="202"/>
      <c r="CI72" s="202"/>
      <c r="CJ72" s="202"/>
      <c r="CK72" s="202"/>
      <c r="CL72" s="202"/>
      <c r="CM72" s="202"/>
      <c r="CN72" s="202"/>
      <c r="CO72" s="187"/>
    </row>
    <row r="73" spans="1:93" x14ac:dyDescent="0.3">
      <c r="A73" s="155" t="s">
        <v>210</v>
      </c>
      <c r="B73" s="211"/>
      <c r="C73" s="211"/>
      <c r="D73" s="211"/>
      <c r="E73" s="211"/>
      <c r="F73" s="211">
        <f t="shared" si="192"/>
        <v>0</v>
      </c>
      <c r="G73" s="211"/>
      <c r="H73" s="211"/>
      <c r="I73" s="211">
        <f t="shared" si="193"/>
        <v>0</v>
      </c>
      <c r="J73" s="211">
        <f t="shared" si="194"/>
        <v>11999.816035253096</v>
      </c>
      <c r="K73" s="211"/>
      <c r="L73" s="211"/>
      <c r="M73" s="211"/>
      <c r="N73" s="211"/>
      <c r="O73" s="211">
        <f t="shared" si="195"/>
        <v>88.169192519663994</v>
      </c>
      <c r="P73" s="211"/>
      <c r="Q73" s="211"/>
      <c r="R73" s="211">
        <f t="shared" si="196"/>
        <v>0</v>
      </c>
      <c r="S73" s="211"/>
      <c r="T73" s="211">
        <f t="shared" si="197"/>
        <v>0</v>
      </c>
      <c r="U73" s="211"/>
      <c r="V73" s="211"/>
      <c r="W73" s="211">
        <f t="shared" si="198"/>
        <v>0</v>
      </c>
      <c r="X73" s="211"/>
      <c r="Y73" s="211"/>
      <c r="Z73" s="211"/>
      <c r="AA73" s="211"/>
      <c r="AB73" s="211"/>
      <c r="AC73" s="211"/>
      <c r="AD73" s="211"/>
      <c r="AE73" s="211">
        <f t="shared" si="199"/>
        <v>8020.1419383288994</v>
      </c>
      <c r="AF73" s="211"/>
      <c r="AG73" s="211"/>
      <c r="AH73" s="211"/>
      <c r="AI73" s="211"/>
      <c r="AJ73" s="211"/>
      <c r="AK73" s="211">
        <f t="shared" si="200"/>
        <v>11622.465792947389</v>
      </c>
      <c r="AL73" s="211"/>
      <c r="AM73" s="211"/>
      <c r="AN73" s="211"/>
      <c r="AO73" s="211"/>
      <c r="AP73" s="211">
        <f t="shared" si="201"/>
        <v>100486.31856754902</v>
      </c>
      <c r="AQ73" s="211"/>
      <c r="AR73" s="211"/>
      <c r="AS73" s="211"/>
      <c r="AT73" s="211">
        <f t="shared" si="202"/>
        <v>387.94840994580449</v>
      </c>
      <c r="AU73" s="211">
        <f t="shared" si="203"/>
        <v>0</v>
      </c>
      <c r="AV73" s="211"/>
      <c r="AW73" s="211"/>
      <c r="AX73" s="211"/>
      <c r="AY73" s="211">
        <f t="shared" si="204"/>
        <v>611509.65265445167</v>
      </c>
      <c r="AZ73" s="211">
        <f t="shared" si="205"/>
        <v>0</v>
      </c>
      <c r="BA73" s="211">
        <f t="shared" si="206"/>
        <v>0</v>
      </c>
      <c r="BB73" s="211"/>
      <c r="BC73" s="211">
        <f t="shared" si="207"/>
        <v>0</v>
      </c>
      <c r="BD73" s="211"/>
      <c r="BE73" s="211"/>
      <c r="BF73" s="211"/>
      <c r="BG73" s="211"/>
      <c r="BH73" s="211"/>
      <c r="BI73" s="211">
        <f t="shared" si="208"/>
        <v>62726.780427847363</v>
      </c>
      <c r="BJ73" s="211"/>
      <c r="BK73" s="211">
        <f t="shared" si="209"/>
        <v>0</v>
      </c>
      <c r="BL73" s="211">
        <f t="shared" si="210"/>
        <v>0</v>
      </c>
      <c r="BM73" s="211"/>
      <c r="BN73" s="211"/>
      <c r="BO73" s="211"/>
      <c r="BP73" s="211">
        <f t="shared" si="211"/>
        <v>127234.04939794373</v>
      </c>
      <c r="BQ73" s="211"/>
      <c r="BR73" s="211"/>
      <c r="BS73" s="211"/>
      <c r="BT73" s="211"/>
      <c r="BU73" s="211"/>
      <c r="BV73" s="211">
        <f t="shared" si="212"/>
        <v>335851.42148556595</v>
      </c>
      <c r="BW73" s="211"/>
      <c r="BX73" s="211"/>
      <c r="BY73" s="211"/>
      <c r="BZ73" s="211"/>
      <c r="CA73" s="211"/>
      <c r="CB73" s="211">
        <f t="shared" si="213"/>
        <v>0</v>
      </c>
      <c r="CC73" s="202"/>
      <c r="CD73" s="202"/>
      <c r="CE73" s="202"/>
      <c r="CF73" s="202"/>
      <c r="CG73" s="202"/>
      <c r="CH73" s="202"/>
      <c r="CI73" s="202"/>
      <c r="CJ73" s="202"/>
      <c r="CK73" s="202"/>
      <c r="CL73" s="202"/>
      <c r="CM73" s="202"/>
      <c r="CN73" s="202"/>
      <c r="CO73" s="187"/>
    </row>
    <row r="74" spans="1:93" x14ac:dyDescent="0.3">
      <c r="A74" s="155" t="s">
        <v>211</v>
      </c>
      <c r="B74" s="211"/>
      <c r="C74" s="211"/>
      <c r="D74" s="211"/>
      <c r="E74" s="211"/>
      <c r="F74" s="211">
        <f t="shared" si="192"/>
        <v>395818.88473896857</v>
      </c>
      <c r="G74" s="211"/>
      <c r="H74" s="211"/>
      <c r="I74" s="211">
        <f t="shared" si="193"/>
        <v>15886.698236922444</v>
      </c>
      <c r="J74" s="211">
        <f t="shared" si="194"/>
        <v>0</v>
      </c>
      <c r="K74" s="211"/>
      <c r="L74" s="211"/>
      <c r="M74" s="211"/>
      <c r="N74" s="211"/>
      <c r="O74" s="211">
        <f t="shared" si="195"/>
        <v>400769.0569075637</v>
      </c>
      <c r="P74" s="211"/>
      <c r="Q74" s="211"/>
      <c r="R74" s="211">
        <f t="shared" si="196"/>
        <v>1868.1265244844933</v>
      </c>
      <c r="S74" s="211"/>
      <c r="T74" s="211">
        <f t="shared" si="197"/>
        <v>34291.120173472045</v>
      </c>
      <c r="U74" s="211"/>
      <c r="V74" s="211"/>
      <c r="W74" s="211">
        <f t="shared" si="198"/>
        <v>823.03683923223332</v>
      </c>
      <c r="X74" s="211"/>
      <c r="Y74" s="211"/>
      <c r="Z74" s="211"/>
      <c r="AA74" s="211"/>
      <c r="AB74" s="211"/>
      <c r="AC74" s="211"/>
      <c r="AD74" s="211"/>
      <c r="AE74" s="211">
        <f t="shared" si="199"/>
        <v>284661.19582179631</v>
      </c>
      <c r="AF74" s="211"/>
      <c r="AG74" s="211"/>
      <c r="AH74" s="211"/>
      <c r="AI74" s="211"/>
      <c r="AJ74" s="211"/>
      <c r="AK74" s="211">
        <f t="shared" si="200"/>
        <v>2114.2896096549125</v>
      </c>
      <c r="AL74" s="211"/>
      <c r="AM74" s="211"/>
      <c r="AN74" s="211"/>
      <c r="AO74" s="211"/>
      <c r="AP74" s="211">
        <f t="shared" si="201"/>
        <v>27781.657404453625</v>
      </c>
      <c r="AQ74" s="211"/>
      <c r="AR74" s="211"/>
      <c r="AS74" s="211"/>
      <c r="AT74" s="211">
        <f t="shared" si="202"/>
        <v>686.65076330496674</v>
      </c>
      <c r="AU74" s="211">
        <f t="shared" si="203"/>
        <v>1167.4594745709767</v>
      </c>
      <c r="AV74" s="211"/>
      <c r="AW74" s="211"/>
      <c r="AX74" s="211"/>
      <c r="AY74" s="211">
        <f t="shared" si="204"/>
        <v>5363784.9367488157</v>
      </c>
      <c r="AZ74" s="211">
        <f t="shared" si="205"/>
        <v>59962.691910481706</v>
      </c>
      <c r="BA74" s="211">
        <f t="shared" si="206"/>
        <v>3054.5446311277879</v>
      </c>
      <c r="BB74" s="211"/>
      <c r="BC74" s="211">
        <f t="shared" si="207"/>
        <v>1824.0370090912149</v>
      </c>
      <c r="BD74" s="211"/>
      <c r="BE74" s="211"/>
      <c r="BF74" s="211"/>
      <c r="BG74" s="211"/>
      <c r="BH74" s="211"/>
      <c r="BI74" s="211">
        <f t="shared" si="208"/>
        <v>2072.5835738651272</v>
      </c>
      <c r="BJ74" s="211"/>
      <c r="BK74" s="211">
        <f t="shared" si="209"/>
        <v>8600.4040576316675</v>
      </c>
      <c r="BL74" s="211">
        <f t="shared" si="210"/>
        <v>25523.909258985321</v>
      </c>
      <c r="BM74" s="211"/>
      <c r="BN74" s="211"/>
      <c r="BO74" s="211"/>
      <c r="BP74" s="211">
        <f t="shared" si="211"/>
        <v>12005.293852752839</v>
      </c>
      <c r="BQ74" s="211"/>
      <c r="BR74" s="211"/>
      <c r="BS74" s="211"/>
      <c r="BT74" s="211"/>
      <c r="BU74" s="211"/>
      <c r="BV74" s="211">
        <f t="shared" si="212"/>
        <v>4165.7392108995209</v>
      </c>
      <c r="BW74" s="211"/>
      <c r="BX74" s="211"/>
      <c r="BY74" s="211"/>
      <c r="BZ74" s="211"/>
      <c r="CA74" s="211"/>
      <c r="CB74" s="211">
        <f t="shared" si="213"/>
        <v>12.898570165240807</v>
      </c>
      <c r="CC74" s="202"/>
      <c r="CD74" s="202"/>
      <c r="CE74" s="202"/>
      <c r="CF74" s="202"/>
      <c r="CG74" s="202"/>
      <c r="CH74" s="202"/>
      <c r="CI74" s="202"/>
      <c r="CJ74" s="202"/>
      <c r="CK74" s="202"/>
      <c r="CL74" s="202"/>
      <c r="CM74" s="202"/>
      <c r="CN74" s="202"/>
      <c r="CO74" s="187"/>
    </row>
    <row r="75" spans="1:93" x14ac:dyDescent="0.3">
      <c r="A75" s="155" t="s">
        <v>212</v>
      </c>
      <c r="B75" s="211"/>
      <c r="C75" s="211"/>
      <c r="D75" s="211"/>
      <c r="E75" s="211"/>
      <c r="F75" s="211">
        <f t="shared" si="192"/>
        <v>0</v>
      </c>
      <c r="G75" s="211"/>
      <c r="H75" s="211"/>
      <c r="I75" s="211">
        <f t="shared" si="193"/>
        <v>0</v>
      </c>
      <c r="J75" s="211">
        <f t="shared" si="194"/>
        <v>0</v>
      </c>
      <c r="K75" s="211"/>
      <c r="L75" s="211"/>
      <c r="M75" s="211"/>
      <c r="N75" s="211"/>
      <c r="O75" s="211">
        <f t="shared" si="195"/>
        <v>0</v>
      </c>
      <c r="P75" s="211"/>
      <c r="Q75" s="211"/>
      <c r="R75" s="211">
        <f t="shared" si="196"/>
        <v>0</v>
      </c>
      <c r="S75" s="211"/>
      <c r="T75" s="211">
        <f t="shared" si="197"/>
        <v>0</v>
      </c>
      <c r="U75" s="211"/>
      <c r="V75" s="211"/>
      <c r="W75" s="211">
        <f t="shared" si="198"/>
        <v>11.566073088328586</v>
      </c>
      <c r="X75" s="211"/>
      <c r="Y75" s="211"/>
      <c r="Z75" s="211"/>
      <c r="AA75" s="211"/>
      <c r="AB75" s="211"/>
      <c r="AC75" s="211"/>
      <c r="AD75" s="211"/>
      <c r="AE75" s="211">
        <f t="shared" si="199"/>
        <v>474397.55416395428</v>
      </c>
      <c r="AF75" s="211"/>
      <c r="AG75" s="211"/>
      <c r="AH75" s="211"/>
      <c r="AI75" s="211"/>
      <c r="AJ75" s="211"/>
      <c r="AK75" s="211">
        <f t="shared" si="200"/>
        <v>0</v>
      </c>
      <c r="AL75" s="211"/>
      <c r="AM75" s="211"/>
      <c r="AN75" s="211"/>
      <c r="AO75" s="211"/>
      <c r="AP75" s="211">
        <f t="shared" si="201"/>
        <v>0</v>
      </c>
      <c r="AQ75" s="211"/>
      <c r="AR75" s="211"/>
      <c r="AS75" s="211"/>
      <c r="AT75" s="211">
        <f t="shared" si="202"/>
        <v>105.92766790171498</v>
      </c>
      <c r="AU75" s="211">
        <f t="shared" si="203"/>
        <v>0</v>
      </c>
      <c r="AV75" s="211"/>
      <c r="AW75" s="211"/>
      <c r="AX75" s="211"/>
      <c r="AY75" s="211">
        <f t="shared" si="204"/>
        <v>10155481.343245167</v>
      </c>
      <c r="AZ75" s="211">
        <f t="shared" si="205"/>
        <v>6186.6632493427933</v>
      </c>
      <c r="BA75" s="211">
        <f t="shared" si="206"/>
        <v>0</v>
      </c>
      <c r="BB75" s="211"/>
      <c r="BC75" s="211">
        <f t="shared" si="207"/>
        <v>0</v>
      </c>
      <c r="BD75" s="211"/>
      <c r="BE75" s="211"/>
      <c r="BF75" s="211"/>
      <c r="BG75" s="211"/>
      <c r="BH75" s="211"/>
      <c r="BI75" s="211">
        <f t="shared" si="208"/>
        <v>128821.37143172808</v>
      </c>
      <c r="BJ75" s="211"/>
      <c r="BK75" s="211">
        <f t="shared" si="209"/>
        <v>0</v>
      </c>
      <c r="BL75" s="211">
        <f t="shared" si="210"/>
        <v>2721.5728090094403</v>
      </c>
      <c r="BM75" s="211"/>
      <c r="BN75" s="211"/>
      <c r="BO75" s="211"/>
      <c r="BP75" s="211">
        <f t="shared" si="211"/>
        <v>0</v>
      </c>
      <c r="BQ75" s="211"/>
      <c r="BR75" s="211"/>
      <c r="BS75" s="211"/>
      <c r="BT75" s="211"/>
      <c r="BU75" s="211"/>
      <c r="BV75" s="211">
        <f t="shared" si="212"/>
        <v>0</v>
      </c>
      <c r="BW75" s="211"/>
      <c r="BX75" s="211"/>
      <c r="BY75" s="211"/>
      <c r="BZ75" s="211"/>
      <c r="CA75" s="211"/>
      <c r="CB75" s="211">
        <f t="shared" si="213"/>
        <v>298.44943909539847</v>
      </c>
      <c r="CC75" s="202"/>
      <c r="CD75" s="202"/>
      <c r="CE75" s="202"/>
      <c r="CF75" s="202"/>
      <c r="CG75" s="202"/>
      <c r="CH75" s="202"/>
      <c r="CI75" s="202"/>
      <c r="CJ75" s="202"/>
      <c r="CK75" s="202"/>
      <c r="CL75" s="202"/>
      <c r="CM75" s="202"/>
      <c r="CN75" s="202"/>
      <c r="CO75" s="187"/>
    </row>
    <row r="76" spans="1:93" x14ac:dyDescent="0.3">
      <c r="A76" s="155" t="s">
        <v>80</v>
      </c>
      <c r="B76" s="211"/>
      <c r="C76" s="211"/>
      <c r="D76" s="211"/>
      <c r="E76" s="211"/>
      <c r="F76" s="211">
        <f t="shared" si="192"/>
        <v>0</v>
      </c>
      <c r="G76" s="211"/>
      <c r="H76" s="211"/>
      <c r="I76" s="211">
        <f t="shared" si="193"/>
        <v>0</v>
      </c>
      <c r="J76" s="211">
        <f t="shared" si="194"/>
        <v>0</v>
      </c>
      <c r="K76" s="211"/>
      <c r="L76" s="211"/>
      <c r="M76" s="211"/>
      <c r="N76" s="211"/>
      <c r="O76" s="211">
        <f t="shared" si="195"/>
        <v>0</v>
      </c>
      <c r="P76" s="211"/>
      <c r="Q76" s="211"/>
      <c r="R76" s="211">
        <f t="shared" si="196"/>
        <v>0</v>
      </c>
      <c r="S76" s="211"/>
      <c r="T76" s="211">
        <f t="shared" si="197"/>
        <v>0</v>
      </c>
      <c r="U76" s="211"/>
      <c r="V76" s="211"/>
      <c r="W76" s="211">
        <f t="shared" si="198"/>
        <v>0</v>
      </c>
      <c r="X76" s="211"/>
      <c r="Y76" s="211"/>
      <c r="Z76" s="211"/>
      <c r="AA76" s="211"/>
      <c r="AB76" s="211"/>
      <c r="AC76" s="211"/>
      <c r="AD76" s="211"/>
      <c r="AE76" s="211">
        <f t="shared" si="199"/>
        <v>216355.20591632192</v>
      </c>
      <c r="AF76" s="211"/>
      <c r="AG76" s="211"/>
      <c r="AH76" s="211"/>
      <c r="AI76" s="211"/>
      <c r="AJ76" s="211"/>
      <c r="AK76" s="211">
        <f t="shared" si="200"/>
        <v>0</v>
      </c>
      <c r="AL76" s="211"/>
      <c r="AM76" s="211"/>
      <c r="AN76" s="211"/>
      <c r="AO76" s="211"/>
      <c r="AP76" s="211">
        <f t="shared" si="201"/>
        <v>0</v>
      </c>
      <c r="AQ76" s="211"/>
      <c r="AR76" s="211"/>
      <c r="AS76" s="211"/>
      <c r="AT76" s="211">
        <f t="shared" si="202"/>
        <v>0</v>
      </c>
      <c r="AU76" s="211">
        <f t="shared" si="203"/>
        <v>0</v>
      </c>
      <c r="AV76" s="211"/>
      <c r="AW76" s="211"/>
      <c r="AX76" s="211"/>
      <c r="AY76" s="211">
        <f t="shared" si="204"/>
        <v>1728726.0281904594</v>
      </c>
      <c r="AZ76" s="211">
        <f t="shared" si="205"/>
        <v>0</v>
      </c>
      <c r="BA76" s="211">
        <f t="shared" si="206"/>
        <v>0</v>
      </c>
      <c r="BB76" s="211"/>
      <c r="BC76" s="211">
        <f t="shared" si="207"/>
        <v>0</v>
      </c>
      <c r="BD76" s="211"/>
      <c r="BE76" s="211"/>
      <c r="BF76" s="211"/>
      <c r="BG76" s="211"/>
      <c r="BH76" s="211"/>
      <c r="BI76" s="211">
        <f t="shared" si="208"/>
        <v>11933.607866425442</v>
      </c>
      <c r="BJ76" s="211"/>
      <c r="BK76" s="211">
        <f t="shared" si="209"/>
        <v>0</v>
      </c>
      <c r="BL76" s="211">
        <f t="shared" si="210"/>
        <v>0</v>
      </c>
      <c r="BM76" s="211"/>
      <c r="BN76" s="211"/>
      <c r="BO76" s="211"/>
      <c r="BP76" s="211">
        <f t="shared" si="211"/>
        <v>0</v>
      </c>
      <c r="BQ76" s="211"/>
      <c r="BR76" s="211"/>
      <c r="BS76" s="211"/>
      <c r="BT76" s="211"/>
      <c r="BU76" s="211"/>
      <c r="BV76" s="211">
        <f t="shared" si="212"/>
        <v>0</v>
      </c>
      <c r="BW76" s="211"/>
      <c r="BX76" s="211"/>
      <c r="BY76" s="211"/>
      <c r="BZ76" s="211"/>
      <c r="CA76" s="211"/>
      <c r="CB76" s="211">
        <f t="shared" si="213"/>
        <v>0</v>
      </c>
      <c r="CC76" s="202"/>
      <c r="CD76" s="202"/>
      <c r="CE76" s="202"/>
      <c r="CF76" s="202"/>
      <c r="CG76" s="202"/>
      <c r="CH76" s="202"/>
      <c r="CI76" s="202"/>
      <c r="CJ76" s="202"/>
      <c r="CK76" s="202"/>
      <c r="CL76" s="202"/>
      <c r="CM76" s="202"/>
      <c r="CN76" s="202"/>
      <c r="CO76" s="187"/>
    </row>
    <row r="77" spans="1:93" s="154" customFormat="1" x14ac:dyDescent="0.3">
      <c r="A77" s="171" t="s">
        <v>1</v>
      </c>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197"/>
      <c r="BG77" s="197"/>
      <c r="BH77" s="197"/>
      <c r="BI77" s="197"/>
      <c r="BJ77" s="197"/>
      <c r="BK77" s="197"/>
      <c r="BL77" s="197"/>
      <c r="BM77" s="197"/>
      <c r="BN77" s="197"/>
      <c r="BO77" s="197"/>
      <c r="BP77" s="197"/>
      <c r="BQ77" s="197"/>
      <c r="BR77" s="197"/>
      <c r="BS77" s="197"/>
      <c r="BT77" s="197"/>
      <c r="BU77" s="197"/>
      <c r="BV77" s="197"/>
      <c r="BW77" s="197"/>
      <c r="BX77" s="197"/>
      <c r="BY77" s="197"/>
      <c r="BZ77" s="197"/>
      <c r="CA77" s="197"/>
      <c r="CB77" s="197"/>
      <c r="CC77" s="197"/>
      <c r="CD77" s="197"/>
      <c r="CE77" s="197"/>
      <c r="CF77" s="197"/>
      <c r="CG77" s="197"/>
      <c r="CH77" s="197"/>
      <c r="CI77" s="197"/>
      <c r="CJ77" s="197"/>
      <c r="CK77" s="197"/>
      <c r="CL77" s="197"/>
      <c r="CM77" s="197"/>
      <c r="CN77" s="197"/>
      <c r="CO77" s="192"/>
    </row>
    <row r="78" spans="1:93" x14ac:dyDescent="0.3">
      <c r="B78" s="202"/>
      <c r="C78" s="202"/>
      <c r="D78" s="202"/>
      <c r="E78" s="202"/>
      <c r="F78" s="202"/>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c r="AJ78" s="202"/>
      <c r="AK78" s="202"/>
      <c r="AL78" s="202"/>
      <c r="AM78" s="202"/>
      <c r="AN78" s="202"/>
      <c r="AO78" s="202"/>
      <c r="AP78" s="202"/>
      <c r="AQ78" s="202"/>
      <c r="AR78" s="202"/>
      <c r="AS78" s="202"/>
      <c r="AT78" s="202"/>
      <c r="AU78" s="202"/>
      <c r="AV78" s="202"/>
      <c r="AW78" s="202"/>
      <c r="AX78" s="202"/>
      <c r="AY78" s="202"/>
      <c r="AZ78" s="202"/>
      <c r="BA78" s="202"/>
      <c r="BB78" s="202"/>
      <c r="BC78" s="202"/>
      <c r="BD78" s="202"/>
      <c r="BE78" s="202"/>
      <c r="BF78" s="202"/>
      <c r="BG78" s="202"/>
      <c r="BH78" s="202"/>
      <c r="BI78" s="202"/>
      <c r="BJ78" s="202"/>
      <c r="BK78" s="202"/>
      <c r="BL78" s="202"/>
      <c r="BM78" s="202"/>
      <c r="BN78" s="202"/>
      <c r="BO78" s="202"/>
      <c r="BP78" s="202"/>
      <c r="BQ78" s="202"/>
      <c r="BR78" s="202"/>
      <c r="BS78" s="202"/>
      <c r="BT78" s="202"/>
      <c r="BU78" s="202"/>
      <c r="BV78" s="202"/>
      <c r="BW78" s="202"/>
      <c r="BX78" s="202"/>
      <c r="BY78" s="202"/>
      <c r="BZ78" s="202"/>
      <c r="CA78" s="202"/>
      <c r="CB78" s="202"/>
      <c r="CC78" s="202"/>
      <c r="CD78" s="202"/>
      <c r="CE78" s="202"/>
      <c r="CF78" s="202"/>
      <c r="CG78" s="202"/>
      <c r="CH78" s="202"/>
      <c r="CI78" s="202"/>
      <c r="CJ78" s="202"/>
      <c r="CK78" s="202"/>
      <c r="CL78" s="202"/>
      <c r="CM78" s="202"/>
      <c r="CN78" s="202"/>
      <c r="CO78" s="187"/>
    </row>
    <row r="79" spans="1:93" x14ac:dyDescent="0.3">
      <c r="A79" s="169" t="s">
        <v>420</v>
      </c>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2"/>
      <c r="Z79" s="202"/>
      <c r="AA79" s="202"/>
      <c r="AB79" s="202"/>
      <c r="AC79" s="202"/>
      <c r="AD79" s="202"/>
      <c r="AE79" s="202"/>
      <c r="AF79" s="202"/>
      <c r="AG79" s="202"/>
      <c r="AH79" s="202"/>
      <c r="AI79" s="202"/>
      <c r="AJ79" s="202"/>
      <c r="AK79" s="202"/>
      <c r="AL79" s="202"/>
      <c r="AM79" s="202"/>
      <c r="AN79" s="202"/>
      <c r="AO79" s="202"/>
      <c r="AP79" s="202"/>
      <c r="AQ79" s="202"/>
      <c r="AR79" s="202"/>
      <c r="AS79" s="202"/>
      <c r="AT79" s="202"/>
      <c r="AU79" s="202"/>
      <c r="AV79" s="202"/>
      <c r="AW79" s="202"/>
      <c r="AX79" s="202"/>
      <c r="AY79" s="202"/>
      <c r="AZ79" s="202"/>
      <c r="BA79" s="202"/>
      <c r="BB79" s="202"/>
      <c r="BC79" s="202"/>
      <c r="BD79" s="202"/>
      <c r="BE79" s="202"/>
      <c r="BF79" s="202"/>
      <c r="BG79" s="202"/>
      <c r="BH79" s="202"/>
      <c r="BI79" s="202"/>
      <c r="BJ79" s="202"/>
      <c r="BK79" s="202"/>
      <c r="BL79" s="202"/>
      <c r="BM79" s="202"/>
      <c r="BN79" s="202"/>
      <c r="BO79" s="202"/>
      <c r="BP79" s="202"/>
      <c r="BQ79" s="202"/>
      <c r="BR79" s="202"/>
      <c r="BS79" s="202"/>
      <c r="BT79" s="202"/>
      <c r="BU79" s="202"/>
      <c r="BV79" s="202"/>
      <c r="BW79" s="202"/>
      <c r="BX79" s="202"/>
      <c r="BY79" s="202"/>
      <c r="BZ79" s="202"/>
      <c r="CA79" s="202"/>
      <c r="CB79" s="202"/>
      <c r="CC79" s="202"/>
      <c r="CD79" s="202"/>
      <c r="CE79" s="202"/>
      <c r="CF79" s="202"/>
      <c r="CG79" s="202"/>
      <c r="CH79" s="202"/>
      <c r="CI79" s="202"/>
      <c r="CJ79" s="202"/>
      <c r="CK79" s="202"/>
      <c r="CL79" s="202"/>
      <c r="CM79" s="202"/>
      <c r="CN79" s="202"/>
      <c r="CO79" s="187"/>
    </row>
    <row r="80" spans="1:93" x14ac:dyDescent="0.3">
      <c r="A80" s="155" t="s">
        <v>206</v>
      </c>
      <c r="B80" s="218">
        <f>B38</f>
        <v>363894.97064435709</v>
      </c>
      <c r="C80" s="218">
        <f t="shared" ref="C80:BN81" si="214">C38</f>
        <v>382936.00000000006</v>
      </c>
      <c r="D80" s="218">
        <f t="shared" si="214"/>
        <v>553526.96451050299</v>
      </c>
      <c r="E80" s="218">
        <f t="shared" si="214"/>
        <v>130687</v>
      </c>
      <c r="F80" s="218">
        <f t="shared" si="214"/>
        <v>6916011.2109679133</v>
      </c>
      <c r="G80" s="218">
        <f t="shared" si="214"/>
        <v>0</v>
      </c>
      <c r="H80" s="218">
        <f t="shared" si="214"/>
        <v>208633</v>
      </c>
      <c r="I80" s="218">
        <f t="shared" si="214"/>
        <v>3373540.0083994144</v>
      </c>
      <c r="J80" s="218">
        <f t="shared" si="214"/>
        <v>1323478.0636688361</v>
      </c>
      <c r="K80" s="218">
        <f t="shared" si="214"/>
        <v>708717.30198207521</v>
      </c>
      <c r="L80" s="218">
        <f t="shared" si="214"/>
        <v>767690.65981693543</v>
      </c>
      <c r="M80" s="218">
        <f t="shared" si="214"/>
        <v>4544127.9334085137</v>
      </c>
      <c r="N80" s="218">
        <f t="shared" si="214"/>
        <v>507558</v>
      </c>
      <c r="O80" s="218">
        <f t="shared" si="214"/>
        <v>525908.48958223534</v>
      </c>
      <c r="P80" s="218">
        <f t="shared" si="214"/>
        <v>498540.19034410006</v>
      </c>
      <c r="Q80" s="218">
        <f t="shared" si="214"/>
        <v>322528.73170939705</v>
      </c>
      <c r="R80" s="218">
        <f t="shared" si="214"/>
        <v>1455561.9228170523</v>
      </c>
      <c r="S80" s="218">
        <f t="shared" si="214"/>
        <v>1554146.9911038962</v>
      </c>
      <c r="T80" s="218">
        <f t="shared" si="214"/>
        <v>1049557.9768475201</v>
      </c>
      <c r="U80" s="218">
        <f t="shared" si="214"/>
        <v>333852</v>
      </c>
      <c r="V80" s="218">
        <f t="shared" si="214"/>
        <v>10556.935828616639</v>
      </c>
      <c r="W80" s="218">
        <f t="shared" si="214"/>
        <v>1627087.5841733988</v>
      </c>
      <c r="X80" s="218">
        <f t="shared" si="214"/>
        <v>216887.88916432473</v>
      </c>
      <c r="Y80" s="218">
        <f t="shared" si="214"/>
        <v>248140</v>
      </c>
      <c r="Z80" s="218">
        <f t="shared" si="214"/>
        <v>448946.49381574354</v>
      </c>
      <c r="AA80" s="218">
        <f t="shared" si="214"/>
        <v>590356</v>
      </c>
      <c r="AB80" s="218">
        <f t="shared" si="214"/>
        <v>4023766.3518357011</v>
      </c>
      <c r="AC80" s="218">
        <f t="shared" si="214"/>
        <v>2343.9771111399405</v>
      </c>
      <c r="AD80" s="218">
        <f t="shared" si="214"/>
        <v>2205290.5598759139</v>
      </c>
      <c r="AE80" s="218">
        <f t="shared" si="214"/>
        <v>3236596.0922416151</v>
      </c>
      <c r="AF80" s="218">
        <f t="shared" si="214"/>
        <v>238843.70572298818</v>
      </c>
      <c r="AG80" s="218">
        <f t="shared" si="214"/>
        <v>1540043.9568219744</v>
      </c>
      <c r="AH80" s="218">
        <f t="shared" si="214"/>
        <v>525315.86493048538</v>
      </c>
      <c r="AI80" s="218">
        <f t="shared" si="214"/>
        <v>1084817.1346261154</v>
      </c>
      <c r="AJ80" s="218">
        <f t="shared" si="214"/>
        <v>0</v>
      </c>
      <c r="AK80" s="218">
        <f t="shared" si="214"/>
        <v>119209.19237224213</v>
      </c>
      <c r="AL80" s="218">
        <f t="shared" si="214"/>
        <v>3763255.8321899469</v>
      </c>
      <c r="AM80" s="218">
        <f t="shared" si="214"/>
        <v>0</v>
      </c>
      <c r="AN80" s="218">
        <f t="shared" si="214"/>
        <v>832885.14421425143</v>
      </c>
      <c r="AO80" s="218">
        <f t="shared" si="214"/>
        <v>63672.909316770187</v>
      </c>
      <c r="AP80" s="218">
        <f t="shared" si="214"/>
        <v>181001.64780949935</v>
      </c>
      <c r="AQ80" s="218">
        <f t="shared" si="214"/>
        <v>0</v>
      </c>
      <c r="AR80" s="218">
        <f t="shared" si="214"/>
        <v>1918235.7669189884</v>
      </c>
      <c r="AS80" s="218">
        <f t="shared" si="214"/>
        <v>186394.40836435297</v>
      </c>
      <c r="AT80" s="218">
        <f t="shared" si="214"/>
        <v>2747097.3886529701</v>
      </c>
      <c r="AU80" s="218">
        <f t="shared" si="214"/>
        <v>18301.955918721731</v>
      </c>
      <c r="AV80" s="218">
        <f t="shared" si="214"/>
        <v>2144016</v>
      </c>
      <c r="AW80" s="218">
        <f t="shared" si="214"/>
        <v>1416954</v>
      </c>
      <c r="AX80" s="218">
        <f t="shared" si="214"/>
        <v>9210</v>
      </c>
      <c r="AY80" s="218">
        <f t="shared" si="214"/>
        <v>10826630.133738484</v>
      </c>
      <c r="AZ80" s="218">
        <f t="shared" si="214"/>
        <v>761188.328755519</v>
      </c>
      <c r="BA80" s="218">
        <f t="shared" si="214"/>
        <v>4067550.53783673</v>
      </c>
      <c r="BB80" s="218">
        <f t="shared" si="214"/>
        <v>593614.74381613184</v>
      </c>
      <c r="BC80" s="218">
        <f t="shared" si="214"/>
        <v>1779753.1966876988</v>
      </c>
      <c r="BD80" s="218">
        <f t="shared" si="214"/>
        <v>455119</v>
      </c>
      <c r="BE80" s="218">
        <f t="shared" si="214"/>
        <v>604602.6203745323</v>
      </c>
      <c r="BF80" s="218">
        <f t="shared" si="214"/>
        <v>666085.76631637162</v>
      </c>
      <c r="BG80" s="218">
        <f t="shared" si="214"/>
        <v>649384.88808657345</v>
      </c>
      <c r="BH80" s="218">
        <f t="shared" si="214"/>
        <v>695278.6088914912</v>
      </c>
      <c r="BI80" s="218">
        <f t="shared" si="214"/>
        <v>1054803.6975967865</v>
      </c>
      <c r="BJ80" s="218">
        <f t="shared" si="214"/>
        <v>62695</v>
      </c>
      <c r="BK80" s="218">
        <f t="shared" si="214"/>
        <v>2291579.4780099201</v>
      </c>
      <c r="BL80" s="218">
        <f t="shared" si="214"/>
        <v>3090648.8028506273</v>
      </c>
      <c r="BM80" s="218">
        <f t="shared" si="214"/>
        <v>43342.198769803566</v>
      </c>
      <c r="BN80" s="218">
        <f t="shared" si="214"/>
        <v>381826.64487588994</v>
      </c>
      <c r="BO80" s="218">
        <f t="shared" ref="BO80:CM84" si="215">BO38</f>
        <v>2557721.1962618497</v>
      </c>
      <c r="BP80" s="218">
        <f t="shared" si="215"/>
        <v>4466243.796734211</v>
      </c>
      <c r="BQ80" s="218">
        <f t="shared" si="215"/>
        <v>131700.19870739835</v>
      </c>
      <c r="BR80" s="218">
        <f t="shared" si="215"/>
        <v>538859.03681008436</v>
      </c>
      <c r="BS80" s="218">
        <f t="shared" si="215"/>
        <v>219029</v>
      </c>
      <c r="BT80" s="218">
        <f t="shared" si="215"/>
        <v>2595152</v>
      </c>
      <c r="BU80" s="218">
        <f t="shared" si="215"/>
        <v>2034153.0000000002</v>
      </c>
      <c r="BV80" s="218">
        <f t="shared" si="215"/>
        <v>5688014.1347458009</v>
      </c>
      <c r="BW80" s="218">
        <f t="shared" si="215"/>
        <v>363796.20278903458</v>
      </c>
      <c r="BX80" s="218">
        <f t="shared" si="215"/>
        <v>65928.688637680374</v>
      </c>
      <c r="BY80" s="218">
        <f t="shared" si="215"/>
        <v>341094.5474474447</v>
      </c>
      <c r="BZ80" s="218">
        <f t="shared" si="215"/>
        <v>28824.731996550236</v>
      </c>
      <c r="CA80" s="218">
        <f t="shared" si="215"/>
        <v>246763.58625874267</v>
      </c>
      <c r="CB80" s="218">
        <f t="shared" si="215"/>
        <v>1135956.6101477034</v>
      </c>
      <c r="CC80" s="218">
        <f t="shared" si="215"/>
        <v>259529.76957167021</v>
      </c>
      <c r="CD80" s="218">
        <f t="shared" si="215"/>
        <v>476863.76654306293</v>
      </c>
      <c r="CE80" s="218">
        <f t="shared" si="215"/>
        <v>83031.303786589968</v>
      </c>
      <c r="CF80" s="218">
        <f t="shared" si="215"/>
        <v>350982</v>
      </c>
      <c r="CG80" s="218">
        <f t="shared" si="215"/>
        <v>228487</v>
      </c>
      <c r="CH80" s="218">
        <f t="shared" si="215"/>
        <v>610342.97730417852</v>
      </c>
      <c r="CI80" s="218">
        <f t="shared" si="215"/>
        <v>493.39301808969662</v>
      </c>
      <c r="CJ80" s="218">
        <f t="shared" si="215"/>
        <v>29996.875929777627</v>
      </c>
      <c r="CK80" s="218">
        <f t="shared" si="215"/>
        <v>37.076575212104316</v>
      </c>
      <c r="CL80" s="218">
        <f t="shared" si="215"/>
        <v>0</v>
      </c>
      <c r="CM80" s="218">
        <f t="shared" si="215"/>
        <v>49946.281340140631</v>
      </c>
      <c r="CN80" s="202"/>
      <c r="CO80" s="187">
        <f>SUM(B80:CM81)</f>
        <v>124289697.69583555</v>
      </c>
    </row>
    <row r="81" spans="1:93" x14ac:dyDescent="0.3">
      <c r="A81" s="155" t="s">
        <v>207</v>
      </c>
      <c r="B81" s="218">
        <f t="shared" ref="B81:Q87" si="216">B39</f>
        <v>0</v>
      </c>
      <c r="C81" s="218">
        <f t="shared" si="216"/>
        <v>0</v>
      </c>
      <c r="D81" s="218">
        <f t="shared" si="216"/>
        <v>0</v>
      </c>
      <c r="E81" s="218">
        <f t="shared" si="216"/>
        <v>0</v>
      </c>
      <c r="F81" s="218">
        <f t="shared" si="216"/>
        <v>36631.195382342725</v>
      </c>
      <c r="G81" s="218">
        <f t="shared" si="216"/>
        <v>0</v>
      </c>
      <c r="H81" s="218">
        <f t="shared" si="216"/>
        <v>104750</v>
      </c>
      <c r="I81" s="218">
        <f t="shared" si="216"/>
        <v>0</v>
      </c>
      <c r="J81" s="218">
        <f t="shared" si="216"/>
        <v>250388.23579511096</v>
      </c>
      <c r="K81" s="218">
        <f t="shared" si="216"/>
        <v>0</v>
      </c>
      <c r="L81" s="218">
        <f t="shared" si="216"/>
        <v>0</v>
      </c>
      <c r="M81" s="218">
        <f t="shared" si="216"/>
        <v>0</v>
      </c>
      <c r="N81" s="218">
        <f t="shared" si="216"/>
        <v>31204</v>
      </c>
      <c r="O81" s="218">
        <f t="shared" si="216"/>
        <v>317801.15920301661</v>
      </c>
      <c r="P81" s="218">
        <f t="shared" si="216"/>
        <v>0</v>
      </c>
      <c r="Q81" s="218">
        <f t="shared" si="216"/>
        <v>107509.21341879405</v>
      </c>
      <c r="R81" s="218">
        <f t="shared" si="214"/>
        <v>0</v>
      </c>
      <c r="S81" s="218">
        <f t="shared" si="214"/>
        <v>89367.842523745785</v>
      </c>
      <c r="T81" s="218">
        <f t="shared" si="214"/>
        <v>1364516.406952929</v>
      </c>
      <c r="U81" s="218">
        <f t="shared" si="214"/>
        <v>454523</v>
      </c>
      <c r="V81" s="218">
        <f t="shared" si="214"/>
        <v>11261.131337106688</v>
      </c>
      <c r="W81" s="218">
        <f t="shared" si="214"/>
        <v>0</v>
      </c>
      <c r="X81" s="218">
        <f t="shared" si="214"/>
        <v>71077.338424293441</v>
      </c>
      <c r="Y81" s="218">
        <f t="shared" si="214"/>
        <v>70897</v>
      </c>
      <c r="Z81" s="218">
        <f t="shared" si="214"/>
        <v>133234.59816307685</v>
      </c>
      <c r="AA81" s="218">
        <f t="shared" si="214"/>
        <v>0</v>
      </c>
      <c r="AB81" s="218">
        <f t="shared" si="214"/>
        <v>0</v>
      </c>
      <c r="AC81" s="218">
        <f t="shared" si="214"/>
        <v>1154.5623185972622</v>
      </c>
      <c r="AD81" s="218">
        <f t="shared" si="214"/>
        <v>0</v>
      </c>
      <c r="AE81" s="218">
        <f t="shared" si="214"/>
        <v>0</v>
      </c>
      <c r="AF81" s="218">
        <f t="shared" si="214"/>
        <v>99972.712709511179</v>
      </c>
      <c r="AG81" s="218">
        <f t="shared" si="214"/>
        <v>0</v>
      </c>
      <c r="AH81" s="218">
        <f t="shared" si="214"/>
        <v>0</v>
      </c>
      <c r="AI81" s="218">
        <f t="shared" si="214"/>
        <v>0</v>
      </c>
      <c r="AJ81" s="218">
        <f t="shared" si="214"/>
        <v>0</v>
      </c>
      <c r="AK81" s="218">
        <f t="shared" si="214"/>
        <v>107606.66445251116</v>
      </c>
      <c r="AL81" s="218">
        <f t="shared" si="214"/>
        <v>0</v>
      </c>
      <c r="AM81" s="218">
        <f t="shared" si="214"/>
        <v>0</v>
      </c>
      <c r="AN81" s="218">
        <f t="shared" si="214"/>
        <v>0</v>
      </c>
      <c r="AO81" s="218">
        <f t="shared" si="214"/>
        <v>3564.8347826086956</v>
      </c>
      <c r="AP81" s="218">
        <f t="shared" si="214"/>
        <v>106880.10539264444</v>
      </c>
      <c r="AQ81" s="218">
        <f t="shared" si="214"/>
        <v>0</v>
      </c>
      <c r="AR81" s="218">
        <f t="shared" si="214"/>
        <v>0</v>
      </c>
      <c r="AS81" s="218">
        <f t="shared" si="214"/>
        <v>0</v>
      </c>
      <c r="AT81" s="218">
        <f t="shared" si="214"/>
        <v>1177328.2341817007</v>
      </c>
      <c r="AU81" s="218">
        <f t="shared" si="214"/>
        <v>0</v>
      </c>
      <c r="AV81" s="218">
        <f t="shared" si="214"/>
        <v>0</v>
      </c>
      <c r="AW81" s="218">
        <f t="shared" si="214"/>
        <v>0</v>
      </c>
      <c r="AX81" s="218">
        <f t="shared" si="214"/>
        <v>8423</v>
      </c>
      <c r="AY81" s="218">
        <f t="shared" si="214"/>
        <v>3867511.8366823508</v>
      </c>
      <c r="AZ81" s="218">
        <f t="shared" si="214"/>
        <v>195366.89984669004</v>
      </c>
      <c r="BA81" s="218">
        <f t="shared" si="214"/>
        <v>3478111.3289243267</v>
      </c>
      <c r="BB81" s="218">
        <f t="shared" si="214"/>
        <v>690272.64549486211</v>
      </c>
      <c r="BC81" s="218">
        <f t="shared" si="214"/>
        <v>0</v>
      </c>
      <c r="BD81" s="218">
        <f t="shared" si="214"/>
        <v>26320</v>
      </c>
      <c r="BE81" s="218">
        <f t="shared" si="214"/>
        <v>0</v>
      </c>
      <c r="BF81" s="218">
        <f t="shared" si="214"/>
        <v>0</v>
      </c>
      <c r="BG81" s="218">
        <f t="shared" si="214"/>
        <v>0</v>
      </c>
      <c r="BH81" s="218">
        <f t="shared" si="214"/>
        <v>0</v>
      </c>
      <c r="BI81" s="218">
        <f t="shared" si="214"/>
        <v>0</v>
      </c>
      <c r="BJ81" s="218">
        <f t="shared" si="214"/>
        <v>8830</v>
      </c>
      <c r="BK81" s="218">
        <f t="shared" si="214"/>
        <v>2039621.9050368688</v>
      </c>
      <c r="BL81" s="218">
        <f t="shared" si="214"/>
        <v>166495.72808679019</v>
      </c>
      <c r="BM81" s="218">
        <f t="shared" si="214"/>
        <v>80491.750602143729</v>
      </c>
      <c r="BN81" s="218">
        <f t="shared" si="214"/>
        <v>933002.27094845916</v>
      </c>
      <c r="BO81" s="218">
        <f t="shared" si="215"/>
        <v>0</v>
      </c>
      <c r="BP81" s="218">
        <f t="shared" si="215"/>
        <v>1655578.3965786751</v>
      </c>
      <c r="BQ81" s="218">
        <f t="shared" si="215"/>
        <v>0</v>
      </c>
      <c r="BR81" s="218">
        <f t="shared" si="215"/>
        <v>1977.1737447049736</v>
      </c>
      <c r="BS81" s="218">
        <f t="shared" si="215"/>
        <v>0</v>
      </c>
      <c r="BT81" s="218">
        <f t="shared" si="215"/>
        <v>0</v>
      </c>
      <c r="BU81" s="218">
        <f t="shared" si="215"/>
        <v>9226</v>
      </c>
      <c r="BV81" s="218">
        <f t="shared" si="215"/>
        <v>209844.30925829074</v>
      </c>
      <c r="BW81" s="218">
        <f t="shared" si="215"/>
        <v>0</v>
      </c>
      <c r="BX81" s="218">
        <f t="shared" si="215"/>
        <v>126125.89570056184</v>
      </c>
      <c r="BY81" s="218">
        <f t="shared" si="215"/>
        <v>90371.993221511744</v>
      </c>
      <c r="BZ81" s="218">
        <f t="shared" si="215"/>
        <v>0</v>
      </c>
      <c r="CA81" s="218">
        <f t="shared" si="215"/>
        <v>39670.731336671546</v>
      </c>
      <c r="CB81" s="218">
        <f t="shared" si="215"/>
        <v>564924.22234849609</v>
      </c>
      <c r="CC81" s="218">
        <f t="shared" si="215"/>
        <v>0</v>
      </c>
      <c r="CD81" s="218">
        <f t="shared" si="215"/>
        <v>0</v>
      </c>
      <c r="CE81" s="218">
        <f t="shared" si="215"/>
        <v>71797.284849255491</v>
      </c>
      <c r="CF81" s="218">
        <f t="shared" si="215"/>
        <v>0</v>
      </c>
      <c r="CG81" s="218">
        <f t="shared" si="215"/>
        <v>0</v>
      </c>
      <c r="CH81" s="218">
        <f t="shared" si="215"/>
        <v>0</v>
      </c>
      <c r="CI81" s="218">
        <f t="shared" si="215"/>
        <v>822.33224413478877</v>
      </c>
      <c r="CJ81" s="218">
        <f t="shared" si="215"/>
        <v>74.984007056866233</v>
      </c>
      <c r="CK81" s="218">
        <f t="shared" si="215"/>
        <v>21.422131583073465</v>
      </c>
      <c r="CL81" s="218">
        <f t="shared" si="215"/>
        <v>0</v>
      </c>
      <c r="CM81" s="218">
        <f t="shared" si="215"/>
        <v>37972.32083383252</v>
      </c>
      <c r="CN81" s="202"/>
      <c r="CO81" s="187"/>
    </row>
    <row r="82" spans="1:93" x14ac:dyDescent="0.3">
      <c r="A82" s="155" t="s">
        <v>2</v>
      </c>
      <c r="B82" s="218">
        <f t="shared" si="216"/>
        <v>629550.38672812528</v>
      </c>
      <c r="C82" s="218">
        <f t="shared" ref="C82:BN85" si="217">C40</f>
        <v>662492</v>
      </c>
      <c r="D82" s="218">
        <f t="shared" si="217"/>
        <v>5671.6373556005219</v>
      </c>
      <c r="E82" s="218">
        <f t="shared" si="217"/>
        <v>35396</v>
      </c>
      <c r="F82" s="218">
        <f t="shared" si="217"/>
        <v>357362.27526125521</v>
      </c>
      <c r="G82" s="218">
        <f t="shared" si="217"/>
        <v>0</v>
      </c>
      <c r="H82" s="218">
        <f t="shared" si="217"/>
        <v>41879</v>
      </c>
      <c r="I82" s="218">
        <f t="shared" si="217"/>
        <v>207812.98444534384</v>
      </c>
      <c r="J82" s="218">
        <f t="shared" si="217"/>
        <v>429233.49398452311</v>
      </c>
      <c r="K82" s="218">
        <f t="shared" si="217"/>
        <v>60956.581243602581</v>
      </c>
      <c r="L82" s="218">
        <f t="shared" si="217"/>
        <v>411262.62688787217</v>
      </c>
      <c r="M82" s="218">
        <f t="shared" si="217"/>
        <v>114599.27563644706</v>
      </c>
      <c r="N82" s="218">
        <f t="shared" si="217"/>
        <v>9714</v>
      </c>
      <c r="O82" s="218">
        <f t="shared" si="217"/>
        <v>96448.285442389111</v>
      </c>
      <c r="P82" s="218">
        <f t="shared" si="217"/>
        <v>27380.473619501532</v>
      </c>
      <c r="Q82" s="218">
        <f t="shared" si="217"/>
        <v>71673.536581205946</v>
      </c>
      <c r="R82" s="218">
        <f t="shared" si="217"/>
        <v>48477.089800519032</v>
      </c>
      <c r="S82" s="218">
        <f t="shared" si="217"/>
        <v>172353.39404414158</v>
      </c>
      <c r="T82" s="218">
        <f t="shared" si="217"/>
        <v>74886.03643736463</v>
      </c>
      <c r="U82" s="218">
        <f t="shared" si="217"/>
        <v>4022.0000000000005</v>
      </c>
      <c r="V82" s="218">
        <f t="shared" si="217"/>
        <v>24633.13582861664</v>
      </c>
      <c r="W82" s="218">
        <f t="shared" si="217"/>
        <v>18132.758170044846</v>
      </c>
      <c r="X82" s="218">
        <f t="shared" si="217"/>
        <v>33071.628390291109</v>
      </c>
      <c r="Y82" s="218">
        <f t="shared" si="217"/>
        <v>24814</v>
      </c>
      <c r="Z82" s="218">
        <f t="shared" si="217"/>
        <v>32022.401158155459</v>
      </c>
      <c r="AA82" s="218">
        <f t="shared" si="217"/>
        <v>0</v>
      </c>
      <c r="AB82" s="218">
        <f t="shared" si="217"/>
        <v>262296.2456447283</v>
      </c>
      <c r="AC82" s="218">
        <f t="shared" si="217"/>
        <v>135.04510107677868</v>
      </c>
      <c r="AD82" s="218">
        <f t="shared" si="217"/>
        <v>207367.75340273374</v>
      </c>
      <c r="AE82" s="218">
        <f t="shared" si="217"/>
        <v>283246.08930385276</v>
      </c>
      <c r="AF82" s="218">
        <f t="shared" si="217"/>
        <v>60399.783125963688</v>
      </c>
      <c r="AG82" s="218">
        <f t="shared" si="217"/>
        <v>32069.802821233847</v>
      </c>
      <c r="AH82" s="218">
        <f t="shared" si="217"/>
        <v>0</v>
      </c>
      <c r="AI82" s="218">
        <f t="shared" si="217"/>
        <v>87782.087604085114</v>
      </c>
      <c r="AJ82" s="218">
        <f t="shared" si="217"/>
        <v>0</v>
      </c>
      <c r="AK82" s="218">
        <f t="shared" si="217"/>
        <v>131480.43136903641</v>
      </c>
      <c r="AL82" s="218">
        <f t="shared" si="217"/>
        <v>156622.10096473154</v>
      </c>
      <c r="AM82" s="218">
        <f t="shared" si="217"/>
        <v>0</v>
      </c>
      <c r="AN82" s="218">
        <f t="shared" si="217"/>
        <v>180602.09420737994</v>
      </c>
      <c r="AO82" s="218">
        <f t="shared" si="217"/>
        <v>5302.7627329192546</v>
      </c>
      <c r="AP82" s="218">
        <f t="shared" si="217"/>
        <v>5773.0516957442478</v>
      </c>
      <c r="AQ82" s="218">
        <f t="shared" si="217"/>
        <v>0</v>
      </c>
      <c r="AR82" s="218">
        <f t="shared" si="217"/>
        <v>95380.045072811903</v>
      </c>
      <c r="AS82" s="218">
        <f t="shared" si="217"/>
        <v>29319.36325815634</v>
      </c>
      <c r="AT82" s="218">
        <f t="shared" si="217"/>
        <v>112954.94957356056</v>
      </c>
      <c r="AU82" s="218">
        <f t="shared" si="217"/>
        <v>0</v>
      </c>
      <c r="AV82" s="218">
        <f t="shared" si="217"/>
        <v>32278</v>
      </c>
      <c r="AW82" s="218">
        <f t="shared" si="217"/>
        <v>123983</v>
      </c>
      <c r="AX82" s="218">
        <f t="shared" si="217"/>
        <v>5440</v>
      </c>
      <c r="AY82" s="218">
        <f t="shared" si="217"/>
        <v>556666.44386013341</v>
      </c>
      <c r="AZ82" s="218">
        <f t="shared" si="217"/>
        <v>5737.9525613815404</v>
      </c>
      <c r="BA82" s="218">
        <f t="shared" si="217"/>
        <v>11014.926666418271</v>
      </c>
      <c r="BB82" s="218">
        <f t="shared" si="217"/>
        <v>408106.41549088195</v>
      </c>
      <c r="BC82" s="218">
        <f t="shared" si="217"/>
        <v>0</v>
      </c>
      <c r="BD82" s="218">
        <f t="shared" si="217"/>
        <v>68603</v>
      </c>
      <c r="BE82" s="218">
        <f t="shared" si="217"/>
        <v>46625.916027868217</v>
      </c>
      <c r="BF82" s="218">
        <f t="shared" si="217"/>
        <v>313865.71128318587</v>
      </c>
      <c r="BG82" s="218">
        <f t="shared" si="217"/>
        <v>259753.77761731468</v>
      </c>
      <c r="BH82" s="218">
        <f t="shared" si="217"/>
        <v>0</v>
      </c>
      <c r="BI82" s="218">
        <f t="shared" si="217"/>
        <v>95091.424901797916</v>
      </c>
      <c r="BJ82" s="218">
        <f t="shared" si="217"/>
        <v>4415</v>
      </c>
      <c r="BK82" s="218">
        <f t="shared" si="217"/>
        <v>592700.76958173432</v>
      </c>
      <c r="BL82" s="218">
        <f t="shared" si="217"/>
        <v>12223.868418056092</v>
      </c>
      <c r="BM82" s="218">
        <f t="shared" si="217"/>
        <v>38276.254886720213</v>
      </c>
      <c r="BN82" s="218">
        <f t="shared" si="217"/>
        <v>5140.6753676500775</v>
      </c>
      <c r="BO82" s="218">
        <f t="shared" si="215"/>
        <v>83662.359959549445</v>
      </c>
      <c r="BP82" s="218">
        <f t="shared" si="215"/>
        <v>45061.926631057315</v>
      </c>
      <c r="BQ82" s="218">
        <f t="shared" si="215"/>
        <v>782.3525510818514</v>
      </c>
      <c r="BR82" s="218">
        <f t="shared" si="215"/>
        <v>46782.959217251184</v>
      </c>
      <c r="BS82" s="218">
        <f t="shared" si="215"/>
        <v>0</v>
      </c>
      <c r="BT82" s="218">
        <f t="shared" si="215"/>
        <v>230405.00000000003</v>
      </c>
      <c r="BU82" s="218">
        <f t="shared" si="215"/>
        <v>34165</v>
      </c>
      <c r="BV82" s="218">
        <f t="shared" si="215"/>
        <v>118138.51284051199</v>
      </c>
      <c r="BW82" s="218">
        <f t="shared" si="215"/>
        <v>36991.146078665079</v>
      </c>
      <c r="BX82" s="218">
        <f t="shared" si="215"/>
        <v>7069.0739500666941</v>
      </c>
      <c r="BY82" s="218">
        <f t="shared" si="215"/>
        <v>134520.28284699138</v>
      </c>
      <c r="BZ82" s="218">
        <f t="shared" si="215"/>
        <v>11191.739241052177</v>
      </c>
      <c r="CA82" s="218">
        <f t="shared" si="215"/>
        <v>136397.00345008122</v>
      </c>
      <c r="CB82" s="218">
        <f t="shared" si="215"/>
        <v>31058.206628014428</v>
      </c>
      <c r="CC82" s="218">
        <f t="shared" si="215"/>
        <v>0</v>
      </c>
      <c r="CD82" s="218">
        <f t="shared" si="215"/>
        <v>421.51426063049428</v>
      </c>
      <c r="CE82" s="218">
        <f t="shared" si="215"/>
        <v>3404.9834216110985</v>
      </c>
      <c r="CF82" s="218">
        <f t="shared" si="215"/>
        <v>25078</v>
      </c>
      <c r="CG82" s="218">
        <f t="shared" si="215"/>
        <v>15572</v>
      </c>
      <c r="CH82" s="218">
        <f t="shared" si="215"/>
        <v>0</v>
      </c>
      <c r="CI82" s="218">
        <f t="shared" si="215"/>
        <v>953.92059133517898</v>
      </c>
      <c r="CJ82" s="218">
        <f t="shared" si="215"/>
        <v>2512.2489746011397</v>
      </c>
      <c r="CK82" s="218">
        <f t="shared" si="215"/>
        <v>48.199796061915293</v>
      </c>
      <c r="CL82" s="218">
        <f t="shared" si="215"/>
        <v>0</v>
      </c>
      <c r="CM82" s="218">
        <f t="shared" si="215"/>
        <v>84010.253057293739</v>
      </c>
      <c r="CN82" s="202"/>
      <c r="CO82" s="187">
        <f>SUM(B82:CM83)</f>
        <v>15326349.219045665</v>
      </c>
    </row>
    <row r="83" spans="1:93" x14ac:dyDescent="0.3">
      <c r="A83" s="155" t="s">
        <v>208</v>
      </c>
      <c r="B83" s="218">
        <f t="shared" si="216"/>
        <v>62337.169081254251</v>
      </c>
      <c r="C83" s="218">
        <f t="shared" si="217"/>
        <v>65599</v>
      </c>
      <c r="D83" s="218">
        <f t="shared" si="217"/>
        <v>34418.332014595377</v>
      </c>
      <c r="E83" s="218">
        <f t="shared" si="217"/>
        <v>21781</v>
      </c>
      <c r="F83" s="218">
        <f t="shared" si="217"/>
        <v>58026.568167727637</v>
      </c>
      <c r="G83" s="218">
        <f t="shared" si="217"/>
        <v>0</v>
      </c>
      <c r="H83" s="218">
        <f t="shared" si="217"/>
        <v>75847</v>
      </c>
      <c r="I83" s="218">
        <f t="shared" si="217"/>
        <v>287565.34175273444</v>
      </c>
      <c r="J83" s="218">
        <f t="shared" si="217"/>
        <v>643850.24097678473</v>
      </c>
      <c r="K83" s="218">
        <f t="shared" si="217"/>
        <v>125621.56892549738</v>
      </c>
      <c r="L83" s="218">
        <f t="shared" si="217"/>
        <v>0</v>
      </c>
      <c r="M83" s="218">
        <f t="shared" si="217"/>
        <v>67162.084763603605</v>
      </c>
      <c r="N83" s="218">
        <f t="shared" si="217"/>
        <v>63358</v>
      </c>
      <c r="O83" s="218">
        <f t="shared" si="217"/>
        <v>34588.596814831631</v>
      </c>
      <c r="P83" s="218">
        <f t="shared" si="217"/>
        <v>12654.504946343464</v>
      </c>
      <c r="Q83" s="218">
        <f t="shared" si="217"/>
        <v>64505.96463248237</v>
      </c>
      <c r="R83" s="218">
        <f t="shared" si="217"/>
        <v>0</v>
      </c>
      <c r="S83" s="218">
        <f t="shared" si="217"/>
        <v>89533.411530627011</v>
      </c>
      <c r="T83" s="218">
        <f t="shared" si="217"/>
        <v>219649.83121189053</v>
      </c>
      <c r="U83" s="218">
        <f t="shared" si="217"/>
        <v>3016</v>
      </c>
      <c r="V83" s="218">
        <f t="shared" si="217"/>
        <v>12668.665668553343</v>
      </c>
      <c r="W83" s="218">
        <f t="shared" si="217"/>
        <v>97560.309641485423</v>
      </c>
      <c r="X83" s="218">
        <f t="shared" si="217"/>
        <v>28279.347919096985</v>
      </c>
      <c r="Y83" s="218">
        <f t="shared" si="217"/>
        <v>10634</v>
      </c>
      <c r="Z83" s="218">
        <f t="shared" si="217"/>
        <v>22171.209234331993</v>
      </c>
      <c r="AA83" s="218">
        <f t="shared" si="217"/>
        <v>159934</v>
      </c>
      <c r="AB83" s="218">
        <f t="shared" si="217"/>
        <v>251598.52792839811</v>
      </c>
      <c r="AC83" s="218">
        <f t="shared" si="217"/>
        <v>0</v>
      </c>
      <c r="AD83" s="218">
        <f t="shared" si="217"/>
        <v>102586.83047651917</v>
      </c>
      <c r="AE83" s="218">
        <f t="shared" si="217"/>
        <v>49168.830035788313</v>
      </c>
      <c r="AF83" s="218">
        <f t="shared" si="217"/>
        <v>25885.505360795585</v>
      </c>
      <c r="AG83" s="218">
        <f t="shared" si="217"/>
        <v>48105.953639783635</v>
      </c>
      <c r="AH83" s="218">
        <f t="shared" si="217"/>
        <v>48236.135069514596</v>
      </c>
      <c r="AI83" s="218">
        <f t="shared" si="217"/>
        <v>64072.58729566876</v>
      </c>
      <c r="AJ83" s="218">
        <f t="shared" si="217"/>
        <v>0</v>
      </c>
      <c r="AK83" s="218">
        <f t="shared" si="217"/>
        <v>77251.200518574391</v>
      </c>
      <c r="AL83" s="218">
        <f t="shared" si="217"/>
        <v>80165.182542489696</v>
      </c>
      <c r="AM83" s="218">
        <f t="shared" si="217"/>
        <v>0</v>
      </c>
      <c r="AN83" s="218">
        <f t="shared" si="217"/>
        <v>0</v>
      </c>
      <c r="AO83" s="218">
        <f t="shared" si="217"/>
        <v>3706.8223602484472</v>
      </c>
      <c r="AP83" s="218">
        <f t="shared" si="217"/>
        <v>2297.5478823649896</v>
      </c>
      <c r="AQ83" s="218">
        <f t="shared" si="217"/>
        <v>0</v>
      </c>
      <c r="AR83" s="218">
        <f t="shared" si="217"/>
        <v>41037.135293859807</v>
      </c>
      <c r="AS83" s="218">
        <f t="shared" si="217"/>
        <v>13865.296693671995</v>
      </c>
      <c r="AT83" s="218">
        <f t="shared" si="217"/>
        <v>75304.029490772853</v>
      </c>
      <c r="AU83" s="218">
        <f t="shared" si="217"/>
        <v>841.64519832865892</v>
      </c>
      <c r="AV83" s="218">
        <f t="shared" si="217"/>
        <v>174757</v>
      </c>
      <c r="AW83" s="218">
        <f t="shared" si="217"/>
        <v>177119</v>
      </c>
      <c r="AX83" s="218">
        <f t="shared" si="217"/>
        <v>5490</v>
      </c>
      <c r="AY83" s="218">
        <f t="shared" si="217"/>
        <v>53706.650336808205</v>
      </c>
      <c r="AZ83" s="218">
        <f t="shared" si="217"/>
        <v>30096.099195698112</v>
      </c>
      <c r="BA83" s="218">
        <f t="shared" si="217"/>
        <v>11260.082901747457</v>
      </c>
      <c r="BB83" s="218">
        <f t="shared" si="217"/>
        <v>74505.892249785029</v>
      </c>
      <c r="BC83" s="218">
        <f t="shared" si="217"/>
        <v>66077.266532033973</v>
      </c>
      <c r="BD83" s="218">
        <f t="shared" si="217"/>
        <v>43177</v>
      </c>
      <c r="BE83" s="218">
        <f t="shared" si="217"/>
        <v>0</v>
      </c>
      <c r="BF83" s="218">
        <f t="shared" si="217"/>
        <v>323660.93196902657</v>
      </c>
      <c r="BG83" s="218">
        <f t="shared" si="217"/>
        <v>129877.3328519441</v>
      </c>
      <c r="BH83" s="218">
        <f t="shared" si="217"/>
        <v>220723.65206200501</v>
      </c>
      <c r="BI83" s="218">
        <f t="shared" si="217"/>
        <v>85392.358635370911</v>
      </c>
      <c r="BJ83" s="218">
        <f t="shared" si="217"/>
        <v>1766</v>
      </c>
      <c r="BK83" s="218">
        <f t="shared" si="217"/>
        <v>433275.66518998169</v>
      </c>
      <c r="BL83" s="218">
        <f t="shared" si="217"/>
        <v>419275.55047298654</v>
      </c>
      <c r="BM83" s="218">
        <f t="shared" si="217"/>
        <v>17240.244676665614</v>
      </c>
      <c r="BN83" s="218">
        <f t="shared" si="217"/>
        <v>18863.482416021416</v>
      </c>
      <c r="BO83" s="218">
        <f t="shared" si="215"/>
        <v>214917.73588833679</v>
      </c>
      <c r="BP83" s="218">
        <f t="shared" si="215"/>
        <v>50788.737673374977</v>
      </c>
      <c r="BQ83" s="218">
        <f t="shared" si="215"/>
        <v>4223.1968367387899</v>
      </c>
      <c r="BR83" s="218">
        <f t="shared" si="215"/>
        <v>40184.838032236614</v>
      </c>
      <c r="BS83" s="218">
        <f t="shared" si="215"/>
        <v>43700</v>
      </c>
      <c r="BT83" s="218">
        <f t="shared" si="215"/>
        <v>112007</v>
      </c>
      <c r="BU83" s="218">
        <f t="shared" si="215"/>
        <v>34306</v>
      </c>
      <c r="BV83" s="218">
        <f t="shared" si="215"/>
        <v>152541.61869694525</v>
      </c>
      <c r="BW83" s="218">
        <f t="shared" si="215"/>
        <v>27720.889702026219</v>
      </c>
      <c r="BX83" s="218">
        <f t="shared" si="215"/>
        <v>24378.222308303804</v>
      </c>
      <c r="BY83" s="218">
        <f t="shared" si="215"/>
        <v>115883.37905601034</v>
      </c>
      <c r="BZ83" s="218">
        <f t="shared" si="215"/>
        <v>12654.620935748168</v>
      </c>
      <c r="CA83" s="218">
        <f t="shared" si="215"/>
        <v>32279.3898860265</v>
      </c>
      <c r="CB83" s="218">
        <f t="shared" si="215"/>
        <v>8764.561044951859</v>
      </c>
      <c r="CC83" s="218">
        <f t="shared" si="215"/>
        <v>54825</v>
      </c>
      <c r="CD83" s="218">
        <f t="shared" si="215"/>
        <v>8310.3878229194343</v>
      </c>
      <c r="CE83" s="218">
        <f t="shared" si="215"/>
        <v>2405.766736236561</v>
      </c>
      <c r="CF83" s="218">
        <f t="shared" si="215"/>
        <v>17376</v>
      </c>
      <c r="CG83" s="218">
        <f t="shared" si="215"/>
        <v>8580</v>
      </c>
      <c r="CH83" s="218">
        <f t="shared" si="215"/>
        <v>6036.7540584489325</v>
      </c>
      <c r="CI83" s="218">
        <f t="shared" si="215"/>
        <v>394.71230500803171</v>
      </c>
      <c r="CJ83" s="218">
        <f t="shared" si="215"/>
        <v>3749.6205490162279</v>
      </c>
      <c r="CK83" s="218">
        <f t="shared" si="215"/>
        <v>58.913344715248861</v>
      </c>
      <c r="CL83" s="218">
        <f t="shared" si="215"/>
        <v>0</v>
      </c>
      <c r="CM83" s="218">
        <f t="shared" si="215"/>
        <v>46385.860557915781</v>
      </c>
      <c r="CN83" s="202"/>
      <c r="CO83" s="187"/>
    </row>
    <row r="84" spans="1:93" x14ac:dyDescent="0.3">
      <c r="A84" s="155" t="s">
        <v>209</v>
      </c>
      <c r="B84" s="218">
        <f t="shared" si="216"/>
        <v>40288.860463390236</v>
      </c>
      <c r="C84" s="218">
        <f t="shared" si="217"/>
        <v>42397</v>
      </c>
      <c r="D84" s="218">
        <f t="shared" si="217"/>
        <v>5291.7950779017856</v>
      </c>
      <c r="E84" s="218">
        <f t="shared" si="217"/>
        <v>81679.000000000015</v>
      </c>
      <c r="F84" s="218">
        <f t="shared" si="217"/>
        <v>1054692.8312940854</v>
      </c>
      <c r="G84" s="218">
        <f t="shared" si="217"/>
        <v>0</v>
      </c>
      <c r="H84" s="218">
        <f t="shared" si="217"/>
        <v>23500</v>
      </c>
      <c r="I84" s="218">
        <f t="shared" si="217"/>
        <v>831931.79394202854</v>
      </c>
      <c r="J84" s="218">
        <f t="shared" si="217"/>
        <v>751164.70738533291</v>
      </c>
      <c r="K84" s="218">
        <f t="shared" si="217"/>
        <v>123747.78890011595</v>
      </c>
      <c r="L84" s="218">
        <f t="shared" si="217"/>
        <v>109670.45679633981</v>
      </c>
      <c r="M84" s="218">
        <f t="shared" si="217"/>
        <v>7901.3066346797777</v>
      </c>
      <c r="N84" s="218">
        <f t="shared" si="217"/>
        <v>6801</v>
      </c>
      <c r="O84" s="218">
        <f t="shared" si="217"/>
        <v>75974.474924753915</v>
      </c>
      <c r="P84" s="218">
        <f t="shared" si="217"/>
        <v>20184.351194180505</v>
      </c>
      <c r="Q84" s="218">
        <f t="shared" si="217"/>
        <v>143345.98170939702</v>
      </c>
      <c r="R84" s="218">
        <f t="shared" si="217"/>
        <v>123919.08195317912</v>
      </c>
      <c r="S84" s="218">
        <f t="shared" si="217"/>
        <v>187461.56592205315</v>
      </c>
      <c r="T84" s="218">
        <f t="shared" si="217"/>
        <v>98043.431288503038</v>
      </c>
      <c r="U84" s="218">
        <f t="shared" si="217"/>
        <v>177987</v>
      </c>
      <c r="V84" s="218">
        <f t="shared" si="217"/>
        <v>9853.5970056600345</v>
      </c>
      <c r="W84" s="218">
        <f t="shared" si="217"/>
        <v>194121.14362150934</v>
      </c>
      <c r="X84" s="218">
        <f t="shared" si="217"/>
        <v>18798.641356580414</v>
      </c>
      <c r="Y84" s="218">
        <f t="shared" si="217"/>
        <v>0</v>
      </c>
      <c r="Z84" s="218">
        <f t="shared" si="217"/>
        <v>63802.500605996596</v>
      </c>
      <c r="AA84" s="218">
        <f t="shared" si="217"/>
        <v>659601</v>
      </c>
      <c r="AB84" s="218">
        <f t="shared" si="217"/>
        <v>149831.69149360131</v>
      </c>
      <c r="AC84" s="218">
        <f t="shared" si="217"/>
        <v>910.94089037105994</v>
      </c>
      <c r="AD84" s="218">
        <f t="shared" si="217"/>
        <v>185408.40026366268</v>
      </c>
      <c r="AE84" s="218">
        <f t="shared" si="217"/>
        <v>1724049.9021171506</v>
      </c>
      <c r="AF84" s="218">
        <f t="shared" si="217"/>
        <v>31503.929355193668</v>
      </c>
      <c r="AG84" s="218">
        <f t="shared" si="217"/>
        <v>56820.573971640668</v>
      </c>
      <c r="AH84" s="218">
        <f t="shared" si="217"/>
        <v>0</v>
      </c>
      <c r="AI84" s="218">
        <f t="shared" si="217"/>
        <v>180037.56659241027</v>
      </c>
      <c r="AJ84" s="218">
        <f t="shared" si="217"/>
        <v>0</v>
      </c>
      <c r="AK84" s="218">
        <f t="shared" si="217"/>
        <v>139714.8435633918</v>
      </c>
      <c r="AL84" s="218">
        <f t="shared" si="217"/>
        <v>782503.0702296223</v>
      </c>
      <c r="AM84" s="218">
        <f t="shared" si="217"/>
        <v>0</v>
      </c>
      <c r="AN84" s="218">
        <f t="shared" si="217"/>
        <v>198974.6490929705</v>
      </c>
      <c r="AO84" s="218">
        <f t="shared" si="217"/>
        <v>0</v>
      </c>
      <c r="AP84" s="218">
        <f t="shared" si="217"/>
        <v>205557.22461916239</v>
      </c>
      <c r="AQ84" s="218">
        <f t="shared" si="217"/>
        <v>0</v>
      </c>
      <c r="AR84" s="218">
        <f t="shared" si="217"/>
        <v>329973.45310496545</v>
      </c>
      <c r="AS84" s="218">
        <f t="shared" si="217"/>
        <v>16676.617692139258</v>
      </c>
      <c r="AT84" s="218">
        <f t="shared" si="217"/>
        <v>564774.74786780286</v>
      </c>
      <c r="AU84" s="218">
        <f t="shared" si="217"/>
        <v>13019.979468635145</v>
      </c>
      <c r="AV84" s="218">
        <f t="shared" si="217"/>
        <v>617829</v>
      </c>
      <c r="AW84" s="218">
        <f t="shared" si="217"/>
        <v>51365</v>
      </c>
      <c r="AX84" s="218">
        <f t="shared" si="217"/>
        <v>5216</v>
      </c>
      <c r="AY84" s="218">
        <f t="shared" si="217"/>
        <v>2730857.8331651301</v>
      </c>
      <c r="AZ84" s="218">
        <f t="shared" si="217"/>
        <v>275983.50678845524</v>
      </c>
      <c r="BA84" s="218">
        <f t="shared" si="217"/>
        <v>332466.06295316515</v>
      </c>
      <c r="BB84" s="218">
        <f t="shared" si="217"/>
        <v>510256.34004766244</v>
      </c>
      <c r="BC84" s="218">
        <f t="shared" si="217"/>
        <v>938133.57193960913</v>
      </c>
      <c r="BD84" s="218">
        <f t="shared" si="217"/>
        <v>122614</v>
      </c>
      <c r="BE84" s="218">
        <f t="shared" si="217"/>
        <v>70465.46359759949</v>
      </c>
      <c r="BF84" s="218">
        <f t="shared" si="217"/>
        <v>218571.14518805311</v>
      </c>
      <c r="BG84" s="218">
        <f t="shared" si="217"/>
        <v>246765.51148017621</v>
      </c>
      <c r="BH84" s="218">
        <f t="shared" si="217"/>
        <v>0</v>
      </c>
      <c r="BI84" s="218">
        <f t="shared" si="217"/>
        <v>340436.94020869548</v>
      </c>
      <c r="BJ84" s="218">
        <f t="shared" si="217"/>
        <v>8830</v>
      </c>
      <c r="BK84" s="218">
        <f t="shared" si="217"/>
        <v>746015.98487903469</v>
      </c>
      <c r="BL84" s="218">
        <f t="shared" si="217"/>
        <v>484589.91915741359</v>
      </c>
      <c r="BM84" s="218">
        <f t="shared" si="217"/>
        <v>33772.607565420156</v>
      </c>
      <c r="BN84" s="218">
        <f t="shared" si="217"/>
        <v>65671.199019599793</v>
      </c>
      <c r="BO84" s="218">
        <f t="shared" si="215"/>
        <v>126207.18866086174</v>
      </c>
      <c r="BP84" s="218">
        <f t="shared" si="215"/>
        <v>0</v>
      </c>
      <c r="BQ84" s="218">
        <f t="shared" si="215"/>
        <v>16580.097483039623</v>
      </c>
      <c r="BR84" s="218">
        <f t="shared" si="215"/>
        <v>21285.075977878059</v>
      </c>
      <c r="BS84" s="218">
        <f t="shared" si="215"/>
        <v>0</v>
      </c>
      <c r="BT84" s="218">
        <f t="shared" si="215"/>
        <v>338456</v>
      </c>
      <c r="BU84" s="218">
        <f t="shared" si="215"/>
        <v>37895</v>
      </c>
      <c r="BV84" s="218">
        <f t="shared" si="215"/>
        <v>2265237.6647697305</v>
      </c>
      <c r="BW84" s="218">
        <f t="shared" si="215"/>
        <v>0</v>
      </c>
      <c r="BX84" s="218">
        <f t="shared" si="215"/>
        <v>0</v>
      </c>
      <c r="BY84" s="218">
        <f t="shared" si="215"/>
        <v>109295.37732883102</v>
      </c>
      <c r="BZ84" s="218">
        <f t="shared" si="215"/>
        <v>6429.8183699870624</v>
      </c>
      <c r="CA84" s="218">
        <f t="shared" si="215"/>
        <v>204594.48792471574</v>
      </c>
      <c r="CB84" s="218">
        <f t="shared" si="215"/>
        <v>73619.73875085701</v>
      </c>
      <c r="CC84" s="218">
        <f t="shared" si="215"/>
        <v>56787</v>
      </c>
      <c r="CD84" s="218">
        <f t="shared" si="215"/>
        <v>252.90855637829662</v>
      </c>
      <c r="CE84" s="218">
        <f t="shared" si="215"/>
        <v>6965.1064463230259</v>
      </c>
      <c r="CF84" s="218">
        <f t="shared" si="215"/>
        <v>0</v>
      </c>
      <c r="CG84" s="218">
        <f t="shared" si="215"/>
        <v>57625</v>
      </c>
      <c r="CH84" s="218">
        <f t="shared" si="215"/>
        <v>644.85636376299442</v>
      </c>
      <c r="CI84" s="218">
        <f t="shared" si="215"/>
        <v>559.18719168989173</v>
      </c>
      <c r="CJ84" s="218">
        <f t="shared" si="215"/>
        <v>1124.8861647048682</v>
      </c>
      <c r="CK84" s="218">
        <f t="shared" si="215"/>
        <v>32.133197374610198</v>
      </c>
      <c r="CL84" s="218">
        <f t="shared" si="215"/>
        <v>0</v>
      </c>
      <c r="CM84" s="218">
        <f t="shared" si="215"/>
        <v>59171.195441015196</v>
      </c>
      <c r="CN84" s="202"/>
      <c r="CO84" s="187">
        <f>SUM(B84:CM87)</f>
        <v>36310344.231567457</v>
      </c>
    </row>
    <row r="85" spans="1:93" x14ac:dyDescent="0.3">
      <c r="A85" s="155" t="s">
        <v>210</v>
      </c>
      <c r="B85" s="218">
        <f t="shared" si="216"/>
        <v>0</v>
      </c>
      <c r="C85" s="218">
        <f t="shared" si="217"/>
        <v>0</v>
      </c>
      <c r="D85" s="218">
        <f t="shared" si="217"/>
        <v>431.83589745978003</v>
      </c>
      <c r="E85" s="218">
        <f t="shared" si="217"/>
        <v>0</v>
      </c>
      <c r="F85" s="218">
        <f t="shared" si="217"/>
        <v>0</v>
      </c>
      <c r="G85" s="218">
        <f t="shared" si="217"/>
        <v>0</v>
      </c>
      <c r="H85" s="218">
        <f t="shared" si="217"/>
        <v>0</v>
      </c>
      <c r="I85" s="218">
        <f t="shared" si="217"/>
        <v>0</v>
      </c>
      <c r="J85" s="218">
        <f t="shared" si="217"/>
        <v>178845.25818941215</v>
      </c>
      <c r="K85" s="218">
        <f t="shared" si="217"/>
        <v>1566.1444988262733</v>
      </c>
      <c r="L85" s="218">
        <f t="shared" si="217"/>
        <v>0</v>
      </c>
      <c r="M85" s="218">
        <f t="shared" si="217"/>
        <v>0</v>
      </c>
      <c r="N85" s="218">
        <f t="shared" si="217"/>
        <v>45525</v>
      </c>
      <c r="O85" s="218">
        <f t="shared" si="217"/>
        <v>65.441101644848288</v>
      </c>
      <c r="P85" s="218">
        <f t="shared" si="217"/>
        <v>587.52672960747998</v>
      </c>
      <c r="Q85" s="218">
        <f t="shared" si="217"/>
        <v>0</v>
      </c>
      <c r="R85" s="218">
        <f t="shared" si="217"/>
        <v>0</v>
      </c>
      <c r="S85" s="218">
        <f t="shared" si="217"/>
        <v>95529.37485125415</v>
      </c>
      <c r="T85" s="218">
        <f t="shared" si="217"/>
        <v>0</v>
      </c>
      <c r="U85" s="218">
        <f t="shared" si="217"/>
        <v>0</v>
      </c>
      <c r="V85" s="218">
        <f t="shared" si="217"/>
        <v>0</v>
      </c>
      <c r="W85" s="218">
        <f t="shared" si="217"/>
        <v>0</v>
      </c>
      <c r="X85" s="218">
        <f t="shared" si="217"/>
        <v>77999.632282663457</v>
      </c>
      <c r="Y85" s="218">
        <f t="shared" si="217"/>
        <v>0</v>
      </c>
      <c r="Z85" s="218">
        <f t="shared" si="217"/>
        <v>0</v>
      </c>
      <c r="AA85" s="218">
        <f t="shared" si="217"/>
        <v>0</v>
      </c>
      <c r="AB85" s="218">
        <f t="shared" si="217"/>
        <v>276821.93059288611</v>
      </c>
      <c r="AC85" s="218">
        <f t="shared" si="217"/>
        <v>0</v>
      </c>
      <c r="AD85" s="218">
        <f t="shared" si="217"/>
        <v>0</v>
      </c>
      <c r="AE85" s="218">
        <f t="shared" si="217"/>
        <v>11445.473489495995</v>
      </c>
      <c r="AF85" s="218">
        <f t="shared" si="217"/>
        <v>0</v>
      </c>
      <c r="AG85" s="218">
        <f t="shared" si="217"/>
        <v>37880.799117071409</v>
      </c>
      <c r="AH85" s="218">
        <f t="shared" si="217"/>
        <v>0</v>
      </c>
      <c r="AI85" s="218">
        <f t="shared" si="217"/>
        <v>0</v>
      </c>
      <c r="AJ85" s="218">
        <f t="shared" si="217"/>
        <v>0</v>
      </c>
      <c r="AK85" s="218">
        <f t="shared" si="217"/>
        <v>114354.05969419825</v>
      </c>
      <c r="AL85" s="218">
        <f t="shared" si="217"/>
        <v>29518.300281018768</v>
      </c>
      <c r="AM85" s="218">
        <f t="shared" si="217"/>
        <v>0</v>
      </c>
      <c r="AN85" s="218">
        <f t="shared" si="217"/>
        <v>0</v>
      </c>
      <c r="AO85" s="218">
        <f t="shared" si="217"/>
        <v>0</v>
      </c>
      <c r="AP85" s="218">
        <f t="shared" si="217"/>
        <v>80795.677018136368</v>
      </c>
      <c r="AQ85" s="218">
        <f t="shared" si="217"/>
        <v>0</v>
      </c>
      <c r="AR85" s="218">
        <f t="shared" si="217"/>
        <v>0</v>
      </c>
      <c r="AS85" s="218">
        <f t="shared" si="217"/>
        <v>0</v>
      </c>
      <c r="AT85" s="218">
        <f t="shared" si="217"/>
        <v>376516.86346606811</v>
      </c>
      <c r="AU85" s="218">
        <f t="shared" si="217"/>
        <v>0</v>
      </c>
      <c r="AV85" s="218">
        <f t="shared" si="217"/>
        <v>0</v>
      </c>
      <c r="AW85" s="218">
        <f t="shared" si="217"/>
        <v>0</v>
      </c>
      <c r="AX85" s="218">
        <f t="shared" si="217"/>
        <v>0</v>
      </c>
      <c r="AY85" s="218">
        <f t="shared" si="217"/>
        <v>175993.3986756847</v>
      </c>
      <c r="AZ85" s="218">
        <f t="shared" si="217"/>
        <v>0</v>
      </c>
      <c r="BA85" s="218">
        <f t="shared" si="217"/>
        <v>0</v>
      </c>
      <c r="BB85" s="218">
        <f t="shared" si="217"/>
        <v>3321.1535948565047</v>
      </c>
      <c r="BC85" s="218">
        <f t="shared" si="217"/>
        <v>0</v>
      </c>
      <c r="BD85" s="218">
        <f t="shared" si="217"/>
        <v>0</v>
      </c>
      <c r="BE85" s="218">
        <f t="shared" si="217"/>
        <v>0</v>
      </c>
      <c r="BF85" s="218">
        <f t="shared" si="217"/>
        <v>218020.44524336283</v>
      </c>
      <c r="BG85" s="218">
        <f t="shared" si="217"/>
        <v>0</v>
      </c>
      <c r="BH85" s="218">
        <f t="shared" si="217"/>
        <v>0</v>
      </c>
      <c r="BI85" s="218">
        <f t="shared" si="217"/>
        <v>108446.09524664456</v>
      </c>
      <c r="BJ85" s="218">
        <f t="shared" si="217"/>
        <v>1645</v>
      </c>
      <c r="BK85" s="218">
        <f t="shared" si="217"/>
        <v>0</v>
      </c>
      <c r="BL85" s="218">
        <f t="shared" si="217"/>
        <v>0</v>
      </c>
      <c r="BM85" s="218">
        <f t="shared" si="217"/>
        <v>0</v>
      </c>
      <c r="BN85" s="218">
        <f t="shared" ref="BN85:CM87" si="218">BN43</f>
        <v>0</v>
      </c>
      <c r="BO85" s="218">
        <f t="shared" si="218"/>
        <v>0</v>
      </c>
      <c r="BP85" s="218">
        <f t="shared" si="218"/>
        <v>637684.7689134269</v>
      </c>
      <c r="BQ85" s="218">
        <f t="shared" si="218"/>
        <v>0</v>
      </c>
      <c r="BR85" s="218">
        <f t="shared" si="218"/>
        <v>310.67386745584315</v>
      </c>
      <c r="BS85" s="218">
        <f t="shared" si="218"/>
        <v>0</v>
      </c>
      <c r="BT85" s="218">
        <f t="shared" si="218"/>
        <v>31003</v>
      </c>
      <c r="BU85" s="218">
        <f t="shared" si="218"/>
        <v>0</v>
      </c>
      <c r="BV85" s="218">
        <f t="shared" si="218"/>
        <v>770750.73888958257</v>
      </c>
      <c r="BW85" s="218">
        <f t="shared" si="218"/>
        <v>0</v>
      </c>
      <c r="BX85" s="218">
        <f t="shared" si="218"/>
        <v>0</v>
      </c>
      <c r="BY85" s="218">
        <f t="shared" si="218"/>
        <v>0</v>
      </c>
      <c r="BZ85" s="218">
        <f t="shared" si="218"/>
        <v>0</v>
      </c>
      <c r="CA85" s="218">
        <f t="shared" si="218"/>
        <v>16709.355170423274</v>
      </c>
      <c r="CB85" s="218">
        <f t="shared" si="218"/>
        <v>0</v>
      </c>
      <c r="CC85" s="218">
        <f t="shared" si="218"/>
        <v>0</v>
      </c>
      <c r="CD85" s="218">
        <f t="shared" si="218"/>
        <v>0</v>
      </c>
      <c r="CE85" s="218">
        <f t="shared" si="218"/>
        <v>0</v>
      </c>
      <c r="CF85" s="218">
        <f t="shared" si="218"/>
        <v>0</v>
      </c>
      <c r="CG85" s="218">
        <f t="shared" si="218"/>
        <v>0</v>
      </c>
      <c r="CH85" s="218">
        <f t="shared" si="218"/>
        <v>0</v>
      </c>
      <c r="CI85" s="218">
        <f t="shared" si="218"/>
        <v>0</v>
      </c>
      <c r="CJ85" s="218">
        <f t="shared" si="218"/>
        <v>0</v>
      </c>
      <c r="CK85" s="218">
        <f t="shared" si="218"/>
        <v>0</v>
      </c>
      <c r="CL85" s="218">
        <f t="shared" si="218"/>
        <v>0</v>
      </c>
      <c r="CM85" s="218">
        <f t="shared" si="218"/>
        <v>0</v>
      </c>
      <c r="CN85" s="202"/>
      <c r="CO85" s="187"/>
    </row>
    <row r="86" spans="1:93" x14ac:dyDescent="0.3">
      <c r="A86" s="155" t="s">
        <v>211</v>
      </c>
      <c r="B86" s="218">
        <f t="shared" si="216"/>
        <v>5033.6130828732712</v>
      </c>
      <c r="C86" s="218">
        <f t="shared" ref="C86:BN87" si="219">C44</f>
        <v>5297</v>
      </c>
      <c r="D86" s="218">
        <f t="shared" si="219"/>
        <v>20901.43514393959</v>
      </c>
      <c r="E86" s="218">
        <f t="shared" si="219"/>
        <v>2723</v>
      </c>
      <c r="F86" s="218">
        <f t="shared" si="219"/>
        <v>447244.91892667679</v>
      </c>
      <c r="G86" s="218">
        <f t="shared" si="219"/>
        <v>0</v>
      </c>
      <c r="H86" s="218">
        <f t="shared" si="219"/>
        <v>7173.9999999999991</v>
      </c>
      <c r="I86" s="218">
        <f t="shared" si="219"/>
        <v>38597.871460478775</v>
      </c>
      <c r="J86" s="218">
        <f t="shared" si="219"/>
        <v>0</v>
      </c>
      <c r="K86" s="218">
        <f t="shared" si="219"/>
        <v>156.61444988262733</v>
      </c>
      <c r="L86" s="218">
        <f t="shared" si="219"/>
        <v>27315.152242306667</v>
      </c>
      <c r="M86" s="218">
        <f t="shared" si="219"/>
        <v>8349.3995567554775</v>
      </c>
      <c r="N86" s="218">
        <f t="shared" si="219"/>
        <v>3956</v>
      </c>
      <c r="O86" s="218">
        <f t="shared" si="219"/>
        <v>297459.55293112859</v>
      </c>
      <c r="P86" s="218">
        <f t="shared" si="219"/>
        <v>9843.2327456664952</v>
      </c>
      <c r="Q86" s="218">
        <f t="shared" si="219"/>
        <v>7167.5719487235719</v>
      </c>
      <c r="R86" s="218">
        <f t="shared" si="219"/>
        <v>10289.905429249493</v>
      </c>
      <c r="S86" s="218">
        <f t="shared" si="219"/>
        <v>0</v>
      </c>
      <c r="T86" s="218">
        <f t="shared" si="219"/>
        <v>266035.31726179278</v>
      </c>
      <c r="U86" s="218">
        <f t="shared" si="219"/>
        <v>2010</v>
      </c>
      <c r="V86" s="218">
        <f t="shared" si="219"/>
        <v>1407.5343314466559</v>
      </c>
      <c r="W86" s="218">
        <f t="shared" si="219"/>
        <v>9145.6808474913269</v>
      </c>
      <c r="X86" s="218">
        <f t="shared" si="219"/>
        <v>138427.90237088394</v>
      </c>
      <c r="Y86" s="218">
        <f t="shared" si="219"/>
        <v>0</v>
      </c>
      <c r="Z86" s="218">
        <f t="shared" si="219"/>
        <v>141376.41782209589</v>
      </c>
      <c r="AA86" s="218">
        <f t="shared" si="219"/>
        <v>44198</v>
      </c>
      <c r="AB86" s="218">
        <f t="shared" si="219"/>
        <v>219487.59204654585</v>
      </c>
      <c r="AC86" s="218">
        <f t="shared" si="219"/>
        <v>19.122742084417617</v>
      </c>
      <c r="AD86" s="218">
        <f t="shared" si="219"/>
        <v>573.45598117038958</v>
      </c>
      <c r="AE86" s="218">
        <f t="shared" si="219"/>
        <v>406237.47002480878</v>
      </c>
      <c r="AF86" s="218">
        <f t="shared" si="219"/>
        <v>108810.1311606376</v>
      </c>
      <c r="AG86" s="218">
        <f t="shared" si="219"/>
        <v>120993.91362829617</v>
      </c>
      <c r="AH86" s="218">
        <f t="shared" si="219"/>
        <v>0</v>
      </c>
      <c r="AI86" s="218">
        <f t="shared" si="219"/>
        <v>17150.630165973846</v>
      </c>
      <c r="AJ86" s="218">
        <f t="shared" si="219"/>
        <v>0</v>
      </c>
      <c r="AK86" s="218">
        <f t="shared" si="219"/>
        <v>20802.608030045885</v>
      </c>
      <c r="AL86" s="218">
        <f t="shared" si="219"/>
        <v>350245.92378104897</v>
      </c>
      <c r="AM86" s="218">
        <f t="shared" si="219"/>
        <v>0</v>
      </c>
      <c r="AN86" s="218">
        <f t="shared" si="219"/>
        <v>0</v>
      </c>
      <c r="AO86" s="218">
        <f t="shared" si="219"/>
        <v>14430.670807453416</v>
      </c>
      <c r="AP86" s="218">
        <f t="shared" si="219"/>
        <v>22337.745582448213</v>
      </c>
      <c r="AQ86" s="218">
        <f t="shared" si="219"/>
        <v>0</v>
      </c>
      <c r="AR86" s="218">
        <f t="shared" si="219"/>
        <v>37023.599609374229</v>
      </c>
      <c r="AS86" s="218">
        <f t="shared" si="219"/>
        <v>3374.3139916794394</v>
      </c>
      <c r="AT86" s="218">
        <f t="shared" si="219"/>
        <v>666417.45414624701</v>
      </c>
      <c r="AU86" s="218">
        <f t="shared" si="219"/>
        <v>29.791437731632342</v>
      </c>
      <c r="AV86" s="218">
        <f t="shared" si="219"/>
        <v>8754</v>
      </c>
      <c r="AW86" s="218">
        <f t="shared" si="219"/>
        <v>1770.9999999999998</v>
      </c>
      <c r="AX86" s="218">
        <f t="shared" si="219"/>
        <v>8903</v>
      </c>
      <c r="AY86" s="218">
        <f t="shared" si="219"/>
        <v>1543705.3800969049</v>
      </c>
      <c r="AZ86" s="218">
        <f t="shared" si="219"/>
        <v>82001.673118269668</v>
      </c>
      <c r="BA86" s="218">
        <f t="shared" si="219"/>
        <v>5496.0607176124295</v>
      </c>
      <c r="BB86" s="218">
        <f t="shared" si="219"/>
        <v>31508.434777323018</v>
      </c>
      <c r="BC86" s="218">
        <f t="shared" si="219"/>
        <v>5109.9648406581373</v>
      </c>
      <c r="BD86" s="218">
        <f t="shared" si="219"/>
        <v>30292</v>
      </c>
      <c r="BE86" s="218">
        <f t="shared" si="219"/>
        <v>0</v>
      </c>
      <c r="BF86" s="218">
        <f t="shared" si="219"/>
        <v>0</v>
      </c>
      <c r="BG86" s="218">
        <f t="shared" si="219"/>
        <v>12986.489963991538</v>
      </c>
      <c r="BH86" s="218">
        <f t="shared" si="219"/>
        <v>0</v>
      </c>
      <c r="BI86" s="218">
        <f t="shared" si="219"/>
        <v>3583.2158788469469</v>
      </c>
      <c r="BJ86" s="218">
        <f t="shared" si="219"/>
        <v>884</v>
      </c>
      <c r="BK86" s="218">
        <f t="shared" si="219"/>
        <v>13807.197302460259</v>
      </c>
      <c r="BL86" s="218">
        <f t="shared" si="219"/>
        <v>73796.346920542652</v>
      </c>
      <c r="BM86" s="218">
        <f t="shared" si="219"/>
        <v>6754.9434992467204</v>
      </c>
      <c r="BN86" s="218">
        <f t="shared" si="219"/>
        <v>24329.72737237965</v>
      </c>
      <c r="BO86" s="218">
        <f t="shared" si="218"/>
        <v>3907.5192294024259</v>
      </c>
      <c r="BP86" s="218">
        <f t="shared" si="218"/>
        <v>60169.373469254708</v>
      </c>
      <c r="BQ86" s="218">
        <f t="shared" si="218"/>
        <v>3128.1544217413993</v>
      </c>
      <c r="BR86" s="218">
        <f t="shared" si="218"/>
        <v>306206.95159687725</v>
      </c>
      <c r="BS86" s="218">
        <f t="shared" si="218"/>
        <v>0</v>
      </c>
      <c r="BT86" s="218">
        <f t="shared" si="218"/>
        <v>39909</v>
      </c>
      <c r="BU86" s="218">
        <f t="shared" si="218"/>
        <v>155</v>
      </c>
      <c r="BV86" s="218">
        <f t="shared" si="218"/>
        <v>9560.0207991381158</v>
      </c>
      <c r="BW86" s="218">
        <f t="shared" si="218"/>
        <v>6542.7614302741367</v>
      </c>
      <c r="BX86" s="218">
        <f t="shared" si="218"/>
        <v>21397.777887063959</v>
      </c>
      <c r="BY86" s="218">
        <f t="shared" si="218"/>
        <v>3659.4200992108649</v>
      </c>
      <c r="BZ86" s="218">
        <f t="shared" si="218"/>
        <v>0</v>
      </c>
      <c r="CA86" s="218">
        <f t="shared" si="218"/>
        <v>5569.4459733390604</v>
      </c>
      <c r="CB86" s="218">
        <f t="shared" si="218"/>
        <v>10692.507072167407</v>
      </c>
      <c r="CC86" s="218">
        <f t="shared" si="218"/>
        <v>2557</v>
      </c>
      <c r="CD86" s="218">
        <f t="shared" si="218"/>
        <v>674.42281700879096</v>
      </c>
      <c r="CE86" s="218">
        <f t="shared" si="218"/>
        <v>84.554759983864457</v>
      </c>
      <c r="CF86" s="218">
        <f t="shared" si="218"/>
        <v>1158</v>
      </c>
      <c r="CG86" s="218">
        <f t="shared" si="218"/>
        <v>11074</v>
      </c>
      <c r="CH86" s="218">
        <f t="shared" si="218"/>
        <v>0</v>
      </c>
      <c r="CI86" s="218">
        <f t="shared" si="218"/>
        <v>65.783626281567322</v>
      </c>
      <c r="CJ86" s="218">
        <f t="shared" si="218"/>
        <v>37.481498624110216</v>
      </c>
      <c r="CK86" s="218">
        <f t="shared" si="218"/>
        <v>8.2381354418912558</v>
      </c>
      <c r="CL86" s="218">
        <f t="shared" si="218"/>
        <v>0</v>
      </c>
      <c r="CM86" s="218">
        <f t="shared" si="218"/>
        <v>20965.08876980214</v>
      </c>
      <c r="CN86" s="202"/>
      <c r="CO86" s="187"/>
    </row>
    <row r="87" spans="1:93" x14ac:dyDescent="0.3">
      <c r="A87" s="155" t="s">
        <v>212</v>
      </c>
      <c r="B87" s="218">
        <f t="shared" si="216"/>
        <v>0</v>
      </c>
      <c r="C87" s="218">
        <f t="shared" si="219"/>
        <v>0</v>
      </c>
      <c r="D87" s="218">
        <f t="shared" si="219"/>
        <v>0</v>
      </c>
      <c r="E87" s="218">
        <f t="shared" si="219"/>
        <v>0</v>
      </c>
      <c r="F87" s="218">
        <f t="shared" si="219"/>
        <v>0</v>
      </c>
      <c r="G87" s="218">
        <f t="shared" si="219"/>
        <v>0</v>
      </c>
      <c r="H87" s="218">
        <f t="shared" si="219"/>
        <v>0</v>
      </c>
      <c r="I87" s="218">
        <f t="shared" si="219"/>
        <v>0</v>
      </c>
      <c r="J87" s="218">
        <f t="shared" si="219"/>
        <v>0</v>
      </c>
      <c r="K87" s="218">
        <f t="shared" si="219"/>
        <v>0</v>
      </c>
      <c r="L87" s="218">
        <f t="shared" si="219"/>
        <v>54936.104256546059</v>
      </c>
      <c r="M87" s="218">
        <f t="shared" si="219"/>
        <v>0</v>
      </c>
      <c r="N87" s="218">
        <f t="shared" si="219"/>
        <v>22796</v>
      </c>
      <c r="O87" s="218">
        <f t="shared" si="219"/>
        <v>0</v>
      </c>
      <c r="P87" s="218">
        <f t="shared" si="219"/>
        <v>0</v>
      </c>
      <c r="Q87" s="218">
        <f t="shared" si="219"/>
        <v>0</v>
      </c>
      <c r="R87" s="218">
        <f t="shared" si="219"/>
        <v>0</v>
      </c>
      <c r="S87" s="218">
        <f t="shared" si="219"/>
        <v>205447.48482432886</v>
      </c>
      <c r="T87" s="218">
        <f t="shared" si="219"/>
        <v>0</v>
      </c>
      <c r="U87" s="218">
        <f t="shared" si="219"/>
        <v>30167.000000000004</v>
      </c>
      <c r="V87" s="218">
        <f t="shared" si="219"/>
        <v>0</v>
      </c>
      <c r="W87" s="218">
        <f t="shared" si="219"/>
        <v>128.52354607029221</v>
      </c>
      <c r="X87" s="218">
        <f t="shared" si="219"/>
        <v>0</v>
      </c>
      <c r="Y87" s="218">
        <f t="shared" si="219"/>
        <v>0</v>
      </c>
      <c r="Z87" s="218">
        <f t="shared" si="219"/>
        <v>0</v>
      </c>
      <c r="AA87" s="218">
        <f t="shared" si="219"/>
        <v>0</v>
      </c>
      <c r="AB87" s="218">
        <f t="shared" si="219"/>
        <v>163004.95281095451</v>
      </c>
      <c r="AC87" s="218">
        <f t="shared" si="219"/>
        <v>0</v>
      </c>
      <c r="AD87" s="218">
        <f t="shared" si="219"/>
        <v>0</v>
      </c>
      <c r="AE87" s="218">
        <f t="shared" si="219"/>
        <v>677008.54566130391</v>
      </c>
      <c r="AF87" s="218">
        <f t="shared" si="219"/>
        <v>22976.232564910089</v>
      </c>
      <c r="AG87" s="218">
        <f t="shared" si="219"/>
        <v>0</v>
      </c>
      <c r="AH87" s="218">
        <f t="shared" si="219"/>
        <v>0</v>
      </c>
      <c r="AI87" s="218">
        <f t="shared" si="219"/>
        <v>86073.993715746532</v>
      </c>
      <c r="AJ87" s="218">
        <f t="shared" si="219"/>
        <v>0</v>
      </c>
      <c r="AK87" s="218">
        <f t="shared" si="219"/>
        <v>0</v>
      </c>
      <c r="AL87" s="218">
        <f t="shared" si="219"/>
        <v>1976.5900111417227</v>
      </c>
      <c r="AM87" s="218">
        <f t="shared" si="219"/>
        <v>0</v>
      </c>
      <c r="AN87" s="218">
        <f t="shared" si="219"/>
        <v>1556.1124853981999</v>
      </c>
      <c r="AO87" s="218">
        <f t="shared" si="219"/>
        <v>0</v>
      </c>
      <c r="AP87" s="218">
        <f t="shared" si="219"/>
        <v>0</v>
      </c>
      <c r="AQ87" s="218">
        <f t="shared" si="219"/>
        <v>0</v>
      </c>
      <c r="AR87" s="218">
        <f t="shared" si="219"/>
        <v>0</v>
      </c>
      <c r="AS87" s="218">
        <f t="shared" si="219"/>
        <v>0</v>
      </c>
      <c r="AT87" s="218">
        <f t="shared" si="219"/>
        <v>102806.33262087777</v>
      </c>
      <c r="AU87" s="218">
        <f t="shared" si="219"/>
        <v>0</v>
      </c>
      <c r="AV87" s="218">
        <f t="shared" si="219"/>
        <v>0</v>
      </c>
      <c r="AW87" s="218">
        <f t="shared" si="219"/>
        <v>0</v>
      </c>
      <c r="AX87" s="218">
        <f t="shared" si="219"/>
        <v>0</v>
      </c>
      <c r="AY87" s="218">
        <f t="shared" si="219"/>
        <v>2922762.8198948163</v>
      </c>
      <c r="AZ87" s="218">
        <f t="shared" si="219"/>
        <v>8460.5397339864739</v>
      </c>
      <c r="BA87" s="218">
        <f t="shared" si="219"/>
        <v>0</v>
      </c>
      <c r="BB87" s="218">
        <f t="shared" si="219"/>
        <v>1518629.3745284972</v>
      </c>
      <c r="BC87" s="218">
        <f t="shared" si="219"/>
        <v>0</v>
      </c>
      <c r="BD87" s="218">
        <f t="shared" si="219"/>
        <v>27317</v>
      </c>
      <c r="BE87" s="218">
        <f t="shared" si="219"/>
        <v>0</v>
      </c>
      <c r="BF87" s="218">
        <f t="shared" si="219"/>
        <v>0</v>
      </c>
      <c r="BG87" s="218">
        <f t="shared" si="219"/>
        <v>0</v>
      </c>
      <c r="BH87" s="218">
        <f t="shared" si="219"/>
        <v>165542.73904650373</v>
      </c>
      <c r="BI87" s="218">
        <f t="shared" si="219"/>
        <v>222714.67817733786</v>
      </c>
      <c r="BJ87" s="218">
        <f t="shared" si="219"/>
        <v>0</v>
      </c>
      <c r="BK87" s="218">
        <f t="shared" si="219"/>
        <v>0</v>
      </c>
      <c r="BL87" s="218">
        <f t="shared" si="219"/>
        <v>7868.7840935836612</v>
      </c>
      <c r="BM87" s="218">
        <f t="shared" si="219"/>
        <v>0</v>
      </c>
      <c r="BN87" s="218">
        <f t="shared" si="219"/>
        <v>0</v>
      </c>
      <c r="BO87" s="218">
        <f t="shared" si="218"/>
        <v>0</v>
      </c>
      <c r="BP87" s="218">
        <f t="shared" si="218"/>
        <v>0</v>
      </c>
      <c r="BQ87" s="218">
        <f t="shared" si="218"/>
        <v>0</v>
      </c>
      <c r="BR87" s="218">
        <f t="shared" si="218"/>
        <v>19191.290753511788</v>
      </c>
      <c r="BS87" s="218">
        <f t="shared" si="218"/>
        <v>0</v>
      </c>
      <c r="BT87" s="218">
        <f t="shared" si="218"/>
        <v>3588</v>
      </c>
      <c r="BU87" s="218">
        <f t="shared" si="218"/>
        <v>0</v>
      </c>
      <c r="BV87" s="218">
        <f t="shared" si="218"/>
        <v>0</v>
      </c>
      <c r="BW87" s="218">
        <f t="shared" si="218"/>
        <v>0</v>
      </c>
      <c r="BX87" s="218">
        <f t="shared" si="218"/>
        <v>29719.341516323315</v>
      </c>
      <c r="BY87" s="218">
        <f t="shared" si="218"/>
        <v>0</v>
      </c>
      <c r="BZ87" s="218">
        <f t="shared" si="218"/>
        <v>16665.089456662354</v>
      </c>
      <c r="CA87" s="218">
        <f t="shared" si="218"/>
        <v>0</v>
      </c>
      <c r="CB87" s="218">
        <f t="shared" si="218"/>
        <v>247405.15400780994</v>
      </c>
      <c r="CC87" s="218">
        <f t="shared" si="218"/>
        <v>0</v>
      </c>
      <c r="CD87" s="218">
        <f t="shared" si="218"/>
        <v>0</v>
      </c>
      <c r="CE87" s="218">
        <f t="shared" si="218"/>
        <v>0</v>
      </c>
      <c r="CF87" s="218">
        <f t="shared" si="218"/>
        <v>0</v>
      </c>
      <c r="CG87" s="218">
        <f t="shared" si="218"/>
        <v>930</v>
      </c>
      <c r="CH87" s="218">
        <f t="shared" si="218"/>
        <v>1133.4122736095592</v>
      </c>
      <c r="CI87" s="218">
        <f t="shared" si="218"/>
        <v>0</v>
      </c>
      <c r="CJ87" s="218">
        <f t="shared" si="218"/>
        <v>0</v>
      </c>
      <c r="CK87" s="218">
        <f t="shared" si="218"/>
        <v>0</v>
      </c>
      <c r="CL87" s="218">
        <f t="shared" si="218"/>
        <v>0</v>
      </c>
      <c r="CM87" s="218">
        <f t="shared" si="218"/>
        <v>0</v>
      </c>
      <c r="CN87" s="202"/>
      <c r="CO87" s="187"/>
    </row>
    <row r="88" spans="1:93" x14ac:dyDescent="0.3">
      <c r="A88" s="155" t="s">
        <v>80</v>
      </c>
      <c r="B88" s="218">
        <f>B48-B47</f>
        <v>-9.9999999860301614E-2</v>
      </c>
      <c r="C88" s="218">
        <f t="shared" ref="C88:BN88" si="220">C48-C47</f>
        <v>846373</v>
      </c>
      <c r="D88" s="218">
        <f t="shared" si="220"/>
        <v>0</v>
      </c>
      <c r="E88" s="218">
        <f t="shared" si="220"/>
        <v>0</v>
      </c>
      <c r="F88" s="218">
        <f t="shared" si="220"/>
        <v>0</v>
      </c>
      <c r="G88" s="218">
        <f t="shared" si="220"/>
        <v>141426</v>
      </c>
      <c r="H88" s="218">
        <f t="shared" si="220"/>
        <v>0</v>
      </c>
      <c r="I88" s="218">
        <f t="shared" si="220"/>
        <v>0</v>
      </c>
      <c r="J88" s="218">
        <f t="shared" si="220"/>
        <v>0</v>
      </c>
      <c r="K88" s="218">
        <f t="shared" si="220"/>
        <v>0</v>
      </c>
      <c r="L88" s="218">
        <f t="shared" si="220"/>
        <v>0</v>
      </c>
      <c r="M88" s="218">
        <f t="shared" si="220"/>
        <v>0</v>
      </c>
      <c r="N88" s="218">
        <f t="shared" si="220"/>
        <v>0</v>
      </c>
      <c r="O88" s="218">
        <f t="shared" si="220"/>
        <v>0</v>
      </c>
      <c r="P88" s="218">
        <f t="shared" si="220"/>
        <v>0</v>
      </c>
      <c r="Q88" s="218">
        <f t="shared" si="220"/>
        <v>0</v>
      </c>
      <c r="R88" s="218">
        <f t="shared" si="220"/>
        <v>0</v>
      </c>
      <c r="S88" s="218">
        <f t="shared" si="220"/>
        <v>-1179346.0648000464</v>
      </c>
      <c r="T88" s="218">
        <f t="shared" si="220"/>
        <v>0</v>
      </c>
      <c r="U88" s="218">
        <f t="shared" si="220"/>
        <v>-20</v>
      </c>
      <c r="V88" s="218">
        <f t="shared" si="220"/>
        <v>0</v>
      </c>
      <c r="W88" s="218">
        <f t="shared" si="220"/>
        <v>0</v>
      </c>
      <c r="X88" s="218">
        <f t="shared" si="220"/>
        <v>0</v>
      </c>
      <c r="Y88" s="218">
        <f t="shared" si="220"/>
        <v>0</v>
      </c>
      <c r="Z88" s="218">
        <f t="shared" si="220"/>
        <v>0</v>
      </c>
      <c r="AA88" s="218">
        <f t="shared" si="220"/>
        <v>0</v>
      </c>
      <c r="AB88" s="218">
        <f t="shared" si="220"/>
        <v>0</v>
      </c>
      <c r="AC88" s="218">
        <f t="shared" si="220"/>
        <v>435836.35183673055</v>
      </c>
      <c r="AD88" s="218">
        <f t="shared" si="220"/>
        <v>0</v>
      </c>
      <c r="AE88" s="218">
        <f t="shared" si="220"/>
        <v>0</v>
      </c>
      <c r="AF88" s="218">
        <f t="shared" si="220"/>
        <v>1064818</v>
      </c>
      <c r="AG88" s="218">
        <f t="shared" si="220"/>
        <v>0</v>
      </c>
      <c r="AH88" s="218">
        <f t="shared" si="220"/>
        <v>0</v>
      </c>
      <c r="AI88" s="218">
        <f t="shared" si="220"/>
        <v>0</v>
      </c>
      <c r="AJ88" s="218">
        <f t="shared" si="220"/>
        <v>1273305</v>
      </c>
      <c r="AK88" s="218">
        <f t="shared" si="220"/>
        <v>0</v>
      </c>
      <c r="AL88" s="218">
        <f t="shared" si="220"/>
        <v>0</v>
      </c>
      <c r="AM88" s="218">
        <f t="shared" si="220"/>
        <v>344242</v>
      </c>
      <c r="AN88" s="218">
        <f t="shared" si="220"/>
        <v>0</v>
      </c>
      <c r="AO88" s="218">
        <f t="shared" si="220"/>
        <v>0</v>
      </c>
      <c r="AP88" s="218">
        <f t="shared" si="220"/>
        <v>0</v>
      </c>
      <c r="AQ88" s="218">
        <f t="shared" si="220"/>
        <v>42602</v>
      </c>
      <c r="AR88" s="218">
        <f t="shared" si="220"/>
        <v>0</v>
      </c>
      <c r="AS88" s="218">
        <f t="shared" si="220"/>
        <v>0</v>
      </c>
      <c r="AT88" s="218">
        <f t="shared" si="220"/>
        <v>0</v>
      </c>
      <c r="AU88" s="218">
        <f t="shared" si="220"/>
        <v>2036172.6279765829</v>
      </c>
      <c r="AV88" s="218">
        <f t="shared" si="220"/>
        <v>0</v>
      </c>
      <c r="AW88" s="218">
        <f t="shared" si="220"/>
        <v>0</v>
      </c>
      <c r="AX88" s="218">
        <f t="shared" si="220"/>
        <v>0</v>
      </c>
      <c r="AY88" s="218">
        <f t="shared" si="220"/>
        <v>66551839.549999997</v>
      </c>
      <c r="AZ88" s="218">
        <f t="shared" si="220"/>
        <v>-5.4166666697710752E-2</v>
      </c>
      <c r="BA88" s="218">
        <f t="shared" si="220"/>
        <v>0</v>
      </c>
      <c r="BB88" s="218">
        <f t="shared" si="220"/>
        <v>0</v>
      </c>
      <c r="BC88" s="218">
        <f t="shared" si="220"/>
        <v>0</v>
      </c>
      <c r="BD88" s="218">
        <f t="shared" si="220"/>
        <v>0</v>
      </c>
      <c r="BE88" s="218">
        <f t="shared" si="220"/>
        <v>0</v>
      </c>
      <c r="BF88" s="218">
        <f t="shared" si="220"/>
        <v>0</v>
      </c>
      <c r="BG88" s="218">
        <f t="shared" si="220"/>
        <v>0</v>
      </c>
      <c r="BH88" s="218">
        <f t="shared" si="220"/>
        <v>0</v>
      </c>
      <c r="BI88" s="218">
        <f t="shared" si="220"/>
        <v>0</v>
      </c>
      <c r="BJ88" s="218">
        <f t="shared" si="220"/>
        <v>0</v>
      </c>
      <c r="BK88" s="218">
        <f t="shared" si="220"/>
        <v>0</v>
      </c>
      <c r="BL88" s="218">
        <f t="shared" si="220"/>
        <v>0</v>
      </c>
      <c r="BM88" s="218">
        <f t="shared" si="220"/>
        <v>0</v>
      </c>
      <c r="BN88" s="218">
        <f t="shared" si="220"/>
        <v>0</v>
      </c>
      <c r="BO88" s="218">
        <f t="shared" ref="BO88:CM88" si="221">BO48-BO47</f>
        <v>0</v>
      </c>
      <c r="BP88" s="218">
        <f t="shared" si="221"/>
        <v>0</v>
      </c>
      <c r="BQ88" s="218">
        <f t="shared" si="221"/>
        <v>0</v>
      </c>
      <c r="BR88" s="218">
        <f t="shared" si="221"/>
        <v>0</v>
      </c>
      <c r="BS88" s="218">
        <f t="shared" si="221"/>
        <v>0</v>
      </c>
      <c r="BT88" s="218">
        <f t="shared" si="221"/>
        <v>0</v>
      </c>
      <c r="BU88" s="218">
        <f t="shared" si="221"/>
        <v>0</v>
      </c>
      <c r="BV88" s="218">
        <f t="shared" si="221"/>
        <v>0</v>
      </c>
      <c r="BW88" s="218">
        <f t="shared" si="221"/>
        <v>0</v>
      </c>
      <c r="BX88" s="218">
        <f t="shared" si="221"/>
        <v>-29719.341516323329</v>
      </c>
      <c r="BY88" s="218">
        <f t="shared" si="221"/>
        <v>0</v>
      </c>
      <c r="BZ88" s="218">
        <f t="shared" si="221"/>
        <v>0</v>
      </c>
      <c r="CA88" s="218">
        <f t="shared" si="221"/>
        <v>0</v>
      </c>
      <c r="CB88" s="218">
        <f t="shared" si="221"/>
        <v>0</v>
      </c>
      <c r="CC88" s="218">
        <f t="shared" si="221"/>
        <v>-21501.769571670215</v>
      </c>
      <c r="CD88" s="218">
        <f t="shared" si="221"/>
        <v>0</v>
      </c>
      <c r="CE88" s="218">
        <f t="shared" si="221"/>
        <v>0</v>
      </c>
      <c r="CF88" s="218">
        <f t="shared" si="221"/>
        <v>0</v>
      </c>
      <c r="CG88" s="218">
        <f t="shared" si="221"/>
        <v>0</v>
      </c>
      <c r="CH88" s="218">
        <f t="shared" si="221"/>
        <v>0</v>
      </c>
      <c r="CI88" s="218">
        <f t="shared" si="221"/>
        <v>358100.67102346086</v>
      </c>
      <c r="CJ88" s="218">
        <f t="shared" si="221"/>
        <v>529491.90287621913</v>
      </c>
      <c r="CK88" s="218">
        <f t="shared" si="221"/>
        <v>125120.01681961116</v>
      </c>
      <c r="CL88" s="218">
        <f t="shared" si="221"/>
        <v>571536</v>
      </c>
      <c r="CM88" s="218">
        <f t="shared" si="221"/>
        <v>0</v>
      </c>
      <c r="CN88" s="202"/>
      <c r="CO88" s="187">
        <f>SUM(B88:CM88)</f>
        <v>73090275.790477902</v>
      </c>
    </row>
    <row r="89" spans="1:93" s="154" customFormat="1" x14ac:dyDescent="0.3">
      <c r="A89" s="171" t="s">
        <v>1</v>
      </c>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197"/>
      <c r="BZ89" s="197"/>
      <c r="CA89" s="197"/>
      <c r="CB89" s="197"/>
      <c r="CC89" s="197"/>
      <c r="CD89" s="197"/>
      <c r="CE89" s="197"/>
      <c r="CF89" s="197"/>
      <c r="CG89" s="197"/>
      <c r="CH89" s="197"/>
      <c r="CI89" s="197"/>
      <c r="CJ89" s="197"/>
      <c r="CK89" s="197"/>
      <c r="CL89" s="197"/>
      <c r="CM89" s="197"/>
      <c r="CN89" s="197"/>
      <c r="CO89" s="192">
        <f>SUM(CO80:CO88)</f>
        <v>249016666.93692657</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4058-B2EB-4382-B60A-2F1E3A7CC6A3}">
  <sheetPr>
    <tabColor theme="7" tint="0.79998168889431442"/>
  </sheetPr>
  <dimension ref="A1:CQ66"/>
  <sheetViews>
    <sheetView workbookViewId="0">
      <selection activeCell="B1" sqref="B1"/>
    </sheetView>
  </sheetViews>
  <sheetFormatPr defaultColWidth="8.88671875" defaultRowHeight="14.4" x14ac:dyDescent="0.3"/>
  <cols>
    <col min="1" max="1" width="31.77734375" style="152" bestFit="1" customWidth="1"/>
    <col min="2" max="2" width="17.33203125" style="126" bestFit="1" customWidth="1"/>
    <col min="3" max="5" width="14.77734375" style="126" bestFit="1" customWidth="1"/>
    <col min="6" max="6" width="16.21875" style="126" bestFit="1" customWidth="1"/>
    <col min="7" max="9" width="14.77734375" style="126" bestFit="1" customWidth="1"/>
    <col min="10" max="10" width="15.88671875" style="126" bestFit="1" customWidth="1"/>
    <col min="11" max="12" width="14.77734375" style="126" bestFit="1" customWidth="1"/>
    <col min="13" max="13" width="15" style="126" bestFit="1" customWidth="1"/>
    <col min="14" max="19" width="14.77734375" style="126" bestFit="1" customWidth="1"/>
    <col min="20" max="20" width="18.77734375" style="126" bestFit="1" customWidth="1"/>
    <col min="21" max="24" width="14.77734375" style="126" bestFit="1" customWidth="1"/>
    <col min="25" max="25" width="13.77734375" style="126" bestFit="1" customWidth="1"/>
    <col min="26" max="31" width="14.77734375" style="126" bestFit="1" customWidth="1"/>
    <col min="32" max="32" width="16.77734375" style="126" bestFit="1" customWidth="1"/>
    <col min="33" max="34" width="14.77734375" style="126" bestFit="1" customWidth="1"/>
    <col min="35" max="35" width="14.5546875" style="126" bestFit="1" customWidth="1"/>
    <col min="36" max="39" width="14.77734375" style="126" bestFit="1" customWidth="1"/>
    <col min="40" max="42" width="13.77734375" style="126" bestFit="1" customWidth="1"/>
    <col min="43" max="44" width="14.77734375" style="126" bestFit="1" customWidth="1"/>
    <col min="45" max="46" width="13.77734375" style="126" bestFit="1" customWidth="1"/>
    <col min="47" max="47" width="14.77734375" style="126" bestFit="1" customWidth="1"/>
    <col min="48" max="49" width="13.77734375" style="126" bestFit="1" customWidth="1"/>
    <col min="50" max="50" width="14.77734375" style="126" bestFit="1" customWidth="1"/>
    <col min="51" max="53" width="13.77734375" style="126" bestFit="1" customWidth="1"/>
    <col min="54" max="55" width="14.77734375" style="126" bestFit="1" customWidth="1"/>
    <col min="56" max="57" width="13.77734375" style="126" bestFit="1" customWidth="1"/>
    <col min="58" max="58" width="14.77734375" style="126" bestFit="1" customWidth="1"/>
    <col min="59" max="60" width="13.77734375" style="126" bestFit="1" customWidth="1"/>
    <col min="61" max="61" width="14.77734375" style="126" bestFit="1" customWidth="1"/>
    <col min="62" max="64" width="13.77734375" style="126" bestFit="1" customWidth="1"/>
    <col min="65" max="65" width="19.33203125" style="126" bestFit="1" customWidth="1"/>
    <col min="66" max="67" width="13.77734375" style="126" bestFit="1" customWidth="1"/>
    <col min="68" max="68" width="13.77734375" style="259" bestFit="1" customWidth="1"/>
    <col min="69" max="69" width="14.77734375" style="126" bestFit="1" customWidth="1"/>
    <col min="70" max="71" width="13.77734375" style="126" bestFit="1" customWidth="1"/>
    <col min="72" max="72" width="14.77734375" style="126" bestFit="1" customWidth="1"/>
    <col min="73" max="75" width="13.77734375" style="126" bestFit="1" customWidth="1"/>
    <col min="76" max="76" width="14.33203125" style="126" bestFit="1" customWidth="1"/>
    <col min="77" max="80" width="13.77734375" style="126" bestFit="1" customWidth="1"/>
    <col min="81" max="81" width="12.6640625" style="126" bestFit="1" customWidth="1"/>
    <col min="82" max="85" width="13.77734375" style="126" bestFit="1" customWidth="1"/>
    <col min="86" max="87" width="12.6640625" style="126" bestFit="1" customWidth="1"/>
    <col min="88" max="88" width="13.77734375" style="126" bestFit="1" customWidth="1"/>
    <col min="89" max="89" width="12.6640625" style="126" bestFit="1" customWidth="1"/>
    <col min="90" max="93" width="13.77734375" style="126" bestFit="1" customWidth="1"/>
    <col min="94" max="94" width="13.6640625" style="126" customWidth="1"/>
    <col min="95" max="95" width="17.33203125" style="126" bestFit="1" customWidth="1"/>
    <col min="96" max="16384" width="8.88671875" style="126"/>
  </cols>
  <sheetData>
    <row r="1" spans="1:95" x14ac:dyDescent="0.3">
      <c r="A1" s="152" t="s">
        <v>552</v>
      </c>
      <c r="B1" s="126" t="s">
        <v>551</v>
      </c>
    </row>
    <row r="2" spans="1:95" s="250" customFormat="1" ht="28.8" x14ac:dyDescent="0.3">
      <c r="A2" s="148" t="s">
        <v>35</v>
      </c>
      <c r="B2" s="250" t="s">
        <v>84</v>
      </c>
      <c r="C2" s="250" t="s">
        <v>85</v>
      </c>
      <c r="D2" s="250" t="s">
        <v>86</v>
      </c>
      <c r="E2" s="250" t="s">
        <v>87</v>
      </c>
      <c r="F2" s="250" t="s">
        <v>55</v>
      </c>
      <c r="G2" s="250" t="s">
        <v>91</v>
      </c>
      <c r="H2" s="250" t="s">
        <v>89</v>
      </c>
      <c r="I2" s="250" t="s">
        <v>88</v>
      </c>
      <c r="J2" s="250" t="s">
        <v>90</v>
      </c>
      <c r="K2" s="250" t="s">
        <v>89</v>
      </c>
      <c r="L2" s="250" t="s">
        <v>89</v>
      </c>
      <c r="M2" s="250" t="s">
        <v>92</v>
      </c>
      <c r="N2" s="250" t="s">
        <v>93</v>
      </c>
      <c r="O2" s="148" t="s">
        <v>87</v>
      </c>
      <c r="P2" s="250" t="s">
        <v>41</v>
      </c>
      <c r="Q2" s="250" t="s">
        <v>94</v>
      </c>
      <c r="R2" s="250" t="s">
        <v>95</v>
      </c>
      <c r="S2" s="250" t="s">
        <v>92</v>
      </c>
      <c r="T2" s="250" t="s">
        <v>88</v>
      </c>
      <c r="U2" s="148" t="s">
        <v>96</v>
      </c>
      <c r="V2" s="251" t="s">
        <v>88</v>
      </c>
      <c r="W2" s="148" t="s">
        <v>229</v>
      </c>
      <c r="X2" s="148" t="s">
        <v>90</v>
      </c>
      <c r="Y2" s="148" t="s">
        <v>90</v>
      </c>
      <c r="Z2" s="148" t="s">
        <v>97</v>
      </c>
      <c r="AA2" s="251" t="s">
        <v>143</v>
      </c>
      <c r="AB2" s="148" t="s">
        <v>99</v>
      </c>
      <c r="AC2" s="251" t="s">
        <v>102</v>
      </c>
      <c r="AD2" s="148" t="s">
        <v>101</v>
      </c>
      <c r="AE2" s="251" t="s">
        <v>100</v>
      </c>
      <c r="AF2" s="250" t="s">
        <v>93</v>
      </c>
      <c r="AG2" s="148" t="s">
        <v>103</v>
      </c>
      <c r="AH2" s="250" t="s">
        <v>105</v>
      </c>
      <c r="AI2" s="250" t="s">
        <v>88</v>
      </c>
      <c r="AJ2" s="250" t="s">
        <v>104</v>
      </c>
      <c r="AK2" s="148" t="s">
        <v>89</v>
      </c>
      <c r="AL2" s="148" t="s">
        <v>106</v>
      </c>
      <c r="AM2" s="148" t="s">
        <v>89</v>
      </c>
      <c r="AN2" s="251" t="s">
        <v>90</v>
      </c>
      <c r="AO2" s="148" t="s">
        <v>107</v>
      </c>
      <c r="AP2" s="148" t="s">
        <v>110</v>
      </c>
      <c r="AQ2" s="251" t="s">
        <v>89</v>
      </c>
      <c r="AR2" s="148" t="s">
        <v>108</v>
      </c>
      <c r="AS2" s="251" t="s">
        <v>90</v>
      </c>
      <c r="AT2" s="250" t="s">
        <v>93</v>
      </c>
      <c r="AU2" s="250" t="s">
        <v>87</v>
      </c>
      <c r="AV2" s="251" t="s">
        <v>102</v>
      </c>
      <c r="AW2" s="148" t="s">
        <v>93</v>
      </c>
      <c r="AX2" s="251" t="s">
        <v>89</v>
      </c>
      <c r="AY2" s="251" t="s">
        <v>89</v>
      </c>
      <c r="AZ2" s="148" t="s">
        <v>230</v>
      </c>
      <c r="BA2" s="148" t="s">
        <v>108</v>
      </c>
      <c r="BB2" s="148" t="s">
        <v>106</v>
      </c>
      <c r="BC2" s="148" t="s">
        <v>109</v>
      </c>
      <c r="BD2" s="251" t="s">
        <v>111</v>
      </c>
      <c r="BE2" s="250" t="s">
        <v>102</v>
      </c>
      <c r="BF2" s="148" t="s">
        <v>113</v>
      </c>
      <c r="BG2" s="148" t="s">
        <v>112</v>
      </c>
      <c r="BH2" s="251" t="s">
        <v>93</v>
      </c>
      <c r="BI2" s="148" t="s">
        <v>114</v>
      </c>
      <c r="BJ2" s="148" t="s">
        <v>47</v>
      </c>
      <c r="BK2" s="148" t="s">
        <v>115</v>
      </c>
      <c r="BL2" s="148" t="s">
        <v>116</v>
      </c>
      <c r="BM2" s="148" t="s">
        <v>105</v>
      </c>
      <c r="BN2" s="148" t="s">
        <v>52</v>
      </c>
      <c r="BO2" s="148" t="s">
        <v>118</v>
      </c>
      <c r="BP2" s="252" t="s">
        <v>52</v>
      </c>
      <c r="BQ2" s="148" t="s">
        <v>103</v>
      </c>
      <c r="BR2" s="250" t="s">
        <v>88</v>
      </c>
      <c r="BS2" s="251" t="s">
        <v>119</v>
      </c>
      <c r="BT2" s="250" t="s">
        <v>120</v>
      </c>
      <c r="BU2" s="148" t="s">
        <v>117</v>
      </c>
      <c r="BV2" s="148" t="s">
        <v>112</v>
      </c>
      <c r="BW2" s="148" t="s">
        <v>108</v>
      </c>
      <c r="BX2" s="161" t="s">
        <v>105</v>
      </c>
      <c r="BY2" s="148" t="s">
        <v>121</v>
      </c>
      <c r="BZ2" s="148" t="s">
        <v>113</v>
      </c>
      <c r="CA2" s="250" t="s">
        <v>88</v>
      </c>
      <c r="CB2" s="250" t="s">
        <v>120</v>
      </c>
      <c r="CC2" s="250" t="s">
        <v>41</v>
      </c>
      <c r="CD2" s="148" t="s">
        <v>106</v>
      </c>
      <c r="CE2" s="250" t="s">
        <v>112</v>
      </c>
      <c r="CF2" s="148" t="s">
        <v>106</v>
      </c>
      <c r="CG2" s="148" t="s">
        <v>89</v>
      </c>
      <c r="CH2" s="148" t="s">
        <v>113</v>
      </c>
      <c r="CI2" s="250" t="s">
        <v>115</v>
      </c>
      <c r="CJ2" s="250" t="s">
        <v>84</v>
      </c>
      <c r="CK2" s="250" t="s">
        <v>116</v>
      </c>
      <c r="CL2" s="148" t="s">
        <v>106</v>
      </c>
      <c r="CM2" s="148" t="s">
        <v>106</v>
      </c>
      <c r="CN2" s="250" t="s">
        <v>89</v>
      </c>
      <c r="CO2" s="148" t="s">
        <v>84</v>
      </c>
    </row>
    <row r="3" spans="1:95" s="250" customFormat="1" ht="28.8" x14ac:dyDescent="0.3">
      <c r="A3" s="251" t="s">
        <v>124</v>
      </c>
      <c r="B3" s="250" t="s">
        <v>84</v>
      </c>
      <c r="C3" s="250" t="s">
        <v>125</v>
      </c>
      <c r="D3" s="250" t="s">
        <v>86</v>
      </c>
      <c r="E3" s="250" t="s">
        <v>87</v>
      </c>
      <c r="F3" s="250" t="s">
        <v>55</v>
      </c>
      <c r="G3" s="250" t="s">
        <v>130</v>
      </c>
      <c r="H3" s="250" t="s">
        <v>127</v>
      </c>
      <c r="I3" s="250" t="s">
        <v>88</v>
      </c>
      <c r="J3" s="250" t="s">
        <v>129</v>
      </c>
      <c r="K3" s="250" t="s">
        <v>128</v>
      </c>
      <c r="L3" s="250" t="s">
        <v>132</v>
      </c>
      <c r="M3" s="250" t="s">
        <v>131</v>
      </c>
      <c r="N3" s="250" t="s">
        <v>93</v>
      </c>
      <c r="O3" s="251" t="s">
        <v>137</v>
      </c>
      <c r="P3" s="250" t="s">
        <v>41</v>
      </c>
      <c r="Q3" s="250" t="s">
        <v>94</v>
      </c>
      <c r="R3" s="250" t="s">
        <v>134</v>
      </c>
      <c r="S3" s="250" t="s">
        <v>133</v>
      </c>
      <c r="T3" s="250" t="s">
        <v>231</v>
      </c>
      <c r="U3" s="148" t="s">
        <v>138</v>
      </c>
      <c r="V3" s="251" t="s">
        <v>136</v>
      </c>
      <c r="W3" s="251" t="s">
        <v>139</v>
      </c>
      <c r="X3" s="251" t="s">
        <v>90</v>
      </c>
      <c r="Y3" s="251" t="s">
        <v>140</v>
      </c>
      <c r="Z3" s="251" t="s">
        <v>142</v>
      </c>
      <c r="AA3" s="251" t="s">
        <v>143</v>
      </c>
      <c r="AB3" s="251" t="s">
        <v>99</v>
      </c>
      <c r="AC3" s="251" t="s">
        <v>102</v>
      </c>
      <c r="AD3" s="148" t="s">
        <v>101</v>
      </c>
      <c r="AE3" s="251" t="s">
        <v>100</v>
      </c>
      <c r="AF3" s="250" t="s">
        <v>144</v>
      </c>
      <c r="AG3" s="251" t="s">
        <v>103</v>
      </c>
      <c r="AH3" s="250" t="s">
        <v>147</v>
      </c>
      <c r="AI3" s="250" t="s">
        <v>146</v>
      </c>
      <c r="AJ3" s="250" t="s">
        <v>145</v>
      </c>
      <c r="AK3" s="251" t="s">
        <v>151</v>
      </c>
      <c r="AL3" s="251" t="s">
        <v>149</v>
      </c>
      <c r="AM3" s="251" t="s">
        <v>150</v>
      </c>
      <c r="AN3" s="251" t="s">
        <v>148</v>
      </c>
      <c r="AO3" s="251" t="s">
        <v>107</v>
      </c>
      <c r="AP3" s="148" t="s">
        <v>110</v>
      </c>
      <c r="AQ3" s="251" t="s">
        <v>89</v>
      </c>
      <c r="AR3" s="251" t="s">
        <v>156</v>
      </c>
      <c r="AS3" s="251" t="s">
        <v>152</v>
      </c>
      <c r="AT3" s="250" t="s">
        <v>155</v>
      </c>
      <c r="AU3" s="251" t="s">
        <v>154</v>
      </c>
      <c r="AV3" s="251" t="s">
        <v>157</v>
      </c>
      <c r="AW3" s="251" t="s">
        <v>160</v>
      </c>
      <c r="AX3" s="251" t="s">
        <v>159</v>
      </c>
      <c r="AY3" s="251" t="s">
        <v>153</v>
      </c>
      <c r="AZ3" s="148" t="s">
        <v>232</v>
      </c>
      <c r="BA3" s="251" t="s">
        <v>161</v>
      </c>
      <c r="BB3" s="251" t="s">
        <v>106</v>
      </c>
      <c r="BC3" s="251" t="s">
        <v>158</v>
      </c>
      <c r="BD3" s="251" t="s">
        <v>111</v>
      </c>
      <c r="BE3" s="250" t="s">
        <v>162</v>
      </c>
      <c r="BF3" s="251" t="s">
        <v>163</v>
      </c>
      <c r="BG3" s="148" t="s">
        <v>112</v>
      </c>
      <c r="BH3" s="251" t="s">
        <v>164</v>
      </c>
      <c r="BI3" s="251" t="s">
        <v>114</v>
      </c>
      <c r="BJ3" s="148" t="s">
        <v>46</v>
      </c>
      <c r="BK3" s="148" t="s">
        <v>115</v>
      </c>
      <c r="BL3" s="251" t="s">
        <v>165</v>
      </c>
      <c r="BM3" s="148" t="s">
        <v>167</v>
      </c>
      <c r="BN3" s="251" t="s">
        <v>168</v>
      </c>
      <c r="BO3" s="148" t="s">
        <v>118</v>
      </c>
      <c r="BP3" s="253" t="s">
        <v>166</v>
      </c>
      <c r="BQ3" s="251" t="s">
        <v>169</v>
      </c>
      <c r="BR3" s="250" t="s">
        <v>233</v>
      </c>
      <c r="BS3" s="251" t="s">
        <v>170</v>
      </c>
      <c r="BT3" s="250" t="s">
        <v>120</v>
      </c>
      <c r="BU3" s="148" t="s">
        <v>117</v>
      </c>
      <c r="BV3" s="251" t="s">
        <v>172</v>
      </c>
      <c r="BW3" s="251" t="s">
        <v>173</v>
      </c>
      <c r="BX3" s="162" t="s">
        <v>174</v>
      </c>
      <c r="BY3" s="251" t="s">
        <v>175</v>
      </c>
      <c r="BZ3" s="251" t="s">
        <v>183</v>
      </c>
      <c r="CA3" s="250" t="s">
        <v>177</v>
      </c>
      <c r="CB3" s="250" t="s">
        <v>178</v>
      </c>
      <c r="CC3" s="250" t="s">
        <v>176</v>
      </c>
      <c r="CD3" s="251" t="s">
        <v>179</v>
      </c>
      <c r="CE3" s="250" t="s">
        <v>234</v>
      </c>
      <c r="CF3" s="251" t="s">
        <v>182</v>
      </c>
      <c r="CG3" s="251" t="s">
        <v>181</v>
      </c>
      <c r="CH3" s="251" t="s">
        <v>184</v>
      </c>
      <c r="CI3" s="250" t="s">
        <v>185</v>
      </c>
      <c r="CJ3" s="250" t="s">
        <v>187</v>
      </c>
      <c r="CK3" s="250" t="s">
        <v>186</v>
      </c>
      <c r="CL3" s="251" t="s">
        <v>180</v>
      </c>
      <c r="CM3" s="251" t="s">
        <v>188</v>
      </c>
      <c r="CN3" s="250" t="s">
        <v>190</v>
      </c>
      <c r="CO3" s="148" t="s">
        <v>189</v>
      </c>
      <c r="CQ3" s="250" t="s">
        <v>1</v>
      </c>
    </row>
    <row r="4" spans="1:95" x14ac:dyDescent="0.3">
      <c r="A4" s="152" t="s">
        <v>235</v>
      </c>
      <c r="B4" s="210">
        <v>178526913</v>
      </c>
      <c r="C4" s="210">
        <v>15451881</v>
      </c>
      <c r="D4" s="235">
        <v>11904294</v>
      </c>
      <c r="E4" s="210">
        <v>11507540</v>
      </c>
      <c r="F4" s="235">
        <v>10497618</v>
      </c>
      <c r="G4" s="235">
        <v>8309282</v>
      </c>
      <c r="H4" s="210">
        <v>14022595</v>
      </c>
      <c r="I4" s="235">
        <v>7882990</v>
      </c>
      <c r="J4" s="210">
        <v>6119845</v>
      </c>
      <c r="K4" s="210">
        <v>11544566</v>
      </c>
      <c r="L4" s="210">
        <v>7406276</v>
      </c>
      <c r="M4" s="235">
        <v>10880179</v>
      </c>
      <c r="N4" s="235">
        <v>7705097</v>
      </c>
      <c r="O4" s="210">
        <v>8233972</v>
      </c>
      <c r="P4" s="235">
        <v>6341902</v>
      </c>
      <c r="Q4" s="235">
        <v>4499131</v>
      </c>
      <c r="R4" s="235">
        <v>3645781</v>
      </c>
      <c r="S4" s="235">
        <v>7173382</v>
      </c>
      <c r="T4" s="235">
        <v>6461280</v>
      </c>
      <c r="U4" s="235">
        <v>5420914</v>
      </c>
      <c r="V4" s="235">
        <v>2048705</v>
      </c>
      <c r="W4" s="210">
        <v>4119964</v>
      </c>
      <c r="X4" s="210">
        <v>3042245</v>
      </c>
      <c r="Y4" s="210">
        <v>2757153</v>
      </c>
      <c r="Z4" s="210">
        <v>3310246</v>
      </c>
      <c r="AA4" s="235">
        <v>4668790</v>
      </c>
      <c r="AB4" s="235">
        <v>6523000</v>
      </c>
      <c r="AC4" s="235">
        <v>3223424</v>
      </c>
      <c r="AD4" s="235">
        <v>5085497</v>
      </c>
      <c r="AE4" s="235">
        <v>3504344</v>
      </c>
      <c r="AF4" s="235">
        <v>2856496</v>
      </c>
      <c r="AG4" s="235">
        <v>3451316</v>
      </c>
      <c r="AH4" s="235">
        <v>4285186</v>
      </c>
      <c r="AI4" s="235">
        <v>2859376</v>
      </c>
      <c r="AJ4" s="235">
        <v>2597908</v>
      </c>
      <c r="AK4" s="235">
        <v>2104947</v>
      </c>
      <c r="AL4" s="235">
        <v>1554173</v>
      </c>
      <c r="AM4" s="210">
        <v>2489757</v>
      </c>
      <c r="AN4" s="235">
        <v>2849400</v>
      </c>
      <c r="AO4" s="210">
        <v>2389931</v>
      </c>
      <c r="AP4" s="235">
        <v>870412</v>
      </c>
      <c r="AQ4" s="210">
        <v>3310911</v>
      </c>
      <c r="AR4" s="235">
        <v>2342232</v>
      </c>
      <c r="AS4" s="210">
        <v>1759789</v>
      </c>
      <c r="AT4" s="235">
        <v>1156808</v>
      </c>
      <c r="AU4" s="210">
        <v>2050141</v>
      </c>
      <c r="AV4" s="235">
        <v>1149036</v>
      </c>
      <c r="AW4" s="235">
        <v>1039740</v>
      </c>
      <c r="AX4" s="210">
        <v>1599344</v>
      </c>
      <c r="AY4" s="210">
        <v>2069213</v>
      </c>
      <c r="AZ4" s="210">
        <v>2209336</v>
      </c>
      <c r="BA4" s="210">
        <v>2190000</v>
      </c>
      <c r="BB4" s="235">
        <v>1199030</v>
      </c>
      <c r="BC4" s="210">
        <v>1647625</v>
      </c>
      <c r="BD4" s="235">
        <v>751854</v>
      </c>
      <c r="BE4" s="235">
        <v>1493177</v>
      </c>
      <c r="BF4" s="235">
        <v>1482807</v>
      </c>
      <c r="BG4" s="210">
        <v>765880</v>
      </c>
      <c r="BH4" s="210">
        <v>1158366</v>
      </c>
      <c r="BI4" s="210">
        <v>1253209</v>
      </c>
      <c r="BJ4" s="235">
        <v>2034457</v>
      </c>
      <c r="BK4" s="235">
        <v>330657</v>
      </c>
      <c r="BL4" s="235">
        <v>1212867</v>
      </c>
      <c r="BM4" s="235">
        <v>2232990</v>
      </c>
      <c r="BN4" s="235">
        <v>882803</v>
      </c>
      <c r="BO4" s="235">
        <v>548534</v>
      </c>
      <c r="BP4" s="236">
        <v>1150250</v>
      </c>
      <c r="BQ4" s="235">
        <v>991263</v>
      </c>
      <c r="BR4" s="235">
        <v>987235</v>
      </c>
      <c r="BS4" s="210">
        <v>1100600</v>
      </c>
      <c r="BT4" s="235">
        <v>543620</v>
      </c>
      <c r="BU4" s="235">
        <v>648254</v>
      </c>
      <c r="BV4" s="235">
        <v>580027</v>
      </c>
      <c r="BW4" s="235">
        <v>329610</v>
      </c>
      <c r="BX4" s="235">
        <v>648456</v>
      </c>
      <c r="BY4" s="235">
        <v>135000</v>
      </c>
      <c r="BZ4" s="235">
        <v>457366</v>
      </c>
      <c r="CA4" s="235">
        <v>318679</v>
      </c>
      <c r="CB4" s="235">
        <v>349920</v>
      </c>
      <c r="CC4" s="235">
        <v>192138</v>
      </c>
      <c r="CD4" s="235">
        <v>260579</v>
      </c>
      <c r="CE4" s="210">
        <v>19462</v>
      </c>
      <c r="CF4" s="235">
        <v>152611</v>
      </c>
      <c r="CG4" s="235">
        <v>541980</v>
      </c>
      <c r="CH4" s="235">
        <v>55311</v>
      </c>
      <c r="CI4" s="235">
        <v>148053</v>
      </c>
      <c r="CJ4" s="235">
        <v>871181</v>
      </c>
      <c r="CK4" s="235">
        <v>364897</v>
      </c>
      <c r="CL4" s="235">
        <v>118692</v>
      </c>
      <c r="CM4" s="235">
        <v>59656</v>
      </c>
      <c r="CN4" s="210">
        <v>242416</v>
      </c>
      <c r="CO4" s="235">
        <v>95375</v>
      </c>
      <c r="CP4" s="237"/>
      <c r="CQ4" s="237">
        <f>SUM(B4:CO4)</f>
        <v>459361145</v>
      </c>
    </row>
    <row r="5" spans="1:95" x14ac:dyDescent="0.3">
      <c r="A5" s="152" t="s">
        <v>192</v>
      </c>
      <c r="B5" s="210"/>
      <c r="C5" s="210"/>
      <c r="D5" s="235"/>
      <c r="E5" s="210"/>
      <c r="F5" s="235"/>
      <c r="G5" s="235"/>
      <c r="H5" s="210"/>
      <c r="I5" s="235"/>
      <c r="J5" s="210"/>
      <c r="K5" s="210"/>
      <c r="L5" s="210"/>
      <c r="M5" s="235"/>
      <c r="N5" s="235"/>
      <c r="O5" s="210"/>
      <c r="P5" s="235"/>
      <c r="Q5" s="235"/>
      <c r="R5" s="235"/>
      <c r="S5" s="235"/>
      <c r="T5" s="235"/>
      <c r="U5" s="235"/>
      <c r="V5" s="235"/>
      <c r="W5" s="210"/>
      <c r="X5" s="210"/>
      <c r="Y5" s="210"/>
      <c r="Z5" s="210"/>
      <c r="AA5" s="235"/>
      <c r="AB5" s="235"/>
      <c r="AC5" s="235"/>
      <c r="AD5" s="235"/>
      <c r="AE5" s="235"/>
      <c r="AF5" s="235"/>
      <c r="AG5" s="235"/>
      <c r="AH5" s="235"/>
      <c r="AI5" s="235"/>
      <c r="AJ5" s="235"/>
      <c r="AK5" s="235"/>
      <c r="AL5" s="235"/>
      <c r="AM5" s="210"/>
      <c r="AN5" s="235"/>
      <c r="AO5" s="210"/>
      <c r="AP5" s="235"/>
      <c r="AQ5" s="210"/>
      <c r="AR5" s="235"/>
      <c r="AS5" s="210"/>
      <c r="AT5" s="235"/>
      <c r="AU5" s="210"/>
      <c r="AV5" s="235"/>
      <c r="AW5" s="235"/>
      <c r="AX5" s="210"/>
      <c r="AY5" s="210"/>
      <c r="AZ5" s="210"/>
      <c r="BA5" s="210"/>
      <c r="BB5" s="235"/>
      <c r="BC5" s="210"/>
      <c r="BD5" s="235"/>
      <c r="BE5" s="235"/>
      <c r="BF5" s="235"/>
      <c r="BG5" s="210"/>
      <c r="BH5" s="210"/>
      <c r="BI5" s="210"/>
      <c r="BJ5" s="235"/>
      <c r="BK5" s="235"/>
      <c r="BL5" s="235"/>
      <c r="BM5" s="235"/>
      <c r="BN5" s="235"/>
      <c r="BO5" s="235"/>
      <c r="BP5" s="236"/>
      <c r="BQ5" s="235"/>
      <c r="BR5" s="235"/>
      <c r="BS5" s="210"/>
      <c r="BT5" s="235"/>
      <c r="BU5" s="235"/>
      <c r="BV5" s="235"/>
      <c r="BW5" s="235"/>
      <c r="BX5" s="235"/>
      <c r="BY5" s="235"/>
      <c r="BZ5" s="235"/>
      <c r="CA5" s="235"/>
      <c r="CB5" s="235"/>
      <c r="CC5" s="235"/>
      <c r="CD5" s="235"/>
      <c r="CE5" s="210"/>
      <c r="CF5" s="235"/>
      <c r="CG5" s="235"/>
      <c r="CH5" s="235"/>
      <c r="CI5" s="235"/>
      <c r="CJ5" s="235"/>
      <c r="CK5" s="235"/>
      <c r="CL5" s="235"/>
      <c r="CM5" s="235"/>
      <c r="CN5" s="210"/>
      <c r="CO5" s="235"/>
      <c r="CP5" s="237"/>
      <c r="CQ5" s="237">
        <f t="shared" ref="CQ5:CQ64" si="0">SUM(B5:CO5)</f>
        <v>0</v>
      </c>
    </row>
    <row r="6" spans="1:95" x14ac:dyDescent="0.3">
      <c r="A6" s="152" t="s">
        <v>236</v>
      </c>
      <c r="B6" s="210"/>
      <c r="C6" s="210"/>
      <c r="D6" s="235"/>
      <c r="E6" s="210"/>
      <c r="F6" s="235"/>
      <c r="G6" s="235"/>
      <c r="H6" s="210"/>
      <c r="I6" s="235"/>
      <c r="J6" s="210"/>
      <c r="K6" s="210"/>
      <c r="L6" s="210"/>
      <c r="M6" s="235"/>
      <c r="N6" s="235"/>
      <c r="O6" s="210"/>
      <c r="P6" s="235"/>
      <c r="Q6" s="235"/>
      <c r="R6" s="235"/>
      <c r="S6" s="235"/>
      <c r="T6" s="235"/>
      <c r="U6" s="235"/>
      <c r="V6" s="235"/>
      <c r="W6" s="210"/>
      <c r="X6" s="210"/>
      <c r="Y6" s="210"/>
      <c r="Z6" s="210"/>
      <c r="AA6" s="235"/>
      <c r="AB6" s="235"/>
      <c r="AC6" s="235"/>
      <c r="AD6" s="235"/>
      <c r="AE6" s="235"/>
      <c r="AF6" s="235"/>
      <c r="AG6" s="235"/>
      <c r="AH6" s="235"/>
      <c r="AI6" s="235"/>
      <c r="AJ6" s="235"/>
      <c r="AK6" s="235"/>
      <c r="AL6" s="235"/>
      <c r="AM6" s="210"/>
      <c r="AN6" s="235"/>
      <c r="AO6" s="210"/>
      <c r="AP6" s="235"/>
      <c r="AQ6" s="210"/>
      <c r="AR6" s="235"/>
      <c r="AS6" s="210"/>
      <c r="AT6" s="235"/>
      <c r="AU6" s="210"/>
      <c r="AV6" s="235"/>
      <c r="AW6" s="235"/>
      <c r="AX6" s="210"/>
      <c r="AY6" s="210"/>
      <c r="AZ6" s="210"/>
      <c r="BA6" s="210"/>
      <c r="BB6" s="235"/>
      <c r="BC6" s="210"/>
      <c r="BD6" s="235"/>
      <c r="BE6" s="235"/>
      <c r="BF6" s="235"/>
      <c r="BG6" s="210"/>
      <c r="BH6" s="210"/>
      <c r="BI6" s="210"/>
      <c r="BJ6" s="235"/>
      <c r="BK6" s="235"/>
      <c r="BL6" s="235"/>
      <c r="BM6" s="235"/>
      <c r="BN6" s="235"/>
      <c r="BO6" s="235"/>
      <c r="BP6" s="236"/>
      <c r="BQ6" s="235"/>
      <c r="BR6" s="235"/>
      <c r="BS6" s="210"/>
      <c r="BT6" s="235"/>
      <c r="BU6" s="235"/>
      <c r="BV6" s="235"/>
      <c r="BW6" s="235"/>
      <c r="BX6" s="235"/>
      <c r="BY6" s="235"/>
      <c r="BZ6" s="235"/>
      <c r="CA6" s="235"/>
      <c r="CB6" s="235"/>
      <c r="CC6" s="235"/>
      <c r="CD6" s="235"/>
      <c r="CE6" s="210"/>
      <c r="CF6" s="235"/>
      <c r="CG6" s="235"/>
      <c r="CH6" s="235"/>
      <c r="CI6" s="235"/>
      <c r="CJ6" s="235"/>
      <c r="CK6" s="235"/>
      <c r="CL6" s="235"/>
      <c r="CM6" s="235"/>
      <c r="CN6" s="210"/>
      <c r="CO6" s="235"/>
      <c r="CP6" s="237"/>
      <c r="CQ6" s="237">
        <f t="shared" si="0"/>
        <v>0</v>
      </c>
    </row>
    <row r="7" spans="1:95" x14ac:dyDescent="0.3">
      <c r="A7" s="152" t="s">
        <v>194</v>
      </c>
      <c r="B7" s="210"/>
      <c r="C7" s="210"/>
      <c r="D7" s="235"/>
      <c r="E7" s="210"/>
      <c r="F7" s="235"/>
      <c r="G7" s="235"/>
      <c r="H7" s="210"/>
      <c r="I7" s="235"/>
      <c r="J7" s="210"/>
      <c r="K7" s="210"/>
      <c r="L7" s="210"/>
      <c r="M7" s="235"/>
      <c r="N7" s="235"/>
      <c r="O7" s="210"/>
      <c r="P7" s="235"/>
      <c r="Q7" s="235"/>
      <c r="R7" s="235"/>
      <c r="S7" s="235"/>
      <c r="T7" s="235"/>
      <c r="U7" s="235"/>
      <c r="V7" s="235"/>
      <c r="W7" s="210"/>
      <c r="X7" s="210"/>
      <c r="Y7" s="210"/>
      <c r="Z7" s="210"/>
      <c r="AA7" s="235"/>
      <c r="AB7" s="235"/>
      <c r="AC7" s="235"/>
      <c r="AD7" s="235"/>
      <c r="AE7" s="235"/>
      <c r="AF7" s="235"/>
      <c r="AG7" s="235"/>
      <c r="AH7" s="235"/>
      <c r="AI7" s="235"/>
      <c r="AJ7" s="235"/>
      <c r="AK7" s="235"/>
      <c r="AL7" s="235"/>
      <c r="AM7" s="210"/>
      <c r="AN7" s="235"/>
      <c r="AO7" s="210"/>
      <c r="AP7" s="235"/>
      <c r="AQ7" s="210"/>
      <c r="AR7" s="235"/>
      <c r="AS7" s="210"/>
      <c r="AT7" s="235"/>
      <c r="AU7" s="210"/>
      <c r="AV7" s="235"/>
      <c r="AW7" s="235"/>
      <c r="AX7" s="210"/>
      <c r="AY7" s="210"/>
      <c r="AZ7" s="210"/>
      <c r="BA7" s="210"/>
      <c r="BB7" s="235"/>
      <c r="BC7" s="210"/>
      <c r="BD7" s="235"/>
      <c r="BE7" s="235"/>
      <c r="BF7" s="235"/>
      <c r="BG7" s="210"/>
      <c r="BH7" s="210"/>
      <c r="BI7" s="210"/>
      <c r="BJ7" s="235"/>
      <c r="BK7" s="235"/>
      <c r="BL7" s="235"/>
      <c r="BM7" s="235"/>
      <c r="BN7" s="235"/>
      <c r="BO7" s="235"/>
      <c r="BP7" s="236"/>
      <c r="BQ7" s="235"/>
      <c r="BR7" s="235"/>
      <c r="BS7" s="210"/>
      <c r="BT7" s="235"/>
      <c r="BU7" s="235"/>
      <c r="BV7" s="235"/>
      <c r="BW7" s="235"/>
      <c r="BX7" s="235"/>
      <c r="BY7" s="235"/>
      <c r="BZ7" s="235"/>
      <c r="CA7" s="235"/>
      <c r="CB7" s="235"/>
      <c r="CC7" s="235"/>
      <c r="CD7" s="235"/>
      <c r="CE7" s="210"/>
      <c r="CF7" s="235"/>
      <c r="CG7" s="235"/>
      <c r="CH7" s="235"/>
      <c r="CI7" s="235"/>
      <c r="CJ7" s="235"/>
      <c r="CK7" s="235"/>
      <c r="CL7" s="235"/>
      <c r="CM7" s="235"/>
      <c r="CN7" s="210"/>
      <c r="CO7" s="235"/>
      <c r="CP7" s="237"/>
      <c r="CQ7" s="237">
        <f t="shared" si="0"/>
        <v>0</v>
      </c>
    </row>
    <row r="8" spans="1:95" x14ac:dyDescent="0.3">
      <c r="A8" s="152" t="s">
        <v>195</v>
      </c>
      <c r="B8" s="210"/>
      <c r="C8" s="210"/>
      <c r="D8" s="235"/>
      <c r="E8" s="210"/>
      <c r="F8" s="235"/>
      <c r="G8" s="235"/>
      <c r="H8" s="210"/>
      <c r="I8" s="235"/>
      <c r="J8" s="210"/>
      <c r="K8" s="210"/>
      <c r="L8" s="210"/>
      <c r="M8" s="235"/>
      <c r="N8" s="235"/>
      <c r="O8" s="210"/>
      <c r="P8" s="235"/>
      <c r="Q8" s="235"/>
      <c r="R8" s="235"/>
      <c r="S8" s="235"/>
      <c r="T8" s="235"/>
      <c r="U8" s="235"/>
      <c r="V8" s="235"/>
      <c r="W8" s="210"/>
      <c r="X8" s="210"/>
      <c r="Y8" s="210"/>
      <c r="Z8" s="210"/>
      <c r="AA8" s="235"/>
      <c r="AB8" s="235"/>
      <c r="AC8" s="235"/>
      <c r="AD8" s="235"/>
      <c r="AE8" s="235"/>
      <c r="AF8" s="235"/>
      <c r="AG8" s="235"/>
      <c r="AH8" s="235"/>
      <c r="AI8" s="235"/>
      <c r="AJ8" s="235"/>
      <c r="AK8" s="235"/>
      <c r="AL8" s="235"/>
      <c r="AM8" s="210"/>
      <c r="AN8" s="235"/>
      <c r="AO8" s="210"/>
      <c r="AP8" s="235"/>
      <c r="AQ8" s="210"/>
      <c r="AR8" s="235"/>
      <c r="AS8" s="210"/>
      <c r="AT8" s="235"/>
      <c r="AU8" s="210"/>
      <c r="AV8" s="235"/>
      <c r="AW8" s="235"/>
      <c r="AX8" s="210"/>
      <c r="AY8" s="210"/>
      <c r="AZ8" s="210"/>
      <c r="BA8" s="210"/>
      <c r="BB8" s="235"/>
      <c r="BC8" s="210"/>
      <c r="BD8" s="235"/>
      <c r="BE8" s="235"/>
      <c r="BF8" s="235"/>
      <c r="BG8" s="210"/>
      <c r="BH8" s="210"/>
      <c r="BI8" s="210"/>
      <c r="BJ8" s="235"/>
      <c r="BK8" s="235"/>
      <c r="BL8" s="235"/>
      <c r="BM8" s="235"/>
      <c r="BN8" s="235"/>
      <c r="BO8" s="235"/>
      <c r="BP8" s="236"/>
      <c r="BQ8" s="235"/>
      <c r="BR8" s="235"/>
      <c r="BS8" s="210"/>
      <c r="BT8" s="235"/>
      <c r="BU8" s="235"/>
      <c r="BV8" s="235"/>
      <c r="BW8" s="235"/>
      <c r="BX8" s="235"/>
      <c r="BY8" s="235"/>
      <c r="BZ8" s="235"/>
      <c r="CA8" s="235"/>
      <c r="CB8" s="235"/>
      <c r="CC8" s="235"/>
      <c r="CD8" s="235"/>
      <c r="CE8" s="210"/>
      <c r="CF8" s="235"/>
      <c r="CG8" s="235"/>
      <c r="CH8" s="235"/>
      <c r="CI8" s="235"/>
      <c r="CJ8" s="235"/>
      <c r="CK8" s="235"/>
      <c r="CL8" s="235"/>
      <c r="CM8" s="235"/>
      <c r="CN8" s="210"/>
      <c r="CO8" s="235"/>
      <c r="CP8" s="237"/>
      <c r="CQ8" s="237">
        <f t="shared" si="0"/>
        <v>0</v>
      </c>
    </row>
    <row r="9" spans="1:95" x14ac:dyDescent="0.3">
      <c r="A9" s="152" t="s">
        <v>196</v>
      </c>
      <c r="B9" s="210">
        <v>178526913</v>
      </c>
      <c r="C9" s="210">
        <v>15451881</v>
      </c>
      <c r="D9" s="235">
        <v>11904294</v>
      </c>
      <c r="E9" s="210">
        <v>11507540</v>
      </c>
      <c r="F9" s="235">
        <v>10497618</v>
      </c>
      <c r="G9" s="235">
        <v>8309282</v>
      </c>
      <c r="H9" s="210">
        <v>14022595</v>
      </c>
      <c r="I9" s="235">
        <v>7882990</v>
      </c>
      <c r="J9" s="210">
        <v>6119845</v>
      </c>
      <c r="K9" s="210">
        <v>11544566</v>
      </c>
      <c r="L9" s="210">
        <v>7406276</v>
      </c>
      <c r="M9" s="235">
        <v>10880179</v>
      </c>
      <c r="N9" s="235">
        <v>7705097</v>
      </c>
      <c r="O9" s="210">
        <v>8233972</v>
      </c>
      <c r="P9" s="235">
        <v>6341902</v>
      </c>
      <c r="Q9" s="235">
        <v>4499131</v>
      </c>
      <c r="R9" s="235">
        <v>3645781</v>
      </c>
      <c r="S9" s="235">
        <v>7173382</v>
      </c>
      <c r="T9" s="235">
        <v>6461280</v>
      </c>
      <c r="U9" s="235">
        <v>5420914</v>
      </c>
      <c r="V9" s="235">
        <v>2048705</v>
      </c>
      <c r="W9" s="210">
        <v>4119964</v>
      </c>
      <c r="X9" s="210">
        <v>3042245</v>
      </c>
      <c r="Y9" s="210">
        <v>2757153</v>
      </c>
      <c r="Z9" s="210">
        <v>3310246</v>
      </c>
      <c r="AA9" s="235">
        <v>4668790</v>
      </c>
      <c r="AB9" s="235">
        <v>6523000</v>
      </c>
      <c r="AC9" s="235">
        <v>3223424</v>
      </c>
      <c r="AD9" s="235">
        <v>5085497</v>
      </c>
      <c r="AE9" s="235">
        <v>3504344</v>
      </c>
      <c r="AF9" s="235">
        <v>2856496</v>
      </c>
      <c r="AG9" s="235">
        <v>3451316</v>
      </c>
      <c r="AH9" s="235">
        <v>4285186</v>
      </c>
      <c r="AI9" s="235">
        <v>2859376</v>
      </c>
      <c r="AJ9" s="235">
        <v>2597908</v>
      </c>
      <c r="AK9" s="235">
        <v>2104947</v>
      </c>
      <c r="AL9" s="235">
        <v>1554173</v>
      </c>
      <c r="AM9" s="210">
        <v>2489757</v>
      </c>
      <c r="AN9" s="235">
        <v>2849400</v>
      </c>
      <c r="AO9" s="210">
        <v>2389931</v>
      </c>
      <c r="AP9" s="235">
        <v>870412</v>
      </c>
      <c r="AQ9" s="210">
        <v>3310911</v>
      </c>
      <c r="AR9" s="235">
        <v>2342232</v>
      </c>
      <c r="AS9" s="210">
        <v>1759789</v>
      </c>
      <c r="AT9" s="235">
        <v>1156808</v>
      </c>
      <c r="AU9" s="210">
        <v>2050141</v>
      </c>
      <c r="AV9" s="235">
        <v>1149036</v>
      </c>
      <c r="AW9" s="235">
        <v>1039740</v>
      </c>
      <c r="AX9" s="210">
        <v>1599344</v>
      </c>
      <c r="AY9" s="210">
        <v>2069213</v>
      </c>
      <c r="AZ9" s="210">
        <v>2209336</v>
      </c>
      <c r="BA9" s="210">
        <v>2190000</v>
      </c>
      <c r="BB9" s="235">
        <v>1199030</v>
      </c>
      <c r="BC9" s="210">
        <v>1647625</v>
      </c>
      <c r="BD9" s="235">
        <v>751854</v>
      </c>
      <c r="BE9" s="235">
        <v>1493177</v>
      </c>
      <c r="BF9" s="235">
        <v>1482807</v>
      </c>
      <c r="BG9" s="210">
        <v>765880</v>
      </c>
      <c r="BH9" s="210">
        <v>1158366</v>
      </c>
      <c r="BI9" s="210">
        <v>1253209</v>
      </c>
      <c r="BJ9" s="235">
        <v>2034457</v>
      </c>
      <c r="BK9" s="235">
        <v>330657</v>
      </c>
      <c r="BL9" s="235">
        <v>1212867</v>
      </c>
      <c r="BM9" s="235">
        <v>2232990</v>
      </c>
      <c r="BN9" s="235">
        <v>882803</v>
      </c>
      <c r="BO9" s="235">
        <v>548534</v>
      </c>
      <c r="BP9" s="236">
        <v>1150250</v>
      </c>
      <c r="BQ9" s="235">
        <v>991263</v>
      </c>
      <c r="BR9" s="235">
        <v>987235</v>
      </c>
      <c r="BS9" s="210">
        <v>1100600</v>
      </c>
      <c r="BT9" s="235">
        <v>543620</v>
      </c>
      <c r="BU9" s="235">
        <v>648254</v>
      </c>
      <c r="BV9" s="235">
        <v>580027</v>
      </c>
      <c r="BW9" s="235">
        <v>329610</v>
      </c>
      <c r="BX9" s="235">
        <v>648456</v>
      </c>
      <c r="BY9" s="235">
        <v>135000</v>
      </c>
      <c r="BZ9" s="235">
        <v>457366</v>
      </c>
      <c r="CA9" s="235">
        <v>318679</v>
      </c>
      <c r="CB9" s="235">
        <v>349920</v>
      </c>
      <c r="CC9" s="235">
        <v>192138</v>
      </c>
      <c r="CD9" s="235">
        <v>260579</v>
      </c>
      <c r="CE9" s="210">
        <v>19462</v>
      </c>
      <c r="CF9" s="235">
        <v>152611</v>
      </c>
      <c r="CG9" s="235">
        <v>541980</v>
      </c>
      <c r="CH9" s="235">
        <v>55311</v>
      </c>
      <c r="CI9" s="235">
        <v>148053</v>
      </c>
      <c r="CJ9" s="235">
        <v>871181</v>
      </c>
      <c r="CK9" s="235">
        <v>364897</v>
      </c>
      <c r="CL9" s="235">
        <v>118692</v>
      </c>
      <c r="CM9" s="235">
        <v>59656</v>
      </c>
      <c r="CN9" s="210">
        <v>242416</v>
      </c>
      <c r="CO9" s="235">
        <v>95375</v>
      </c>
      <c r="CP9" s="237"/>
      <c r="CQ9" s="237">
        <f t="shared" si="0"/>
        <v>459361145</v>
      </c>
    </row>
    <row r="10" spans="1:95" s="254" customFormat="1" x14ac:dyDescent="0.3">
      <c r="A10" s="172" t="s">
        <v>198</v>
      </c>
      <c r="B10" s="198">
        <v>89354658</v>
      </c>
      <c r="C10" s="198">
        <v>9390958</v>
      </c>
      <c r="D10" s="198">
        <v>5857951</v>
      </c>
      <c r="E10" s="198">
        <v>8021159</v>
      </c>
      <c r="F10" s="198">
        <v>7196567</v>
      </c>
      <c r="G10" s="198">
        <v>4029508</v>
      </c>
      <c r="H10" s="198">
        <v>10035329</v>
      </c>
      <c r="I10" s="198">
        <v>6518879</v>
      </c>
      <c r="J10" s="198">
        <v>3251362</v>
      </c>
      <c r="K10" s="198">
        <v>7176263</v>
      </c>
      <c r="L10" s="198">
        <v>4790134</v>
      </c>
      <c r="M10" s="198">
        <v>5735266</v>
      </c>
      <c r="N10" s="198">
        <v>4803192</v>
      </c>
      <c r="O10" s="198">
        <v>4174940</v>
      </c>
      <c r="P10" s="198">
        <v>2619147</v>
      </c>
      <c r="Q10" s="198">
        <v>2860604</v>
      </c>
      <c r="R10" s="198">
        <v>1729915</v>
      </c>
      <c r="S10" s="198">
        <v>5063398</v>
      </c>
      <c r="T10" s="198">
        <v>3505364</v>
      </c>
      <c r="U10" s="198">
        <v>3452279</v>
      </c>
      <c r="V10" s="198">
        <v>1168246</v>
      </c>
      <c r="W10" s="198">
        <v>2821512</v>
      </c>
      <c r="X10" s="198">
        <v>2309753</v>
      </c>
      <c r="Y10" s="198">
        <v>1132125</v>
      </c>
      <c r="Z10" s="198">
        <v>1981221</v>
      </c>
      <c r="AA10" s="198">
        <v>1082267</v>
      </c>
      <c r="AB10" s="198">
        <v>3913798</v>
      </c>
      <c r="AC10" s="198">
        <v>2633472</v>
      </c>
      <c r="AD10" s="198">
        <v>2255913</v>
      </c>
      <c r="AE10" s="198">
        <v>1552417.5</v>
      </c>
      <c r="AF10" s="198">
        <v>1847078</v>
      </c>
      <c r="AG10" s="198">
        <v>1641373</v>
      </c>
      <c r="AH10" s="198">
        <v>1462434</v>
      </c>
      <c r="AI10" s="198">
        <v>1715626</v>
      </c>
      <c r="AJ10" s="198">
        <v>1122874</v>
      </c>
      <c r="AK10" s="198">
        <v>1384751</v>
      </c>
      <c r="AL10" s="198">
        <v>1035882</v>
      </c>
      <c r="AM10" s="198">
        <v>1533733</v>
      </c>
      <c r="AN10" s="198">
        <v>1177267</v>
      </c>
      <c r="AO10" s="198">
        <v>1683819</v>
      </c>
      <c r="AP10" s="198">
        <v>451202</v>
      </c>
      <c r="AQ10" s="198">
        <v>2184974</v>
      </c>
      <c r="AR10" s="198">
        <v>1410179</v>
      </c>
      <c r="AS10" s="198">
        <v>1100525</v>
      </c>
      <c r="AT10" s="198">
        <v>714398</v>
      </c>
      <c r="AU10" s="198">
        <v>1509089</v>
      </c>
      <c r="AV10" s="198">
        <v>694696</v>
      </c>
      <c r="AW10" s="198">
        <v>544490</v>
      </c>
      <c r="AX10" s="198">
        <v>1012049</v>
      </c>
      <c r="AY10" s="198">
        <v>632186</v>
      </c>
      <c r="AZ10" s="198">
        <v>1096386</v>
      </c>
      <c r="BA10" s="198">
        <v>986358</v>
      </c>
      <c r="BB10" s="198">
        <v>747585</v>
      </c>
      <c r="BC10" s="198">
        <v>1158721</v>
      </c>
      <c r="BD10" s="198">
        <v>408492</v>
      </c>
      <c r="BE10" s="198">
        <v>370119</v>
      </c>
      <c r="BF10" s="198">
        <v>1046177</v>
      </c>
      <c r="BG10" s="198">
        <v>414063</v>
      </c>
      <c r="BH10" s="198">
        <v>515264</v>
      </c>
      <c r="BI10" s="198">
        <v>828725</v>
      </c>
      <c r="BJ10" s="198">
        <v>591852</v>
      </c>
      <c r="BK10" s="198">
        <v>140507</v>
      </c>
      <c r="BL10" s="198">
        <v>730785</v>
      </c>
      <c r="BM10" s="198">
        <v>1784695</v>
      </c>
      <c r="BN10" s="198">
        <v>356049</v>
      </c>
      <c r="BO10" s="198">
        <v>308573</v>
      </c>
      <c r="BP10" s="239">
        <v>460217</v>
      </c>
      <c r="BQ10" s="198">
        <v>632818</v>
      </c>
      <c r="BR10" s="198">
        <v>679966</v>
      </c>
      <c r="BS10" s="198">
        <v>748404</v>
      </c>
      <c r="BT10" s="198">
        <v>302011</v>
      </c>
      <c r="BU10" s="198">
        <v>446190</v>
      </c>
      <c r="BV10" s="198">
        <v>341170</v>
      </c>
      <c r="BW10" s="198">
        <v>213422</v>
      </c>
      <c r="BX10" s="198">
        <v>519402</v>
      </c>
      <c r="BY10" s="198">
        <v>92760</v>
      </c>
      <c r="BZ10" s="198">
        <v>311864</v>
      </c>
      <c r="CA10" s="198">
        <v>228068</v>
      </c>
      <c r="CB10" s="198">
        <v>141978</v>
      </c>
      <c r="CC10" s="198">
        <v>149048</v>
      </c>
      <c r="CD10" s="198">
        <v>150404.03076923077</v>
      </c>
      <c r="CE10" s="198">
        <v>19462</v>
      </c>
      <c r="CF10" s="198">
        <v>95706</v>
      </c>
      <c r="CG10" s="198">
        <v>454680</v>
      </c>
      <c r="CH10" s="198">
        <v>37031</v>
      </c>
      <c r="CI10" s="198">
        <v>95856</v>
      </c>
      <c r="CJ10" s="198">
        <v>660474</v>
      </c>
      <c r="CK10" s="198">
        <v>274750</v>
      </c>
      <c r="CL10" s="198">
        <v>82962</v>
      </c>
      <c r="CM10" s="198">
        <v>43000</v>
      </c>
      <c r="CN10" s="198">
        <v>227620</v>
      </c>
      <c r="CO10" s="198">
        <v>91707</v>
      </c>
      <c r="CP10" s="240"/>
      <c r="CQ10" s="240">
        <f t="shared" si="0"/>
        <v>254261543.53076923</v>
      </c>
    </row>
    <row r="11" spans="1:95" x14ac:dyDescent="0.3">
      <c r="B11" s="210"/>
      <c r="C11" s="210"/>
      <c r="D11" s="235"/>
      <c r="E11" s="210"/>
      <c r="F11" s="235"/>
      <c r="G11" s="235"/>
      <c r="H11" s="210"/>
      <c r="I11" s="235"/>
      <c r="J11" s="210"/>
      <c r="K11" s="210"/>
      <c r="L11" s="210"/>
      <c r="M11" s="235"/>
      <c r="N11" s="235"/>
      <c r="O11" s="210"/>
      <c r="P11" s="235"/>
      <c r="Q11" s="235"/>
      <c r="R11" s="235"/>
      <c r="S11" s="235"/>
      <c r="T11" s="235"/>
      <c r="U11" s="235"/>
      <c r="V11" s="235"/>
      <c r="W11" s="210"/>
      <c r="X11" s="210"/>
      <c r="Y11" s="210"/>
      <c r="Z11" s="210"/>
      <c r="AA11" s="235"/>
      <c r="AB11" s="235"/>
      <c r="AC11" s="235"/>
      <c r="AD11" s="235"/>
      <c r="AE11" s="235"/>
      <c r="AF11" s="235"/>
      <c r="AG11" s="235"/>
      <c r="AH11" s="235"/>
      <c r="AI11" s="235"/>
      <c r="AJ11" s="235"/>
      <c r="AK11" s="235"/>
      <c r="AL11" s="235"/>
      <c r="AM11" s="210"/>
      <c r="AN11" s="235"/>
      <c r="AO11" s="210"/>
      <c r="AP11" s="235"/>
      <c r="AQ11" s="210"/>
      <c r="AR11" s="235"/>
      <c r="AS11" s="210"/>
      <c r="AT11" s="235"/>
      <c r="AU11" s="210"/>
      <c r="AV11" s="235"/>
      <c r="AW11" s="235"/>
      <c r="AX11" s="210"/>
      <c r="AY11" s="210"/>
      <c r="AZ11" s="210"/>
      <c r="BA11" s="235"/>
      <c r="BB11" s="235"/>
      <c r="BC11" s="210"/>
      <c r="BD11" s="235"/>
      <c r="BE11" s="235"/>
      <c r="BF11" s="235"/>
      <c r="BG11" s="210"/>
      <c r="BH11" s="210"/>
      <c r="BI11" s="210"/>
      <c r="BJ11" s="235"/>
      <c r="BK11" s="235"/>
      <c r="BL11" s="235"/>
      <c r="BM11" s="235"/>
      <c r="BN11" s="235"/>
      <c r="BO11" s="235"/>
      <c r="BP11" s="236"/>
      <c r="BQ11" s="235"/>
      <c r="BR11" s="235"/>
      <c r="BS11" s="210"/>
      <c r="BT11" s="235"/>
      <c r="BU11" s="235"/>
      <c r="BV11" s="235"/>
      <c r="BW11" s="235"/>
      <c r="BX11" s="235"/>
      <c r="BY11" s="235"/>
      <c r="BZ11" s="235"/>
      <c r="CA11" s="235"/>
      <c r="CB11" s="235"/>
      <c r="CC11" s="235"/>
      <c r="CD11" s="235"/>
      <c r="CE11" s="210"/>
      <c r="CF11" s="235"/>
      <c r="CG11" s="235"/>
      <c r="CH11" s="235"/>
      <c r="CI11" s="235"/>
      <c r="CJ11" s="235"/>
      <c r="CK11" s="235"/>
      <c r="CL11" s="235"/>
      <c r="CM11" s="235"/>
      <c r="CN11" s="210"/>
      <c r="CO11" s="235"/>
      <c r="CP11" s="237"/>
      <c r="CQ11" s="237">
        <f t="shared" si="0"/>
        <v>0</v>
      </c>
    </row>
    <row r="12" spans="1:95" x14ac:dyDescent="0.3">
      <c r="B12" s="235"/>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c r="BM12" s="235"/>
      <c r="BN12" s="235"/>
      <c r="BO12" s="235"/>
      <c r="BP12" s="235"/>
      <c r="BQ12" s="235"/>
      <c r="BR12" s="235"/>
      <c r="BS12" s="235"/>
      <c r="BT12" s="235"/>
      <c r="BU12" s="235"/>
      <c r="BV12" s="235"/>
      <c r="BW12" s="235"/>
      <c r="BX12" s="235"/>
      <c r="BY12" s="235"/>
      <c r="BZ12" s="235"/>
      <c r="CA12" s="235"/>
      <c r="CB12" s="236"/>
      <c r="CC12" s="235"/>
      <c r="CD12" s="235"/>
      <c r="CE12" s="235"/>
      <c r="CF12" s="235"/>
      <c r="CG12" s="235"/>
      <c r="CH12" s="235"/>
      <c r="CI12" s="235"/>
      <c r="CJ12" s="235"/>
      <c r="CK12" s="235"/>
      <c r="CL12" s="235"/>
      <c r="CM12" s="235"/>
      <c r="CN12" s="235"/>
      <c r="CO12" s="235"/>
      <c r="CP12" s="237"/>
      <c r="CQ12" s="237">
        <f t="shared" si="0"/>
        <v>0</v>
      </c>
    </row>
    <row r="13" spans="1:95" s="254" customFormat="1" x14ac:dyDescent="0.3">
      <c r="A13" s="172" t="s">
        <v>199</v>
      </c>
      <c r="B13" s="198">
        <v>178526913</v>
      </c>
      <c r="C13" s="198">
        <v>15451881</v>
      </c>
      <c r="D13" s="198">
        <v>11904294</v>
      </c>
      <c r="E13" s="198">
        <v>11507540</v>
      </c>
      <c r="F13" s="198">
        <v>10497618</v>
      </c>
      <c r="G13" s="198">
        <v>8309282</v>
      </c>
      <c r="H13" s="198">
        <v>14022595</v>
      </c>
      <c r="I13" s="198">
        <v>7882990</v>
      </c>
      <c r="J13" s="198">
        <v>6119845</v>
      </c>
      <c r="K13" s="198">
        <v>11544566</v>
      </c>
      <c r="L13" s="198">
        <v>7406276</v>
      </c>
      <c r="M13" s="198">
        <v>10880179</v>
      </c>
      <c r="N13" s="198">
        <v>7705097</v>
      </c>
      <c r="O13" s="198">
        <v>8233972</v>
      </c>
      <c r="P13" s="198">
        <v>6341902</v>
      </c>
      <c r="Q13" s="198">
        <v>4499131</v>
      </c>
      <c r="R13" s="198">
        <v>3645781</v>
      </c>
      <c r="S13" s="198">
        <v>7173382</v>
      </c>
      <c r="T13" s="198">
        <v>6461280</v>
      </c>
      <c r="U13" s="198">
        <v>5420914</v>
      </c>
      <c r="V13" s="198">
        <v>2048705</v>
      </c>
      <c r="W13" s="198">
        <v>4119964</v>
      </c>
      <c r="X13" s="198">
        <v>3042245</v>
      </c>
      <c r="Y13" s="198">
        <v>2757153</v>
      </c>
      <c r="Z13" s="198">
        <v>3310246</v>
      </c>
      <c r="AA13" s="198">
        <v>4668790</v>
      </c>
      <c r="AB13" s="198">
        <v>6523000</v>
      </c>
      <c r="AC13" s="198">
        <v>3223424</v>
      </c>
      <c r="AD13" s="198">
        <v>5085497</v>
      </c>
      <c r="AE13" s="198">
        <v>3504344</v>
      </c>
      <c r="AF13" s="198">
        <v>2856496</v>
      </c>
      <c r="AG13" s="198">
        <v>3451316</v>
      </c>
      <c r="AH13" s="198">
        <v>4285186</v>
      </c>
      <c r="AI13" s="198">
        <v>2859376</v>
      </c>
      <c r="AJ13" s="198">
        <v>2597908</v>
      </c>
      <c r="AK13" s="198">
        <v>2104947</v>
      </c>
      <c r="AL13" s="198">
        <v>1554173</v>
      </c>
      <c r="AM13" s="198">
        <v>2489757</v>
      </c>
      <c r="AN13" s="198">
        <v>2849400</v>
      </c>
      <c r="AO13" s="198">
        <v>2389931</v>
      </c>
      <c r="AP13" s="198">
        <v>870412</v>
      </c>
      <c r="AQ13" s="198">
        <v>3310911</v>
      </c>
      <c r="AR13" s="198">
        <v>2342232</v>
      </c>
      <c r="AS13" s="198">
        <v>1759789</v>
      </c>
      <c r="AT13" s="198">
        <v>1156808</v>
      </c>
      <c r="AU13" s="198">
        <v>2050141</v>
      </c>
      <c r="AV13" s="198">
        <v>1149036</v>
      </c>
      <c r="AW13" s="198">
        <v>1039740</v>
      </c>
      <c r="AX13" s="198">
        <v>1599344</v>
      </c>
      <c r="AY13" s="198">
        <v>2069213</v>
      </c>
      <c r="AZ13" s="198">
        <v>2209336</v>
      </c>
      <c r="BA13" s="198">
        <v>2190000</v>
      </c>
      <c r="BB13" s="198">
        <v>1199030</v>
      </c>
      <c r="BC13" s="198">
        <v>1647625</v>
      </c>
      <c r="BD13" s="198">
        <v>751854</v>
      </c>
      <c r="BE13" s="198">
        <v>1493177</v>
      </c>
      <c r="BF13" s="198">
        <v>1482807</v>
      </c>
      <c r="BG13" s="198">
        <v>765880</v>
      </c>
      <c r="BH13" s="198">
        <v>1158366</v>
      </c>
      <c r="BI13" s="198">
        <v>1253209</v>
      </c>
      <c r="BJ13" s="198">
        <v>2034457</v>
      </c>
      <c r="BK13" s="198">
        <v>330657</v>
      </c>
      <c r="BL13" s="198">
        <v>1212867</v>
      </c>
      <c r="BM13" s="198">
        <v>2232990</v>
      </c>
      <c r="BN13" s="198">
        <v>882803</v>
      </c>
      <c r="BO13" s="198">
        <v>548534</v>
      </c>
      <c r="BP13" s="239">
        <v>1150250</v>
      </c>
      <c r="BQ13" s="198">
        <v>991263</v>
      </c>
      <c r="BR13" s="198">
        <v>987235</v>
      </c>
      <c r="BS13" s="198">
        <v>1100600</v>
      </c>
      <c r="BT13" s="198">
        <v>543620</v>
      </c>
      <c r="BU13" s="198">
        <v>648254</v>
      </c>
      <c r="BV13" s="198">
        <v>580027</v>
      </c>
      <c r="BW13" s="198">
        <v>329610</v>
      </c>
      <c r="BX13" s="198">
        <v>648456</v>
      </c>
      <c r="BY13" s="198">
        <v>135000</v>
      </c>
      <c r="BZ13" s="198">
        <v>457366</v>
      </c>
      <c r="CA13" s="198">
        <v>318679</v>
      </c>
      <c r="CB13" s="198">
        <v>349920</v>
      </c>
      <c r="CC13" s="198">
        <v>192138</v>
      </c>
      <c r="CD13" s="198">
        <v>260579</v>
      </c>
      <c r="CE13" s="198">
        <v>19462</v>
      </c>
      <c r="CF13" s="198">
        <v>152611</v>
      </c>
      <c r="CG13" s="198">
        <v>541980</v>
      </c>
      <c r="CH13" s="198">
        <v>55311</v>
      </c>
      <c r="CI13" s="198">
        <v>148053</v>
      </c>
      <c r="CJ13" s="198">
        <v>871181</v>
      </c>
      <c r="CK13" s="198">
        <v>364897</v>
      </c>
      <c r="CL13" s="198">
        <v>118692</v>
      </c>
      <c r="CM13" s="198">
        <v>59656</v>
      </c>
      <c r="CN13" s="198">
        <v>242416</v>
      </c>
      <c r="CO13" s="198">
        <v>95375</v>
      </c>
      <c r="CP13" s="240"/>
      <c r="CQ13" s="240">
        <f t="shared" si="0"/>
        <v>459361145</v>
      </c>
    </row>
    <row r="14" spans="1:95" x14ac:dyDescent="0.3">
      <c r="A14" s="157" t="s">
        <v>200</v>
      </c>
      <c r="B14" s="235"/>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c r="BC14" s="235"/>
      <c r="BD14" s="235"/>
      <c r="BE14" s="235"/>
      <c r="BF14" s="235"/>
      <c r="BG14" s="235"/>
      <c r="BH14" s="235"/>
      <c r="BI14" s="235"/>
      <c r="BJ14" s="235"/>
      <c r="BK14" s="235"/>
      <c r="BL14" s="235"/>
      <c r="BM14" s="235"/>
      <c r="BN14" s="235"/>
      <c r="BO14" s="235"/>
      <c r="BP14" s="236"/>
      <c r="BQ14" s="235"/>
      <c r="BR14" s="235"/>
      <c r="BS14" s="235"/>
      <c r="BT14" s="235"/>
      <c r="BU14" s="235"/>
      <c r="BV14" s="235"/>
      <c r="BW14" s="235"/>
      <c r="BX14" s="235"/>
      <c r="BY14" s="235"/>
      <c r="BZ14" s="235"/>
      <c r="CA14" s="235"/>
      <c r="CB14" s="235"/>
      <c r="CC14" s="235"/>
      <c r="CD14" s="235"/>
      <c r="CE14" s="235"/>
      <c r="CF14" s="235"/>
      <c r="CG14" s="235"/>
      <c r="CH14" s="235"/>
      <c r="CI14" s="235"/>
      <c r="CJ14" s="235"/>
      <c r="CK14" s="235"/>
      <c r="CL14" s="235"/>
      <c r="CM14" s="235"/>
      <c r="CN14" s="235"/>
      <c r="CO14" s="235"/>
      <c r="CP14" s="237"/>
      <c r="CQ14" s="237"/>
    </row>
    <row r="15" spans="1:95" x14ac:dyDescent="0.3">
      <c r="A15" s="152" t="s">
        <v>201</v>
      </c>
      <c r="B15" s="210">
        <v>10645852878</v>
      </c>
      <c r="C15" s="210">
        <v>962233117</v>
      </c>
      <c r="D15" s="235">
        <v>918680449</v>
      </c>
      <c r="E15" s="210">
        <v>996646360</v>
      </c>
      <c r="F15" s="235">
        <v>1000565717</v>
      </c>
      <c r="G15" s="235">
        <v>412187848</v>
      </c>
      <c r="H15" s="210">
        <v>836862000</v>
      </c>
      <c r="I15" s="235">
        <v>638968937</v>
      </c>
      <c r="J15" s="210">
        <v>230551211</v>
      </c>
      <c r="K15" s="210">
        <v>877093054</v>
      </c>
      <c r="L15" s="210">
        <v>146932368</v>
      </c>
      <c r="M15" s="235">
        <v>751489827</v>
      </c>
      <c r="N15" s="235">
        <v>455314422</v>
      </c>
      <c r="O15" s="210">
        <v>349466529</v>
      </c>
      <c r="P15" s="235">
        <v>215437017</v>
      </c>
      <c r="Q15" s="235">
        <v>432492755</v>
      </c>
      <c r="R15" s="235">
        <v>250782412</v>
      </c>
      <c r="S15" s="241">
        <v>632230497</v>
      </c>
      <c r="T15" s="235">
        <v>201158045</v>
      </c>
      <c r="U15" s="210">
        <v>488015895</v>
      </c>
      <c r="V15" s="235">
        <v>159770663</v>
      </c>
      <c r="W15" s="210">
        <v>324882829</v>
      </c>
      <c r="X15" s="210">
        <v>297985199</v>
      </c>
      <c r="Y15" s="210">
        <v>84981101</v>
      </c>
      <c r="Z15" s="210">
        <v>259360405</v>
      </c>
      <c r="AA15" s="235">
        <v>270108010</v>
      </c>
      <c r="AB15" s="235">
        <v>264527307</v>
      </c>
      <c r="AC15" s="235">
        <v>241435421</v>
      </c>
      <c r="AD15" s="235">
        <v>275235086.61000001</v>
      </c>
      <c r="AE15" s="235">
        <v>178447107</v>
      </c>
      <c r="AF15" s="235">
        <v>78682282</v>
      </c>
      <c r="AG15" s="235">
        <v>294634864</v>
      </c>
      <c r="AH15" s="235">
        <v>107360302</v>
      </c>
      <c r="AI15" s="235">
        <v>62717211</v>
      </c>
      <c r="AJ15" s="235">
        <v>169078907</v>
      </c>
      <c r="AK15" s="235">
        <v>166290541</v>
      </c>
      <c r="AL15" s="235">
        <v>295135809</v>
      </c>
      <c r="AM15" s="210">
        <v>165643468</v>
      </c>
      <c r="AN15" s="235">
        <v>75645459</v>
      </c>
      <c r="AO15" s="210">
        <v>99494001</v>
      </c>
      <c r="AP15" s="235">
        <v>87528323</v>
      </c>
      <c r="AQ15" s="210">
        <v>223949944</v>
      </c>
      <c r="AR15" s="235">
        <v>201710245</v>
      </c>
      <c r="AS15" s="235">
        <v>72401030</v>
      </c>
      <c r="AT15" s="235">
        <v>40355352</v>
      </c>
      <c r="AU15" s="210">
        <v>214517489.44</v>
      </c>
      <c r="AV15" s="235">
        <v>59550550</v>
      </c>
      <c r="AW15" s="235">
        <v>16324511</v>
      </c>
      <c r="AX15" s="210">
        <v>103287907</v>
      </c>
      <c r="AY15" s="235">
        <v>83098624</v>
      </c>
      <c r="AZ15" s="210">
        <v>44397948</v>
      </c>
      <c r="BA15" s="235">
        <v>92675395</v>
      </c>
      <c r="BB15" s="235">
        <v>143372243</v>
      </c>
      <c r="BC15" s="210">
        <v>155577788.27000001</v>
      </c>
      <c r="BD15" s="235">
        <v>95831971</v>
      </c>
      <c r="BE15" s="235">
        <v>18637934</v>
      </c>
      <c r="BF15" s="235">
        <v>108493396</v>
      </c>
      <c r="BG15" s="210">
        <v>46435497</v>
      </c>
      <c r="BH15" s="210">
        <v>41318340</v>
      </c>
      <c r="BI15" s="210">
        <v>129791550</v>
      </c>
      <c r="BJ15" s="235">
        <v>46188784</v>
      </c>
      <c r="BK15" s="235">
        <v>49575380</v>
      </c>
      <c r="BL15" s="235">
        <v>75253661</v>
      </c>
      <c r="BM15" s="235">
        <v>22012332</v>
      </c>
      <c r="BN15" s="235">
        <v>22161656</v>
      </c>
      <c r="BO15" s="235">
        <v>90717198</v>
      </c>
      <c r="BP15" s="236">
        <v>67667449</v>
      </c>
      <c r="BQ15" s="235">
        <v>132252024.84</v>
      </c>
      <c r="BR15" s="235">
        <v>24009594.449999999</v>
      </c>
      <c r="BS15" s="210">
        <v>36512693</v>
      </c>
      <c r="BT15" s="235">
        <v>159253591</v>
      </c>
      <c r="BU15" s="235">
        <v>58031115</v>
      </c>
      <c r="BV15" s="235">
        <v>45037444</v>
      </c>
      <c r="BW15" s="235">
        <v>37098608</v>
      </c>
      <c r="BX15" s="235">
        <v>11898059</v>
      </c>
      <c r="BY15" s="235">
        <v>16994345</v>
      </c>
      <c r="BZ15" s="235">
        <v>47431817</v>
      </c>
      <c r="CA15" s="235">
        <v>20566296</v>
      </c>
      <c r="CB15" s="235">
        <v>79017863</v>
      </c>
      <c r="CC15" s="235">
        <v>9773893</v>
      </c>
      <c r="CD15" s="235">
        <v>39085517</v>
      </c>
      <c r="CE15" s="210">
        <v>2957665</v>
      </c>
      <c r="CF15" s="210">
        <v>19971306</v>
      </c>
      <c r="CG15" s="235">
        <v>25428305</v>
      </c>
      <c r="CH15" s="235">
        <v>5112489</v>
      </c>
      <c r="CI15" s="235">
        <v>6994627</v>
      </c>
      <c r="CJ15" s="235">
        <v>66928505</v>
      </c>
      <c r="CK15" s="235">
        <v>3913867</v>
      </c>
      <c r="CL15" s="235">
        <v>15371900</v>
      </c>
      <c r="CM15" s="235">
        <v>21286265</v>
      </c>
      <c r="CN15" s="210">
        <v>76697000</v>
      </c>
      <c r="CO15" s="235">
        <v>46674030.460000001</v>
      </c>
      <c r="CP15" s="237"/>
      <c r="CQ15" s="237"/>
    </row>
    <row r="16" spans="1:95" x14ac:dyDescent="0.3">
      <c r="A16" s="152" t="s">
        <v>237</v>
      </c>
      <c r="B16" s="210">
        <v>6919804370.6999998</v>
      </c>
      <c r="C16" s="210">
        <v>817898149.44999993</v>
      </c>
      <c r="D16" s="235">
        <v>734944359.20000005</v>
      </c>
      <c r="E16" s="210">
        <v>996646360</v>
      </c>
      <c r="F16" s="235">
        <v>875495002.375</v>
      </c>
      <c r="G16" s="235">
        <v>350359670.80000001</v>
      </c>
      <c r="H16" s="210">
        <v>636015120</v>
      </c>
      <c r="I16" s="235">
        <v>575072043.30000007</v>
      </c>
      <c r="J16" s="210">
        <v>230551211</v>
      </c>
      <c r="K16" s="210">
        <v>877093054</v>
      </c>
      <c r="L16" s="210">
        <v>146932368</v>
      </c>
      <c r="M16" s="235">
        <v>751489827</v>
      </c>
      <c r="N16" s="235">
        <v>387017258.69999999</v>
      </c>
      <c r="O16" s="210">
        <v>349466529</v>
      </c>
      <c r="P16" s="235">
        <v>215437017</v>
      </c>
      <c r="Q16" s="235">
        <v>302744928.5</v>
      </c>
      <c r="R16" s="235">
        <v>213165050.19999999</v>
      </c>
      <c r="S16" s="241">
        <v>632230497</v>
      </c>
      <c r="T16" s="235">
        <v>201158045</v>
      </c>
      <c r="U16" s="210">
        <v>488015895</v>
      </c>
      <c r="V16" s="235">
        <v>159770663</v>
      </c>
      <c r="W16" s="210">
        <v>308638687.55000001</v>
      </c>
      <c r="X16" s="210">
        <v>289045643.02999997</v>
      </c>
      <c r="Y16" s="210">
        <v>84981101</v>
      </c>
      <c r="Z16" s="210">
        <v>220456344.25</v>
      </c>
      <c r="AA16" s="210">
        <v>229591808.5</v>
      </c>
      <c r="AB16" s="210">
        <v>224848210.94999999</v>
      </c>
      <c r="AC16" s="235">
        <v>241435421</v>
      </c>
      <c r="AD16" s="235">
        <v>275235086.61000001</v>
      </c>
      <c r="AE16" s="235">
        <v>178447107</v>
      </c>
      <c r="AF16" s="235">
        <v>78682282</v>
      </c>
      <c r="AG16" s="235">
        <v>294634864</v>
      </c>
      <c r="AH16" s="235">
        <v>107360302</v>
      </c>
      <c r="AI16" s="235">
        <v>62717211</v>
      </c>
      <c r="AJ16" s="235">
        <v>169078907</v>
      </c>
      <c r="AK16" s="235">
        <v>166290541</v>
      </c>
      <c r="AL16" s="235">
        <v>250865437.65000001</v>
      </c>
      <c r="AM16" s="210">
        <v>165643468</v>
      </c>
      <c r="AN16" s="235">
        <v>75645459</v>
      </c>
      <c r="AO16" s="210">
        <v>84569900.849999994</v>
      </c>
      <c r="AP16" s="235">
        <v>87528323</v>
      </c>
      <c r="AQ16" s="210">
        <v>190357452.40000001</v>
      </c>
      <c r="AR16" s="235">
        <v>201710245</v>
      </c>
      <c r="AS16" s="235">
        <v>72401030</v>
      </c>
      <c r="AT16" s="235">
        <v>40355352</v>
      </c>
      <c r="AU16" s="210">
        <v>182339866.02399999</v>
      </c>
      <c r="AV16" s="235">
        <v>59550550</v>
      </c>
      <c r="AW16" s="235">
        <v>16324511</v>
      </c>
      <c r="AX16" s="210">
        <v>103287907</v>
      </c>
      <c r="AY16" s="235">
        <v>83098624</v>
      </c>
      <c r="AZ16" s="210">
        <v>44397948</v>
      </c>
      <c r="BA16" s="235">
        <v>92675395</v>
      </c>
      <c r="BB16" s="235">
        <v>121866406.55</v>
      </c>
      <c r="BC16" s="210">
        <v>155577788.27000001</v>
      </c>
      <c r="BD16" s="235">
        <v>95831971</v>
      </c>
      <c r="BE16" s="235">
        <v>18637934</v>
      </c>
      <c r="BF16" s="235">
        <v>108493396</v>
      </c>
      <c r="BG16" s="210">
        <v>46435497</v>
      </c>
      <c r="BH16" s="210">
        <v>41318340</v>
      </c>
      <c r="BI16" s="210">
        <v>129791550</v>
      </c>
      <c r="BJ16" s="235">
        <v>46188784</v>
      </c>
      <c r="BK16" s="235">
        <v>49575380</v>
      </c>
      <c r="BL16" s="235">
        <v>75253661</v>
      </c>
      <c r="BM16" s="235">
        <v>22012332</v>
      </c>
      <c r="BN16" s="235">
        <v>22161656</v>
      </c>
      <c r="BO16" s="235">
        <v>90717198</v>
      </c>
      <c r="BP16" s="236">
        <v>67667449</v>
      </c>
      <c r="BQ16" s="235">
        <v>132252024.84</v>
      </c>
      <c r="BR16" s="235">
        <v>24009594.449999999</v>
      </c>
      <c r="BS16" s="210">
        <v>36512693</v>
      </c>
      <c r="BT16" s="235">
        <v>159253591</v>
      </c>
      <c r="BU16" s="235">
        <v>58031115</v>
      </c>
      <c r="BV16" s="235">
        <v>45037444</v>
      </c>
      <c r="BW16" s="235">
        <v>37098608</v>
      </c>
      <c r="BX16" s="235">
        <v>11898059</v>
      </c>
      <c r="BY16" s="235">
        <v>16994345</v>
      </c>
      <c r="BZ16" s="235">
        <v>47431817</v>
      </c>
      <c r="CA16" s="235">
        <v>20566296</v>
      </c>
      <c r="CB16" s="235">
        <v>79017863</v>
      </c>
      <c r="CC16" s="235">
        <v>9773893</v>
      </c>
      <c r="CD16" s="235">
        <v>39085517</v>
      </c>
      <c r="CE16" s="210">
        <v>2957665</v>
      </c>
      <c r="CF16" s="210">
        <v>19971306</v>
      </c>
      <c r="CG16" s="235">
        <v>25428305</v>
      </c>
      <c r="CH16" s="235">
        <v>5112489</v>
      </c>
      <c r="CI16" s="235">
        <v>6994627</v>
      </c>
      <c r="CJ16" s="235">
        <v>66928505</v>
      </c>
      <c r="CK16" s="235">
        <v>3913867</v>
      </c>
      <c r="CL16" s="235">
        <v>15371900</v>
      </c>
      <c r="CM16" s="235">
        <v>21286265</v>
      </c>
      <c r="CN16" s="210">
        <v>76697000</v>
      </c>
      <c r="CO16" s="235">
        <v>46674030.460000001</v>
      </c>
      <c r="CP16" s="237"/>
      <c r="CQ16" s="237"/>
    </row>
    <row r="17" spans="1:95" x14ac:dyDescent="0.3">
      <c r="A17" s="245" t="s">
        <v>238</v>
      </c>
      <c r="B17" s="235">
        <v>2421931529.7449999</v>
      </c>
      <c r="C17" s="235">
        <v>122684722.41749999</v>
      </c>
      <c r="D17" s="235">
        <v>146988871.84</v>
      </c>
      <c r="E17" s="235">
        <v>149496954</v>
      </c>
      <c r="F17" s="235">
        <v>109436875.296875</v>
      </c>
      <c r="G17" s="235">
        <v>52553950.619999997</v>
      </c>
      <c r="H17" s="235">
        <v>152643628.79999998</v>
      </c>
      <c r="I17" s="235">
        <v>57507204.330000013</v>
      </c>
      <c r="J17" s="235"/>
      <c r="K17" s="235">
        <v>87709305.400000006</v>
      </c>
      <c r="L17" s="235"/>
      <c r="M17" s="235"/>
      <c r="N17" s="235">
        <v>58052588.805</v>
      </c>
      <c r="O17" s="235"/>
      <c r="P17" s="235"/>
      <c r="Q17" s="235">
        <v>90823478.549999997</v>
      </c>
      <c r="R17" s="235">
        <v>31974757.529999997</v>
      </c>
      <c r="S17" s="235"/>
      <c r="T17" s="235"/>
      <c r="U17" s="235"/>
      <c r="V17" s="235"/>
      <c r="W17" s="235">
        <v>15431934.377500001</v>
      </c>
      <c r="X17" s="235">
        <v>8671369.2908999994</v>
      </c>
      <c r="Y17" s="235"/>
      <c r="Z17" s="235">
        <v>33068451.637499999</v>
      </c>
      <c r="AA17" s="235">
        <v>34438771.274999999</v>
      </c>
      <c r="AB17" s="235">
        <v>33727231.642499998</v>
      </c>
      <c r="AC17" s="235"/>
      <c r="AD17" s="235"/>
      <c r="AE17" s="235"/>
      <c r="AF17" s="235"/>
      <c r="AG17" s="235">
        <v>44195229.600000001</v>
      </c>
      <c r="AH17" s="235"/>
      <c r="AI17" s="235"/>
      <c r="AJ17" s="235"/>
      <c r="AK17" s="235"/>
      <c r="AL17" s="235">
        <v>37629815.647500001</v>
      </c>
      <c r="AM17" s="235"/>
      <c r="AN17" s="235"/>
      <c r="AO17" s="235">
        <v>12685485.127499999</v>
      </c>
      <c r="AP17" s="235"/>
      <c r="AQ17" s="235">
        <v>28553617.859999999</v>
      </c>
      <c r="AR17" s="235"/>
      <c r="AS17" s="235"/>
      <c r="AT17" s="235"/>
      <c r="AU17" s="235">
        <v>27350979.903599996</v>
      </c>
      <c r="AV17" s="235"/>
      <c r="AW17" s="235"/>
      <c r="AX17" s="235"/>
      <c r="AY17" s="235"/>
      <c r="AZ17" s="235"/>
      <c r="BA17" s="235"/>
      <c r="BB17" s="235">
        <v>18279960.982499998</v>
      </c>
      <c r="BC17" s="235"/>
      <c r="BD17" s="235">
        <v>14374795.65</v>
      </c>
      <c r="BE17" s="235"/>
      <c r="BF17" s="235"/>
      <c r="BG17" s="235"/>
      <c r="BH17" s="235"/>
      <c r="BI17" s="235"/>
      <c r="BJ17" s="235"/>
      <c r="BK17" s="235"/>
      <c r="BL17" s="235"/>
      <c r="BM17" s="235"/>
      <c r="BN17" s="235"/>
      <c r="BO17" s="235"/>
      <c r="BP17" s="236"/>
      <c r="BQ17" s="235"/>
      <c r="BR17" s="235"/>
      <c r="BS17" s="235"/>
      <c r="BT17" s="235"/>
      <c r="BU17" s="235"/>
      <c r="BV17" s="235"/>
      <c r="BW17" s="235"/>
      <c r="BX17" s="235"/>
      <c r="BY17" s="235"/>
      <c r="BZ17" s="235"/>
      <c r="CA17" s="235"/>
      <c r="CB17" s="235"/>
      <c r="CC17" s="235"/>
      <c r="CD17" s="235"/>
      <c r="CE17" s="235"/>
      <c r="CF17" s="235"/>
      <c r="CG17" s="235"/>
      <c r="CH17" s="235"/>
      <c r="CI17" s="235"/>
      <c r="CJ17" s="235"/>
      <c r="CK17" s="235"/>
      <c r="CL17" s="235"/>
      <c r="CM17" s="235"/>
      <c r="CN17" s="235"/>
      <c r="CO17" s="235"/>
      <c r="CP17" s="237"/>
      <c r="CQ17" s="237"/>
    </row>
    <row r="18" spans="1:95" s="254" customFormat="1" x14ac:dyDescent="0.3">
      <c r="A18" s="255" t="s">
        <v>239</v>
      </c>
      <c r="B18" s="198">
        <v>38.760566989135135</v>
      </c>
      <c r="C18" s="198">
        <v>52.931947214064095</v>
      </c>
      <c r="D18" s="198">
        <v>61.737752713432656</v>
      </c>
      <c r="E18" s="198">
        <v>86.608116069985414</v>
      </c>
      <c r="F18" s="198">
        <v>83.399396165396766</v>
      </c>
      <c r="G18" s="198">
        <v>42.164855013947054</v>
      </c>
      <c r="H18" s="198">
        <v>45.356449359052299</v>
      </c>
      <c r="I18" s="198">
        <v>72.951005050114247</v>
      </c>
      <c r="J18" s="198">
        <v>37.672720632630401</v>
      </c>
      <c r="K18" s="198">
        <v>75.974536764742822</v>
      </c>
      <c r="L18" s="198">
        <v>19.838899873566689</v>
      </c>
      <c r="M18" s="198">
        <v>69.069619810482891</v>
      </c>
      <c r="N18" s="198">
        <v>50.228732837497049</v>
      </c>
      <c r="O18" s="198">
        <v>42.442035144156428</v>
      </c>
      <c r="P18" s="198">
        <v>33.970410927195026</v>
      </c>
      <c r="Q18" s="198">
        <v>67.289645155920113</v>
      </c>
      <c r="R18" s="198">
        <v>58.468967335119686</v>
      </c>
      <c r="S18" s="198">
        <v>88.135623754597205</v>
      </c>
      <c r="T18" s="198">
        <v>31.132847516281604</v>
      </c>
      <c r="U18" s="198">
        <v>90.024651746919432</v>
      </c>
      <c r="V18" s="198">
        <v>77.98617321673936</v>
      </c>
      <c r="W18" s="198">
        <v>74.91295738263733</v>
      </c>
      <c r="X18" s="198">
        <v>95.010639521143091</v>
      </c>
      <c r="Y18" s="198">
        <v>30.822047597648734</v>
      </c>
      <c r="Z18" s="198">
        <v>66.598175558553649</v>
      </c>
      <c r="AA18" s="198">
        <v>49.175869657877094</v>
      </c>
      <c r="AB18" s="198">
        <v>34.470061467116359</v>
      </c>
      <c r="AC18" s="198">
        <v>74.900298874736919</v>
      </c>
      <c r="AD18" s="198">
        <v>54.12157093200527</v>
      </c>
      <c r="AE18" s="198">
        <v>50.921686626655372</v>
      </c>
      <c r="AF18" s="198">
        <v>27.545034895900432</v>
      </c>
      <c r="AG18" s="198">
        <v>85.368845970638446</v>
      </c>
      <c r="AH18" s="198">
        <v>25.05382543488194</v>
      </c>
      <c r="AI18" s="198">
        <v>21.933880329134748</v>
      </c>
      <c r="AJ18" s="198">
        <v>65.082715400237419</v>
      </c>
      <c r="AK18" s="198">
        <v>78.999870780594478</v>
      </c>
      <c r="AL18" s="198">
        <v>161.41410103637111</v>
      </c>
      <c r="AM18" s="198">
        <v>66.529973808688965</v>
      </c>
      <c r="AN18" s="198">
        <v>26.547855337965888</v>
      </c>
      <c r="AO18" s="198">
        <v>35.385917354936183</v>
      </c>
      <c r="AP18" s="198">
        <v>100.55964646627115</v>
      </c>
      <c r="AQ18" s="198">
        <v>57.493980478484623</v>
      </c>
      <c r="AR18" s="198">
        <v>86.11881530096079</v>
      </c>
      <c r="AS18" s="198">
        <v>41.141881214168286</v>
      </c>
      <c r="AT18" s="198">
        <v>34.885090697851332</v>
      </c>
      <c r="AU18" s="198">
        <v>88.940158761763215</v>
      </c>
      <c r="AV18" s="198">
        <v>51.826531109556186</v>
      </c>
      <c r="AW18" s="198">
        <v>15.700570334891415</v>
      </c>
      <c r="AX18" s="198">
        <v>64.581420257305496</v>
      </c>
      <c r="AY18" s="198">
        <v>40.159531184078197</v>
      </c>
      <c r="AZ18" s="198">
        <v>20.095607005905848</v>
      </c>
      <c r="BA18" s="198">
        <v>42.317531963470323</v>
      </c>
      <c r="BB18" s="198">
        <v>101.63749576741199</v>
      </c>
      <c r="BC18" s="198">
        <v>94.425484118048715</v>
      </c>
      <c r="BD18" s="198">
        <v>127.4608780428115</v>
      </c>
      <c r="BE18" s="198">
        <v>12.482066091293932</v>
      </c>
      <c r="BF18" s="198">
        <v>73.167577439275647</v>
      </c>
      <c r="BG18" s="198">
        <v>60.630251475426959</v>
      </c>
      <c r="BH18" s="198">
        <v>35.669503421198485</v>
      </c>
      <c r="BI18" s="198">
        <v>103.5673618686109</v>
      </c>
      <c r="BJ18" s="198">
        <v>22.703249073339961</v>
      </c>
      <c r="BK18" s="198">
        <v>149.92992738699013</v>
      </c>
      <c r="BL18" s="198">
        <v>62.046094913951819</v>
      </c>
      <c r="BM18" s="198">
        <v>9.8577835100022835</v>
      </c>
      <c r="BN18" s="198">
        <v>25.103738886252085</v>
      </c>
      <c r="BO18" s="198">
        <v>165.38117600732133</v>
      </c>
      <c r="BP18" s="198">
        <v>58.828471201912627</v>
      </c>
      <c r="BQ18" s="198">
        <v>133.41769524334109</v>
      </c>
      <c r="BR18" s="198">
        <v>24.320039757504546</v>
      </c>
      <c r="BS18" s="198">
        <v>33.175261675449754</v>
      </c>
      <c r="BT18" s="198">
        <v>292.95020602626835</v>
      </c>
      <c r="BU18" s="198">
        <v>89.51910053775218</v>
      </c>
      <c r="BV18" s="198">
        <v>77.647150908492193</v>
      </c>
      <c r="BW18" s="198">
        <v>112.55304147325627</v>
      </c>
      <c r="BX18" s="198">
        <v>18.348290400582307</v>
      </c>
      <c r="BY18" s="198">
        <v>125.88403703703703</v>
      </c>
      <c r="BZ18" s="198">
        <v>103.70647796294433</v>
      </c>
      <c r="CA18" s="198">
        <v>64.536088038433661</v>
      </c>
      <c r="CB18" s="198">
        <v>225.81693815729309</v>
      </c>
      <c r="CC18" s="198">
        <v>50.869130520771527</v>
      </c>
      <c r="CD18" s="198">
        <v>149.99488446881753</v>
      </c>
      <c r="CE18" s="198">
        <v>151.9712773610112</v>
      </c>
      <c r="CF18" s="198">
        <v>130.86413168120254</v>
      </c>
      <c r="CG18" s="198">
        <v>46.917423152145837</v>
      </c>
      <c r="CH18" s="198">
        <v>92.431686283017839</v>
      </c>
      <c r="CI18" s="198">
        <v>47.24407475701269</v>
      </c>
      <c r="CJ18" s="198">
        <v>76.825028323620458</v>
      </c>
      <c r="CK18" s="198">
        <v>10.725950062620411</v>
      </c>
      <c r="CL18" s="198">
        <v>129.51083476561183</v>
      </c>
      <c r="CM18" s="198">
        <v>356.81683317688078</v>
      </c>
      <c r="CN18" s="198">
        <v>316.38588211999206</v>
      </c>
      <c r="CO18" s="198">
        <v>489.37384492791614</v>
      </c>
      <c r="CP18" s="240"/>
      <c r="CQ18" s="240">
        <f t="shared" si="0"/>
        <v>7449.4574140562308</v>
      </c>
    </row>
    <row r="19" spans="1:95" x14ac:dyDescent="0.3">
      <c r="A19" s="157" t="str">
        <f>'[1]Abstraction &amp; Water Value 20-21'!A21</f>
        <v xml:space="preserve">Actual unit cost- sewage treated </v>
      </c>
      <c r="B19" s="243">
        <f>'[1]Abstraction &amp; Water Value 20-21'!AY21</f>
        <v>45.3592813060556</v>
      </c>
      <c r="C19" s="243">
        <f>'[1]Abstraction &amp; Water Value 20-21'!F21</f>
        <v>13.609543435250975</v>
      </c>
      <c r="D19" s="234">
        <f>D18</f>
        <v>61.737752713432656</v>
      </c>
      <c r="E19" s="243">
        <f>'[1]Abstraction &amp; Water Value 20-21'!BA21</f>
        <v>28.300344882973054</v>
      </c>
      <c r="F19" s="243">
        <f>'[1]Abstraction &amp; Water Value 20-21'!AE21</f>
        <v>21.999331811330826</v>
      </c>
      <c r="G19" s="243">
        <f>'[1]Abstraction &amp; Water Value 20-21'!BL21</f>
        <v>40.558012931151637</v>
      </c>
      <c r="H19" s="243">
        <f>'[1]Abstraction &amp; Water Value 20-21'!BV21</f>
        <v>29.754232826899127</v>
      </c>
      <c r="I19" s="243">
        <f>'[1]Abstraction &amp; Water Value 20-21'!BK21</f>
        <v>11.876869611226182</v>
      </c>
      <c r="J19" s="235"/>
      <c r="K19" s="243">
        <f>'[1]Abstraction &amp; Water Value 20-21'!BP21</f>
        <v>57.853014873717484</v>
      </c>
      <c r="L19" s="235"/>
      <c r="M19" s="235"/>
      <c r="N19" s="243">
        <f>'[1]Abstraction &amp; Water Value 20-21'!I21</f>
        <v>27.909291983171464</v>
      </c>
      <c r="O19" s="235"/>
      <c r="P19" s="235"/>
      <c r="Q19" s="243">
        <f>'[1]Abstraction &amp; Water Value 20-21'!T21</f>
        <v>185.6063260869565</v>
      </c>
      <c r="R19" s="234">
        <f>R18</f>
        <v>58.468967335119686</v>
      </c>
      <c r="S19" s="235"/>
      <c r="T19" s="235"/>
      <c r="U19" s="235"/>
      <c r="V19" s="235"/>
      <c r="W19" s="243">
        <f>'[1]Abstraction &amp; Water Value 20-21'!BC21</f>
        <v>19.862979900341418</v>
      </c>
      <c r="X19" s="234">
        <f>X18</f>
        <v>95.010639521143091</v>
      </c>
      <c r="Y19" s="235"/>
      <c r="Z19" s="243">
        <f>'[1]Abstraction &amp; Water Value 20-21'!BI21</f>
        <v>35.067307892022747</v>
      </c>
      <c r="AA19" s="243">
        <f>'[1]Abstraction &amp; Water Value 20-21'!O21</f>
        <v>14.483830280759701</v>
      </c>
      <c r="AB19" s="243">
        <f>'[1]Abstraction &amp; Water Value 20-21'!J21</f>
        <v>292.32548315624996</v>
      </c>
      <c r="AC19" s="235"/>
      <c r="AD19" s="235"/>
      <c r="AE19" s="235"/>
      <c r="AF19" s="235"/>
      <c r="AG19" s="234">
        <f>AG18</f>
        <v>85.368845970638446</v>
      </c>
      <c r="AH19" s="235"/>
      <c r="AI19" s="235"/>
      <c r="AJ19" s="235"/>
      <c r="AK19" s="235"/>
      <c r="AL19" s="234">
        <f>AL18</f>
        <v>161.41410103637111</v>
      </c>
      <c r="AM19" s="235"/>
      <c r="AN19" s="235"/>
      <c r="AO19" s="243">
        <f>'[1]Abstraction &amp; Water Value 20-21'!R21</f>
        <v>41.510443736698235</v>
      </c>
      <c r="AP19" s="235"/>
      <c r="AQ19" s="234">
        <f>AQ18</f>
        <v>57.493980478484623</v>
      </c>
      <c r="AR19" s="235"/>
      <c r="AS19" s="235"/>
      <c r="AT19" s="235"/>
      <c r="AU19" s="243">
        <f>'[1]Abstraction &amp; Water Value 20-21'!AZ21</f>
        <v>79.573352180034647</v>
      </c>
      <c r="AV19" s="235"/>
      <c r="AW19" s="235"/>
      <c r="AX19" s="235"/>
      <c r="AY19" s="235"/>
      <c r="AZ19" s="235"/>
      <c r="BA19" s="235"/>
      <c r="BB19" s="234">
        <f>BB18</f>
        <v>101.63749576741199</v>
      </c>
      <c r="BC19" s="235"/>
      <c r="BD19" s="234">
        <f>BD18</f>
        <v>127.4608780428115</v>
      </c>
      <c r="BE19" s="235"/>
      <c r="BF19" s="235"/>
      <c r="BG19" s="235"/>
      <c r="BH19" s="235"/>
      <c r="BI19" s="235"/>
      <c r="BJ19" s="235"/>
      <c r="BK19" s="235"/>
      <c r="BL19" s="235"/>
      <c r="BM19" s="235"/>
      <c r="BN19" s="235"/>
      <c r="BO19" s="235"/>
      <c r="BP19" s="236"/>
      <c r="BQ19" s="235"/>
      <c r="BR19" s="235"/>
      <c r="BS19" s="235"/>
      <c r="BT19" s="235"/>
      <c r="BU19" s="235"/>
      <c r="BV19" s="235"/>
      <c r="BW19" s="235"/>
      <c r="BX19" s="235"/>
      <c r="BY19" s="235"/>
      <c r="BZ19" s="235"/>
      <c r="CA19" s="235"/>
      <c r="CB19" s="235"/>
      <c r="CC19" s="235"/>
      <c r="CD19" s="235"/>
      <c r="CE19" s="235"/>
      <c r="CF19" s="235"/>
      <c r="CG19" s="235"/>
      <c r="CH19" s="235"/>
      <c r="CI19" s="235"/>
      <c r="CJ19" s="235"/>
      <c r="CK19" s="235"/>
      <c r="CL19" s="235"/>
      <c r="CM19" s="235"/>
      <c r="CN19" s="235"/>
      <c r="CO19" s="235"/>
      <c r="CP19" s="237"/>
      <c r="CQ19" s="237">
        <f t="shared" si="0"/>
        <v>1694.2423077602527</v>
      </c>
    </row>
    <row r="20" spans="1:95" x14ac:dyDescent="0.3">
      <c r="A20" s="157"/>
      <c r="B20" s="235"/>
      <c r="C20" s="235"/>
      <c r="D20" s="235"/>
      <c r="E20" s="235"/>
      <c r="F20" s="235"/>
      <c r="G20" s="235"/>
      <c r="H20" s="235"/>
      <c r="I20" s="235"/>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235"/>
      <c r="BB20" s="235"/>
      <c r="BC20" s="235"/>
      <c r="BD20" s="235"/>
      <c r="BE20" s="235"/>
      <c r="BF20" s="235"/>
      <c r="BG20" s="235"/>
      <c r="BH20" s="235"/>
      <c r="BI20" s="235"/>
      <c r="BJ20" s="235"/>
      <c r="BK20" s="235"/>
      <c r="BL20" s="235"/>
      <c r="BM20" s="235"/>
      <c r="BN20" s="235"/>
      <c r="BO20" s="235"/>
      <c r="BP20" s="236"/>
      <c r="BQ20" s="235"/>
      <c r="BR20" s="235"/>
      <c r="BS20" s="235"/>
      <c r="BT20" s="235"/>
      <c r="BU20" s="235"/>
      <c r="BV20" s="235"/>
      <c r="BW20" s="235"/>
      <c r="BX20" s="235"/>
      <c r="BY20" s="235"/>
      <c r="BZ20" s="235"/>
      <c r="CA20" s="235"/>
      <c r="CB20" s="235"/>
      <c r="CC20" s="235"/>
      <c r="CD20" s="235"/>
      <c r="CE20" s="235"/>
      <c r="CF20" s="235"/>
      <c r="CG20" s="235"/>
      <c r="CH20" s="235"/>
      <c r="CI20" s="235"/>
      <c r="CJ20" s="235"/>
      <c r="CK20" s="235"/>
      <c r="CL20" s="235"/>
      <c r="CM20" s="235"/>
      <c r="CN20" s="235"/>
      <c r="CO20" s="235"/>
      <c r="CP20" s="237"/>
      <c r="CQ20" s="237">
        <f t="shared" si="0"/>
        <v>0</v>
      </c>
    </row>
    <row r="21" spans="1:95" x14ac:dyDescent="0.3">
      <c r="A21" s="256" t="s">
        <v>205</v>
      </c>
      <c r="B21" s="235"/>
      <c r="C21" s="235"/>
      <c r="D21" s="235"/>
      <c r="E21" s="235"/>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235"/>
      <c r="BB21" s="235"/>
      <c r="BC21" s="235"/>
      <c r="BD21" s="235"/>
      <c r="BE21" s="235"/>
      <c r="BF21" s="235"/>
      <c r="BG21" s="235"/>
      <c r="BH21" s="235"/>
      <c r="BI21" s="235"/>
      <c r="BJ21" s="235"/>
      <c r="BK21" s="235"/>
      <c r="BL21" s="235"/>
      <c r="BM21" s="235"/>
      <c r="BN21" s="235"/>
      <c r="BO21" s="235"/>
      <c r="BP21" s="235"/>
      <c r="BQ21" s="235"/>
      <c r="BR21" s="235"/>
      <c r="BS21" s="235"/>
      <c r="BT21" s="235"/>
      <c r="BU21" s="235"/>
      <c r="BV21" s="235"/>
      <c r="BW21" s="235"/>
      <c r="BX21" s="235"/>
      <c r="BY21" s="235"/>
      <c r="BZ21" s="235"/>
      <c r="CA21" s="235"/>
      <c r="CB21" s="235"/>
      <c r="CC21" s="235"/>
      <c r="CD21" s="235"/>
      <c r="CE21" s="235"/>
      <c r="CF21" s="235"/>
      <c r="CG21" s="235"/>
      <c r="CH21" s="235"/>
      <c r="CI21" s="235"/>
      <c r="CJ21" s="235"/>
      <c r="CK21" s="235"/>
      <c r="CL21" s="235"/>
      <c r="CM21" s="235"/>
      <c r="CN21" s="235"/>
      <c r="CO21" s="235"/>
      <c r="CP21" s="237"/>
      <c r="CQ21" s="237">
        <f t="shared" si="0"/>
        <v>0</v>
      </c>
    </row>
    <row r="22" spans="1:95" x14ac:dyDescent="0.3">
      <c r="A22" s="257" t="s">
        <v>206</v>
      </c>
      <c r="B22" s="235">
        <v>447481365.83235377</v>
      </c>
      <c r="C22" s="235">
        <v>387579997.46798897</v>
      </c>
      <c r="D22" s="235">
        <v>154933236.46896237</v>
      </c>
      <c r="E22" s="235">
        <v>185369516.02749154</v>
      </c>
      <c r="F22" s="235">
        <v>290086954.2028898</v>
      </c>
      <c r="G22" s="235">
        <v>120499523.79110315</v>
      </c>
      <c r="H22" s="235">
        <v>139248517.68208095</v>
      </c>
      <c r="I22" s="235">
        <v>124793782.69098803</v>
      </c>
      <c r="J22" s="235">
        <v>91988950.863934189</v>
      </c>
      <c r="K22" s="235">
        <v>352114210.17379522</v>
      </c>
      <c r="L22" s="235">
        <v>91062889.492333174</v>
      </c>
      <c r="M22" s="235">
        <v>296944247.62846768</v>
      </c>
      <c r="N22" s="235">
        <v>171727667.67164555</v>
      </c>
      <c r="O22" s="235">
        <v>27461734.587174341</v>
      </c>
      <c r="P22" s="235">
        <v>72638256.370024189</v>
      </c>
      <c r="Q22" s="235">
        <v>56941978.10313303</v>
      </c>
      <c r="R22" s="235">
        <v>80076359.976673827</v>
      </c>
      <c r="S22" s="235">
        <v>248281109.49721655</v>
      </c>
      <c r="T22" s="235">
        <v>93466260.126422614</v>
      </c>
      <c r="U22" s="235">
        <v>235079576.67005327</v>
      </c>
      <c r="V22" s="235">
        <v>62504588.823846109</v>
      </c>
      <c r="W22" s="235">
        <v>68124869.575324416</v>
      </c>
      <c r="X22" s="235">
        <v>47046002.832533017</v>
      </c>
      <c r="Y22" s="235">
        <v>22499925.848066993</v>
      </c>
      <c r="Z22" s="235">
        <v>72819558.32167837</v>
      </c>
      <c r="AA22" s="235">
        <v>39124321.899807014</v>
      </c>
      <c r="AB22" s="235">
        <v>7487448.871641147</v>
      </c>
      <c r="AC22" s="235">
        <v>156243826.06981644</v>
      </c>
      <c r="AD22" s="235">
        <v>102417291.77626278</v>
      </c>
      <c r="AE22" s="235">
        <v>23315810.928711046</v>
      </c>
      <c r="AF22" s="235">
        <v>19474151.89763917</v>
      </c>
      <c r="AG22" s="235">
        <v>56879233.76268924</v>
      </c>
      <c r="AH22" s="235">
        <v>18319808.126843501</v>
      </c>
      <c r="AI22" s="235">
        <v>12876175.30676963</v>
      </c>
      <c r="AJ22" s="235">
        <v>40299933.28569641</v>
      </c>
      <c r="AK22" s="235">
        <v>65174893.393990442</v>
      </c>
      <c r="AL22" s="235">
        <v>41048090.135852285</v>
      </c>
      <c r="AM22" s="235">
        <v>41777751.192592174</v>
      </c>
      <c r="AN22" s="235">
        <v>21699576.214001197</v>
      </c>
      <c r="AO22" s="235">
        <v>39663791.67580913</v>
      </c>
      <c r="AP22" s="235">
        <v>40492292.417009115</v>
      </c>
      <c r="AQ22" s="235">
        <v>50745911.989724882</v>
      </c>
      <c r="AR22" s="235">
        <v>32453141.633654237</v>
      </c>
      <c r="AS22" s="235">
        <v>25355516.333635379</v>
      </c>
      <c r="AT22" s="235">
        <v>20878390.534883909</v>
      </c>
      <c r="AU22" s="235">
        <v>54108702.266211413</v>
      </c>
      <c r="AV22" s="235">
        <v>16201646.769624773</v>
      </c>
      <c r="AW22" s="235">
        <v>7829843.0248696785</v>
      </c>
      <c r="AX22" s="235">
        <v>21699340.021960743</v>
      </c>
      <c r="AY22" s="235">
        <v>17738463.011880472</v>
      </c>
      <c r="AZ22" s="235">
        <v>0</v>
      </c>
      <c r="BA22" s="235">
        <v>26296368.267292239</v>
      </c>
      <c r="BB22" s="235">
        <v>10853055.073035788</v>
      </c>
      <c r="BC22" s="235">
        <v>36158917.186229102</v>
      </c>
      <c r="BD22" s="235">
        <v>45601081.736811675</v>
      </c>
      <c r="BE22" s="235">
        <v>3863188.0442567766</v>
      </c>
      <c r="BF22" s="235">
        <v>36717116.157061085</v>
      </c>
      <c r="BG22" s="235">
        <v>22180920.058483567</v>
      </c>
      <c r="BH22" s="235">
        <v>8303705.2702687103</v>
      </c>
      <c r="BI22" s="235">
        <v>48209980.934418842</v>
      </c>
      <c r="BJ22" s="235">
        <v>1356368</v>
      </c>
      <c r="BK22" s="235">
        <v>15729770.8142197</v>
      </c>
      <c r="BL22" s="235">
        <v>16406311.945168084</v>
      </c>
      <c r="BM22" s="235">
        <v>14074513.525933588</v>
      </c>
      <c r="BN22" s="235">
        <v>7264222.0094009163</v>
      </c>
      <c r="BO22" s="235">
        <v>37604994.321836479</v>
      </c>
      <c r="BP22" s="235">
        <v>135194.5</v>
      </c>
      <c r="BQ22" s="235">
        <v>28977256.065291736</v>
      </c>
      <c r="BR22" s="235">
        <v>0</v>
      </c>
      <c r="BS22" s="235">
        <v>10655006.413919814</v>
      </c>
      <c r="BT22" s="235">
        <v>0</v>
      </c>
      <c r="BU22" s="235">
        <v>0</v>
      </c>
      <c r="BV22" s="235">
        <v>19779220.915041603</v>
      </c>
      <c r="BW22" s="235">
        <v>4624129.155887261</v>
      </c>
      <c r="BX22" s="235">
        <v>9340931.1600324474</v>
      </c>
      <c r="BY22" s="235">
        <v>4442447.6670370372</v>
      </c>
      <c r="BZ22" s="235">
        <v>5412541.6441675965</v>
      </c>
      <c r="CA22" s="235">
        <v>7287931.3500042362</v>
      </c>
      <c r="CB22" s="235">
        <v>0</v>
      </c>
      <c r="CC22" s="235">
        <v>6383976.4332589041</v>
      </c>
      <c r="CD22" s="235">
        <v>5345217.702930782</v>
      </c>
      <c r="CE22" s="235">
        <v>35388195.648474522</v>
      </c>
      <c r="CF22" s="235">
        <v>8794528.374922445</v>
      </c>
      <c r="CG22" s="235">
        <v>13605602.223178789</v>
      </c>
      <c r="CH22" s="235">
        <v>26.24758067034838</v>
      </c>
      <c r="CI22" s="235">
        <v>3191675.3893209081</v>
      </c>
      <c r="CJ22" s="235">
        <v>50099444.77051267</v>
      </c>
      <c r="CK22" s="235">
        <v>2441793.3251212561</v>
      </c>
      <c r="CL22" s="235">
        <v>1611638.9853221551</v>
      </c>
      <c r="CM22" s="235">
        <v>3310767.3127557305</v>
      </c>
      <c r="CN22" s="235">
        <v>14186.35</v>
      </c>
      <c r="CO22" s="235">
        <v>15374809.152740719</v>
      </c>
      <c r="CP22" s="242"/>
      <c r="CQ22" s="237"/>
    </row>
    <row r="23" spans="1:95" x14ac:dyDescent="0.3">
      <c r="A23" s="257" t="s">
        <v>207</v>
      </c>
      <c r="B23" s="235">
        <v>159850244.96757382</v>
      </c>
      <c r="C23" s="235">
        <v>2052847.8309899711</v>
      </c>
      <c r="D23" s="235">
        <v>66400002.585092947</v>
      </c>
      <c r="E23" s="235">
        <v>158507142.74722487</v>
      </c>
      <c r="F23" s="235">
        <v>0</v>
      </c>
      <c r="G23" s="235">
        <v>6491405.9239621907</v>
      </c>
      <c r="H23" s="235">
        <v>5137207.5237543406</v>
      </c>
      <c r="I23" s="235">
        <v>111072792.9061373</v>
      </c>
      <c r="J23" s="235">
        <v>0</v>
      </c>
      <c r="K23" s="235">
        <v>130524150.94723733</v>
      </c>
      <c r="L23" s="235">
        <v>0</v>
      </c>
      <c r="M23" s="235">
        <v>0</v>
      </c>
      <c r="N23" s="235">
        <v>0</v>
      </c>
      <c r="O23" s="235">
        <v>31933310.924026016</v>
      </c>
      <c r="P23" s="235">
        <v>0</v>
      </c>
      <c r="Q23" s="235">
        <v>74029510.594027385</v>
      </c>
      <c r="R23" s="235">
        <v>0</v>
      </c>
      <c r="S23" s="235">
        <v>0</v>
      </c>
      <c r="T23" s="235">
        <v>0</v>
      </c>
      <c r="U23" s="235">
        <v>0</v>
      </c>
      <c r="V23" s="235">
        <v>0</v>
      </c>
      <c r="W23" s="235">
        <v>0</v>
      </c>
      <c r="X23" s="235">
        <v>26190696.096939094</v>
      </c>
      <c r="Y23" s="235">
        <v>0</v>
      </c>
      <c r="Z23" s="235">
        <v>0</v>
      </c>
      <c r="AA23" s="235">
        <v>23642430.383026544</v>
      </c>
      <c r="AB23" s="235">
        <v>1416547.1759911468</v>
      </c>
      <c r="AC23" s="235">
        <v>0</v>
      </c>
      <c r="AD23" s="235">
        <v>0</v>
      </c>
      <c r="AE23" s="235">
        <v>0</v>
      </c>
      <c r="AF23" s="235">
        <v>0</v>
      </c>
      <c r="AG23" s="235">
        <v>23807917.729636699</v>
      </c>
      <c r="AH23" s="235">
        <v>0</v>
      </c>
      <c r="AI23" s="235">
        <v>19758536.224180467</v>
      </c>
      <c r="AJ23" s="235">
        <v>147867.92938933941</v>
      </c>
      <c r="AK23" s="235">
        <v>0</v>
      </c>
      <c r="AL23" s="235">
        <v>24238587.06802563</v>
      </c>
      <c r="AM23" s="235">
        <v>0</v>
      </c>
      <c r="AN23" s="235">
        <v>0</v>
      </c>
      <c r="AO23" s="235">
        <v>0</v>
      </c>
      <c r="AP23" s="235">
        <v>0</v>
      </c>
      <c r="AQ23" s="235">
        <v>25236522.779186998</v>
      </c>
      <c r="AR23" s="235">
        <v>79300004.989052877</v>
      </c>
      <c r="AS23" s="235">
        <v>0</v>
      </c>
      <c r="AT23" s="235">
        <v>0</v>
      </c>
      <c r="AU23" s="235">
        <v>13887561.089855516</v>
      </c>
      <c r="AV23" s="235">
        <v>5400530.6474863617</v>
      </c>
      <c r="AW23" s="235">
        <v>0</v>
      </c>
      <c r="AX23" s="235">
        <v>29542517.430076022</v>
      </c>
      <c r="AY23" s="235">
        <v>1376019.4007151453</v>
      </c>
      <c r="AZ23" s="235">
        <v>0</v>
      </c>
      <c r="BA23" s="235">
        <v>0</v>
      </c>
      <c r="BB23" s="235">
        <v>9796736.579525074</v>
      </c>
      <c r="BC23" s="235">
        <v>0</v>
      </c>
      <c r="BD23" s="235">
        <v>0</v>
      </c>
      <c r="BE23" s="235">
        <v>0</v>
      </c>
      <c r="BF23" s="235">
        <v>10896599.671186695</v>
      </c>
      <c r="BG23" s="235">
        <v>0</v>
      </c>
      <c r="BH23" s="235">
        <v>4169106.1675796611</v>
      </c>
      <c r="BI23" s="235">
        <v>2868746.2819424155</v>
      </c>
      <c r="BJ23" s="235">
        <v>3390.55</v>
      </c>
      <c r="BK23" s="235">
        <v>0</v>
      </c>
      <c r="BL23" s="235">
        <v>2637546.3384615523</v>
      </c>
      <c r="BM23" s="235">
        <v>0</v>
      </c>
      <c r="BN23" s="235">
        <v>0</v>
      </c>
      <c r="BO23" s="235">
        <v>0</v>
      </c>
      <c r="BP23" s="235">
        <v>66592.149999999994</v>
      </c>
      <c r="BQ23" s="235">
        <v>9496271.2943352889</v>
      </c>
      <c r="BR23" s="235">
        <v>0</v>
      </c>
      <c r="BS23" s="235">
        <v>2823012.4891172289</v>
      </c>
      <c r="BT23" s="235">
        <v>0</v>
      </c>
      <c r="BU23" s="235">
        <v>0</v>
      </c>
      <c r="BV23" s="235">
        <v>0</v>
      </c>
      <c r="BW23" s="235">
        <v>8587571.9583265074</v>
      </c>
      <c r="BX23" s="235">
        <v>0</v>
      </c>
      <c r="BY23" s="235">
        <v>0</v>
      </c>
      <c r="BZ23" s="235">
        <v>4114956.3555922713</v>
      </c>
      <c r="CA23" s="235">
        <v>6301884.4608650086</v>
      </c>
      <c r="CB23" s="235">
        <v>0</v>
      </c>
      <c r="CC23" s="235">
        <v>0</v>
      </c>
      <c r="CD23" s="235">
        <v>10225751.253777167</v>
      </c>
      <c r="CE23" s="235">
        <v>0</v>
      </c>
      <c r="CF23" s="235">
        <v>492376.44367076864</v>
      </c>
      <c r="CG23" s="235">
        <v>5333103.4897044171</v>
      </c>
      <c r="CH23" s="235">
        <v>0</v>
      </c>
      <c r="CI23" s="235">
        <v>449546.51716262416</v>
      </c>
      <c r="CJ23" s="235">
        <v>0</v>
      </c>
      <c r="CK23" s="235">
        <v>0</v>
      </c>
      <c r="CL23" s="235">
        <v>1719142.6164131891</v>
      </c>
      <c r="CM23" s="235">
        <v>3027860.2687667231</v>
      </c>
      <c r="CN23" s="235">
        <v>8196.6</v>
      </c>
      <c r="CO23" s="235">
        <v>21384727.232911061</v>
      </c>
      <c r="CP23" s="242"/>
      <c r="CQ23" s="237"/>
    </row>
    <row r="24" spans="1:95" x14ac:dyDescent="0.3">
      <c r="A24" s="257" t="s">
        <v>2</v>
      </c>
      <c r="B24" s="235">
        <v>23007884.959080726</v>
      </c>
      <c r="C24" s="235">
        <v>20026929.615333546</v>
      </c>
      <c r="D24" s="235">
        <v>6370533.4892409751</v>
      </c>
      <c r="E24" s="235">
        <v>501980.64074163546</v>
      </c>
      <c r="F24" s="235">
        <v>25386545.924897138</v>
      </c>
      <c r="G24" s="235">
        <v>476589.35622264358</v>
      </c>
      <c r="H24" s="235">
        <v>2892153.9933799696</v>
      </c>
      <c r="I24" s="235">
        <v>32277026.28241295</v>
      </c>
      <c r="J24" s="235">
        <v>1133754.1458792491</v>
      </c>
      <c r="K24" s="235">
        <v>3552637.3898814968</v>
      </c>
      <c r="L24" s="235">
        <v>2296533.312026592</v>
      </c>
      <c r="M24" s="235">
        <v>19356830.021507639</v>
      </c>
      <c r="N24" s="235">
        <v>10578572.965439579</v>
      </c>
      <c r="O24" s="235">
        <v>18879770.393649593</v>
      </c>
      <c r="P24" s="235">
        <v>6830316.2896553976</v>
      </c>
      <c r="Q24" s="235">
        <v>4062814.1952241445</v>
      </c>
      <c r="R24" s="235">
        <v>892395.27405781252</v>
      </c>
      <c r="S24" s="235">
        <v>10333155.845181949</v>
      </c>
      <c r="T24" s="235">
        <v>3057255.7752573397</v>
      </c>
      <c r="U24" s="235">
        <v>26434940.237193551</v>
      </c>
      <c r="V24" s="235">
        <v>13553440.97271347</v>
      </c>
      <c r="W24" s="235">
        <v>0</v>
      </c>
      <c r="X24" s="235">
        <v>2545203.6388989021</v>
      </c>
      <c r="Y24" s="235">
        <v>2871124.111430496</v>
      </c>
      <c r="Z24" s="235">
        <v>6564743.3520611012</v>
      </c>
      <c r="AA24" s="235">
        <v>7175152.7900415314</v>
      </c>
      <c r="AB24" s="235">
        <v>2428346.8902354133</v>
      </c>
      <c r="AC24" s="235">
        <v>7768879.8373432914</v>
      </c>
      <c r="AD24" s="235">
        <v>2132732.8601239417</v>
      </c>
      <c r="AE24" s="235">
        <v>1283868.8342046279</v>
      </c>
      <c r="AF24" s="235">
        <v>9176398.6652826462</v>
      </c>
      <c r="AG24" s="235">
        <v>14383855.639980398</v>
      </c>
      <c r="AH24" s="235">
        <v>7327918.2399723139</v>
      </c>
      <c r="AI24" s="235">
        <v>2215063.2548837322</v>
      </c>
      <c r="AJ24" s="235">
        <v>3498781.6972013633</v>
      </c>
      <c r="AK24" s="235">
        <v>5273873.3735709265</v>
      </c>
      <c r="AL24" s="235">
        <v>1309229.773506006</v>
      </c>
      <c r="AM24" s="235">
        <v>0</v>
      </c>
      <c r="AN24" s="235">
        <v>1866374.6133207348</v>
      </c>
      <c r="AO24" s="235">
        <v>1320991.6807771227</v>
      </c>
      <c r="AP24" s="235">
        <v>414898.66440255591</v>
      </c>
      <c r="AQ24" s="235">
        <v>1387444.7369067909</v>
      </c>
      <c r="AR24" s="235">
        <v>436928.82107065315</v>
      </c>
      <c r="AS24" s="235">
        <v>13583304.837857295</v>
      </c>
      <c r="AT24" s="235">
        <v>1610105.6314865113</v>
      </c>
      <c r="AU24" s="235">
        <v>407879.56808144611</v>
      </c>
      <c r="AV24" s="235">
        <v>3600390.3164346991</v>
      </c>
      <c r="AW24" s="235">
        <v>0</v>
      </c>
      <c r="AX24" s="235">
        <v>261466.74081107823</v>
      </c>
      <c r="AY24" s="235">
        <v>374623.08291721233</v>
      </c>
      <c r="AZ24" s="235">
        <v>0</v>
      </c>
      <c r="BA24" s="235">
        <v>0</v>
      </c>
      <c r="BB24" s="235">
        <v>11970254.42651118</v>
      </c>
      <c r="BC24" s="235">
        <v>62556127.824334331</v>
      </c>
      <c r="BD24" s="235">
        <v>2504470.5315607893</v>
      </c>
      <c r="BE24" s="235">
        <v>392812.65768825181</v>
      </c>
      <c r="BF24" s="235">
        <v>2618954.0160092227</v>
      </c>
      <c r="BG24" s="235">
        <v>292401.18580161891</v>
      </c>
      <c r="BH24" s="235">
        <v>1666806.6557715381</v>
      </c>
      <c r="BI24" s="235">
        <v>7588697.9409367936</v>
      </c>
      <c r="BJ24" s="235">
        <v>113596.3</v>
      </c>
      <c r="BK24" s="235">
        <v>2474252.6801992455</v>
      </c>
      <c r="BL24" s="235">
        <v>9068484.6209107842</v>
      </c>
      <c r="BM24" s="235">
        <v>1231516.7055974402</v>
      </c>
      <c r="BN24" s="235">
        <v>35364.298645146955</v>
      </c>
      <c r="BO24" s="235">
        <v>0</v>
      </c>
      <c r="BP24" s="235">
        <v>7789.05</v>
      </c>
      <c r="BQ24" s="235">
        <v>4418527.2310689697</v>
      </c>
      <c r="BR24" s="235">
        <v>0</v>
      </c>
      <c r="BS24" s="235">
        <v>4202103.1624899944</v>
      </c>
      <c r="BT24" s="235">
        <v>0</v>
      </c>
      <c r="BU24" s="235">
        <v>0</v>
      </c>
      <c r="BV24" s="235">
        <v>712495.74064170755</v>
      </c>
      <c r="BW24" s="235">
        <v>4083649.4507326842</v>
      </c>
      <c r="BX24" s="235">
        <v>8256.7306802620387</v>
      </c>
      <c r="BY24" s="235">
        <v>1724863.0754814814</v>
      </c>
      <c r="BZ24" s="235">
        <v>9103960.9157893751</v>
      </c>
      <c r="CA24" s="235">
        <v>298866.62370598631</v>
      </c>
      <c r="CB24" s="235">
        <v>0</v>
      </c>
      <c r="CC24" s="235">
        <v>37923.407083864578</v>
      </c>
      <c r="CD24" s="235">
        <v>573130.45355535182</v>
      </c>
      <c r="CE24" s="235">
        <v>13953702.543250298</v>
      </c>
      <c r="CF24" s="235">
        <v>732419.76565152581</v>
      </c>
      <c r="CG24" s="235">
        <v>0</v>
      </c>
      <c r="CH24" s="235">
        <v>5.1656904596504845</v>
      </c>
      <c r="CI24" s="235">
        <v>224748.28654947327</v>
      </c>
      <c r="CJ24" s="235">
        <v>0</v>
      </c>
      <c r="CK24" s="235">
        <v>0</v>
      </c>
      <c r="CL24" s="235">
        <v>3760534.5600870927</v>
      </c>
      <c r="CM24" s="235">
        <v>1955545.5137232547</v>
      </c>
      <c r="CN24" s="235">
        <v>18442.349999999999</v>
      </c>
      <c r="CO24" s="235">
        <v>6489970.9033152601</v>
      </c>
      <c r="CP24" s="242"/>
      <c r="CQ24" s="237"/>
    </row>
    <row r="25" spans="1:95" x14ac:dyDescent="0.3">
      <c r="A25" s="257" t="s">
        <v>208</v>
      </c>
      <c r="B25" s="235">
        <v>2219778.91090078</v>
      </c>
      <c r="C25" s="235">
        <v>3251865.3393530934</v>
      </c>
      <c r="D25" s="235">
        <v>4247063.4846624592</v>
      </c>
      <c r="E25" s="235">
        <v>513153.08771466359</v>
      </c>
      <c r="F25" s="235">
        <v>4406863.1798053328</v>
      </c>
      <c r="G25" s="235">
        <v>16346892.640357133</v>
      </c>
      <c r="H25" s="235">
        <v>3734377.9015282118</v>
      </c>
      <c r="I25" s="235">
        <v>23595127.171398852</v>
      </c>
      <c r="J25" s="235">
        <v>6740697.1866939515</v>
      </c>
      <c r="K25" s="235">
        <v>4004133.4654998379</v>
      </c>
      <c r="L25" s="235">
        <v>1345906.9798493122</v>
      </c>
      <c r="M25" s="235">
        <v>18567364.267073821</v>
      </c>
      <c r="N25" s="235">
        <v>14638310.297030278</v>
      </c>
      <c r="O25" s="235">
        <v>3446782.7146455776</v>
      </c>
      <c r="P25" s="235">
        <v>3379023.4393244302</v>
      </c>
      <c r="Q25" s="235">
        <v>11916726.998532828</v>
      </c>
      <c r="R25" s="235">
        <v>4801385.3404555237</v>
      </c>
      <c r="S25" s="235">
        <v>5288904.4360063653</v>
      </c>
      <c r="T25" s="235">
        <v>7853692.9817367755</v>
      </c>
      <c r="U25" s="235">
        <v>10018290.843681917</v>
      </c>
      <c r="V25" s="235">
        <v>0</v>
      </c>
      <c r="W25" s="235">
        <v>2529286.1801099842</v>
      </c>
      <c r="X25" s="235">
        <v>1375570.6856611059</v>
      </c>
      <c r="Y25" s="235">
        <v>1498581.552979761</v>
      </c>
      <c r="Z25" s="235">
        <v>5895157.4155848995</v>
      </c>
      <c r="AA25" s="235">
        <v>2573176.5557180769</v>
      </c>
      <c r="AB25" s="235">
        <v>3642520.3353531198</v>
      </c>
      <c r="AC25" s="235">
        <v>3342550.0346893193</v>
      </c>
      <c r="AD25" s="235">
        <v>3199182.3793576481</v>
      </c>
      <c r="AE25" s="235">
        <v>2057743.0618910459</v>
      </c>
      <c r="AF25" s="235">
        <v>9462778.6258722208</v>
      </c>
      <c r="AG25" s="235">
        <v>6164481.9402930886</v>
      </c>
      <c r="AH25" s="235">
        <v>3663971.6468988745</v>
      </c>
      <c r="AI25" s="235">
        <v>566924.0731849157</v>
      </c>
      <c r="AJ25" s="235">
        <v>3005324.5490367631</v>
      </c>
      <c r="AK25" s="235">
        <v>3849426.703526027</v>
      </c>
      <c r="AL25" s="235">
        <v>521044.71814540593</v>
      </c>
      <c r="AM25" s="235">
        <v>11223248.79748806</v>
      </c>
      <c r="AN25" s="235">
        <v>3846293.5805258201</v>
      </c>
      <c r="AO25" s="235">
        <v>0</v>
      </c>
      <c r="AP25" s="235">
        <v>2517812.5977533259</v>
      </c>
      <c r="AQ25" s="235">
        <v>391534.00705848029</v>
      </c>
      <c r="AR25" s="235">
        <v>1603291.1133011</v>
      </c>
      <c r="AS25" s="235">
        <v>0</v>
      </c>
      <c r="AT25" s="235">
        <v>0</v>
      </c>
      <c r="AU25" s="235">
        <v>2139366.5788554526</v>
      </c>
      <c r="AV25" s="235">
        <v>3240340.3193580918</v>
      </c>
      <c r="AW25" s="235">
        <v>718960.51677534764</v>
      </c>
      <c r="AX25" s="235">
        <v>196081.30978519341</v>
      </c>
      <c r="AY25" s="235">
        <v>2430247.1789244805</v>
      </c>
      <c r="AZ25" s="235">
        <v>0</v>
      </c>
      <c r="BA25" s="235">
        <v>8348064.1654977174</v>
      </c>
      <c r="BB25" s="235">
        <v>7033111.4321133746</v>
      </c>
      <c r="BC25" s="235">
        <v>6194217.3326598778</v>
      </c>
      <c r="BD25" s="235">
        <v>1157497.6813781071</v>
      </c>
      <c r="BE25" s="235">
        <v>294370.8836211536</v>
      </c>
      <c r="BF25" s="235">
        <v>1813273.6885424491</v>
      </c>
      <c r="BG25" s="235">
        <v>2505771.8859159001</v>
      </c>
      <c r="BH25" s="235">
        <v>3018751.2696173228</v>
      </c>
      <c r="BI25" s="235">
        <v>5754613.2745672278</v>
      </c>
      <c r="BJ25" s="235">
        <v>169546.5</v>
      </c>
      <c r="BK25" s="235">
        <v>1170088.4225898744</v>
      </c>
      <c r="BL25" s="235">
        <v>2146125.965743422</v>
      </c>
      <c r="BM25" s="235">
        <v>1759316.6737584283</v>
      </c>
      <c r="BN25" s="235">
        <v>68869.618750654496</v>
      </c>
      <c r="BO25" s="235">
        <v>6447850.7006892432</v>
      </c>
      <c r="BP25" s="235">
        <v>0</v>
      </c>
      <c r="BQ25" s="235">
        <v>3778255.711596176</v>
      </c>
      <c r="BR25" s="235">
        <v>0</v>
      </c>
      <c r="BS25" s="235">
        <v>3619929.3021496856</v>
      </c>
      <c r="BT25" s="235">
        <v>0</v>
      </c>
      <c r="BU25" s="235">
        <v>0</v>
      </c>
      <c r="BV25" s="235">
        <v>976783.94422193314</v>
      </c>
      <c r="BW25" s="235">
        <v>1839341.8037559539</v>
      </c>
      <c r="BX25" s="235">
        <v>162786.03243396623</v>
      </c>
      <c r="BY25" s="235">
        <v>1950321.3858148148</v>
      </c>
      <c r="BZ25" s="235">
        <v>5026708.6003957447</v>
      </c>
      <c r="CA25" s="235">
        <v>211162.08006175494</v>
      </c>
      <c r="CB25" s="235">
        <v>0</v>
      </c>
      <c r="CC25" s="235">
        <v>204713.35156185643</v>
      </c>
      <c r="CD25" s="235">
        <v>1976482.5926456086</v>
      </c>
      <c r="CE25" s="235">
        <v>6903031.4204355059</v>
      </c>
      <c r="CF25" s="235">
        <v>511987.8261855364</v>
      </c>
      <c r="CG25" s="235">
        <v>2393708.2459344659</v>
      </c>
      <c r="CH25" s="235">
        <v>2.5555169633783112</v>
      </c>
      <c r="CI25" s="235">
        <v>89899.314619789307</v>
      </c>
      <c r="CJ25" s="235">
        <v>495521.43268735195</v>
      </c>
      <c r="CK25" s="235">
        <v>472867.37604092457</v>
      </c>
      <c r="CL25" s="235">
        <v>1934019.0955890631</v>
      </c>
      <c r="CM25" s="235">
        <v>1973519.277636152</v>
      </c>
      <c r="CN25" s="235">
        <v>22541.599999999999</v>
      </c>
      <c r="CO25" s="235">
        <v>2327454.4061112092</v>
      </c>
      <c r="CP25" s="242"/>
      <c r="CQ25" s="237"/>
    </row>
    <row r="26" spans="1:95" x14ac:dyDescent="0.3">
      <c r="A26" s="257" t="s">
        <v>209</v>
      </c>
      <c r="B26" s="235">
        <v>112870577.26952657</v>
      </c>
      <c r="C26" s="235">
        <v>59106012.470627308</v>
      </c>
      <c r="D26" s="235">
        <v>31852667.446204878</v>
      </c>
      <c r="E26" s="235">
        <v>15151397.041515388</v>
      </c>
      <c r="F26" s="235">
        <v>154521716.87341323</v>
      </c>
      <c r="G26" s="235">
        <v>18893396.894069452</v>
      </c>
      <c r="H26" s="235">
        <v>55455380.303990804</v>
      </c>
      <c r="I26" s="235">
        <v>40626195.859393477</v>
      </c>
      <c r="J26" s="235">
        <v>22081014.480807461</v>
      </c>
      <c r="K26" s="235">
        <v>0</v>
      </c>
      <c r="L26" s="235">
        <v>158339.69101727742</v>
      </c>
      <c r="M26" s="235">
        <v>11057217.296220586</v>
      </c>
      <c r="N26" s="235">
        <v>42348899.458683349</v>
      </c>
      <c r="O26" s="235">
        <v>23605418.038862199</v>
      </c>
      <c r="P26" s="235">
        <v>6107015.1736675389</v>
      </c>
      <c r="Q26" s="235">
        <v>5319179.1599303288</v>
      </c>
      <c r="R26" s="235">
        <v>9553581.95030207</v>
      </c>
      <c r="S26" s="235">
        <v>51625703.679181278</v>
      </c>
      <c r="T26" s="235">
        <v>4611962.375899612</v>
      </c>
      <c r="U26" s="235">
        <v>32835937.067804161</v>
      </c>
      <c r="V26" s="235">
        <v>14932225.306597542</v>
      </c>
      <c r="W26" s="235">
        <v>35909601.034324586</v>
      </c>
      <c r="X26" s="235">
        <v>24043787.279017575</v>
      </c>
      <c r="Y26" s="235">
        <v>2871095.4205598999</v>
      </c>
      <c r="Z26" s="235">
        <v>23502446.643733073</v>
      </c>
      <c r="AA26" s="235">
        <v>5652028.5791281033</v>
      </c>
      <c r="AB26" s="235">
        <v>4249641.5279734405</v>
      </c>
      <c r="AC26" s="235">
        <v>26876943.754102308</v>
      </c>
      <c r="AD26" s="235">
        <v>3778729.3522174153</v>
      </c>
      <c r="AE26" s="235">
        <v>5722985.0380260274</v>
      </c>
      <c r="AF26" s="235">
        <v>6390299.7137629585</v>
      </c>
      <c r="AG26" s="235">
        <v>7502476.8051270461</v>
      </c>
      <c r="AH26" s="235">
        <v>6961506.042987166</v>
      </c>
      <c r="AI26" s="235">
        <v>2213636.5145333861</v>
      </c>
      <c r="AJ26" s="235">
        <v>1591858.135974407</v>
      </c>
      <c r="AK26" s="235">
        <v>10816504.307537435</v>
      </c>
      <c r="AL26" s="235">
        <v>46616876.621607088</v>
      </c>
      <c r="AM26" s="235">
        <v>45974028.938303247</v>
      </c>
      <c r="AN26" s="235">
        <v>3788921.9990005447</v>
      </c>
      <c r="AO26" s="235">
        <v>3376771.9354294953</v>
      </c>
      <c r="AP26" s="235">
        <v>387111.97004608222</v>
      </c>
      <c r="AQ26" s="235">
        <v>3288770.6713302773</v>
      </c>
      <c r="AR26" s="235">
        <v>5581686.7461612355</v>
      </c>
      <c r="AS26" s="235">
        <v>3622228.5930637084</v>
      </c>
      <c r="AT26" s="235">
        <v>2433342.8579931762</v>
      </c>
      <c r="AU26" s="235">
        <v>19618153.399193443</v>
      </c>
      <c r="AV26" s="235">
        <v>7200725.8057037098</v>
      </c>
      <c r="AW26" s="235">
        <v>0</v>
      </c>
      <c r="AX26" s="235">
        <v>11568647.31074149</v>
      </c>
      <c r="AY26" s="235">
        <v>261530.73797405546</v>
      </c>
      <c r="AZ26" s="235">
        <v>0</v>
      </c>
      <c r="BA26" s="235">
        <v>0</v>
      </c>
      <c r="BB26" s="235">
        <v>12719932.595291611</v>
      </c>
      <c r="BC26" s="235">
        <v>4003357.2501529115</v>
      </c>
      <c r="BD26" s="235">
        <v>1846246.8351348846</v>
      </c>
      <c r="BE26" s="235">
        <v>0</v>
      </c>
      <c r="BF26" s="235">
        <v>5218091.3719816348</v>
      </c>
      <c r="BG26" s="235">
        <v>0</v>
      </c>
      <c r="BH26" s="235">
        <v>935312.60084126052</v>
      </c>
      <c r="BI26" s="235">
        <v>12463763.238713687</v>
      </c>
      <c r="BJ26" s="235">
        <v>50863.95</v>
      </c>
      <c r="BK26" s="235">
        <v>1407334.9976301077</v>
      </c>
      <c r="BL26" s="235">
        <v>13602659.298504531</v>
      </c>
      <c r="BM26" s="235">
        <v>510200.34557990631</v>
      </c>
      <c r="BN26" s="235">
        <v>17648.641088708508</v>
      </c>
      <c r="BO26" s="235">
        <v>6678597.3139998186</v>
      </c>
      <c r="BP26" s="235">
        <v>52540.7</v>
      </c>
      <c r="BQ26" s="235">
        <v>2511588.1129558957</v>
      </c>
      <c r="BR26" s="235">
        <v>0</v>
      </c>
      <c r="BS26" s="235">
        <v>3414135.3333415915</v>
      </c>
      <c r="BT26" s="235">
        <v>0</v>
      </c>
      <c r="BU26" s="235">
        <v>0</v>
      </c>
      <c r="BV26" s="235">
        <v>4076352.3877807367</v>
      </c>
      <c r="BW26" s="235">
        <v>3603160.5166833531</v>
      </c>
      <c r="BX26" s="235">
        <v>4954.0384081572229</v>
      </c>
      <c r="BY26" s="235">
        <v>990959.13955555554</v>
      </c>
      <c r="BZ26" s="235">
        <v>6412220.3068256062</v>
      </c>
      <c r="CA26" s="235">
        <v>611350.36198808206</v>
      </c>
      <c r="CB26" s="235">
        <v>0</v>
      </c>
      <c r="CC26" s="235">
        <v>803696.21786238195</v>
      </c>
      <c r="CD26" s="235">
        <v>0</v>
      </c>
      <c r="CE26" s="235">
        <v>12476065.462668667</v>
      </c>
      <c r="CF26" s="235">
        <v>0</v>
      </c>
      <c r="CG26" s="235">
        <v>0</v>
      </c>
      <c r="CH26" s="235">
        <v>4.6186660590423045</v>
      </c>
      <c r="CI26" s="235">
        <v>449546.51716262416</v>
      </c>
      <c r="CJ26" s="235">
        <v>52932.444514974493</v>
      </c>
      <c r="CK26" s="235">
        <v>32294.078542777337</v>
      </c>
      <c r="CL26" s="235">
        <v>1504266.1372373146</v>
      </c>
      <c r="CM26" s="235">
        <v>1875023.0513934735</v>
      </c>
      <c r="CN26" s="235">
        <v>12294.9</v>
      </c>
      <c r="CO26" s="235">
        <v>5112295.4585940409</v>
      </c>
      <c r="CP26" s="242"/>
      <c r="CQ26" s="237"/>
    </row>
    <row r="27" spans="1:95" x14ac:dyDescent="0.3">
      <c r="A27" s="257" t="s">
        <v>210</v>
      </c>
      <c r="B27" s="235">
        <v>7274079.3251500232</v>
      </c>
      <c r="C27" s="235">
        <v>0</v>
      </c>
      <c r="D27" s="235">
        <v>21235132.210054155</v>
      </c>
      <c r="E27" s="235">
        <v>0</v>
      </c>
      <c r="F27" s="235">
        <v>1025825.4194697209</v>
      </c>
      <c r="G27" s="235">
        <v>0</v>
      </c>
      <c r="H27" s="235">
        <v>18868781.854308706</v>
      </c>
      <c r="I27" s="235">
        <v>0</v>
      </c>
      <c r="J27" s="235">
        <v>0</v>
      </c>
      <c r="K27" s="235">
        <v>50274431.7070188</v>
      </c>
      <c r="L27" s="235">
        <v>0</v>
      </c>
      <c r="M27" s="235">
        <v>20428790.520966336</v>
      </c>
      <c r="N27" s="235">
        <v>0</v>
      </c>
      <c r="O27" s="235">
        <v>153642.81210211871</v>
      </c>
      <c r="P27" s="235">
        <v>0</v>
      </c>
      <c r="Q27" s="235">
        <v>0</v>
      </c>
      <c r="R27" s="235">
        <v>0</v>
      </c>
      <c r="S27" s="235">
        <v>1947472.2610018458</v>
      </c>
      <c r="T27" s="235">
        <v>0</v>
      </c>
      <c r="U27" s="235">
        <v>2490114.9322411674</v>
      </c>
      <c r="V27" s="235">
        <v>0</v>
      </c>
      <c r="W27" s="235">
        <v>0</v>
      </c>
      <c r="X27" s="235">
        <v>2142983.1630530669</v>
      </c>
      <c r="Y27" s="235">
        <v>1498581.552979761</v>
      </c>
      <c r="Z27" s="235">
        <v>7486698.0231141159</v>
      </c>
      <c r="AA27" s="235">
        <v>4868.411096129832</v>
      </c>
      <c r="AB27" s="235">
        <v>1011799.7142442665</v>
      </c>
      <c r="AC27" s="235">
        <v>0</v>
      </c>
      <c r="AD27" s="235">
        <v>2519180.5978688556</v>
      </c>
      <c r="AE27" s="235">
        <v>4085.5014612716873</v>
      </c>
      <c r="AF27" s="235">
        <v>6374199.0628929827</v>
      </c>
      <c r="AG27" s="235">
        <v>0</v>
      </c>
      <c r="AH27" s="235">
        <v>0</v>
      </c>
      <c r="AI27" s="235">
        <v>0</v>
      </c>
      <c r="AJ27" s="235">
        <v>23234.529397884759</v>
      </c>
      <c r="AK27" s="235">
        <v>0</v>
      </c>
      <c r="AL27" s="235">
        <v>18323083.093244702</v>
      </c>
      <c r="AM27" s="235">
        <v>0</v>
      </c>
      <c r="AN27" s="235">
        <v>47952.366647990988</v>
      </c>
      <c r="AO27" s="235">
        <v>0</v>
      </c>
      <c r="AP27" s="235">
        <v>31590.196245572759</v>
      </c>
      <c r="AQ27" s="235">
        <v>0</v>
      </c>
      <c r="AR27" s="235">
        <v>0</v>
      </c>
      <c r="AS27" s="235">
        <v>0</v>
      </c>
      <c r="AT27" s="235">
        <v>0</v>
      </c>
      <c r="AU27" s="235">
        <v>0</v>
      </c>
      <c r="AV27" s="235">
        <v>0</v>
      </c>
      <c r="AW27" s="235">
        <v>0</v>
      </c>
      <c r="AX27" s="235">
        <v>0</v>
      </c>
      <c r="AY27" s="235">
        <v>2612530.7262814329</v>
      </c>
      <c r="AZ27" s="235">
        <v>0</v>
      </c>
      <c r="BA27" s="235">
        <v>0</v>
      </c>
      <c r="BB27" s="235">
        <v>10411033.603943313</v>
      </c>
      <c r="BC27" s="235">
        <v>0</v>
      </c>
      <c r="BD27" s="235">
        <v>53740.610964384243</v>
      </c>
      <c r="BE27" s="235">
        <v>0</v>
      </c>
      <c r="BF27" s="235">
        <v>0</v>
      </c>
      <c r="BG27" s="235">
        <v>0</v>
      </c>
      <c r="BH27" s="235">
        <v>0</v>
      </c>
      <c r="BI27" s="235">
        <v>0</v>
      </c>
      <c r="BJ27" s="235">
        <v>0</v>
      </c>
      <c r="BK27" s="235">
        <v>0</v>
      </c>
      <c r="BL27" s="235">
        <v>1110937.3853933397</v>
      </c>
      <c r="BM27" s="235">
        <v>0</v>
      </c>
      <c r="BN27" s="235">
        <v>0</v>
      </c>
      <c r="BO27" s="235">
        <v>0</v>
      </c>
      <c r="BP27" s="235">
        <v>0</v>
      </c>
      <c r="BQ27" s="235">
        <v>10421122.757762128</v>
      </c>
      <c r="BR27" s="235">
        <v>0</v>
      </c>
      <c r="BS27" s="235">
        <v>0</v>
      </c>
      <c r="BT27" s="235">
        <v>0</v>
      </c>
      <c r="BU27" s="235">
        <v>0</v>
      </c>
      <c r="BV27" s="235">
        <v>0</v>
      </c>
      <c r="BW27" s="235">
        <v>0</v>
      </c>
      <c r="BX27" s="235">
        <v>0</v>
      </c>
      <c r="BY27" s="235">
        <v>0</v>
      </c>
      <c r="BZ27" s="235">
        <v>0</v>
      </c>
      <c r="CA27" s="235">
        <v>0</v>
      </c>
      <c r="CB27" s="235">
        <v>0</v>
      </c>
      <c r="CC27" s="235">
        <v>0</v>
      </c>
      <c r="CD27" s="235">
        <v>0</v>
      </c>
      <c r="CE27" s="235">
        <v>0</v>
      </c>
      <c r="CF27" s="235">
        <v>0</v>
      </c>
      <c r="CG27" s="235">
        <v>0</v>
      </c>
      <c r="CH27" s="235">
        <v>0</v>
      </c>
      <c r="CI27" s="235">
        <v>78262.347782894343</v>
      </c>
      <c r="CJ27" s="235">
        <v>0</v>
      </c>
      <c r="CK27" s="235">
        <v>0</v>
      </c>
      <c r="CL27" s="235">
        <v>0</v>
      </c>
      <c r="CM27" s="235">
        <v>0</v>
      </c>
      <c r="CN27" s="235">
        <v>0</v>
      </c>
      <c r="CO27" s="235">
        <v>4403.5085082943415</v>
      </c>
      <c r="CP27" s="242"/>
      <c r="CQ27" s="237"/>
    </row>
    <row r="28" spans="1:95" x14ac:dyDescent="0.3">
      <c r="A28" s="257" t="s">
        <v>211</v>
      </c>
      <c r="B28" s="235">
        <v>63803730.56024836</v>
      </c>
      <c r="C28" s="235">
        <v>25064040.421200033</v>
      </c>
      <c r="D28" s="235">
        <v>37585202.998905241</v>
      </c>
      <c r="E28" s="235">
        <v>250470.6716743978</v>
      </c>
      <c r="F28" s="235">
        <v>36409915.542154513</v>
      </c>
      <c r="G28" s="235">
        <v>2877203.2115867049</v>
      </c>
      <c r="H28" s="235">
        <v>234039.27869270986</v>
      </c>
      <c r="I28" s="235">
        <v>751906.0090515276</v>
      </c>
      <c r="J28" s="235">
        <v>543235.62423559756</v>
      </c>
      <c r="K28" s="235">
        <v>4743693.4435309228</v>
      </c>
      <c r="L28" s="235">
        <v>167319.33174113987</v>
      </c>
      <c r="M28" s="235">
        <v>16197654.680995964</v>
      </c>
      <c r="N28" s="235">
        <v>1964797.3424043721</v>
      </c>
      <c r="O28" s="235">
        <v>1457639.4574528155</v>
      </c>
      <c r="P28" s="235">
        <v>18888.596058526782</v>
      </c>
      <c r="Q28" s="235">
        <v>14433292.437719084</v>
      </c>
      <c r="R28" s="235">
        <v>450100.43644794961</v>
      </c>
      <c r="S28" s="235">
        <v>23107503.297917478</v>
      </c>
      <c r="T28" s="235">
        <v>142791.64174660714</v>
      </c>
      <c r="U28" s="235">
        <v>3456253.3542053942</v>
      </c>
      <c r="V28" s="235">
        <v>0</v>
      </c>
      <c r="W28" s="235">
        <v>195597.73172606606</v>
      </c>
      <c r="X28" s="235">
        <v>184930.17393808774</v>
      </c>
      <c r="Y28" s="235">
        <v>0</v>
      </c>
      <c r="Z28" s="235">
        <v>247371.33389212174</v>
      </c>
      <c r="AA28" s="235">
        <v>22129141.346044693</v>
      </c>
      <c r="AB28" s="235">
        <v>0</v>
      </c>
      <c r="AC28" s="235">
        <v>3015640.1822998086</v>
      </c>
      <c r="AD28" s="235">
        <v>8046438.480102174</v>
      </c>
      <c r="AE28" s="235">
        <v>408550.14612716873</v>
      </c>
      <c r="AF28" s="235">
        <v>0</v>
      </c>
      <c r="AG28" s="235">
        <v>25912497.326652814</v>
      </c>
      <c r="AH28" s="235">
        <v>366362.0893342786</v>
      </c>
      <c r="AI28" s="235">
        <v>0</v>
      </c>
      <c r="AJ28" s="235">
        <v>22900459.819735341</v>
      </c>
      <c r="AK28" s="235">
        <v>1030395.3145912938</v>
      </c>
      <c r="AL28" s="235">
        <v>5065820.1469254708</v>
      </c>
      <c r="AM28" s="235">
        <v>3064187.3911384726</v>
      </c>
      <c r="AN28" s="235">
        <v>4795.2366647990993</v>
      </c>
      <c r="AO28" s="235">
        <v>280398.00912051433</v>
      </c>
      <c r="AP28" s="235">
        <v>1529007.7594178228</v>
      </c>
      <c r="AQ28" s="235">
        <v>477659.98981525027</v>
      </c>
      <c r="AR28" s="235">
        <v>2067891.5390534813</v>
      </c>
      <c r="AS28" s="235">
        <v>902173.00416381226</v>
      </c>
      <c r="AT28" s="235">
        <v>0</v>
      </c>
      <c r="AU28" s="235">
        <v>5829049.0650871992</v>
      </c>
      <c r="AV28" s="235">
        <v>360049.99707660772</v>
      </c>
      <c r="AW28" s="235">
        <v>0</v>
      </c>
      <c r="AX28" s="235">
        <v>130695.87875930866</v>
      </c>
      <c r="AY28" s="235">
        <v>114818.37276909754</v>
      </c>
      <c r="AZ28" s="235">
        <v>0</v>
      </c>
      <c r="BA28" s="235">
        <v>0</v>
      </c>
      <c r="BB28" s="235">
        <v>1893913.096129955</v>
      </c>
      <c r="BC28" s="235">
        <v>500171.78937330405</v>
      </c>
      <c r="BD28" s="235">
        <v>900352.80942904041</v>
      </c>
      <c r="BE28" s="235">
        <v>69478.234077437344</v>
      </c>
      <c r="BF28" s="235">
        <v>11562478.884562928</v>
      </c>
      <c r="BG28" s="235">
        <v>125650.68646862748</v>
      </c>
      <c r="BH28" s="235">
        <v>285529.04674192349</v>
      </c>
      <c r="BI28" s="235">
        <v>3352919.9800405982</v>
      </c>
      <c r="BJ28" s="235">
        <v>1694.8</v>
      </c>
      <c r="BK28" s="235">
        <v>284757.39272489451</v>
      </c>
      <c r="BL28" s="235">
        <v>370289.91751056461</v>
      </c>
      <c r="BM28" s="235">
        <v>17589.69051416251</v>
      </c>
      <c r="BN28" s="235">
        <v>4947.5635741500819</v>
      </c>
      <c r="BO28" s="235">
        <v>300723.28758162144</v>
      </c>
      <c r="BP28" s="235">
        <v>1102.95</v>
      </c>
      <c r="BQ28" s="235">
        <v>18494627.750022426</v>
      </c>
      <c r="BR28" s="235">
        <v>0</v>
      </c>
      <c r="BS28" s="235">
        <v>114311.83793498353</v>
      </c>
      <c r="BT28" s="235">
        <v>0</v>
      </c>
      <c r="BU28" s="235">
        <v>0</v>
      </c>
      <c r="BV28" s="235">
        <v>860695.57630119915</v>
      </c>
      <c r="BW28" s="235">
        <v>720677.12455325993</v>
      </c>
      <c r="BX28" s="235">
        <v>13210.769088419262</v>
      </c>
      <c r="BY28" s="235">
        <v>0</v>
      </c>
      <c r="BZ28" s="235">
        <v>2271929.2206650795</v>
      </c>
      <c r="CA28" s="235">
        <v>7421.6501244198707</v>
      </c>
      <c r="CB28" s="235">
        <v>0</v>
      </c>
      <c r="CC28" s="235">
        <v>151632.75609294805</v>
      </c>
      <c r="CD28" s="235">
        <v>1734840.8337663435</v>
      </c>
      <c r="CE28" s="235">
        <v>38587.649485495524</v>
      </c>
      <c r="CF28" s="235">
        <v>1993170.1762508943</v>
      </c>
      <c r="CG28" s="235">
        <v>0</v>
      </c>
      <c r="CH28" s="235">
        <v>1.4285230188168383E-2</v>
      </c>
      <c r="CI28" s="235">
        <v>44949.657309894654</v>
      </c>
      <c r="CJ28" s="235">
        <v>0</v>
      </c>
      <c r="CK28" s="235">
        <v>0</v>
      </c>
      <c r="CL28" s="235">
        <v>214876.47917587447</v>
      </c>
      <c r="CM28" s="235">
        <v>3200408.4023305397</v>
      </c>
      <c r="CN28" s="235">
        <v>3152.1</v>
      </c>
      <c r="CO28" s="235">
        <v>20015947.764974281</v>
      </c>
      <c r="CP28" s="242"/>
      <c r="CQ28" s="237"/>
    </row>
    <row r="29" spans="1:95" x14ac:dyDescent="0.3">
      <c r="A29" s="257" t="s">
        <v>212</v>
      </c>
      <c r="B29" s="235">
        <v>120802307.13478124</v>
      </c>
      <c r="C29" s="235">
        <v>0</v>
      </c>
      <c r="D29" s="235">
        <v>5798162.7838347415</v>
      </c>
      <c r="E29" s="235">
        <v>0</v>
      </c>
      <c r="F29" s="235">
        <v>60678361.273123264</v>
      </c>
      <c r="G29" s="235">
        <v>306791.48508147878</v>
      </c>
      <c r="H29" s="235">
        <v>0</v>
      </c>
      <c r="I29" s="235">
        <v>0</v>
      </c>
      <c r="J29" s="235">
        <v>0</v>
      </c>
      <c r="K29" s="235">
        <v>0</v>
      </c>
      <c r="L29" s="235">
        <v>0</v>
      </c>
      <c r="M29" s="235">
        <v>12029372.195053132</v>
      </c>
      <c r="N29" s="235">
        <v>0</v>
      </c>
      <c r="O29" s="235">
        <v>70254651.276831776</v>
      </c>
      <c r="P29" s="235">
        <v>0</v>
      </c>
      <c r="Q29" s="235">
        <v>0</v>
      </c>
      <c r="R29" s="235">
        <v>6325.2266446564909</v>
      </c>
      <c r="S29" s="235">
        <v>130405.68669013419</v>
      </c>
      <c r="T29" s="235">
        <v>0</v>
      </c>
      <c r="U29" s="235">
        <v>475101.60302380647</v>
      </c>
      <c r="V29" s="235">
        <v>116779.81260576726</v>
      </c>
      <c r="W29" s="235">
        <v>0</v>
      </c>
      <c r="X29" s="235">
        <v>0</v>
      </c>
      <c r="Y29" s="235">
        <v>3655102.1504711607</v>
      </c>
      <c r="Z29" s="235">
        <v>15375358.024984889</v>
      </c>
      <c r="AA29" s="235">
        <v>0</v>
      </c>
      <c r="AB29" s="235">
        <v>0</v>
      </c>
      <c r="AC29" s="235">
        <v>0</v>
      </c>
      <c r="AD29" s="235">
        <v>0</v>
      </c>
      <c r="AE29" s="235">
        <v>0</v>
      </c>
      <c r="AF29" s="235">
        <v>0</v>
      </c>
      <c r="AG29" s="235">
        <v>5471655.6129854526</v>
      </c>
      <c r="AH29" s="235">
        <v>0</v>
      </c>
      <c r="AI29" s="235">
        <v>0</v>
      </c>
      <c r="AJ29" s="235">
        <v>1435269.1227214357</v>
      </c>
      <c r="AK29" s="235">
        <v>5171252.5414269343</v>
      </c>
      <c r="AL29" s="235">
        <v>0</v>
      </c>
      <c r="AM29" s="235">
        <v>0</v>
      </c>
      <c r="AN29" s="235">
        <v>0</v>
      </c>
      <c r="AO29" s="235">
        <v>0</v>
      </c>
      <c r="AP29" s="235">
        <v>0</v>
      </c>
      <c r="AQ29" s="235">
        <v>11052182.855340056</v>
      </c>
      <c r="AR29" s="235">
        <v>0</v>
      </c>
      <c r="AS29" s="235">
        <v>1814446.0545023575</v>
      </c>
      <c r="AT29" s="235">
        <v>0</v>
      </c>
      <c r="AU29" s="235">
        <v>601413.35354704282</v>
      </c>
      <c r="AV29" s="235">
        <v>0</v>
      </c>
      <c r="AW29" s="235">
        <v>0</v>
      </c>
      <c r="AX29" s="235">
        <v>1960813.0978519344</v>
      </c>
      <c r="AY29" s="235">
        <v>480060.86967576272</v>
      </c>
      <c r="AZ29" s="235">
        <v>0</v>
      </c>
      <c r="BA29" s="235">
        <v>6261048.1241232883</v>
      </c>
      <c r="BB29" s="235">
        <v>0</v>
      </c>
      <c r="BC29" s="235">
        <v>0</v>
      </c>
      <c r="BD29" s="235">
        <v>0</v>
      </c>
      <c r="BE29" s="235">
        <v>0</v>
      </c>
      <c r="BF29" s="235">
        <v>0</v>
      </c>
      <c r="BG29" s="235">
        <v>0</v>
      </c>
      <c r="BH29" s="235">
        <v>0</v>
      </c>
      <c r="BI29" s="235">
        <v>3648765.8606324159</v>
      </c>
      <c r="BJ29" s="235">
        <v>0</v>
      </c>
      <c r="BK29" s="235">
        <v>0</v>
      </c>
      <c r="BL29" s="235">
        <v>0</v>
      </c>
      <c r="BM29" s="235">
        <v>0</v>
      </c>
      <c r="BN29" s="235">
        <v>0</v>
      </c>
      <c r="BO29" s="235">
        <v>0</v>
      </c>
      <c r="BP29" s="235">
        <v>0</v>
      </c>
      <c r="BQ29" s="235">
        <v>0</v>
      </c>
      <c r="BR29" s="235">
        <v>0</v>
      </c>
      <c r="BS29" s="235">
        <v>0</v>
      </c>
      <c r="BT29" s="235">
        <v>0</v>
      </c>
      <c r="BU29" s="235">
        <v>0</v>
      </c>
      <c r="BV29" s="235">
        <v>85329.911463103577</v>
      </c>
      <c r="BW29" s="235">
        <v>0</v>
      </c>
      <c r="BX29" s="235">
        <v>0</v>
      </c>
      <c r="BY29" s="235">
        <v>2568412.0076666665</v>
      </c>
      <c r="BZ29" s="235">
        <v>0</v>
      </c>
      <c r="CA29" s="235">
        <v>0</v>
      </c>
      <c r="CB29" s="235">
        <v>0</v>
      </c>
      <c r="CC29" s="235">
        <v>0</v>
      </c>
      <c r="CD29" s="235">
        <v>2409517.8241070849</v>
      </c>
      <c r="CE29" s="235">
        <v>0</v>
      </c>
      <c r="CF29" s="235">
        <v>0</v>
      </c>
      <c r="CG29" s="235">
        <v>0</v>
      </c>
      <c r="CH29" s="235">
        <v>0</v>
      </c>
      <c r="CI29" s="235">
        <v>0</v>
      </c>
      <c r="CJ29" s="235">
        <v>93035.109299904376</v>
      </c>
      <c r="CK29" s="235">
        <v>0</v>
      </c>
      <c r="CL29" s="235">
        <v>0</v>
      </c>
      <c r="CM29" s="235">
        <v>0</v>
      </c>
      <c r="CN29" s="235">
        <v>0</v>
      </c>
      <c r="CO29" s="235">
        <v>0</v>
      </c>
      <c r="CP29" s="242"/>
      <c r="CQ29" s="237"/>
    </row>
    <row r="30" spans="1:95" x14ac:dyDescent="0.3">
      <c r="A30" s="257" t="s">
        <v>80</v>
      </c>
      <c r="B30" s="235">
        <v>20563682.365312852</v>
      </c>
      <c r="C30" s="235">
        <v>0</v>
      </c>
      <c r="D30" s="235">
        <v>0</v>
      </c>
      <c r="E30" s="235">
        <v>0</v>
      </c>
      <c r="F30" s="235">
        <v>27673159.848067906</v>
      </c>
      <c r="G30" s="235">
        <v>0</v>
      </c>
      <c r="H30" s="235">
        <v>0</v>
      </c>
      <c r="I30" s="235">
        <v>0</v>
      </c>
      <c r="J30" s="235">
        <v>0</v>
      </c>
      <c r="K30" s="235">
        <v>0</v>
      </c>
      <c r="L30" s="235">
        <v>0</v>
      </c>
      <c r="M30" s="235">
        <v>54219.651551229072</v>
      </c>
      <c r="N30" s="235">
        <v>0</v>
      </c>
      <c r="O30" s="235">
        <v>0</v>
      </c>
      <c r="P30" s="235">
        <v>0</v>
      </c>
      <c r="Q30" s="235">
        <v>0</v>
      </c>
      <c r="R30" s="235">
        <v>0</v>
      </c>
      <c r="S30" s="235">
        <v>0</v>
      </c>
      <c r="T30" s="235">
        <v>0</v>
      </c>
      <c r="U30" s="235">
        <v>0</v>
      </c>
      <c r="V30" s="235">
        <v>0</v>
      </c>
      <c r="W30" s="235">
        <v>0</v>
      </c>
      <c r="X30" s="235">
        <v>0</v>
      </c>
      <c r="Y30" s="235">
        <v>0</v>
      </c>
      <c r="Z30" s="235">
        <v>1424324.9504086254</v>
      </c>
      <c r="AA30" s="235">
        <v>0</v>
      </c>
      <c r="AB30" s="235">
        <v>0</v>
      </c>
      <c r="AC30" s="235">
        <v>0</v>
      </c>
      <c r="AD30" s="235">
        <v>0</v>
      </c>
      <c r="AE30" s="235">
        <v>46258673.938314579</v>
      </c>
      <c r="AF30" s="235">
        <v>0</v>
      </c>
      <c r="AG30" s="235">
        <v>0</v>
      </c>
      <c r="AH30" s="235">
        <v>0</v>
      </c>
      <c r="AI30" s="235">
        <v>0</v>
      </c>
      <c r="AJ30" s="235">
        <v>0</v>
      </c>
      <c r="AK30" s="235">
        <v>0</v>
      </c>
      <c r="AL30" s="235">
        <v>0</v>
      </c>
      <c r="AM30" s="235">
        <v>0</v>
      </c>
      <c r="AN30" s="235">
        <v>0</v>
      </c>
      <c r="AO30" s="235">
        <v>0</v>
      </c>
      <c r="AP30" s="235">
        <v>0</v>
      </c>
      <c r="AQ30" s="235">
        <v>0</v>
      </c>
      <c r="AR30" s="235">
        <v>0</v>
      </c>
      <c r="AS30" s="235">
        <v>0</v>
      </c>
      <c r="AT30" s="235">
        <v>0</v>
      </c>
      <c r="AU30" s="235">
        <v>0</v>
      </c>
      <c r="AV30" s="235">
        <v>0</v>
      </c>
      <c r="AW30" s="235">
        <v>0</v>
      </c>
      <c r="AX30" s="235">
        <v>0</v>
      </c>
      <c r="AY30" s="235">
        <v>0</v>
      </c>
      <c r="AZ30" s="235">
        <v>0</v>
      </c>
      <c r="BA30" s="235">
        <v>0</v>
      </c>
      <c r="BB30" s="235">
        <v>0</v>
      </c>
      <c r="BC30" s="235">
        <v>0</v>
      </c>
      <c r="BD30" s="235">
        <v>3358.7881852740152</v>
      </c>
      <c r="BE30" s="235">
        <v>0</v>
      </c>
      <c r="BF30" s="235">
        <v>7719722.8733450593</v>
      </c>
      <c r="BG30" s="235">
        <v>0</v>
      </c>
      <c r="BH30" s="235">
        <v>0</v>
      </c>
      <c r="BI30" s="235">
        <v>1941374.4533125863</v>
      </c>
      <c r="BJ30" s="235">
        <v>0</v>
      </c>
      <c r="BK30" s="235">
        <v>0</v>
      </c>
      <c r="BL30" s="235">
        <v>0</v>
      </c>
      <c r="BM30" s="235">
        <v>0</v>
      </c>
      <c r="BN30" s="235">
        <v>0</v>
      </c>
      <c r="BO30" s="235">
        <v>0</v>
      </c>
      <c r="BP30" s="235">
        <v>0</v>
      </c>
      <c r="BQ30" s="235">
        <v>2418329.1439808006</v>
      </c>
      <c r="BR30" s="235">
        <v>0</v>
      </c>
      <c r="BS30" s="235">
        <v>0</v>
      </c>
      <c r="BT30" s="235">
        <v>0</v>
      </c>
      <c r="BU30" s="235">
        <v>0</v>
      </c>
      <c r="BV30" s="235">
        <v>0</v>
      </c>
      <c r="BW30" s="235">
        <v>0</v>
      </c>
      <c r="BX30" s="235">
        <v>0</v>
      </c>
      <c r="BY30" s="235">
        <v>0</v>
      </c>
      <c r="BZ30" s="235">
        <v>0</v>
      </c>
      <c r="CA30" s="235">
        <v>0</v>
      </c>
      <c r="CB30" s="235">
        <v>0</v>
      </c>
      <c r="CC30" s="235">
        <v>0</v>
      </c>
      <c r="CD30" s="235">
        <v>2409517.8241070849</v>
      </c>
      <c r="CE30" s="235">
        <v>0</v>
      </c>
      <c r="CF30" s="235">
        <v>0</v>
      </c>
      <c r="CG30" s="235">
        <v>0</v>
      </c>
      <c r="CH30" s="235">
        <v>0</v>
      </c>
      <c r="CI30" s="235">
        <v>0</v>
      </c>
      <c r="CJ30" s="235">
        <v>0</v>
      </c>
      <c r="CK30" s="235">
        <v>0</v>
      </c>
      <c r="CL30" s="235">
        <v>0</v>
      </c>
      <c r="CM30" s="235">
        <v>0</v>
      </c>
      <c r="CN30" s="235">
        <v>0</v>
      </c>
      <c r="CO30" s="235">
        <v>0</v>
      </c>
      <c r="CP30" s="242"/>
      <c r="CQ30" s="237"/>
    </row>
    <row r="31" spans="1:95" x14ac:dyDescent="0.3">
      <c r="A31" s="257"/>
      <c r="B31" s="235"/>
      <c r="C31" s="235"/>
      <c r="D31" s="23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5"/>
      <c r="AZ31" s="235"/>
      <c r="BA31" s="235"/>
      <c r="BB31" s="235"/>
      <c r="BC31" s="235"/>
      <c r="BD31" s="235"/>
      <c r="BE31" s="235"/>
      <c r="BF31" s="235"/>
      <c r="BG31" s="235"/>
      <c r="BH31" s="235"/>
      <c r="BI31" s="235"/>
      <c r="BJ31" s="235"/>
      <c r="BK31" s="235"/>
      <c r="BL31" s="235"/>
      <c r="BM31" s="235"/>
      <c r="BN31" s="235"/>
      <c r="BO31" s="235"/>
      <c r="BP31" s="235"/>
      <c r="BQ31" s="235"/>
      <c r="BR31" s="235"/>
      <c r="BS31" s="235"/>
      <c r="BT31" s="235"/>
      <c r="BU31" s="235"/>
      <c r="BV31" s="235"/>
      <c r="BW31" s="235"/>
      <c r="BX31" s="235"/>
      <c r="BY31" s="235"/>
      <c r="BZ31" s="235"/>
      <c r="CA31" s="235"/>
      <c r="CB31" s="235"/>
      <c r="CC31" s="235"/>
      <c r="CD31" s="235"/>
      <c r="CE31" s="235"/>
      <c r="CF31" s="235"/>
      <c r="CG31" s="235"/>
      <c r="CH31" s="235"/>
      <c r="CI31" s="235"/>
      <c r="CJ31" s="235"/>
      <c r="CK31" s="235"/>
      <c r="CL31" s="235"/>
      <c r="CM31" s="235"/>
      <c r="CN31" s="235"/>
      <c r="CO31" s="235"/>
      <c r="CP31" s="242"/>
      <c r="CQ31" s="237">
        <f t="shared" si="0"/>
        <v>0</v>
      </c>
    </row>
    <row r="32" spans="1:95" x14ac:dyDescent="0.3">
      <c r="A32" s="258" t="s">
        <v>213</v>
      </c>
      <c r="B32" s="235"/>
      <c r="C32" s="235"/>
      <c r="D32" s="235"/>
      <c r="E32" s="235"/>
      <c r="F32" s="235"/>
      <c r="G32" s="235"/>
      <c r="H32" s="235"/>
      <c r="I32" s="235"/>
      <c r="J32" s="235"/>
      <c r="K32" s="235"/>
      <c r="L32" s="235"/>
      <c r="M32" s="235"/>
      <c r="N32" s="235"/>
      <c r="O32" s="235"/>
      <c r="P32" s="235"/>
      <c r="Q32" s="235"/>
      <c r="R32" s="235"/>
      <c r="S32" s="235"/>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35"/>
      <c r="AQ32" s="235"/>
      <c r="AR32" s="235"/>
      <c r="AS32" s="235"/>
      <c r="AT32" s="235"/>
      <c r="AU32" s="235"/>
      <c r="AV32" s="235"/>
      <c r="AW32" s="235"/>
      <c r="AX32" s="235"/>
      <c r="AY32" s="235"/>
      <c r="AZ32" s="235"/>
      <c r="BA32" s="235"/>
      <c r="BB32" s="235"/>
      <c r="BC32" s="235"/>
      <c r="BD32" s="235"/>
      <c r="BE32" s="235"/>
      <c r="BF32" s="235"/>
      <c r="BG32" s="235"/>
      <c r="BH32" s="235"/>
      <c r="BI32" s="235"/>
      <c r="BJ32" s="235"/>
      <c r="BK32" s="235"/>
      <c r="BL32" s="235"/>
      <c r="BM32" s="235"/>
      <c r="BN32" s="235"/>
      <c r="BO32" s="235"/>
      <c r="BP32" s="235"/>
      <c r="BQ32" s="235"/>
      <c r="BR32" s="235"/>
      <c r="BS32" s="235"/>
      <c r="BT32" s="235"/>
      <c r="BU32" s="235"/>
      <c r="BV32" s="235"/>
      <c r="BW32" s="235"/>
      <c r="BX32" s="235"/>
      <c r="BY32" s="235"/>
      <c r="BZ32" s="235"/>
      <c r="CA32" s="235"/>
      <c r="CB32" s="235"/>
      <c r="CC32" s="235"/>
      <c r="CD32" s="235"/>
      <c r="CE32" s="235"/>
      <c r="CF32" s="235"/>
      <c r="CG32" s="235"/>
      <c r="CH32" s="235"/>
      <c r="CI32" s="235"/>
      <c r="CJ32" s="235"/>
      <c r="CK32" s="235"/>
      <c r="CL32" s="235"/>
      <c r="CM32" s="235"/>
      <c r="CN32" s="235"/>
      <c r="CO32" s="235"/>
      <c r="CP32" s="242"/>
      <c r="CQ32" s="237">
        <f t="shared" si="0"/>
        <v>0</v>
      </c>
    </row>
    <row r="33" spans="1:95" x14ac:dyDescent="0.3">
      <c r="A33" s="245" t="s">
        <v>206</v>
      </c>
      <c r="B33" s="235">
        <v>156618478.04132381</v>
      </c>
      <c r="C33" s="235">
        <v>58136999.620198347</v>
      </c>
      <c r="D33" s="235">
        <v>30986647.293792475</v>
      </c>
      <c r="E33" s="235">
        <v>27805427.404123731</v>
      </c>
      <c r="F33" s="235">
        <v>36260869.275361225</v>
      </c>
      <c r="G33" s="235">
        <v>18074928.568665471</v>
      </c>
      <c r="H33" s="235">
        <v>33419644.243699428</v>
      </c>
      <c r="I33" s="235">
        <v>12479378.269098803</v>
      </c>
      <c r="J33" s="235"/>
      <c r="K33" s="235">
        <v>52817131.526069283</v>
      </c>
      <c r="L33" s="235"/>
      <c r="M33" s="235"/>
      <c r="N33" s="235">
        <v>25759150.150746834</v>
      </c>
      <c r="O33" s="235"/>
      <c r="P33" s="235"/>
      <c r="Q33" s="235">
        <v>8541296.7154699545</v>
      </c>
      <c r="R33" s="235">
        <v>12011453.996501073</v>
      </c>
      <c r="S33" s="235"/>
      <c r="T33" s="235"/>
      <c r="U33" s="235"/>
      <c r="V33" s="235"/>
      <c r="W33" s="235">
        <v>10218730.436298663</v>
      </c>
      <c r="X33" s="235">
        <v>7056900.4248799523</v>
      </c>
      <c r="Y33" s="235"/>
      <c r="Z33" s="235">
        <v>10922933.748251755</v>
      </c>
      <c r="AA33" s="235">
        <v>5868648.2849710518</v>
      </c>
      <c r="AB33" s="235">
        <v>1123117.330746172</v>
      </c>
      <c r="AC33" s="235"/>
      <c r="AD33" s="235"/>
      <c r="AE33" s="235"/>
      <c r="AF33" s="235"/>
      <c r="AG33" s="235">
        <v>8531885.0644033849</v>
      </c>
      <c r="AH33" s="235"/>
      <c r="AI33" s="235"/>
      <c r="AJ33" s="235"/>
      <c r="AK33" s="235"/>
      <c r="AL33" s="235">
        <v>6157213.5203778427</v>
      </c>
      <c r="AM33" s="235"/>
      <c r="AN33" s="235"/>
      <c r="AO33" s="235">
        <v>5949568.7513713697</v>
      </c>
      <c r="AP33" s="235"/>
      <c r="AQ33" s="235">
        <v>7611886.7984587317</v>
      </c>
      <c r="AR33" s="235"/>
      <c r="AS33" s="235"/>
      <c r="AT33" s="235"/>
      <c r="AU33" s="235">
        <v>8116305.3399317116</v>
      </c>
      <c r="AV33" s="235"/>
      <c r="AW33" s="235"/>
      <c r="AX33" s="235"/>
      <c r="AY33" s="235"/>
      <c r="AZ33" s="235"/>
      <c r="BA33" s="235"/>
      <c r="BB33" s="235">
        <v>1627958.2609553682</v>
      </c>
      <c r="BC33" s="235"/>
      <c r="BD33" s="235">
        <v>6840162.2605217509</v>
      </c>
      <c r="BE33" s="235"/>
      <c r="BF33" s="235"/>
      <c r="BG33" s="235"/>
      <c r="BH33" s="235"/>
      <c r="BI33" s="235"/>
      <c r="BJ33" s="235"/>
      <c r="BK33" s="235"/>
      <c r="BL33" s="235"/>
      <c r="BM33" s="235"/>
      <c r="BN33" s="235"/>
      <c r="BO33" s="235"/>
      <c r="BP33" s="235"/>
      <c r="BQ33" s="235"/>
      <c r="BR33" s="235"/>
      <c r="BS33" s="235"/>
      <c r="BT33" s="235"/>
      <c r="BU33" s="235"/>
      <c r="BV33" s="235"/>
      <c r="BW33" s="235"/>
      <c r="BX33" s="235"/>
      <c r="BY33" s="235"/>
      <c r="BZ33" s="235"/>
      <c r="CA33" s="235"/>
      <c r="CB33" s="235"/>
      <c r="CC33" s="235"/>
      <c r="CD33" s="235"/>
      <c r="CE33" s="235"/>
      <c r="CF33" s="235"/>
      <c r="CG33" s="235"/>
      <c r="CH33" s="235"/>
      <c r="CI33" s="235"/>
      <c r="CJ33" s="235"/>
      <c r="CK33" s="235"/>
      <c r="CL33" s="235"/>
      <c r="CM33" s="235"/>
      <c r="CN33" s="235"/>
      <c r="CO33" s="235"/>
      <c r="CP33" s="237"/>
      <c r="CQ33" s="237"/>
    </row>
    <row r="34" spans="1:95" x14ac:dyDescent="0.3">
      <c r="A34" s="245" t="s">
        <v>207</v>
      </c>
      <c r="B34" s="235">
        <v>55947585.738650836</v>
      </c>
      <c r="C34" s="235">
        <v>307927.17464849562</v>
      </c>
      <c r="D34" s="235">
        <v>13280000.51701859</v>
      </c>
      <c r="E34" s="235">
        <v>23776071.41208373</v>
      </c>
      <c r="F34" s="235">
        <v>0</v>
      </c>
      <c r="G34" s="235">
        <v>973710.88859432854</v>
      </c>
      <c r="H34" s="235">
        <v>1232929.8057010416</v>
      </c>
      <c r="I34" s="235">
        <v>11107279.290613731</v>
      </c>
      <c r="J34" s="235"/>
      <c r="K34" s="235">
        <v>19578622.642085597</v>
      </c>
      <c r="L34" s="235"/>
      <c r="M34" s="235"/>
      <c r="N34" s="235">
        <v>0</v>
      </c>
      <c r="O34" s="235"/>
      <c r="P34" s="235"/>
      <c r="Q34" s="235">
        <v>11104426.589104107</v>
      </c>
      <c r="R34" s="235">
        <v>0</v>
      </c>
      <c r="S34" s="235"/>
      <c r="T34" s="235"/>
      <c r="U34" s="235"/>
      <c r="V34" s="235"/>
      <c r="W34" s="235">
        <v>0</v>
      </c>
      <c r="X34" s="235">
        <v>3928604.4145408641</v>
      </c>
      <c r="Y34" s="235"/>
      <c r="Z34" s="235">
        <v>0</v>
      </c>
      <c r="AA34" s="235">
        <v>3546364.5574539816</v>
      </c>
      <c r="AB34" s="235">
        <v>212482.07639867201</v>
      </c>
      <c r="AC34" s="235"/>
      <c r="AD34" s="235"/>
      <c r="AE34" s="235"/>
      <c r="AF34" s="235"/>
      <c r="AG34" s="235">
        <v>3571187.6594455047</v>
      </c>
      <c r="AH34" s="235"/>
      <c r="AI34" s="235"/>
      <c r="AJ34" s="235"/>
      <c r="AK34" s="235"/>
      <c r="AL34" s="235">
        <v>3635788.0602038442</v>
      </c>
      <c r="AM34" s="235"/>
      <c r="AN34" s="235"/>
      <c r="AO34" s="235">
        <v>0</v>
      </c>
      <c r="AP34" s="235"/>
      <c r="AQ34" s="235">
        <v>3785478.4168780493</v>
      </c>
      <c r="AR34" s="235"/>
      <c r="AS34" s="235"/>
      <c r="AT34" s="235"/>
      <c r="AU34" s="235">
        <v>2083134.1634783274</v>
      </c>
      <c r="AV34" s="235"/>
      <c r="AW34" s="235"/>
      <c r="AX34" s="235"/>
      <c r="AY34" s="235"/>
      <c r="AZ34" s="235"/>
      <c r="BA34" s="235"/>
      <c r="BB34" s="235">
        <v>1469510.486928761</v>
      </c>
      <c r="BC34" s="235"/>
      <c r="BD34" s="235">
        <v>0</v>
      </c>
      <c r="BE34" s="235"/>
      <c r="BF34" s="235"/>
      <c r="BG34" s="235"/>
      <c r="BH34" s="235"/>
      <c r="BI34" s="235"/>
      <c r="BJ34" s="235"/>
      <c r="BK34" s="235"/>
      <c r="BL34" s="235"/>
      <c r="BM34" s="235"/>
      <c r="BN34" s="235"/>
      <c r="BO34" s="235"/>
      <c r="BP34" s="235"/>
      <c r="BQ34" s="235"/>
      <c r="BR34" s="235"/>
      <c r="BS34" s="235"/>
      <c r="BT34" s="235"/>
      <c r="BU34" s="235"/>
      <c r="BV34" s="235"/>
      <c r="BW34" s="235"/>
      <c r="BX34" s="235"/>
      <c r="BY34" s="235"/>
      <c r="BZ34" s="235"/>
      <c r="CA34" s="235"/>
      <c r="CB34" s="235"/>
      <c r="CC34" s="235"/>
      <c r="CD34" s="235"/>
      <c r="CE34" s="235"/>
      <c r="CF34" s="235"/>
      <c r="CG34" s="235"/>
      <c r="CH34" s="235"/>
      <c r="CI34" s="235"/>
      <c r="CJ34" s="235"/>
      <c r="CK34" s="235"/>
      <c r="CL34" s="235"/>
      <c r="CM34" s="235"/>
      <c r="CN34" s="235"/>
      <c r="CO34" s="235"/>
      <c r="CP34" s="237"/>
      <c r="CQ34" s="237"/>
    </row>
    <row r="35" spans="1:95" x14ac:dyDescent="0.3">
      <c r="A35" s="245" t="s">
        <v>2</v>
      </c>
      <c r="B35" s="235">
        <v>8052759.7356782537</v>
      </c>
      <c r="C35" s="235">
        <v>3004039.4423000319</v>
      </c>
      <c r="D35" s="235">
        <v>1274106.6978481952</v>
      </c>
      <c r="E35" s="235">
        <v>75297.096111245322</v>
      </c>
      <c r="F35" s="235">
        <v>3173318.2406121423</v>
      </c>
      <c r="G35" s="235">
        <v>71488.403433396539</v>
      </c>
      <c r="H35" s="235">
        <v>694116.95841119264</v>
      </c>
      <c r="I35" s="235">
        <v>3227702.628241295</v>
      </c>
      <c r="J35" s="235"/>
      <c r="K35" s="235">
        <v>532895.60848222452</v>
      </c>
      <c r="L35" s="235"/>
      <c r="M35" s="235"/>
      <c r="N35" s="235">
        <v>1586785.9448159367</v>
      </c>
      <c r="O35" s="235"/>
      <c r="P35" s="235"/>
      <c r="Q35" s="235">
        <v>609422.12928362167</v>
      </c>
      <c r="R35" s="235">
        <v>133859.29110867187</v>
      </c>
      <c r="S35" s="235"/>
      <c r="T35" s="235"/>
      <c r="U35" s="235"/>
      <c r="V35" s="235"/>
      <c r="W35" s="235">
        <v>0</v>
      </c>
      <c r="X35" s="235">
        <v>381780.54583483533</v>
      </c>
      <c r="Y35" s="235"/>
      <c r="Z35" s="235">
        <v>984711.50280916516</v>
      </c>
      <c r="AA35" s="235">
        <v>1076272.9185062298</v>
      </c>
      <c r="AB35" s="235">
        <v>364252.03353531199</v>
      </c>
      <c r="AC35" s="235"/>
      <c r="AD35" s="235"/>
      <c r="AE35" s="235"/>
      <c r="AF35" s="235"/>
      <c r="AG35" s="235">
        <v>2157578.3459970597</v>
      </c>
      <c r="AH35" s="235"/>
      <c r="AI35" s="235"/>
      <c r="AJ35" s="235"/>
      <c r="AK35" s="235"/>
      <c r="AL35" s="235">
        <v>196384.46602590088</v>
      </c>
      <c r="AM35" s="235"/>
      <c r="AN35" s="235"/>
      <c r="AO35" s="235">
        <v>198148.75211656842</v>
      </c>
      <c r="AP35" s="235"/>
      <c r="AQ35" s="235">
        <v>208116.71053601863</v>
      </c>
      <c r="AR35" s="235"/>
      <c r="AS35" s="235"/>
      <c r="AT35" s="235"/>
      <c r="AU35" s="235">
        <v>61181.935212216915</v>
      </c>
      <c r="AV35" s="235"/>
      <c r="AW35" s="235"/>
      <c r="AX35" s="235"/>
      <c r="AY35" s="235"/>
      <c r="AZ35" s="235"/>
      <c r="BA35" s="235"/>
      <c r="BB35" s="235">
        <v>1795538.163976677</v>
      </c>
      <c r="BC35" s="235"/>
      <c r="BD35" s="235">
        <v>375670.57973411836</v>
      </c>
      <c r="BE35" s="235"/>
      <c r="BF35" s="235"/>
      <c r="BG35" s="235"/>
      <c r="BH35" s="235"/>
      <c r="BI35" s="235"/>
      <c r="BJ35" s="235"/>
      <c r="BK35" s="235"/>
      <c r="BL35" s="235"/>
      <c r="BM35" s="235"/>
      <c r="BN35" s="235"/>
      <c r="BO35" s="235"/>
      <c r="BP35" s="235"/>
      <c r="BQ35" s="235"/>
      <c r="BR35" s="235"/>
      <c r="BS35" s="235"/>
      <c r="BT35" s="235"/>
      <c r="BU35" s="235"/>
      <c r="BV35" s="235"/>
      <c r="BW35" s="235"/>
      <c r="BX35" s="235"/>
      <c r="BY35" s="235"/>
      <c r="BZ35" s="235"/>
      <c r="CA35" s="235"/>
      <c r="CB35" s="235"/>
      <c r="CC35" s="235"/>
      <c r="CD35" s="235"/>
      <c r="CE35" s="235"/>
      <c r="CF35" s="235"/>
      <c r="CG35" s="235"/>
      <c r="CH35" s="235"/>
      <c r="CI35" s="235"/>
      <c r="CJ35" s="235"/>
      <c r="CK35" s="235"/>
      <c r="CL35" s="235"/>
      <c r="CM35" s="235"/>
      <c r="CN35" s="235"/>
      <c r="CO35" s="235"/>
      <c r="CP35" s="237"/>
      <c r="CQ35" s="237"/>
    </row>
    <row r="36" spans="1:95" x14ac:dyDescent="0.3">
      <c r="A36" s="245" t="s">
        <v>208</v>
      </c>
      <c r="B36" s="235">
        <v>776922.61881527293</v>
      </c>
      <c r="C36" s="235">
        <v>487779.80090296397</v>
      </c>
      <c r="D36" s="235">
        <v>849412.69693249185</v>
      </c>
      <c r="E36" s="235">
        <v>76972.963157199541</v>
      </c>
      <c r="F36" s="235">
        <v>550857.8974756666</v>
      </c>
      <c r="G36" s="235">
        <v>2452033.8960535699</v>
      </c>
      <c r="H36" s="235">
        <v>896250.69636677078</v>
      </c>
      <c r="I36" s="235">
        <v>2359512.7171398853</v>
      </c>
      <c r="J36" s="235"/>
      <c r="K36" s="235">
        <v>600620.01982497564</v>
      </c>
      <c r="L36" s="235"/>
      <c r="M36" s="235"/>
      <c r="N36" s="235">
        <v>2195746.5445545414</v>
      </c>
      <c r="O36" s="235"/>
      <c r="P36" s="235"/>
      <c r="Q36" s="235">
        <v>1787509.0497799241</v>
      </c>
      <c r="R36" s="235">
        <v>720207.80106832855</v>
      </c>
      <c r="S36" s="235"/>
      <c r="T36" s="235"/>
      <c r="U36" s="235"/>
      <c r="V36" s="235"/>
      <c r="W36" s="235">
        <v>379392.92701649765</v>
      </c>
      <c r="X36" s="235">
        <v>206335.60284916588</v>
      </c>
      <c r="Y36" s="235"/>
      <c r="Z36" s="235">
        <v>884273.6123377349</v>
      </c>
      <c r="AA36" s="235">
        <v>385976.48335771152</v>
      </c>
      <c r="AB36" s="235">
        <v>546378.05030296789</v>
      </c>
      <c r="AC36" s="235"/>
      <c r="AD36" s="235"/>
      <c r="AE36" s="235"/>
      <c r="AF36" s="235"/>
      <c r="AG36" s="235">
        <v>924672.29104396328</v>
      </c>
      <c r="AH36" s="235"/>
      <c r="AI36" s="235"/>
      <c r="AJ36" s="235"/>
      <c r="AK36" s="235"/>
      <c r="AL36" s="235">
        <v>78156.70772181089</v>
      </c>
      <c r="AM36" s="235"/>
      <c r="AN36" s="235"/>
      <c r="AO36" s="235">
        <v>0</v>
      </c>
      <c r="AP36" s="235"/>
      <c r="AQ36" s="235">
        <v>58730.101058772045</v>
      </c>
      <c r="AR36" s="235"/>
      <c r="AS36" s="235"/>
      <c r="AT36" s="235"/>
      <c r="AU36" s="235">
        <v>320904.98682831787</v>
      </c>
      <c r="AV36" s="235"/>
      <c r="AW36" s="235"/>
      <c r="AX36" s="235"/>
      <c r="AY36" s="235"/>
      <c r="AZ36" s="235"/>
      <c r="BA36" s="235"/>
      <c r="BB36" s="235">
        <v>1054966.7148170061</v>
      </c>
      <c r="BC36" s="235"/>
      <c r="BD36" s="235">
        <v>173624.65220671604</v>
      </c>
      <c r="BE36" s="235"/>
      <c r="BF36" s="235"/>
      <c r="BG36" s="235"/>
      <c r="BH36" s="235"/>
      <c r="BI36" s="235"/>
      <c r="BJ36" s="235"/>
      <c r="BK36" s="235"/>
      <c r="BL36" s="235"/>
      <c r="BM36" s="235"/>
      <c r="BN36" s="235"/>
      <c r="BO36" s="235"/>
      <c r="BP36" s="235"/>
      <c r="BQ36" s="235"/>
      <c r="BR36" s="235"/>
      <c r="BS36" s="235"/>
      <c r="BT36" s="235"/>
      <c r="BU36" s="235"/>
      <c r="BV36" s="235"/>
      <c r="BW36" s="235"/>
      <c r="BX36" s="235"/>
      <c r="BY36" s="235"/>
      <c r="BZ36" s="235"/>
      <c r="CA36" s="235"/>
      <c r="CB36" s="235"/>
      <c r="CC36" s="235"/>
      <c r="CD36" s="235"/>
      <c r="CE36" s="235"/>
      <c r="CF36" s="235"/>
      <c r="CG36" s="235"/>
      <c r="CH36" s="235"/>
      <c r="CI36" s="235"/>
      <c r="CJ36" s="235"/>
      <c r="CK36" s="235"/>
      <c r="CL36" s="235"/>
      <c r="CM36" s="235"/>
      <c r="CN36" s="235"/>
      <c r="CO36" s="235"/>
      <c r="CP36" s="237"/>
      <c r="CQ36" s="237"/>
    </row>
    <row r="37" spans="1:95" x14ac:dyDescent="0.3">
      <c r="A37" s="245" t="s">
        <v>209</v>
      </c>
      <c r="B37" s="235">
        <v>39504702.0443343</v>
      </c>
      <c r="C37" s="235">
        <v>8865901.8705940954</v>
      </c>
      <c r="D37" s="235">
        <v>6370533.4892409761</v>
      </c>
      <c r="E37" s="235">
        <v>2272709.5562273082</v>
      </c>
      <c r="F37" s="235">
        <v>19315214.609176654</v>
      </c>
      <c r="G37" s="235">
        <v>2834009.5341104176</v>
      </c>
      <c r="H37" s="235">
        <v>13309291.272957793</v>
      </c>
      <c r="I37" s="235">
        <v>4062619.5859393477</v>
      </c>
      <c r="J37" s="235"/>
      <c r="K37" s="235">
        <v>0</v>
      </c>
      <c r="L37" s="235"/>
      <c r="M37" s="235"/>
      <c r="N37" s="235">
        <v>6352334.9188025026</v>
      </c>
      <c r="O37" s="235"/>
      <c r="P37" s="235"/>
      <c r="Q37" s="235">
        <v>797876.87398954935</v>
      </c>
      <c r="R37" s="235">
        <v>1433037.2925453105</v>
      </c>
      <c r="S37" s="235"/>
      <c r="T37" s="235"/>
      <c r="U37" s="235"/>
      <c r="V37" s="235"/>
      <c r="W37" s="235">
        <v>5386440.1551486878</v>
      </c>
      <c r="X37" s="235">
        <v>3606568.0918526361</v>
      </c>
      <c r="Y37" s="235"/>
      <c r="Z37" s="235">
        <v>3525366.9965599608</v>
      </c>
      <c r="AA37" s="235">
        <v>847804.28686921543</v>
      </c>
      <c r="AB37" s="235">
        <v>637446.22919601609</v>
      </c>
      <c r="AC37" s="235"/>
      <c r="AD37" s="235"/>
      <c r="AE37" s="235"/>
      <c r="AF37" s="235"/>
      <c r="AG37" s="235">
        <v>1125371.5207690569</v>
      </c>
      <c r="AH37" s="235"/>
      <c r="AI37" s="235"/>
      <c r="AJ37" s="235"/>
      <c r="AK37" s="235"/>
      <c r="AL37" s="235">
        <v>6992531.4932410633</v>
      </c>
      <c r="AM37" s="235"/>
      <c r="AN37" s="235"/>
      <c r="AO37" s="235">
        <v>506515.79031442426</v>
      </c>
      <c r="AP37" s="235"/>
      <c r="AQ37" s="235">
        <v>493315.60069954157</v>
      </c>
      <c r="AR37" s="235"/>
      <c r="AS37" s="235"/>
      <c r="AT37" s="235"/>
      <c r="AU37" s="235">
        <v>2942723.0098790163</v>
      </c>
      <c r="AV37" s="235"/>
      <c r="AW37" s="235"/>
      <c r="AX37" s="235"/>
      <c r="AY37" s="235"/>
      <c r="AZ37" s="235"/>
      <c r="BA37" s="235"/>
      <c r="BB37" s="235">
        <v>1907989.8892937414</v>
      </c>
      <c r="BC37" s="235"/>
      <c r="BD37" s="235">
        <v>276937.0252702327</v>
      </c>
      <c r="BE37" s="235"/>
      <c r="BF37" s="235"/>
      <c r="BG37" s="235"/>
      <c r="BH37" s="235"/>
      <c r="BI37" s="235"/>
      <c r="BJ37" s="235"/>
      <c r="BK37" s="235"/>
      <c r="BL37" s="235"/>
      <c r="BM37" s="235"/>
      <c r="BN37" s="235"/>
      <c r="BO37" s="235"/>
      <c r="BP37" s="235"/>
      <c r="BQ37" s="235"/>
      <c r="BR37" s="235"/>
      <c r="BS37" s="235"/>
      <c r="BT37" s="235"/>
      <c r="BU37" s="235"/>
      <c r="BV37" s="235"/>
      <c r="BW37" s="235"/>
      <c r="BX37" s="235"/>
      <c r="BY37" s="235"/>
      <c r="BZ37" s="235"/>
      <c r="CA37" s="235"/>
      <c r="CB37" s="235"/>
      <c r="CC37" s="235"/>
      <c r="CD37" s="235"/>
      <c r="CE37" s="235"/>
      <c r="CF37" s="235"/>
      <c r="CG37" s="235"/>
      <c r="CH37" s="235"/>
      <c r="CI37" s="235"/>
      <c r="CJ37" s="235"/>
      <c r="CK37" s="235"/>
      <c r="CL37" s="235"/>
      <c r="CM37" s="235"/>
      <c r="CN37" s="235"/>
      <c r="CO37" s="235"/>
      <c r="CP37" s="237"/>
      <c r="CQ37" s="237"/>
    </row>
    <row r="38" spans="1:95" x14ac:dyDescent="0.3">
      <c r="A38" s="245" t="s">
        <v>210</v>
      </c>
      <c r="B38" s="235">
        <v>2545927.7638025079</v>
      </c>
      <c r="C38" s="235">
        <v>0</v>
      </c>
      <c r="D38" s="235">
        <v>4247026.4420108311</v>
      </c>
      <c r="E38" s="235">
        <v>0</v>
      </c>
      <c r="F38" s="235">
        <v>128228.17743371511</v>
      </c>
      <c r="G38" s="235">
        <v>0</v>
      </c>
      <c r="H38" s="235">
        <v>4528507.6450340897</v>
      </c>
      <c r="I38" s="235">
        <v>0</v>
      </c>
      <c r="J38" s="235"/>
      <c r="K38" s="235">
        <v>7541164.75605282</v>
      </c>
      <c r="L38" s="235"/>
      <c r="M38" s="235"/>
      <c r="N38" s="235">
        <v>0</v>
      </c>
      <c r="O38" s="235"/>
      <c r="P38" s="235"/>
      <c r="Q38" s="235">
        <v>0</v>
      </c>
      <c r="R38" s="235">
        <v>0</v>
      </c>
      <c r="S38" s="235"/>
      <c r="T38" s="235"/>
      <c r="U38" s="235"/>
      <c r="V38" s="235"/>
      <c r="W38" s="235">
        <v>0</v>
      </c>
      <c r="X38" s="235">
        <v>321447.47445796005</v>
      </c>
      <c r="Y38" s="235"/>
      <c r="Z38" s="235">
        <v>1123004.7034671174</v>
      </c>
      <c r="AA38" s="235">
        <v>730.26166441947476</v>
      </c>
      <c r="AB38" s="235">
        <v>151769.95713663998</v>
      </c>
      <c r="AC38" s="235"/>
      <c r="AD38" s="235"/>
      <c r="AE38" s="235"/>
      <c r="AF38" s="235"/>
      <c r="AG38" s="235">
        <v>0</v>
      </c>
      <c r="AH38" s="235"/>
      <c r="AI38" s="235"/>
      <c r="AJ38" s="235"/>
      <c r="AK38" s="235"/>
      <c r="AL38" s="235">
        <v>2748462.4639867051</v>
      </c>
      <c r="AM38" s="235"/>
      <c r="AN38" s="235"/>
      <c r="AO38" s="235">
        <v>0</v>
      </c>
      <c r="AP38" s="235"/>
      <c r="AQ38" s="235">
        <v>0</v>
      </c>
      <c r="AR38" s="235"/>
      <c r="AS38" s="235"/>
      <c r="AT38" s="235"/>
      <c r="AU38" s="235">
        <v>0</v>
      </c>
      <c r="AV38" s="235"/>
      <c r="AW38" s="235"/>
      <c r="AX38" s="235"/>
      <c r="AY38" s="235"/>
      <c r="AZ38" s="235"/>
      <c r="BA38" s="235"/>
      <c r="BB38" s="235">
        <v>1561655.0405914967</v>
      </c>
      <c r="BC38" s="235"/>
      <c r="BD38" s="235">
        <v>8061.0916446576357</v>
      </c>
      <c r="BE38" s="235"/>
      <c r="BF38" s="235"/>
      <c r="BG38" s="235"/>
      <c r="BH38" s="235"/>
      <c r="BI38" s="235"/>
      <c r="BJ38" s="235"/>
      <c r="BK38" s="235"/>
      <c r="BL38" s="235"/>
      <c r="BM38" s="235"/>
      <c r="BN38" s="235"/>
      <c r="BO38" s="235"/>
      <c r="BP38" s="235"/>
      <c r="BQ38" s="235"/>
      <c r="BR38" s="235"/>
      <c r="BS38" s="235"/>
      <c r="BT38" s="235"/>
      <c r="BU38" s="235"/>
      <c r="BV38" s="235"/>
      <c r="BW38" s="235"/>
      <c r="BX38" s="235"/>
      <c r="BY38" s="235"/>
      <c r="BZ38" s="235"/>
      <c r="CA38" s="235"/>
      <c r="CB38" s="235"/>
      <c r="CC38" s="235"/>
      <c r="CD38" s="235"/>
      <c r="CE38" s="235"/>
      <c r="CF38" s="235"/>
      <c r="CG38" s="235"/>
      <c r="CH38" s="235"/>
      <c r="CI38" s="235"/>
      <c r="CJ38" s="235"/>
      <c r="CK38" s="235"/>
      <c r="CL38" s="235"/>
      <c r="CM38" s="235"/>
      <c r="CN38" s="235"/>
      <c r="CO38" s="235"/>
      <c r="CP38" s="237"/>
      <c r="CQ38" s="237"/>
    </row>
    <row r="39" spans="1:95" s="245" customFormat="1" x14ac:dyDescent="0.3">
      <c r="B39" s="235"/>
      <c r="C39" s="235"/>
      <c r="D39" s="235"/>
      <c r="E39" s="235"/>
      <c r="F39" s="235"/>
      <c r="G39" s="235"/>
      <c r="H39" s="235"/>
      <c r="I39" s="235"/>
      <c r="J39" s="235"/>
      <c r="K39" s="235"/>
      <c r="L39" s="235"/>
      <c r="M39" s="235"/>
      <c r="N39" s="235"/>
      <c r="O39" s="235"/>
      <c r="P39" s="235"/>
      <c r="Q39" s="235"/>
      <c r="R39" s="235"/>
      <c r="S39" s="235"/>
      <c r="T39" s="235"/>
      <c r="U39" s="235"/>
      <c r="V39" s="235"/>
      <c r="W39" s="235"/>
      <c r="X39" s="235"/>
      <c r="Y39" s="235"/>
      <c r="Z39" s="235"/>
      <c r="AA39" s="235"/>
      <c r="AB39" s="235"/>
      <c r="AC39" s="235"/>
      <c r="AD39" s="235"/>
      <c r="AE39" s="235"/>
      <c r="AF39" s="235"/>
      <c r="AG39" s="235"/>
      <c r="AH39" s="235"/>
      <c r="AI39" s="235"/>
      <c r="AJ39" s="235"/>
      <c r="AK39" s="235"/>
      <c r="AL39" s="235"/>
      <c r="AM39" s="235"/>
      <c r="AN39" s="235"/>
      <c r="AO39" s="235"/>
      <c r="AP39" s="235"/>
      <c r="AQ39" s="235"/>
      <c r="AR39" s="235"/>
      <c r="AS39" s="235"/>
      <c r="AT39" s="235"/>
      <c r="AU39" s="235"/>
      <c r="AV39" s="235"/>
      <c r="AW39" s="235"/>
      <c r="AX39" s="235"/>
      <c r="AY39" s="235"/>
      <c r="AZ39" s="235"/>
      <c r="BA39" s="235"/>
      <c r="BB39" s="235"/>
      <c r="BC39" s="235"/>
      <c r="BD39" s="235"/>
      <c r="BE39" s="235"/>
      <c r="BF39" s="235"/>
      <c r="BG39" s="235"/>
      <c r="BH39" s="235"/>
      <c r="BI39" s="235"/>
      <c r="BJ39" s="235"/>
      <c r="BK39" s="235"/>
      <c r="BL39" s="235"/>
      <c r="BM39" s="235"/>
      <c r="BN39" s="235"/>
      <c r="BO39" s="235"/>
      <c r="BP39" s="235"/>
      <c r="BQ39" s="235"/>
      <c r="BR39" s="235"/>
      <c r="BS39" s="235"/>
      <c r="BT39" s="235"/>
      <c r="BU39" s="235"/>
      <c r="BV39" s="235"/>
      <c r="BW39" s="235"/>
      <c r="BX39" s="235"/>
      <c r="BY39" s="235"/>
      <c r="BZ39" s="235"/>
      <c r="CA39" s="235"/>
      <c r="CB39" s="235"/>
      <c r="CC39" s="235"/>
      <c r="CD39" s="235"/>
      <c r="CE39" s="235"/>
      <c r="CF39" s="235"/>
      <c r="CG39" s="235"/>
      <c r="CH39" s="235"/>
      <c r="CI39" s="235"/>
      <c r="CJ39" s="235"/>
      <c r="CK39" s="235"/>
      <c r="CL39" s="235"/>
      <c r="CM39" s="235"/>
      <c r="CN39" s="235"/>
      <c r="CO39" s="235"/>
      <c r="CP39" s="242"/>
      <c r="CQ39" s="237"/>
    </row>
    <row r="40" spans="1:95" x14ac:dyDescent="0.3">
      <c r="B40" s="237"/>
      <c r="C40" s="237"/>
      <c r="D40" s="237"/>
      <c r="E40" s="237"/>
      <c r="F40" s="237"/>
      <c r="G40" s="237"/>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c r="BM40" s="237"/>
      <c r="BN40" s="237"/>
      <c r="BO40" s="237"/>
      <c r="BP40" s="246"/>
      <c r="BQ40" s="237"/>
      <c r="BR40" s="237"/>
      <c r="BS40" s="237"/>
      <c r="BT40" s="237"/>
      <c r="BU40" s="237"/>
      <c r="BV40" s="237"/>
      <c r="BW40" s="237"/>
      <c r="BX40" s="237"/>
      <c r="BY40" s="237"/>
      <c r="BZ40" s="237"/>
      <c r="CA40" s="237"/>
      <c r="CB40" s="237"/>
      <c r="CC40" s="237"/>
      <c r="CD40" s="237"/>
      <c r="CE40" s="237"/>
      <c r="CF40" s="237"/>
      <c r="CG40" s="237"/>
      <c r="CH40" s="237"/>
      <c r="CI40" s="237"/>
      <c r="CJ40" s="237"/>
      <c r="CK40" s="237"/>
      <c r="CL40" s="237"/>
      <c r="CM40" s="237"/>
      <c r="CN40" s="237"/>
      <c r="CO40" s="237"/>
      <c r="CP40" s="237"/>
      <c r="CQ40" s="237"/>
    </row>
    <row r="41" spans="1:95" x14ac:dyDescent="0.3">
      <c r="A41" s="157" t="s">
        <v>405</v>
      </c>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c r="BM41" s="237"/>
      <c r="BN41" s="237"/>
      <c r="BO41" s="237"/>
      <c r="BP41" s="246"/>
      <c r="BQ41" s="237"/>
      <c r="BR41" s="237"/>
      <c r="BS41" s="237"/>
      <c r="BT41" s="237"/>
      <c r="BU41" s="237"/>
      <c r="BV41" s="237"/>
      <c r="BW41" s="237"/>
      <c r="BX41" s="237"/>
      <c r="BY41" s="237"/>
      <c r="BZ41" s="237"/>
      <c r="CA41" s="237"/>
      <c r="CB41" s="237"/>
      <c r="CC41" s="237"/>
      <c r="CD41" s="237"/>
      <c r="CE41" s="237"/>
      <c r="CF41" s="237"/>
      <c r="CG41" s="237"/>
      <c r="CH41" s="237"/>
      <c r="CI41" s="237"/>
      <c r="CJ41" s="237"/>
      <c r="CK41" s="237"/>
      <c r="CL41" s="237"/>
      <c r="CM41" s="237"/>
      <c r="CN41" s="237"/>
      <c r="CO41" s="237"/>
      <c r="CP41" s="237"/>
      <c r="CQ41" s="237">
        <f t="shared" si="0"/>
        <v>0</v>
      </c>
    </row>
    <row r="42" spans="1:95" x14ac:dyDescent="0.3">
      <c r="A42" s="257" t="s">
        <v>206</v>
      </c>
      <c r="B42" s="237">
        <f>B22/$B$18</f>
        <v>11544758</v>
      </c>
      <c r="C42" s="237">
        <f>C22/$C$18</f>
        <v>7322231.9953687321</v>
      </c>
      <c r="D42" s="237">
        <f>D22/$D$18</f>
        <v>2509538</v>
      </c>
      <c r="E42" s="237">
        <f>E22/$E$18</f>
        <v>2140325</v>
      </c>
      <c r="F42" s="237">
        <f>F22/$F$18</f>
        <v>3478286.0253279596</v>
      </c>
      <c r="G42" s="237">
        <f>G22/$G$18</f>
        <v>2857819</v>
      </c>
      <c r="H42" s="237">
        <f>H22/$H$18</f>
        <v>3070093</v>
      </c>
      <c r="I42" s="237">
        <f>I22/$I$18</f>
        <v>1710652</v>
      </c>
      <c r="J42" s="237">
        <f>J22/$J$18</f>
        <v>2441792.0797644099</v>
      </c>
      <c r="K42" s="237">
        <f>K22/$K$18</f>
        <v>4634634.5126673989</v>
      </c>
      <c r="L42" s="237">
        <f>L22/$L$18</f>
        <v>4590117.9033452952</v>
      </c>
      <c r="M42" s="237">
        <f>M22/$M$18</f>
        <v>4299202</v>
      </c>
      <c r="N42" s="237">
        <f>N22/$N$18</f>
        <v>3418913</v>
      </c>
      <c r="O42" s="237">
        <f>O22/$O$18</f>
        <v>647040.94640841871</v>
      </c>
      <c r="P42" s="237">
        <f>P22/$P$18</f>
        <v>2138280.1793508362</v>
      </c>
      <c r="Q42" s="237">
        <f>Q22/$Q$18</f>
        <v>846222</v>
      </c>
      <c r="R42" s="237">
        <f>R22/$R$18</f>
        <v>1369553.1771188912</v>
      </c>
      <c r="S42" s="237">
        <f>S22/$S$18</f>
        <v>2817034.6894976851</v>
      </c>
      <c r="T42" s="237">
        <f>T22/$T$18</f>
        <v>3002175.1167329745</v>
      </c>
      <c r="U42" s="237">
        <f>U22/$U$18</f>
        <v>2611280.045058297</v>
      </c>
      <c r="V42" s="237">
        <f>V22/$V$18</f>
        <v>801482.95839742268</v>
      </c>
      <c r="W42" s="237">
        <f>W22/$W$18</f>
        <v>909387</v>
      </c>
      <c r="X42" s="237">
        <f>X22/$X$18</f>
        <v>495165.62639349129</v>
      </c>
      <c r="Y42" s="237">
        <f>Y22/$Y$18</f>
        <v>729994.52021427045</v>
      </c>
      <c r="Z42" s="237">
        <f>Z22/$Z$18</f>
        <v>1093416.7146614224</v>
      </c>
      <c r="AA42" s="237">
        <f>AA22/$AA$18</f>
        <v>795600</v>
      </c>
      <c r="AB42" s="237">
        <f>AB22/$AB$18</f>
        <v>217216</v>
      </c>
      <c r="AC42" s="237">
        <f>AC22/$AC$18</f>
        <v>2086024.0668881475</v>
      </c>
      <c r="AD42" s="237">
        <f>AD22/$AD$18</f>
        <v>1892356.2271489315</v>
      </c>
      <c r="AE42" s="237">
        <f>AE22/$AE$18</f>
        <v>457875.85748399375</v>
      </c>
      <c r="AF42" s="237">
        <f>AF22/$AF$18</f>
        <v>706993.18302688142</v>
      </c>
      <c r="AG42" s="237">
        <f>AG22/$AG$18</f>
        <v>666276.24065870757</v>
      </c>
      <c r="AH42" s="237">
        <f>AH22/$AH$18</f>
        <v>731217.99999999988</v>
      </c>
      <c r="AI42" s="237">
        <f>AI22/$AI$18</f>
        <v>587045.02411578409</v>
      </c>
      <c r="AJ42" s="237">
        <f>AJ22/$AJ$18</f>
        <v>619211</v>
      </c>
      <c r="AK42" s="237">
        <f>AK22/$AK$18</f>
        <v>825000</v>
      </c>
      <c r="AL42" s="237">
        <f>AL22/$AL$18</f>
        <v>254303.00000000003</v>
      </c>
      <c r="AM42" s="237">
        <f>AM22/$AM$18</f>
        <v>627953.81992373348</v>
      </c>
      <c r="AN42" s="237">
        <f>AN22/$AN$18</f>
        <v>817375.86474523228</v>
      </c>
      <c r="AO42" s="237">
        <f>AO22/$AO$18</f>
        <v>1120892</v>
      </c>
      <c r="AP42" s="237">
        <f>AP22/$AP$18</f>
        <v>402669.39910723228</v>
      </c>
      <c r="AQ42" s="237">
        <f>AQ22/$AQ$18</f>
        <v>882630</v>
      </c>
      <c r="AR42" s="237">
        <f>AR22/$AR$18</f>
        <v>376841.47790746688</v>
      </c>
      <c r="AS42" s="237">
        <f>AS22/$AS$18</f>
        <v>616294.52969456196</v>
      </c>
      <c r="AT42" s="237">
        <f>AT22/$AT$18</f>
        <v>598490.36127545068</v>
      </c>
      <c r="AU42" s="237">
        <f>AU22/$AU$18</f>
        <v>608372</v>
      </c>
      <c r="AV42" s="237">
        <f>AV22/$AV$18</f>
        <v>312612.98842046916</v>
      </c>
      <c r="AW42" s="237">
        <f>AW22/$AW$18</f>
        <v>498698</v>
      </c>
      <c r="AX42" s="237">
        <f>AX22/$AX$18</f>
        <v>335999.73390963167</v>
      </c>
      <c r="AY42" s="237">
        <f>AY22/$AY$18</f>
        <v>441699.95238672337</v>
      </c>
      <c r="AZ42" s="237">
        <f>AZ22/$AZ$18</f>
        <v>0</v>
      </c>
      <c r="BA42" s="237">
        <f>BA22/$BA$18</f>
        <v>621406</v>
      </c>
      <c r="BB42" s="237">
        <f>BB22/$BB$18</f>
        <v>106782</v>
      </c>
      <c r="BC42" s="237">
        <f>BC22/$BC$18</f>
        <v>382936</v>
      </c>
      <c r="BD42" s="237">
        <f>BD22/$BD$18</f>
        <v>357765.31934367504</v>
      </c>
      <c r="BE42" s="237">
        <f>BE22/$BE$18</f>
        <v>309499.08580850222</v>
      </c>
      <c r="BF42" s="237">
        <f>BF22/$BF$18</f>
        <v>501822.22019765398</v>
      </c>
      <c r="BG42" s="237">
        <f>BG22/$BG$18</f>
        <v>365839.1565054509</v>
      </c>
      <c r="BH42" s="237">
        <f>BH22/$BH$18</f>
        <v>232795.6510135713</v>
      </c>
      <c r="BI42" s="237">
        <f>BI22/$BI$18</f>
        <v>465493.95547585416</v>
      </c>
      <c r="BJ42" s="237">
        <f>BJ22/$BJ$18</f>
        <v>59743.343149626977</v>
      </c>
      <c r="BK42" s="237">
        <f>BK22/$BK$18</f>
        <v>104914.14948543902</v>
      </c>
      <c r="BL42" s="237">
        <f>BL22/$BL$18</f>
        <v>264421.34622527106</v>
      </c>
      <c r="BM42" s="237">
        <f>BM22/$BM$18</f>
        <v>1427756.4030142033</v>
      </c>
      <c r="BN42" s="237">
        <f>BN22/$BN$18</f>
        <v>289368.13126984541</v>
      </c>
      <c r="BO42" s="237">
        <f>BO22/$BO$18</f>
        <v>227383.76416050957</v>
      </c>
      <c r="BP42" s="237">
        <f>BP22/$BP$18</f>
        <v>2298.1134344964003</v>
      </c>
      <c r="BQ42" s="237">
        <f>BQ22/$BQ$18</f>
        <v>217192</v>
      </c>
      <c r="BR42" s="237">
        <f>BR22/$BR$18</f>
        <v>0</v>
      </c>
      <c r="BS42" s="237">
        <f>BS22/$BS$18</f>
        <v>321173.24403215473</v>
      </c>
      <c r="BT42" s="237">
        <f t="shared" ref="BT42:CB42" si="1">BT22/BT18</f>
        <v>0</v>
      </c>
      <c r="BU42" s="237">
        <f t="shared" si="1"/>
        <v>0</v>
      </c>
      <c r="BV42" s="237">
        <f>BV22/$BV$18</f>
        <v>254732.08847484409</v>
      </c>
      <c r="BW42" s="237">
        <f>BW22/$BW$18</f>
        <v>41084</v>
      </c>
      <c r="BX42" s="237">
        <f>BX22/$BX$18</f>
        <v>509090.00000000006</v>
      </c>
      <c r="BY42" s="237">
        <f>BY22/$BY$18</f>
        <v>35290</v>
      </c>
      <c r="BZ42" s="237">
        <f>BZ22/$BZ$18</f>
        <v>52190.969652846252</v>
      </c>
      <c r="CA42" s="237">
        <f>CA22/$CA$18</f>
        <v>112928</v>
      </c>
      <c r="CB42" s="237">
        <f t="shared" si="1"/>
        <v>0</v>
      </c>
      <c r="CC42" s="237">
        <f>CC22/$CC$18</f>
        <v>125498.04504034364</v>
      </c>
      <c r="CD42" s="237">
        <f>CD22/$CD$18</f>
        <v>35636</v>
      </c>
      <c r="CE42" s="237">
        <f>CE22/$CE$18</f>
        <v>232861.07916569698</v>
      </c>
      <c r="CF42" s="237">
        <f>CF22/$CF$18</f>
        <v>67203.505360405034</v>
      </c>
      <c r="CG42" s="237">
        <f>CG22/$CG$18</f>
        <v>289990.39821641432</v>
      </c>
      <c r="CH42" s="237">
        <f>CH22/$CH$18</f>
        <v>0.28396734632732495</v>
      </c>
      <c r="CI42" s="237">
        <f>CI22/$CI$18</f>
        <v>67557.157288748698</v>
      </c>
      <c r="CJ42" s="237">
        <f>CJ22/$CJ$18</f>
        <v>652124</v>
      </c>
      <c r="CK42" s="237">
        <f>CK22/$CK$18</f>
        <v>227652.87092197331</v>
      </c>
      <c r="CL42" s="237">
        <f>CL22/$CL$18</f>
        <v>12444.047544276063</v>
      </c>
      <c r="CM42" s="237">
        <f>CM22/$CM$18</f>
        <v>9278.6186214329227</v>
      </c>
      <c r="CN42" s="237">
        <f>CN22/$CN$18</f>
        <v>44.838757990534184</v>
      </c>
      <c r="CO42" s="237">
        <f>CO22/$CO$18</f>
        <v>31417.308693735766</v>
      </c>
      <c r="CP42" s="237"/>
      <c r="CQ42" s="237">
        <f t="shared" si="0"/>
        <v>97974657.311822742</v>
      </c>
    </row>
    <row r="43" spans="1:95" x14ac:dyDescent="0.3">
      <c r="A43" s="257" t="s">
        <v>207</v>
      </c>
      <c r="B43" s="237">
        <f t="shared" ref="B43:B50" si="2">B23/$B$18</f>
        <v>4124042.9999999995</v>
      </c>
      <c r="C43" s="237">
        <f t="shared" ref="C43:C50" si="3">C23/$C$18</f>
        <v>38782.775602189191</v>
      </c>
      <c r="D43" s="237">
        <f t="shared" ref="D43:D50" si="4">D23/$D$18</f>
        <v>1075517</v>
      </c>
      <c r="E43" s="237">
        <f t="shared" ref="E43:E50" si="5">E23/$E$18</f>
        <v>1830165.0000000002</v>
      </c>
      <c r="F43" s="237">
        <f t="shared" ref="F43:F50" si="6">F23/$F$18</f>
        <v>0</v>
      </c>
      <c r="G43" s="237">
        <f t="shared" ref="G43:G50" si="7">G23/$G$18</f>
        <v>153953</v>
      </c>
      <c r="H43" s="237">
        <f t="shared" ref="H43:H50" si="8">H23/$H$18</f>
        <v>113263</v>
      </c>
      <c r="I43" s="237">
        <f t="shared" ref="I43:I50" si="9">I23/$I$18</f>
        <v>1522567</v>
      </c>
      <c r="J43" s="237">
        <f t="shared" ref="J43:J50" si="10">J23/$J$18</f>
        <v>0</v>
      </c>
      <c r="K43" s="237">
        <f t="shared" ref="K43:K50" si="11">K23/$K$18</f>
        <v>1717998.641458109</v>
      </c>
      <c r="L43" s="237">
        <f t="shared" ref="L43:L50" si="12">L23/$L$18</f>
        <v>0</v>
      </c>
      <c r="M43" s="237">
        <f t="shared" ref="M43:M50" si="13">M23/$M$18</f>
        <v>0</v>
      </c>
      <c r="N43" s="237">
        <f t="shared" ref="N43:N50" si="14">N23/$N$18</f>
        <v>0</v>
      </c>
      <c r="O43" s="237">
        <f t="shared" ref="O43:O50" si="15">O23/$O$18</f>
        <v>752398.20181956352</v>
      </c>
      <c r="P43" s="237">
        <f t="shared" ref="P43:P50" si="16">P23/$P$18</f>
        <v>0</v>
      </c>
      <c r="Q43" s="237">
        <f t="shared" ref="Q43:Q50" si="17">Q23/$Q$18</f>
        <v>1100162</v>
      </c>
      <c r="R43" s="237">
        <f t="shared" ref="R43:R50" si="18">R23/$R$18</f>
        <v>0</v>
      </c>
      <c r="S43" s="237">
        <f t="shared" ref="S43:S50" si="19">S23/$S$18</f>
        <v>0</v>
      </c>
      <c r="T43" s="237">
        <f t="shared" ref="T43:T50" si="20">T23/$T$18</f>
        <v>0</v>
      </c>
      <c r="U43" s="237">
        <f t="shared" ref="U43:U50" si="21">U23/$U$18</f>
        <v>0</v>
      </c>
      <c r="V43" s="237">
        <f t="shared" ref="V43:V50" si="22">V23/$V$18</f>
        <v>0</v>
      </c>
      <c r="W43" s="237">
        <f t="shared" ref="W43:W50" si="23">W23/$W$18</f>
        <v>0</v>
      </c>
      <c r="X43" s="237">
        <f t="shared" ref="X43:X50" si="24">X23/$X$18</f>
        <v>275660.66525750281</v>
      </c>
      <c r="Y43" s="237">
        <f t="shared" ref="Y43:Y50" si="25">Y23/$Y$18</f>
        <v>0</v>
      </c>
      <c r="Z43" s="237">
        <f t="shared" ref="Z43:Z50" si="26">Z23/$Z$18</f>
        <v>0</v>
      </c>
      <c r="AA43" s="237">
        <f t="shared" ref="AA43:AA50" si="27">AA23/$AA$18</f>
        <v>480773</v>
      </c>
      <c r="AB43" s="237">
        <f t="shared" ref="AB43:AB50" si="28">AB23/$AB$18</f>
        <v>41095</v>
      </c>
      <c r="AC43" s="237">
        <f t="shared" ref="AC43:AC50" si="29">AC23/$AC$18</f>
        <v>0</v>
      </c>
      <c r="AD43" s="237">
        <f t="shared" ref="AD43:AD50" si="30">AD23/$AD$18</f>
        <v>0</v>
      </c>
      <c r="AE43" s="237">
        <f t="shared" ref="AE43:AE50" si="31">AE23/$AE$18</f>
        <v>0</v>
      </c>
      <c r="AF43" s="237">
        <f t="shared" ref="AF43:AF50" si="32">AF23/$AF$18</f>
        <v>0</v>
      </c>
      <c r="AG43" s="237">
        <f t="shared" ref="AG43:AG50" si="33">AG23/$AG$18</f>
        <v>278882.97491833422</v>
      </c>
      <c r="AH43" s="237">
        <f t="shared" ref="AH43:AH50" si="34">AH23/$AH$18</f>
        <v>0</v>
      </c>
      <c r="AI43" s="237">
        <f t="shared" ref="AI43:AI50" si="35">AI23/$AI$18</f>
        <v>900822.65097139357</v>
      </c>
      <c r="AJ43" s="237">
        <f t="shared" ref="AJ43:AJ50" si="36">AJ23/$AJ$18</f>
        <v>2272</v>
      </c>
      <c r="AK43" s="237">
        <f t="shared" ref="AK43:AK50" si="37">AK23/$AK$18</f>
        <v>0</v>
      </c>
      <c r="AL43" s="237">
        <f t="shared" ref="AL43:AL50" si="38">AL23/$AL$18</f>
        <v>150164</v>
      </c>
      <c r="AM43" s="237">
        <f t="shared" ref="AM43:AM50" si="39">AM23/$AM$18</f>
        <v>0</v>
      </c>
      <c r="AN43" s="237">
        <f t="shared" ref="AN43:AN50" si="40">AN23/$AN$18</f>
        <v>0</v>
      </c>
      <c r="AO43" s="237">
        <f t="shared" ref="AO43:AO50" si="41">AO23/$AO$18</f>
        <v>0</v>
      </c>
      <c r="AP43" s="237">
        <f t="shared" ref="AP43:AP50" si="42">AP23/$AP$18</f>
        <v>0</v>
      </c>
      <c r="AQ43" s="237">
        <f t="shared" ref="AQ43:AQ50" si="43">AQ23/$AQ$18</f>
        <v>438942</v>
      </c>
      <c r="AR43" s="237">
        <f t="shared" ref="AR43:AR50" si="44">AR23/$AR$18</f>
        <v>920820.89972930879</v>
      </c>
      <c r="AS43" s="237">
        <f t="shared" ref="AS43:AS50" si="45">AS23/$AS$18</f>
        <v>0</v>
      </c>
      <c r="AT43" s="237">
        <f t="shared" ref="AT43:AT50" si="46">AT23/$AT$18</f>
        <v>0</v>
      </c>
      <c r="AU43" s="237">
        <f t="shared" ref="AU43:AU50" si="47">AU23/$AU$18</f>
        <v>156145</v>
      </c>
      <c r="AV43" s="237">
        <f t="shared" ref="AV43:AV50" si="48">AV23/$AV$18</f>
        <v>104203.97684093831</v>
      </c>
      <c r="AW43" s="237">
        <f t="shared" ref="AW43:AW50" si="49">AW23/$AW$18</f>
        <v>0</v>
      </c>
      <c r="AX43" s="237">
        <f t="shared" ref="AX43:AX50" si="50">AX23/$AX$18</f>
        <v>457446.07833603892</v>
      </c>
      <c r="AY43" s="237">
        <f t="shared" ref="AY43:AY50" si="51">AY23/$AY$18</f>
        <v>34263.831278505742</v>
      </c>
      <c r="AZ43" s="237">
        <f t="shared" ref="AZ43:AZ50" si="52">AZ23/$AZ$18</f>
        <v>0</v>
      </c>
      <c r="BA43" s="237">
        <f t="shared" ref="BA43:BA50" si="53">BA23/$BA$18</f>
        <v>0</v>
      </c>
      <c r="BB43" s="237">
        <f t="shared" ref="BB43:BB50" si="54">BB23/$BB$18</f>
        <v>96389</v>
      </c>
      <c r="BC43" s="237">
        <f t="shared" ref="BC43:BC50" si="55">BC23/$BC$18</f>
        <v>0</v>
      </c>
      <c r="BD43" s="237">
        <f t="shared" ref="BD43:BD50" si="56">BD23/$BD$18</f>
        <v>0</v>
      </c>
      <c r="BE43" s="237">
        <f t="shared" ref="BE43:BE50" si="57">BE23/$BE$18</f>
        <v>0</v>
      </c>
      <c r="BF43" s="237">
        <f t="shared" ref="BF43:BF50" si="58">BF23/$BF$18</f>
        <v>148926.61548388927</v>
      </c>
      <c r="BG43" s="237">
        <f t="shared" ref="BG43:BG50" si="59">BG23/$BG$18</f>
        <v>0</v>
      </c>
      <c r="BH43" s="237">
        <f t="shared" ref="BH43:BH50" si="60">BH23/$BH$18</f>
        <v>116881.530935526</v>
      </c>
      <c r="BI43" s="237">
        <f t="shared" ref="BI43:BI50" si="61">BI23/$BI$18</f>
        <v>27699.32756983619</v>
      </c>
      <c r="BJ43" s="237">
        <f t="shared" ref="BJ43:BJ50" si="62">BJ23/$BJ$18</f>
        <v>149.34206064723421</v>
      </c>
      <c r="BK43" s="237">
        <f t="shared" ref="BK43:BK50" si="63">BK23/$BK$18</f>
        <v>0</v>
      </c>
      <c r="BL43" s="237">
        <f t="shared" ref="BL43:BL50" si="64">BL23/$BL$18</f>
        <v>42509.46561777038</v>
      </c>
      <c r="BM43" s="237">
        <f t="shared" ref="BM43:BM50" si="65">BM23/$BM$18</f>
        <v>0</v>
      </c>
      <c r="BN43" s="237">
        <f t="shared" ref="BN43:BN50" si="66">BN23/$BN$18</f>
        <v>0</v>
      </c>
      <c r="BO43" s="237">
        <f t="shared" ref="BO43:BO50" si="67">BO23/$BO$18</f>
        <v>0</v>
      </c>
      <c r="BP43" s="237">
        <f t="shared" ref="BP43:BP50" si="68">BP23/$BP$18</f>
        <v>1131.9714525886736</v>
      </c>
      <c r="BQ43" s="237">
        <f t="shared" ref="BQ43:BQ50" si="69">BQ23/$BQ$18</f>
        <v>71177</v>
      </c>
      <c r="BR43" s="237">
        <f t="shared" ref="BR43:BR50" si="70">BR23/$BR$18</f>
        <v>0</v>
      </c>
      <c r="BS43" s="237">
        <f t="shared" ref="BS43:BS50" si="71">BS23/$BS$18</f>
        <v>85093.902701792555</v>
      </c>
      <c r="BT43" s="237"/>
      <c r="BU43" s="237"/>
      <c r="BV43" s="237">
        <f t="shared" ref="BV43:BV50" si="72">BV23/$BV$18</f>
        <v>0</v>
      </c>
      <c r="BW43" s="237">
        <f t="shared" ref="BW43:BW50" si="73">BW23/$BW$18</f>
        <v>76298</v>
      </c>
      <c r="BX43" s="237">
        <f t="shared" ref="BX43:BX50" si="74">BX23/$BX$18</f>
        <v>0</v>
      </c>
      <c r="BY43" s="237">
        <f t="shared" ref="BY43:BY50" si="75">BY23/$BY$18</f>
        <v>0</v>
      </c>
      <c r="BZ43" s="237">
        <f t="shared" ref="BZ43:BZ50" si="76">BZ23/$BZ$18</f>
        <v>39678.874805319283</v>
      </c>
      <c r="CA43" s="237">
        <f t="shared" ref="CA43:CA50" si="77">CA23/$CA$18</f>
        <v>97649</v>
      </c>
      <c r="CB43" s="237"/>
      <c r="CC43" s="237">
        <f t="shared" ref="CC43:CC50" si="78">CC23/$CC$18</f>
        <v>0</v>
      </c>
      <c r="CD43" s="237">
        <f t="shared" ref="CD43:CD50" si="79">CD23/$CD$18</f>
        <v>68174</v>
      </c>
      <c r="CE43" s="237">
        <f t="shared" ref="CE43:CE50" si="80">CE23/$CE$18</f>
        <v>0</v>
      </c>
      <c r="CF43" s="237">
        <f t="shared" ref="CF43:CF50" si="81">CF23/$CF$18</f>
        <v>3762.5011326269637</v>
      </c>
      <c r="CG43" s="237">
        <f t="shared" ref="CG43:CG50" si="82">CG23/$CG$18</f>
        <v>113670</v>
      </c>
      <c r="CH43" s="237">
        <f t="shared" ref="CH43:CH50" si="83">CH23/$CH$18</f>
        <v>0</v>
      </c>
      <c r="CI43" s="237">
        <f t="shared" ref="CI43:CI50" si="84">CI23/$CI$18</f>
        <v>9515.4052539868098</v>
      </c>
      <c r="CJ43" s="237">
        <f t="shared" ref="CJ43:CJ50" si="85">CJ23/$CJ$18</f>
        <v>0</v>
      </c>
      <c r="CK43" s="237">
        <f t="shared" ref="CK43:CK50" si="86">CK23/$CK$18</f>
        <v>0</v>
      </c>
      <c r="CL43" s="237">
        <f t="shared" ref="CL43:CL50" si="87">CL23/$CL$18</f>
        <v>13274.12196457915</v>
      </c>
      <c r="CM43" s="237">
        <f t="shared" ref="CM43:CM50" si="88">CM23/$CM$18</f>
        <v>8485.7551192540177</v>
      </c>
      <c r="CN43" s="237">
        <f t="shared" ref="CN43:CN50" si="89">CN23/$CN$18</f>
        <v>25.906971401749747</v>
      </c>
      <c r="CO43" s="237">
        <f t="shared" ref="CO43:CO50" si="90">CO23/$CO$18</f>
        <v>43698.140909146852</v>
      </c>
      <c r="CP43" s="237"/>
      <c r="CQ43" s="237">
        <f t="shared" si="0"/>
        <v>17734531.558190249</v>
      </c>
    </row>
    <row r="44" spans="1:95" x14ac:dyDescent="0.3">
      <c r="A44" s="257" t="s">
        <v>2</v>
      </c>
      <c r="B44" s="237">
        <f t="shared" si="2"/>
        <v>593590</v>
      </c>
      <c r="C44" s="237">
        <f t="shared" si="3"/>
        <v>378352.40661640279</v>
      </c>
      <c r="D44" s="237">
        <f t="shared" si="4"/>
        <v>103187</v>
      </c>
      <c r="E44" s="237">
        <f t="shared" si="5"/>
        <v>5796</v>
      </c>
      <c r="F44" s="237">
        <f t="shared" si="6"/>
        <v>304397.2389746182</v>
      </c>
      <c r="G44" s="237">
        <f t="shared" si="7"/>
        <v>11303</v>
      </c>
      <c r="H44" s="237">
        <f t="shared" si="8"/>
        <v>63764.999999999993</v>
      </c>
      <c r="I44" s="237">
        <f t="shared" si="9"/>
        <v>442448</v>
      </c>
      <c r="J44" s="237">
        <f t="shared" si="10"/>
        <v>30094.830605285319</v>
      </c>
      <c r="K44" s="237">
        <f t="shared" si="11"/>
        <v>46760.89570486403</v>
      </c>
      <c r="L44" s="237">
        <f t="shared" si="12"/>
        <v>115759.10593139735</v>
      </c>
      <c r="M44" s="237">
        <f t="shared" si="13"/>
        <v>280251</v>
      </c>
      <c r="N44" s="237">
        <f t="shared" si="14"/>
        <v>210608</v>
      </c>
      <c r="O44" s="237">
        <f t="shared" si="15"/>
        <v>444836.59488814656</v>
      </c>
      <c r="P44" s="237">
        <f t="shared" si="16"/>
        <v>201066.6372065398</v>
      </c>
      <c r="Q44" s="237">
        <f t="shared" si="17"/>
        <v>60378</v>
      </c>
      <c r="R44" s="237">
        <f t="shared" si="18"/>
        <v>15262.716526922321</v>
      </c>
      <c r="S44" s="237">
        <f t="shared" si="19"/>
        <v>117241.53531781145</v>
      </c>
      <c r="T44" s="237">
        <f t="shared" si="20"/>
        <v>98200.325995188236</v>
      </c>
      <c r="U44" s="237">
        <f t="shared" si="21"/>
        <v>293641.12744927261</v>
      </c>
      <c r="V44" s="237">
        <f t="shared" si="22"/>
        <v>173792.87139844283</v>
      </c>
      <c r="W44" s="237">
        <f t="shared" si="23"/>
        <v>0</v>
      </c>
      <c r="X44" s="237">
        <f t="shared" si="24"/>
        <v>26788.617061487181</v>
      </c>
      <c r="Y44" s="237">
        <f t="shared" si="25"/>
        <v>93151.634469914978</v>
      </c>
      <c r="Z44" s="237">
        <f t="shared" si="26"/>
        <v>98572.420295347678</v>
      </c>
      <c r="AA44" s="237">
        <f t="shared" si="27"/>
        <v>145908</v>
      </c>
      <c r="AB44" s="237">
        <f t="shared" si="28"/>
        <v>70448</v>
      </c>
      <c r="AC44" s="237">
        <f t="shared" si="29"/>
        <v>103722.9484268941</v>
      </c>
      <c r="AD44" s="237">
        <f t="shared" si="30"/>
        <v>39406.336944715906</v>
      </c>
      <c r="AE44" s="237">
        <f t="shared" si="31"/>
        <v>25212.614099325143</v>
      </c>
      <c r="AF44" s="237">
        <f t="shared" si="32"/>
        <v>333141.6605556155</v>
      </c>
      <c r="AG44" s="237">
        <f t="shared" si="33"/>
        <v>168490.68856954615</v>
      </c>
      <c r="AH44" s="237">
        <f t="shared" si="34"/>
        <v>292487</v>
      </c>
      <c r="AI44" s="237">
        <f t="shared" si="35"/>
        <v>100988.20735980154</v>
      </c>
      <c r="AJ44" s="237">
        <f t="shared" si="36"/>
        <v>53759</v>
      </c>
      <c r="AK44" s="237">
        <f t="shared" si="37"/>
        <v>66758</v>
      </c>
      <c r="AL44" s="237">
        <f t="shared" si="38"/>
        <v>8111</v>
      </c>
      <c r="AM44" s="237">
        <f t="shared" si="39"/>
        <v>0</v>
      </c>
      <c r="AN44" s="237">
        <f t="shared" si="40"/>
        <v>70302.274498672836</v>
      </c>
      <c r="AO44" s="237">
        <f t="shared" si="41"/>
        <v>37331</v>
      </c>
      <c r="AP44" s="237">
        <f t="shared" si="42"/>
        <v>4125.8962116749053</v>
      </c>
      <c r="AQ44" s="237">
        <f t="shared" si="43"/>
        <v>24132</v>
      </c>
      <c r="AR44" s="237">
        <f t="shared" si="44"/>
        <v>5073.558194498044</v>
      </c>
      <c r="AS44" s="237">
        <f t="shared" si="45"/>
        <v>330157.60186433885</v>
      </c>
      <c r="AT44" s="237">
        <f t="shared" si="46"/>
        <v>46154.549100417906</v>
      </c>
      <c r="AU44" s="237">
        <f t="shared" si="47"/>
        <v>4586</v>
      </c>
      <c r="AV44" s="237">
        <f t="shared" si="48"/>
        <v>69470.02315906169</v>
      </c>
      <c r="AW44" s="237">
        <f t="shared" si="49"/>
        <v>0</v>
      </c>
      <c r="AX44" s="237">
        <f t="shared" si="50"/>
        <v>4048.6372050868754</v>
      </c>
      <c r="AY44" s="237">
        <f t="shared" si="51"/>
        <v>9328.3729135198882</v>
      </c>
      <c r="AZ44" s="237">
        <f t="shared" si="52"/>
        <v>0</v>
      </c>
      <c r="BA44" s="237">
        <f t="shared" si="53"/>
        <v>0</v>
      </c>
      <c r="BB44" s="237">
        <f t="shared" si="54"/>
        <v>117774</v>
      </c>
      <c r="BC44" s="237">
        <f t="shared" si="55"/>
        <v>662492</v>
      </c>
      <c r="BD44" s="237">
        <f t="shared" si="56"/>
        <v>19648.935187152791</v>
      </c>
      <c r="BE44" s="237">
        <f t="shared" si="57"/>
        <v>31470.163257846649</v>
      </c>
      <c r="BF44" s="237">
        <f t="shared" si="58"/>
        <v>35793.914568003638</v>
      </c>
      <c r="BG44" s="237">
        <f t="shared" si="59"/>
        <v>4822.6945903420374</v>
      </c>
      <c r="BH44" s="237">
        <f t="shared" si="60"/>
        <v>46729.180277316402</v>
      </c>
      <c r="BI44" s="237">
        <f t="shared" si="61"/>
        <v>73273.064062055331</v>
      </c>
      <c r="BJ44" s="237">
        <f t="shared" si="62"/>
        <v>5003.5261311295835</v>
      </c>
      <c r="BK44" s="237">
        <f t="shared" si="63"/>
        <v>16502.727129406612</v>
      </c>
      <c r="BL44" s="237">
        <f t="shared" si="64"/>
        <v>146157.21800843949</v>
      </c>
      <c r="BM44" s="237">
        <f t="shared" si="65"/>
        <v>124928.3578147026</v>
      </c>
      <c r="BN44" s="237">
        <f t="shared" si="66"/>
        <v>1408.7263576707294</v>
      </c>
      <c r="BO44" s="237">
        <f t="shared" si="67"/>
        <v>0</v>
      </c>
      <c r="BP44" s="237">
        <f t="shared" si="68"/>
        <v>132.40272678965627</v>
      </c>
      <c r="BQ44" s="237">
        <f t="shared" si="69"/>
        <v>33118</v>
      </c>
      <c r="BR44" s="237">
        <f t="shared" si="70"/>
        <v>0</v>
      </c>
      <c r="BS44" s="237">
        <f t="shared" si="71"/>
        <v>126663.75335931776</v>
      </c>
      <c r="BT44" s="237"/>
      <c r="BU44" s="237"/>
      <c r="BV44" s="237">
        <f t="shared" si="72"/>
        <v>9176.0706259704184</v>
      </c>
      <c r="BW44" s="237">
        <f t="shared" si="73"/>
        <v>36282</v>
      </c>
      <c r="BX44" s="237">
        <f t="shared" si="74"/>
        <v>450</v>
      </c>
      <c r="BY44" s="237">
        <f t="shared" si="75"/>
        <v>13702</v>
      </c>
      <c r="BZ44" s="237">
        <f t="shared" si="76"/>
        <v>87785.846116983535</v>
      </c>
      <c r="CA44" s="237">
        <f t="shared" si="77"/>
        <v>4631</v>
      </c>
      <c r="CB44" s="237"/>
      <c r="CC44" s="237">
        <f t="shared" si="78"/>
        <v>745.50924491188641</v>
      </c>
      <c r="CD44" s="237">
        <f t="shared" si="79"/>
        <v>3821.0000000000005</v>
      </c>
      <c r="CE44" s="237">
        <f t="shared" si="80"/>
        <v>91818.024994966399</v>
      </c>
      <c r="CF44" s="237">
        <f t="shared" si="81"/>
        <v>5596.7953651025628</v>
      </c>
      <c r="CG44" s="237">
        <f t="shared" si="82"/>
        <v>0</v>
      </c>
      <c r="CH44" s="237">
        <f t="shared" si="83"/>
        <v>5.5886575993362129E-2</v>
      </c>
      <c r="CI44" s="237">
        <f t="shared" si="84"/>
        <v>4757.1740520987278</v>
      </c>
      <c r="CJ44" s="237">
        <f t="shared" si="85"/>
        <v>0</v>
      </c>
      <c r="CK44" s="237">
        <f t="shared" si="86"/>
        <v>0</v>
      </c>
      <c r="CL44" s="237">
        <f t="shared" si="87"/>
        <v>29036.447544276063</v>
      </c>
      <c r="CM44" s="237">
        <f t="shared" si="88"/>
        <v>5480.5304343751468</v>
      </c>
      <c r="CN44" s="237">
        <f t="shared" si="89"/>
        <v>58.290685653936919</v>
      </c>
      <c r="CO44" s="237">
        <f t="shared" si="90"/>
        <v>13261.785382647944</v>
      </c>
      <c r="CP44" s="237"/>
      <c r="CQ44" s="237">
        <f t="shared" si="0"/>
        <v>7974909.5213485444</v>
      </c>
    </row>
    <row r="45" spans="1:95" x14ac:dyDescent="0.3">
      <c r="A45" s="257" t="s">
        <v>208</v>
      </c>
      <c r="B45" s="237">
        <f t="shared" si="2"/>
        <v>57269</v>
      </c>
      <c r="C45" s="237">
        <f t="shared" si="3"/>
        <v>61434.833035748743</v>
      </c>
      <c r="D45" s="237">
        <f t="shared" si="4"/>
        <v>68792</v>
      </c>
      <c r="E45" s="237">
        <f t="shared" si="5"/>
        <v>5925</v>
      </c>
      <c r="F45" s="237">
        <f t="shared" si="6"/>
        <v>52840.468665572713</v>
      </c>
      <c r="G45" s="237">
        <f t="shared" si="7"/>
        <v>387690</v>
      </c>
      <c r="H45" s="237">
        <f t="shared" si="8"/>
        <v>82334</v>
      </c>
      <c r="I45" s="237">
        <f t="shared" si="9"/>
        <v>323438</v>
      </c>
      <c r="J45" s="237">
        <f t="shared" si="10"/>
        <v>178927.80435017124</v>
      </c>
      <c r="K45" s="237">
        <f t="shared" si="11"/>
        <v>52703.624609107443</v>
      </c>
      <c r="L45" s="237">
        <f t="shared" si="12"/>
        <v>67841.815243122226</v>
      </c>
      <c r="M45" s="237">
        <f t="shared" si="13"/>
        <v>268821</v>
      </c>
      <c r="N45" s="237">
        <f t="shared" si="14"/>
        <v>291433</v>
      </c>
      <c r="O45" s="237">
        <f t="shared" si="15"/>
        <v>81211.532456877088</v>
      </c>
      <c r="P45" s="237">
        <f t="shared" si="16"/>
        <v>99469.607434726422</v>
      </c>
      <c r="Q45" s="237">
        <f t="shared" si="17"/>
        <v>177096</v>
      </c>
      <c r="R45" s="237">
        <f t="shared" si="18"/>
        <v>82118.524736994063</v>
      </c>
      <c r="S45" s="237">
        <f t="shared" si="19"/>
        <v>60008.702618735289</v>
      </c>
      <c r="T45" s="237">
        <f t="shared" si="20"/>
        <v>252263.88230724848</v>
      </c>
      <c r="U45" s="237">
        <f t="shared" si="21"/>
        <v>111283.8611344557</v>
      </c>
      <c r="V45" s="237">
        <f t="shared" si="22"/>
        <v>0</v>
      </c>
      <c r="W45" s="237">
        <f t="shared" si="23"/>
        <v>33763</v>
      </c>
      <c r="X45" s="237">
        <f t="shared" si="24"/>
        <v>14478.069957154585</v>
      </c>
      <c r="Y45" s="237">
        <f t="shared" si="25"/>
        <v>48620.441203071809</v>
      </c>
      <c r="Z45" s="237">
        <f t="shared" si="26"/>
        <v>88518.301982639605</v>
      </c>
      <c r="AA45" s="237">
        <f t="shared" si="27"/>
        <v>52326</v>
      </c>
      <c r="AB45" s="237">
        <f t="shared" si="28"/>
        <v>105672</v>
      </c>
      <c r="AC45" s="237">
        <f t="shared" si="29"/>
        <v>44626.658169674221</v>
      </c>
      <c r="AD45" s="237">
        <f t="shared" si="30"/>
        <v>59111.040649150549</v>
      </c>
      <c r="AE45" s="237">
        <f t="shared" si="31"/>
        <v>40409.95493684028</v>
      </c>
      <c r="AF45" s="237">
        <f t="shared" si="32"/>
        <v>343538.45118129003</v>
      </c>
      <c r="AG45" s="237">
        <f t="shared" si="33"/>
        <v>72209.971567535133</v>
      </c>
      <c r="AH45" s="237">
        <f t="shared" si="34"/>
        <v>146244</v>
      </c>
      <c r="AI45" s="237">
        <f t="shared" si="35"/>
        <v>25846.957523146102</v>
      </c>
      <c r="AJ45" s="237">
        <f t="shared" si="36"/>
        <v>46177</v>
      </c>
      <c r="AK45" s="237">
        <f t="shared" si="37"/>
        <v>48727</v>
      </c>
      <c r="AL45" s="237">
        <f t="shared" si="38"/>
        <v>3228</v>
      </c>
      <c r="AM45" s="237">
        <f t="shared" si="39"/>
        <v>168694.62221285707</v>
      </c>
      <c r="AN45" s="237">
        <f t="shared" si="40"/>
        <v>144881.51798180339</v>
      </c>
      <c r="AO45" s="237">
        <f t="shared" si="41"/>
        <v>0</v>
      </c>
      <c r="AP45" s="237">
        <f t="shared" si="42"/>
        <v>25038.001685873358</v>
      </c>
      <c r="AQ45" s="237">
        <f t="shared" si="43"/>
        <v>6810</v>
      </c>
      <c r="AR45" s="237">
        <f t="shared" si="44"/>
        <v>18617.198897802449</v>
      </c>
      <c r="AS45" s="237">
        <f t="shared" si="45"/>
        <v>0</v>
      </c>
      <c r="AT45" s="237">
        <f t="shared" si="46"/>
        <v>0</v>
      </c>
      <c r="AU45" s="237">
        <f t="shared" si="47"/>
        <v>24054.000000000004</v>
      </c>
      <c r="AV45" s="237">
        <f t="shared" si="48"/>
        <v>62522.809263624673</v>
      </c>
      <c r="AW45" s="237">
        <f t="shared" si="49"/>
        <v>45792</v>
      </c>
      <c r="AX45" s="237">
        <f t="shared" si="50"/>
        <v>3036.1876373106329</v>
      </c>
      <c r="AY45" s="237">
        <f t="shared" si="51"/>
        <v>60514.829413346975</v>
      </c>
      <c r="AZ45" s="237">
        <f t="shared" si="52"/>
        <v>0</v>
      </c>
      <c r="BA45" s="237">
        <f t="shared" si="53"/>
        <v>197272</v>
      </c>
      <c r="BB45" s="237">
        <f t="shared" si="54"/>
        <v>69198</v>
      </c>
      <c r="BC45" s="237">
        <f t="shared" si="55"/>
        <v>65599</v>
      </c>
      <c r="BD45" s="237">
        <f t="shared" si="56"/>
        <v>9081.1996524088536</v>
      </c>
      <c r="BE45" s="237">
        <f t="shared" si="57"/>
        <v>23583.506245530392</v>
      </c>
      <c r="BF45" s="237">
        <f t="shared" si="58"/>
        <v>24782.475407872415</v>
      </c>
      <c r="BG45" s="237">
        <f t="shared" si="59"/>
        <v>41328.739778219009</v>
      </c>
      <c r="BH45" s="237">
        <f t="shared" si="60"/>
        <v>84631.154910423298</v>
      </c>
      <c r="BI45" s="237">
        <f t="shared" si="61"/>
        <v>55563.965044004181</v>
      </c>
      <c r="BJ45" s="237">
        <f t="shared" si="62"/>
        <v>7467.9399169828766</v>
      </c>
      <c r="BK45" s="237">
        <f t="shared" si="63"/>
        <v>7804.2352383037733</v>
      </c>
      <c r="BL45" s="237">
        <f t="shared" si="64"/>
        <v>34589.219010797722</v>
      </c>
      <c r="BM45" s="237">
        <f t="shared" si="65"/>
        <v>178469.80226065248</v>
      </c>
      <c r="BN45" s="237">
        <f t="shared" si="66"/>
        <v>2743.4008560521852</v>
      </c>
      <c r="BO45" s="237">
        <f t="shared" si="67"/>
        <v>38987.815036481545</v>
      </c>
      <c r="BP45" s="237">
        <f t="shared" si="68"/>
        <v>0</v>
      </c>
      <c r="BQ45" s="237">
        <f t="shared" si="69"/>
        <v>28319</v>
      </c>
      <c r="BR45" s="237">
        <f t="shared" si="70"/>
        <v>0</v>
      </c>
      <c r="BS45" s="237">
        <f t="shared" si="71"/>
        <v>109115.32025167094</v>
      </c>
      <c r="BT45" s="237"/>
      <c r="BU45" s="237"/>
      <c r="BV45" s="237">
        <f t="shared" si="72"/>
        <v>12579.778302143772</v>
      </c>
      <c r="BW45" s="237">
        <f t="shared" si="73"/>
        <v>16342</v>
      </c>
      <c r="BX45" s="237">
        <f t="shared" si="74"/>
        <v>8872</v>
      </c>
      <c r="BY45" s="237">
        <f t="shared" si="75"/>
        <v>15493</v>
      </c>
      <c r="BZ45" s="237">
        <f t="shared" si="76"/>
        <v>48470.536258996784</v>
      </c>
      <c r="CA45" s="237">
        <f t="shared" si="77"/>
        <v>3272</v>
      </c>
      <c r="CB45" s="237"/>
      <c r="CC45" s="237">
        <f t="shared" si="78"/>
        <v>4024.3139496607923</v>
      </c>
      <c r="CD45" s="237">
        <f t="shared" si="79"/>
        <v>13177</v>
      </c>
      <c r="CE45" s="237">
        <f t="shared" si="80"/>
        <v>45423.263792388869</v>
      </c>
      <c r="CF45" s="237">
        <f t="shared" si="81"/>
        <v>3912.361772535101</v>
      </c>
      <c r="CG45" s="237">
        <f t="shared" si="82"/>
        <v>51019.601783585727</v>
      </c>
      <c r="CH45" s="237">
        <f t="shared" si="83"/>
        <v>2.7647628926227085E-2</v>
      </c>
      <c r="CI45" s="237">
        <f t="shared" si="84"/>
        <v>1902.8696208394911</v>
      </c>
      <c r="CJ45" s="237">
        <f t="shared" si="85"/>
        <v>6450</v>
      </c>
      <c r="CK45" s="237">
        <f t="shared" si="86"/>
        <v>44086.292895288789</v>
      </c>
      <c r="CL45" s="237">
        <f t="shared" si="87"/>
        <v>14933.260982289574</v>
      </c>
      <c r="CM45" s="237">
        <f t="shared" si="88"/>
        <v>5530.9029567499174</v>
      </c>
      <c r="CN45" s="237">
        <f t="shared" si="89"/>
        <v>71.247174017236659</v>
      </c>
      <c r="CO45" s="237">
        <f t="shared" si="90"/>
        <v>4755.98446920276</v>
      </c>
      <c r="CP45" s="237"/>
      <c r="CQ45" s="237">
        <f t="shared" si="0"/>
        <v>5775213.8860706054</v>
      </c>
    </row>
    <row r="46" spans="1:95" x14ac:dyDescent="0.3">
      <c r="A46" s="257" t="s">
        <v>209</v>
      </c>
      <c r="B46" s="237">
        <f t="shared" si="2"/>
        <v>2911995</v>
      </c>
      <c r="C46" s="237">
        <f t="shared" si="3"/>
        <v>1116641.5667950858</v>
      </c>
      <c r="D46" s="237">
        <f t="shared" si="4"/>
        <v>515935</v>
      </c>
      <c r="E46" s="237">
        <f t="shared" si="5"/>
        <v>174942</v>
      </c>
      <c r="F46" s="237">
        <f t="shared" si="6"/>
        <v>1852791.7944030131</v>
      </c>
      <c r="G46" s="237">
        <f t="shared" si="7"/>
        <v>448084</v>
      </c>
      <c r="H46" s="237">
        <f t="shared" si="8"/>
        <v>1222657</v>
      </c>
      <c r="I46" s="237">
        <f t="shared" si="9"/>
        <v>556897</v>
      </c>
      <c r="J46" s="237">
        <f t="shared" si="10"/>
        <v>586127.41819559189</v>
      </c>
      <c r="K46" s="237">
        <f t="shared" si="11"/>
        <v>0</v>
      </c>
      <c r="L46" s="237">
        <f t="shared" si="12"/>
        <v>7981.2737614674352</v>
      </c>
      <c r="M46" s="237">
        <f t="shared" si="13"/>
        <v>160088</v>
      </c>
      <c r="N46" s="237">
        <f t="shared" si="14"/>
        <v>843121</v>
      </c>
      <c r="O46" s="237">
        <f t="shared" si="15"/>
        <v>556180.16333772056</v>
      </c>
      <c r="P46" s="237">
        <f t="shared" si="16"/>
        <v>179774.54516979557</v>
      </c>
      <c r="Q46" s="237">
        <f t="shared" si="17"/>
        <v>79049</v>
      </c>
      <c r="R46" s="237">
        <f t="shared" si="18"/>
        <v>163395.77019626379</v>
      </c>
      <c r="S46" s="237">
        <f t="shared" si="19"/>
        <v>585752.9734279376</v>
      </c>
      <c r="T46" s="237">
        <f t="shared" si="20"/>
        <v>148138.14809222592</v>
      </c>
      <c r="U46" s="237">
        <f t="shared" si="21"/>
        <v>364743.83883332025</v>
      </c>
      <c r="V46" s="237">
        <f t="shared" si="22"/>
        <v>191472.72767312053</v>
      </c>
      <c r="W46" s="237">
        <f t="shared" si="23"/>
        <v>479351</v>
      </c>
      <c r="X46" s="237">
        <f t="shared" si="24"/>
        <v>253064.15576401859</v>
      </c>
      <c r="Y46" s="237">
        <f t="shared" si="25"/>
        <v>93150.70361447765</v>
      </c>
      <c r="Z46" s="237">
        <f t="shared" si="26"/>
        <v>352899.25657302031</v>
      </c>
      <c r="AA46" s="237">
        <f t="shared" si="27"/>
        <v>114934.99999999999</v>
      </c>
      <c r="AB46" s="237">
        <f t="shared" si="28"/>
        <v>123285</v>
      </c>
      <c r="AC46" s="237">
        <f t="shared" si="29"/>
        <v>358836.26845136151</v>
      </c>
      <c r="AD46" s="237">
        <f t="shared" si="30"/>
        <v>69819.284384127706</v>
      </c>
      <c r="AE46" s="237">
        <f t="shared" si="31"/>
        <v>112387.97096383458</v>
      </c>
      <c r="AF46" s="237">
        <f t="shared" si="32"/>
        <v>231994.61310953126</v>
      </c>
      <c r="AG46" s="237">
        <f t="shared" si="33"/>
        <v>87883.07631225833</v>
      </c>
      <c r="AH46" s="237">
        <f t="shared" si="34"/>
        <v>277862</v>
      </c>
      <c r="AI46" s="237">
        <f t="shared" si="35"/>
        <v>100923.16002987466</v>
      </c>
      <c r="AJ46" s="237">
        <f t="shared" si="36"/>
        <v>24459</v>
      </c>
      <c r="AK46" s="237">
        <f t="shared" si="37"/>
        <v>136918</v>
      </c>
      <c r="AL46" s="237">
        <f t="shared" si="38"/>
        <v>288803</v>
      </c>
      <c r="AM46" s="237">
        <f t="shared" si="39"/>
        <v>691027.31154688855</v>
      </c>
      <c r="AN46" s="237">
        <f t="shared" si="40"/>
        <v>142720.4552219341</v>
      </c>
      <c r="AO46" s="237">
        <f t="shared" si="41"/>
        <v>95427</v>
      </c>
      <c r="AP46" s="237">
        <f t="shared" si="42"/>
        <v>3849.5756861667569</v>
      </c>
      <c r="AQ46" s="237">
        <f t="shared" si="43"/>
        <v>57202</v>
      </c>
      <c r="AR46" s="237">
        <f t="shared" si="44"/>
        <v>64813.789259116333</v>
      </c>
      <c r="AS46" s="237">
        <f t="shared" si="45"/>
        <v>88042.366711619863</v>
      </c>
      <c r="AT46" s="237">
        <f t="shared" si="46"/>
        <v>69753.089624131389</v>
      </c>
      <c r="AU46" s="237">
        <f t="shared" si="47"/>
        <v>220577</v>
      </c>
      <c r="AV46" s="237">
        <f t="shared" si="48"/>
        <v>138938.98842046913</v>
      </c>
      <c r="AW46" s="237">
        <f t="shared" si="49"/>
        <v>0</v>
      </c>
      <c r="AX46" s="237">
        <f t="shared" si="50"/>
        <v>179132.74846929117</v>
      </c>
      <c r="AY46" s="237">
        <f t="shared" si="51"/>
        <v>6512.2955936732387</v>
      </c>
      <c r="AZ46" s="237">
        <f t="shared" si="52"/>
        <v>0</v>
      </c>
      <c r="BA46" s="237">
        <f t="shared" si="53"/>
        <v>0</v>
      </c>
      <c r="BB46" s="237">
        <f t="shared" si="54"/>
        <v>125150</v>
      </c>
      <c r="BC46" s="237">
        <f t="shared" si="55"/>
        <v>42397</v>
      </c>
      <c r="BD46" s="237">
        <f t="shared" si="56"/>
        <v>14484.811837831276</v>
      </c>
      <c r="BE46" s="237">
        <f t="shared" si="57"/>
        <v>0</v>
      </c>
      <c r="BF46" s="237">
        <f t="shared" si="58"/>
        <v>71316.98977340493</v>
      </c>
      <c r="BG46" s="237">
        <f t="shared" si="59"/>
        <v>0</v>
      </c>
      <c r="BH46" s="237">
        <f t="shared" si="60"/>
        <v>26221.63223851896</v>
      </c>
      <c r="BI46" s="237">
        <f t="shared" si="61"/>
        <v>120344.50828752057</v>
      </c>
      <c r="BJ46" s="237">
        <f t="shared" si="62"/>
        <v>2240.3819750948628</v>
      </c>
      <c r="BK46" s="237">
        <f t="shared" si="63"/>
        <v>9386.6182833369821</v>
      </c>
      <c r="BL46" s="237">
        <f t="shared" si="64"/>
        <v>219234.73697046176</v>
      </c>
      <c r="BM46" s="237">
        <f t="shared" si="65"/>
        <v>51756.091525262978</v>
      </c>
      <c r="BN46" s="237">
        <f t="shared" si="66"/>
        <v>703.02838826823847</v>
      </c>
      <c r="BO46" s="237">
        <f t="shared" si="67"/>
        <v>40383.056132725535</v>
      </c>
      <c r="BP46" s="237">
        <f t="shared" si="68"/>
        <v>893.11686886556038</v>
      </c>
      <c r="BQ46" s="237">
        <f t="shared" si="69"/>
        <v>18825</v>
      </c>
      <c r="BR46" s="237">
        <f t="shared" si="70"/>
        <v>0</v>
      </c>
      <c r="BS46" s="237">
        <f t="shared" si="71"/>
        <v>102912.08451471261</v>
      </c>
      <c r="BT46" s="237"/>
      <c r="BU46" s="237"/>
      <c r="BV46" s="237">
        <f t="shared" si="72"/>
        <v>52498.415461305871</v>
      </c>
      <c r="BW46" s="237">
        <f t="shared" si="73"/>
        <v>32013</v>
      </c>
      <c r="BX46" s="237">
        <f t="shared" si="74"/>
        <v>270</v>
      </c>
      <c r="BY46" s="237">
        <f t="shared" si="75"/>
        <v>7872</v>
      </c>
      <c r="BZ46" s="237">
        <f t="shared" si="76"/>
        <v>61830.470311765632</v>
      </c>
      <c r="CA46" s="237">
        <f t="shared" si="77"/>
        <v>9473</v>
      </c>
      <c r="CB46" s="237"/>
      <c r="CC46" s="237">
        <f t="shared" si="78"/>
        <v>15799.291429488982</v>
      </c>
      <c r="CD46" s="237">
        <f t="shared" si="79"/>
        <v>0</v>
      </c>
      <c r="CE46" s="237">
        <f t="shared" si="80"/>
        <v>82094.891082816204</v>
      </c>
      <c r="CF46" s="237">
        <f t="shared" si="81"/>
        <v>0</v>
      </c>
      <c r="CG46" s="237">
        <f t="shared" si="82"/>
        <v>0</v>
      </c>
      <c r="CH46" s="237">
        <f t="shared" si="83"/>
        <v>4.9968427979344095E-2</v>
      </c>
      <c r="CI46" s="237">
        <f t="shared" si="84"/>
        <v>9515.4052539868098</v>
      </c>
      <c r="CJ46" s="237">
        <f t="shared" si="85"/>
        <v>689</v>
      </c>
      <c r="CK46" s="237">
        <f t="shared" si="86"/>
        <v>3010.8361827378963</v>
      </c>
      <c r="CL46" s="237">
        <f t="shared" si="87"/>
        <v>11614.982946868724</v>
      </c>
      <c r="CM46" s="237">
        <f t="shared" si="88"/>
        <v>5254.8615341361701</v>
      </c>
      <c r="CN46" s="237">
        <f t="shared" si="89"/>
        <v>38.860457102624615</v>
      </c>
      <c r="CO46" s="237">
        <f t="shared" si="90"/>
        <v>10446.605415430555</v>
      </c>
      <c r="CP46" s="237"/>
      <c r="CQ46" s="237">
        <f t="shared" si="0"/>
        <v>18679007.056461409</v>
      </c>
    </row>
    <row r="47" spans="1:95" x14ac:dyDescent="0.3">
      <c r="A47" s="257" t="s">
        <v>210</v>
      </c>
      <c r="B47" s="237">
        <f t="shared" si="2"/>
        <v>187667</v>
      </c>
      <c r="C47" s="237">
        <f t="shared" si="3"/>
        <v>0</v>
      </c>
      <c r="D47" s="237">
        <f t="shared" si="4"/>
        <v>343957</v>
      </c>
      <c r="E47" s="237">
        <f t="shared" si="5"/>
        <v>0</v>
      </c>
      <c r="F47" s="237">
        <f t="shared" si="6"/>
        <v>12300.154037510238</v>
      </c>
      <c r="G47" s="237">
        <f t="shared" si="7"/>
        <v>0</v>
      </c>
      <c r="H47" s="237">
        <f t="shared" si="8"/>
        <v>416011</v>
      </c>
      <c r="I47" s="237">
        <f t="shared" si="9"/>
        <v>0</v>
      </c>
      <c r="J47" s="237">
        <f t="shared" si="10"/>
        <v>0</v>
      </c>
      <c r="K47" s="237">
        <f t="shared" si="11"/>
        <v>661727.38719941024</v>
      </c>
      <c r="L47" s="237">
        <f t="shared" si="12"/>
        <v>0</v>
      </c>
      <c r="M47" s="237">
        <f t="shared" si="13"/>
        <v>295771</v>
      </c>
      <c r="N47" s="237">
        <f t="shared" si="14"/>
        <v>0</v>
      </c>
      <c r="O47" s="237">
        <f t="shared" si="15"/>
        <v>3620.0623174704856</v>
      </c>
      <c r="P47" s="237">
        <f t="shared" si="16"/>
        <v>0</v>
      </c>
      <c r="Q47" s="237">
        <f t="shared" si="17"/>
        <v>0</v>
      </c>
      <c r="R47" s="237">
        <f t="shared" si="18"/>
        <v>0</v>
      </c>
      <c r="S47" s="237">
        <f t="shared" si="19"/>
        <v>22096.312229256386</v>
      </c>
      <c r="T47" s="237">
        <f t="shared" si="20"/>
        <v>0</v>
      </c>
      <c r="U47" s="237">
        <f t="shared" si="21"/>
        <v>27660.367287412217</v>
      </c>
      <c r="V47" s="237">
        <f t="shared" si="22"/>
        <v>0</v>
      </c>
      <c r="W47" s="237">
        <f t="shared" si="23"/>
        <v>0</v>
      </c>
      <c r="X47" s="237">
        <f t="shared" si="24"/>
        <v>22555.191438072368</v>
      </c>
      <c r="Y47" s="237">
        <f t="shared" si="25"/>
        <v>48620.441203071809</v>
      </c>
      <c r="Z47" s="237">
        <f t="shared" si="26"/>
        <v>112415.96275459154</v>
      </c>
      <c r="AA47" s="237">
        <f t="shared" si="27"/>
        <v>99</v>
      </c>
      <c r="AB47" s="237">
        <f t="shared" si="28"/>
        <v>29353</v>
      </c>
      <c r="AC47" s="237">
        <f t="shared" si="29"/>
        <v>0</v>
      </c>
      <c r="AD47" s="237">
        <f t="shared" si="30"/>
        <v>46546.701333444034</v>
      </c>
      <c r="AE47" s="237">
        <f t="shared" si="31"/>
        <v>80.231071119570856</v>
      </c>
      <c r="AF47" s="237">
        <f t="shared" si="32"/>
        <v>231410.09212668176</v>
      </c>
      <c r="AG47" s="237">
        <f t="shared" si="33"/>
        <v>0</v>
      </c>
      <c r="AH47" s="237">
        <f t="shared" si="34"/>
        <v>0</v>
      </c>
      <c r="AI47" s="237">
        <f t="shared" si="35"/>
        <v>0</v>
      </c>
      <c r="AJ47" s="237">
        <f t="shared" si="36"/>
        <v>357</v>
      </c>
      <c r="AK47" s="237">
        <f t="shared" si="37"/>
        <v>0</v>
      </c>
      <c r="AL47" s="237">
        <f t="shared" si="38"/>
        <v>113516</v>
      </c>
      <c r="AM47" s="237">
        <f t="shared" si="39"/>
        <v>0</v>
      </c>
      <c r="AN47" s="237">
        <f t="shared" si="40"/>
        <v>1806.2614112340243</v>
      </c>
      <c r="AO47" s="237">
        <f t="shared" si="41"/>
        <v>0</v>
      </c>
      <c r="AP47" s="237">
        <f t="shared" si="42"/>
        <v>314.14386740280031</v>
      </c>
      <c r="AQ47" s="237">
        <f t="shared" si="43"/>
        <v>0</v>
      </c>
      <c r="AR47" s="237">
        <f t="shared" si="44"/>
        <v>0</v>
      </c>
      <c r="AS47" s="237">
        <f t="shared" si="45"/>
        <v>0</v>
      </c>
      <c r="AT47" s="237">
        <f t="shared" si="46"/>
        <v>0</v>
      </c>
      <c r="AU47" s="237">
        <f t="shared" si="47"/>
        <v>0</v>
      </c>
      <c r="AV47" s="237">
        <f t="shared" si="48"/>
        <v>0</v>
      </c>
      <c r="AW47" s="237">
        <f t="shared" si="49"/>
        <v>0</v>
      </c>
      <c r="AX47" s="237">
        <f t="shared" si="50"/>
        <v>0</v>
      </c>
      <c r="AY47" s="237">
        <f t="shared" si="51"/>
        <v>65053.81535223715</v>
      </c>
      <c r="AZ47" s="237">
        <f t="shared" si="52"/>
        <v>0</v>
      </c>
      <c r="BA47" s="237">
        <f t="shared" si="53"/>
        <v>0</v>
      </c>
      <c r="BB47" s="237">
        <f t="shared" si="54"/>
        <v>102433</v>
      </c>
      <c r="BC47" s="237">
        <f t="shared" si="55"/>
        <v>0</v>
      </c>
      <c r="BD47" s="237">
        <f t="shared" si="56"/>
        <v>421.62435870192161</v>
      </c>
      <c r="BE47" s="237">
        <f t="shared" si="57"/>
        <v>0</v>
      </c>
      <c r="BF47" s="237">
        <f t="shared" si="58"/>
        <v>0</v>
      </c>
      <c r="BG47" s="237">
        <f t="shared" si="59"/>
        <v>0</v>
      </c>
      <c r="BH47" s="237">
        <f t="shared" si="60"/>
        <v>0</v>
      </c>
      <c r="BI47" s="237">
        <f t="shared" si="61"/>
        <v>0</v>
      </c>
      <c r="BJ47" s="237">
        <f t="shared" si="62"/>
        <v>0</v>
      </c>
      <c r="BK47" s="237">
        <f t="shared" si="63"/>
        <v>0</v>
      </c>
      <c r="BL47" s="237">
        <f t="shared" si="64"/>
        <v>17905.033135994057</v>
      </c>
      <c r="BM47" s="237">
        <f t="shared" si="65"/>
        <v>0</v>
      </c>
      <c r="BN47" s="237">
        <f t="shared" si="66"/>
        <v>0</v>
      </c>
      <c r="BO47" s="237">
        <f t="shared" si="67"/>
        <v>0</v>
      </c>
      <c r="BP47" s="237">
        <f t="shared" si="68"/>
        <v>0</v>
      </c>
      <c r="BQ47" s="237">
        <f t="shared" si="69"/>
        <v>78109</v>
      </c>
      <c r="BR47" s="237">
        <f t="shared" si="70"/>
        <v>0</v>
      </c>
      <c r="BS47" s="237">
        <f t="shared" si="71"/>
        <v>0</v>
      </c>
      <c r="BT47" s="237"/>
      <c r="BU47" s="237"/>
      <c r="BV47" s="237">
        <f t="shared" si="72"/>
        <v>0</v>
      </c>
      <c r="BW47" s="237">
        <f t="shared" si="73"/>
        <v>0</v>
      </c>
      <c r="BX47" s="237">
        <f t="shared" si="74"/>
        <v>0</v>
      </c>
      <c r="BY47" s="237">
        <f t="shared" si="75"/>
        <v>0</v>
      </c>
      <c r="BZ47" s="237">
        <f t="shared" si="76"/>
        <v>0</v>
      </c>
      <c r="CA47" s="237">
        <f t="shared" si="77"/>
        <v>0</v>
      </c>
      <c r="CB47" s="237"/>
      <c r="CC47" s="237">
        <f t="shared" si="78"/>
        <v>0</v>
      </c>
      <c r="CD47" s="237">
        <f t="shared" si="79"/>
        <v>0</v>
      </c>
      <c r="CE47" s="237">
        <f t="shared" si="80"/>
        <v>0</v>
      </c>
      <c r="CF47" s="237">
        <f t="shared" si="81"/>
        <v>0</v>
      </c>
      <c r="CG47" s="237">
        <f t="shared" si="82"/>
        <v>0</v>
      </c>
      <c r="CH47" s="237">
        <f t="shared" si="83"/>
        <v>0</v>
      </c>
      <c r="CI47" s="237">
        <f t="shared" si="84"/>
        <v>1656.5537199197122</v>
      </c>
      <c r="CJ47" s="237">
        <f t="shared" si="85"/>
        <v>0</v>
      </c>
      <c r="CK47" s="237">
        <f t="shared" si="86"/>
        <v>0</v>
      </c>
      <c r="CL47" s="237">
        <f t="shared" si="87"/>
        <v>0</v>
      </c>
      <c r="CM47" s="237">
        <f t="shared" si="88"/>
        <v>0</v>
      </c>
      <c r="CN47" s="237">
        <f t="shared" si="89"/>
        <v>0</v>
      </c>
      <c r="CO47" s="237">
        <f t="shared" si="90"/>
        <v>8.9982506297265843</v>
      </c>
      <c r="CP47" s="237"/>
      <c r="CQ47" s="237">
        <f t="shared" si="0"/>
        <v>2843472.3330941601</v>
      </c>
    </row>
    <row r="48" spans="1:95" x14ac:dyDescent="0.3">
      <c r="A48" s="257" t="s">
        <v>211</v>
      </c>
      <c r="B48" s="237">
        <f t="shared" si="2"/>
        <v>1646099</v>
      </c>
      <c r="C48" s="237">
        <f t="shared" si="3"/>
        <v>473514.42258184071</v>
      </c>
      <c r="D48" s="237">
        <f t="shared" si="4"/>
        <v>608788</v>
      </c>
      <c r="E48" s="237">
        <f t="shared" si="5"/>
        <v>2892</v>
      </c>
      <c r="F48" s="237">
        <f t="shared" si="6"/>
        <v>436572.89160639449</v>
      </c>
      <c r="G48" s="237">
        <f t="shared" si="7"/>
        <v>68237</v>
      </c>
      <c r="H48" s="237">
        <f t="shared" si="8"/>
        <v>5160</v>
      </c>
      <c r="I48" s="237">
        <f t="shared" si="9"/>
        <v>10307</v>
      </c>
      <c r="J48" s="237">
        <f t="shared" si="10"/>
        <v>14419.86708454158</v>
      </c>
      <c r="K48" s="237">
        <f t="shared" si="11"/>
        <v>62437.938361110326</v>
      </c>
      <c r="L48" s="237">
        <f t="shared" si="12"/>
        <v>8433.9017187175705</v>
      </c>
      <c r="M48" s="237">
        <f t="shared" si="13"/>
        <v>234512</v>
      </c>
      <c r="N48" s="237">
        <f t="shared" si="14"/>
        <v>39117</v>
      </c>
      <c r="O48" s="237">
        <f t="shared" si="15"/>
        <v>34344.240385784338</v>
      </c>
      <c r="P48" s="237">
        <f t="shared" si="16"/>
        <v>556.03083810227065</v>
      </c>
      <c r="Q48" s="237">
        <f t="shared" si="17"/>
        <v>214495</v>
      </c>
      <c r="R48" s="237">
        <f t="shared" si="18"/>
        <v>7698.1081924734881</v>
      </c>
      <c r="S48" s="237">
        <f t="shared" si="19"/>
        <v>262181.19658694963</v>
      </c>
      <c r="T48" s="237">
        <f t="shared" si="20"/>
        <v>4586.5268723630606</v>
      </c>
      <c r="U48" s="237">
        <f t="shared" si="21"/>
        <v>38392.299077387594</v>
      </c>
      <c r="V48" s="237">
        <f t="shared" si="22"/>
        <v>0</v>
      </c>
      <c r="W48" s="237">
        <f t="shared" si="23"/>
        <v>2611</v>
      </c>
      <c r="X48" s="237">
        <f t="shared" si="24"/>
        <v>1946.4154211585378</v>
      </c>
      <c r="Y48" s="237">
        <f t="shared" si="25"/>
        <v>0</v>
      </c>
      <c r="Z48" s="237">
        <f t="shared" si="26"/>
        <v>3714.3860446241638</v>
      </c>
      <c r="AA48" s="237">
        <f t="shared" si="27"/>
        <v>450000</v>
      </c>
      <c r="AB48" s="237">
        <f t="shared" si="28"/>
        <v>0</v>
      </c>
      <c r="AC48" s="237">
        <f t="shared" si="29"/>
        <v>40262.058063922523</v>
      </c>
      <c r="AD48" s="237">
        <f t="shared" si="30"/>
        <v>148673.40953963037</v>
      </c>
      <c r="AE48" s="237">
        <f t="shared" si="31"/>
        <v>8023.1071119570852</v>
      </c>
      <c r="AF48" s="237">
        <f t="shared" si="32"/>
        <v>0</v>
      </c>
      <c r="AG48" s="237">
        <f t="shared" si="33"/>
        <v>303535.75747720775</v>
      </c>
      <c r="AH48" s="237">
        <f t="shared" si="34"/>
        <v>14623</v>
      </c>
      <c r="AI48" s="237">
        <f t="shared" si="35"/>
        <v>0</v>
      </c>
      <c r="AJ48" s="237">
        <f t="shared" si="36"/>
        <v>351867</v>
      </c>
      <c r="AK48" s="237">
        <f t="shared" si="37"/>
        <v>13043</v>
      </c>
      <c r="AL48" s="237">
        <f t="shared" si="38"/>
        <v>31384</v>
      </c>
      <c r="AM48" s="237">
        <f t="shared" si="39"/>
        <v>46057.246316520912</v>
      </c>
      <c r="AN48" s="237">
        <f t="shared" si="40"/>
        <v>180.62614112340245</v>
      </c>
      <c r="AO48" s="237">
        <f t="shared" si="41"/>
        <v>7924</v>
      </c>
      <c r="AP48" s="237">
        <f t="shared" si="42"/>
        <v>15204.983441649922</v>
      </c>
      <c r="AQ48" s="237">
        <f t="shared" si="43"/>
        <v>8308</v>
      </c>
      <c r="AR48" s="237">
        <f t="shared" si="44"/>
        <v>24012.076011807501</v>
      </c>
      <c r="AS48" s="237">
        <f t="shared" si="45"/>
        <v>21928.336224283426</v>
      </c>
      <c r="AT48" s="237">
        <f t="shared" si="46"/>
        <v>0</v>
      </c>
      <c r="AU48" s="237">
        <f t="shared" si="47"/>
        <v>65539</v>
      </c>
      <c r="AV48" s="237">
        <f t="shared" si="48"/>
        <v>6947.2138954370193</v>
      </c>
      <c r="AW48" s="237">
        <f t="shared" si="49"/>
        <v>0</v>
      </c>
      <c r="AX48" s="237">
        <f t="shared" si="50"/>
        <v>2023.7380695343913</v>
      </c>
      <c r="AY48" s="237">
        <f t="shared" si="51"/>
        <v>2859.0566021004465</v>
      </c>
      <c r="AZ48" s="237">
        <f t="shared" si="52"/>
        <v>0</v>
      </c>
      <c r="BA48" s="237">
        <f t="shared" si="53"/>
        <v>0</v>
      </c>
      <c r="BB48" s="237">
        <f t="shared" si="54"/>
        <v>18634</v>
      </c>
      <c r="BC48" s="237">
        <f t="shared" si="55"/>
        <v>5297</v>
      </c>
      <c r="BD48" s="237">
        <f t="shared" si="56"/>
        <v>7063.7580978112383</v>
      </c>
      <c r="BE48" s="237">
        <f t="shared" si="57"/>
        <v>5566.2446881207788</v>
      </c>
      <c r="BF48" s="237">
        <f t="shared" si="58"/>
        <v>158027.35705113426</v>
      </c>
      <c r="BG48" s="237">
        <f t="shared" si="59"/>
        <v>2072.4091259880865</v>
      </c>
      <c r="BH48" s="237">
        <f t="shared" si="60"/>
        <v>8004.850624644042</v>
      </c>
      <c r="BI48" s="237">
        <f t="shared" si="61"/>
        <v>32374.291664339456</v>
      </c>
      <c r="BJ48" s="237">
        <f t="shared" si="62"/>
        <v>74.650108208087929</v>
      </c>
      <c r="BK48" s="237">
        <f t="shared" si="63"/>
        <v>1899.2698635136121</v>
      </c>
      <c r="BL48" s="237">
        <f t="shared" si="64"/>
        <v>5967.9810312655218</v>
      </c>
      <c r="BM48" s="237">
        <f t="shared" si="65"/>
        <v>1784.3453851786237</v>
      </c>
      <c r="BN48" s="237">
        <f t="shared" si="66"/>
        <v>197.0847289548405</v>
      </c>
      <c r="BO48" s="237">
        <f t="shared" si="67"/>
        <v>1818.3646702833253</v>
      </c>
      <c r="BP48" s="237">
        <f t="shared" si="68"/>
        <v>18.748574924111594</v>
      </c>
      <c r="BQ48" s="237">
        <f t="shared" si="69"/>
        <v>138622</v>
      </c>
      <c r="BR48" s="237">
        <f t="shared" si="70"/>
        <v>0</v>
      </c>
      <c r="BS48" s="237">
        <f t="shared" si="71"/>
        <v>3445.6951403514081</v>
      </c>
      <c r="BT48" s="237"/>
      <c r="BU48" s="237"/>
      <c r="BV48" s="237">
        <f t="shared" si="72"/>
        <v>11084.702609572063</v>
      </c>
      <c r="BW48" s="237">
        <f t="shared" si="73"/>
        <v>6403</v>
      </c>
      <c r="BX48" s="237">
        <f t="shared" si="74"/>
        <v>720</v>
      </c>
      <c r="BY48" s="237">
        <f t="shared" si="75"/>
        <v>0</v>
      </c>
      <c r="BZ48" s="237">
        <f t="shared" si="76"/>
        <v>21907.302854088528</v>
      </c>
      <c r="CA48" s="237">
        <f t="shared" si="77"/>
        <v>115</v>
      </c>
      <c r="CB48" s="237"/>
      <c r="CC48" s="237">
        <f t="shared" si="78"/>
        <v>2980.8403355947166</v>
      </c>
      <c r="CD48" s="237">
        <f t="shared" si="79"/>
        <v>11566</v>
      </c>
      <c r="CE48" s="237">
        <f t="shared" si="80"/>
        <v>253.91409584476736</v>
      </c>
      <c r="CF48" s="237">
        <f t="shared" si="81"/>
        <v>15230.83636933034</v>
      </c>
      <c r="CG48" s="237">
        <f t="shared" si="82"/>
        <v>0</v>
      </c>
      <c r="CH48" s="237">
        <f t="shared" si="83"/>
        <v>1.5454905955548882E-4</v>
      </c>
      <c r="CI48" s="237">
        <f t="shared" si="84"/>
        <v>951.43481041974553</v>
      </c>
      <c r="CJ48" s="237">
        <f t="shared" si="85"/>
        <v>0</v>
      </c>
      <c r="CK48" s="237">
        <f t="shared" si="86"/>
        <v>0</v>
      </c>
      <c r="CL48" s="237">
        <f t="shared" si="87"/>
        <v>1659.1390177104256</v>
      </c>
      <c r="CM48" s="237">
        <f t="shared" si="88"/>
        <v>8969.3313340518253</v>
      </c>
      <c r="CN48" s="237">
        <f t="shared" si="89"/>
        <v>9.9628339257076544</v>
      </c>
      <c r="CO48" s="237">
        <f t="shared" si="90"/>
        <v>40901.139226029933</v>
      </c>
      <c r="CP48" s="237"/>
      <c r="CQ48" s="237">
        <f t="shared" si="0"/>
        <v>6257032.4880624563</v>
      </c>
    </row>
    <row r="49" spans="1:95" x14ac:dyDescent="0.3">
      <c r="A49" s="257" t="s">
        <v>212</v>
      </c>
      <c r="B49" s="237">
        <f t="shared" si="2"/>
        <v>3116629</v>
      </c>
      <c r="C49" s="237">
        <f t="shared" si="3"/>
        <v>0</v>
      </c>
      <c r="D49" s="237">
        <f t="shared" si="4"/>
        <v>93916</v>
      </c>
      <c r="E49" s="237">
        <f t="shared" si="5"/>
        <v>0</v>
      </c>
      <c r="F49" s="237">
        <f t="shared" si="6"/>
        <v>727563.55636900058</v>
      </c>
      <c r="G49" s="237">
        <f t="shared" si="7"/>
        <v>7276</v>
      </c>
      <c r="H49" s="237">
        <f t="shared" si="8"/>
        <v>0</v>
      </c>
      <c r="I49" s="237">
        <f t="shared" si="9"/>
        <v>0</v>
      </c>
      <c r="J49" s="237">
        <f t="shared" si="10"/>
        <v>0</v>
      </c>
      <c r="K49" s="237">
        <f t="shared" si="11"/>
        <v>0</v>
      </c>
      <c r="L49" s="237">
        <f t="shared" si="12"/>
        <v>0</v>
      </c>
      <c r="M49" s="237">
        <f t="shared" si="13"/>
        <v>174163</v>
      </c>
      <c r="N49" s="237">
        <f t="shared" si="14"/>
        <v>0</v>
      </c>
      <c r="O49" s="237">
        <f t="shared" si="15"/>
        <v>1655308.2583860187</v>
      </c>
      <c r="P49" s="237">
        <f t="shared" si="16"/>
        <v>0</v>
      </c>
      <c r="Q49" s="237">
        <f t="shared" si="17"/>
        <v>0</v>
      </c>
      <c r="R49" s="237">
        <f t="shared" si="18"/>
        <v>108.18091943377306</v>
      </c>
      <c r="S49" s="237">
        <f t="shared" si="19"/>
        <v>1479.6024709966628</v>
      </c>
      <c r="T49" s="237">
        <f t="shared" si="20"/>
        <v>0</v>
      </c>
      <c r="U49" s="237">
        <f t="shared" si="21"/>
        <v>5277.4611598546289</v>
      </c>
      <c r="V49" s="237">
        <f t="shared" si="22"/>
        <v>1497.4425310139598</v>
      </c>
      <c r="W49" s="237">
        <f t="shared" si="23"/>
        <v>0</v>
      </c>
      <c r="X49" s="237">
        <f t="shared" si="24"/>
        <v>0</v>
      </c>
      <c r="Y49" s="237">
        <f t="shared" si="25"/>
        <v>118587.25929519332</v>
      </c>
      <c r="Z49" s="237">
        <f t="shared" si="26"/>
        <v>230867.55599583581</v>
      </c>
      <c r="AA49" s="237">
        <f t="shared" si="27"/>
        <v>0</v>
      </c>
      <c r="AB49" s="237">
        <f t="shared" si="28"/>
        <v>0</v>
      </c>
      <c r="AC49" s="237">
        <f t="shared" si="29"/>
        <v>0</v>
      </c>
      <c r="AD49" s="237">
        <f t="shared" si="30"/>
        <v>0</v>
      </c>
      <c r="AE49" s="237">
        <f t="shared" si="31"/>
        <v>0</v>
      </c>
      <c r="AF49" s="237">
        <f t="shared" si="32"/>
        <v>0</v>
      </c>
      <c r="AG49" s="237">
        <f t="shared" si="33"/>
        <v>64094.290496410838</v>
      </c>
      <c r="AH49" s="237">
        <f t="shared" si="34"/>
        <v>0</v>
      </c>
      <c r="AI49" s="237">
        <f t="shared" si="35"/>
        <v>0</v>
      </c>
      <c r="AJ49" s="237">
        <f t="shared" si="36"/>
        <v>22053</v>
      </c>
      <c r="AK49" s="237">
        <f t="shared" si="37"/>
        <v>65459.000000000007</v>
      </c>
      <c r="AL49" s="237">
        <f t="shared" si="38"/>
        <v>0</v>
      </c>
      <c r="AM49" s="237">
        <f t="shared" si="39"/>
        <v>0</v>
      </c>
      <c r="AN49" s="237">
        <f t="shared" si="40"/>
        <v>0</v>
      </c>
      <c r="AO49" s="237">
        <f t="shared" si="41"/>
        <v>0</v>
      </c>
      <c r="AP49" s="237">
        <f t="shared" si="42"/>
        <v>0</v>
      </c>
      <c r="AQ49" s="237">
        <f t="shared" si="43"/>
        <v>192232</v>
      </c>
      <c r="AR49" s="237">
        <f t="shared" si="44"/>
        <v>0</v>
      </c>
      <c r="AS49" s="237">
        <f t="shared" si="45"/>
        <v>44102.165505195844</v>
      </c>
      <c r="AT49" s="237">
        <f t="shared" si="46"/>
        <v>0</v>
      </c>
      <c r="AU49" s="237">
        <f t="shared" si="47"/>
        <v>6762</v>
      </c>
      <c r="AV49" s="237">
        <f t="shared" si="48"/>
        <v>0</v>
      </c>
      <c r="AW49" s="237">
        <f t="shared" si="49"/>
        <v>0</v>
      </c>
      <c r="AX49" s="237">
        <f t="shared" si="50"/>
        <v>30361.876373106334</v>
      </c>
      <c r="AY49" s="237">
        <f t="shared" si="51"/>
        <v>11953.846459893175</v>
      </c>
      <c r="AZ49" s="237">
        <f t="shared" si="52"/>
        <v>0</v>
      </c>
      <c r="BA49" s="237">
        <f t="shared" si="53"/>
        <v>147954</v>
      </c>
      <c r="BB49" s="237">
        <f t="shared" si="54"/>
        <v>0</v>
      </c>
      <c r="BC49" s="237">
        <f t="shared" si="55"/>
        <v>0</v>
      </c>
      <c r="BD49" s="237">
        <f t="shared" si="56"/>
        <v>0</v>
      </c>
      <c r="BE49" s="237">
        <f t="shared" si="57"/>
        <v>0</v>
      </c>
      <c r="BF49" s="237">
        <f t="shared" si="58"/>
        <v>0</v>
      </c>
      <c r="BG49" s="237">
        <f t="shared" si="59"/>
        <v>0</v>
      </c>
      <c r="BH49" s="237">
        <f t="shared" si="60"/>
        <v>0</v>
      </c>
      <c r="BI49" s="237">
        <f t="shared" si="61"/>
        <v>35230.84681119294</v>
      </c>
      <c r="BJ49" s="237">
        <f t="shared" si="62"/>
        <v>0</v>
      </c>
      <c r="BK49" s="237">
        <f t="shared" si="63"/>
        <v>0</v>
      </c>
      <c r="BL49" s="237">
        <f t="shared" si="64"/>
        <v>0</v>
      </c>
      <c r="BM49" s="237">
        <f t="shared" si="65"/>
        <v>0</v>
      </c>
      <c r="BN49" s="237">
        <f t="shared" si="66"/>
        <v>0</v>
      </c>
      <c r="BO49" s="237">
        <f t="shared" si="67"/>
        <v>0</v>
      </c>
      <c r="BP49" s="237">
        <f t="shared" si="68"/>
        <v>0</v>
      </c>
      <c r="BQ49" s="237">
        <f t="shared" si="69"/>
        <v>0</v>
      </c>
      <c r="BR49" s="237">
        <f t="shared" si="70"/>
        <v>0</v>
      </c>
      <c r="BS49" s="237">
        <f t="shared" si="71"/>
        <v>0</v>
      </c>
      <c r="BT49" s="237"/>
      <c r="BU49" s="237"/>
      <c r="BV49" s="237">
        <f t="shared" si="72"/>
        <v>1098.94452616382</v>
      </c>
      <c r="BW49" s="237">
        <f t="shared" si="73"/>
        <v>0</v>
      </c>
      <c r="BX49" s="237">
        <f t="shared" si="74"/>
        <v>0</v>
      </c>
      <c r="BY49" s="237">
        <f t="shared" si="75"/>
        <v>20403</v>
      </c>
      <c r="BZ49" s="237">
        <f t="shared" si="76"/>
        <v>0</v>
      </c>
      <c r="CA49" s="237">
        <f t="shared" si="77"/>
        <v>0</v>
      </c>
      <c r="CB49" s="237"/>
      <c r="CC49" s="237">
        <f t="shared" si="78"/>
        <v>0</v>
      </c>
      <c r="CD49" s="237">
        <f t="shared" si="79"/>
        <v>16064</v>
      </c>
      <c r="CE49" s="237">
        <f t="shared" si="80"/>
        <v>0</v>
      </c>
      <c r="CF49" s="237">
        <f t="shared" si="81"/>
        <v>0</v>
      </c>
      <c r="CG49" s="237">
        <f t="shared" si="82"/>
        <v>0</v>
      </c>
      <c r="CH49" s="237">
        <f t="shared" si="83"/>
        <v>0</v>
      </c>
      <c r="CI49" s="237">
        <f t="shared" si="84"/>
        <v>0</v>
      </c>
      <c r="CJ49" s="237">
        <f t="shared" si="85"/>
        <v>1211</v>
      </c>
      <c r="CK49" s="237">
        <f t="shared" si="86"/>
        <v>0</v>
      </c>
      <c r="CL49" s="237">
        <f t="shared" si="87"/>
        <v>0</v>
      </c>
      <c r="CM49" s="237">
        <f t="shared" si="88"/>
        <v>0</v>
      </c>
      <c r="CN49" s="237">
        <f t="shared" si="89"/>
        <v>0</v>
      </c>
      <c r="CO49" s="237">
        <f t="shared" si="90"/>
        <v>0</v>
      </c>
      <c r="CP49" s="237"/>
      <c r="CQ49" s="237">
        <f t="shared" si="0"/>
        <v>6791653.2872993108</v>
      </c>
    </row>
    <row r="50" spans="1:95" x14ac:dyDescent="0.3">
      <c r="A50" s="257" t="s">
        <v>80</v>
      </c>
      <c r="B50" s="237">
        <f t="shared" si="2"/>
        <v>530531</v>
      </c>
      <c r="C50" s="237">
        <f t="shared" si="3"/>
        <v>0</v>
      </c>
      <c r="D50" s="237">
        <f t="shared" si="4"/>
        <v>0</v>
      </c>
      <c r="E50" s="237">
        <f t="shared" si="5"/>
        <v>0</v>
      </c>
      <c r="F50" s="237">
        <f t="shared" si="6"/>
        <v>331814.87061593105</v>
      </c>
      <c r="G50" s="237">
        <f t="shared" si="7"/>
        <v>0</v>
      </c>
      <c r="H50" s="237">
        <f t="shared" si="8"/>
        <v>0</v>
      </c>
      <c r="I50" s="237">
        <f t="shared" si="9"/>
        <v>0</v>
      </c>
      <c r="J50" s="237">
        <f t="shared" si="10"/>
        <v>0</v>
      </c>
      <c r="K50" s="237">
        <f t="shared" si="11"/>
        <v>0</v>
      </c>
      <c r="L50" s="237">
        <f t="shared" si="12"/>
        <v>0</v>
      </c>
      <c r="M50" s="237">
        <f t="shared" si="13"/>
        <v>785</v>
      </c>
      <c r="N50" s="237">
        <f t="shared" si="14"/>
        <v>0</v>
      </c>
      <c r="O50" s="237">
        <f t="shared" si="15"/>
        <v>0</v>
      </c>
      <c r="P50" s="237">
        <f t="shared" si="16"/>
        <v>0</v>
      </c>
      <c r="Q50" s="237">
        <f t="shared" si="17"/>
        <v>0</v>
      </c>
      <c r="R50" s="237">
        <f t="shared" si="18"/>
        <v>0</v>
      </c>
      <c r="S50" s="237">
        <f t="shared" si="19"/>
        <v>0</v>
      </c>
      <c r="T50" s="237">
        <f t="shared" si="20"/>
        <v>0</v>
      </c>
      <c r="U50" s="237">
        <f t="shared" si="21"/>
        <v>0</v>
      </c>
      <c r="V50" s="237">
        <f t="shared" si="22"/>
        <v>0</v>
      </c>
      <c r="W50" s="237">
        <f t="shared" si="23"/>
        <v>0</v>
      </c>
      <c r="X50" s="237">
        <f t="shared" si="24"/>
        <v>0</v>
      </c>
      <c r="Y50" s="237">
        <f t="shared" si="25"/>
        <v>0</v>
      </c>
      <c r="Z50" s="237">
        <f t="shared" si="26"/>
        <v>21386.846388251994</v>
      </c>
      <c r="AA50" s="237">
        <f t="shared" si="27"/>
        <v>0</v>
      </c>
      <c r="AB50" s="237">
        <f t="shared" si="28"/>
        <v>0</v>
      </c>
      <c r="AC50" s="237">
        <f t="shared" si="29"/>
        <v>0</v>
      </c>
      <c r="AD50" s="237">
        <f t="shared" si="30"/>
        <v>0</v>
      </c>
      <c r="AE50" s="237">
        <f t="shared" si="31"/>
        <v>908427.76433292963</v>
      </c>
      <c r="AF50" s="237">
        <f t="shared" si="32"/>
        <v>0</v>
      </c>
      <c r="AG50" s="237">
        <f t="shared" si="33"/>
        <v>0</v>
      </c>
      <c r="AH50" s="237">
        <f t="shared" si="34"/>
        <v>0</v>
      </c>
      <c r="AI50" s="237">
        <f t="shared" si="35"/>
        <v>0</v>
      </c>
      <c r="AJ50" s="237">
        <f t="shared" si="36"/>
        <v>0</v>
      </c>
      <c r="AK50" s="237">
        <f t="shared" si="37"/>
        <v>0</v>
      </c>
      <c r="AL50" s="237">
        <f t="shared" si="38"/>
        <v>0</v>
      </c>
      <c r="AM50" s="237">
        <f t="shared" si="39"/>
        <v>0</v>
      </c>
      <c r="AN50" s="237">
        <f t="shared" si="40"/>
        <v>0</v>
      </c>
      <c r="AO50" s="237">
        <f t="shared" si="41"/>
        <v>0</v>
      </c>
      <c r="AP50" s="237">
        <f t="shared" si="42"/>
        <v>0</v>
      </c>
      <c r="AQ50" s="237">
        <f t="shared" si="43"/>
        <v>0</v>
      </c>
      <c r="AR50" s="237">
        <f t="shared" si="44"/>
        <v>0</v>
      </c>
      <c r="AS50" s="237">
        <f t="shared" si="45"/>
        <v>0</v>
      </c>
      <c r="AT50" s="237">
        <f t="shared" si="46"/>
        <v>0</v>
      </c>
      <c r="AU50" s="237">
        <f t="shared" si="47"/>
        <v>0</v>
      </c>
      <c r="AV50" s="237">
        <f t="shared" si="48"/>
        <v>0</v>
      </c>
      <c r="AW50" s="237">
        <f t="shared" si="49"/>
        <v>0</v>
      </c>
      <c r="AX50" s="237">
        <f t="shared" si="50"/>
        <v>0</v>
      </c>
      <c r="AY50" s="237">
        <f t="shared" si="51"/>
        <v>0</v>
      </c>
      <c r="AZ50" s="237">
        <f t="shared" si="52"/>
        <v>0</v>
      </c>
      <c r="BA50" s="237">
        <f t="shared" si="53"/>
        <v>0</v>
      </c>
      <c r="BB50" s="237">
        <f t="shared" si="54"/>
        <v>0</v>
      </c>
      <c r="BC50" s="237">
        <f t="shared" si="55"/>
        <v>0</v>
      </c>
      <c r="BD50" s="237">
        <f t="shared" si="56"/>
        <v>26.3515224188701</v>
      </c>
      <c r="BE50" s="237">
        <f t="shared" si="57"/>
        <v>0</v>
      </c>
      <c r="BF50" s="237">
        <f t="shared" si="58"/>
        <v>105507.42751804144</v>
      </c>
      <c r="BG50" s="237">
        <f t="shared" si="59"/>
        <v>0</v>
      </c>
      <c r="BH50" s="237">
        <f t="shared" si="60"/>
        <v>0</v>
      </c>
      <c r="BI50" s="237">
        <f t="shared" si="61"/>
        <v>18745.041085197096</v>
      </c>
      <c r="BJ50" s="237">
        <f t="shared" si="62"/>
        <v>0</v>
      </c>
      <c r="BK50" s="237">
        <f t="shared" si="63"/>
        <v>0</v>
      </c>
      <c r="BL50" s="237">
        <f t="shared" si="64"/>
        <v>0</v>
      </c>
      <c r="BM50" s="237">
        <f t="shared" si="65"/>
        <v>0</v>
      </c>
      <c r="BN50" s="237">
        <f t="shared" si="66"/>
        <v>0</v>
      </c>
      <c r="BO50" s="237">
        <f t="shared" si="67"/>
        <v>0</v>
      </c>
      <c r="BP50" s="237">
        <f t="shared" si="68"/>
        <v>0</v>
      </c>
      <c r="BQ50" s="237">
        <f t="shared" si="69"/>
        <v>18126</v>
      </c>
      <c r="BR50" s="237">
        <f t="shared" si="70"/>
        <v>0</v>
      </c>
      <c r="BS50" s="237">
        <f t="shared" si="71"/>
        <v>0</v>
      </c>
      <c r="BT50" s="237"/>
      <c r="BU50" s="237"/>
      <c r="BV50" s="237">
        <f t="shared" si="72"/>
        <v>0</v>
      </c>
      <c r="BW50" s="237">
        <f t="shared" si="73"/>
        <v>0</v>
      </c>
      <c r="BX50" s="237">
        <f t="shared" si="74"/>
        <v>0</v>
      </c>
      <c r="BY50" s="237">
        <f t="shared" si="75"/>
        <v>0</v>
      </c>
      <c r="BZ50" s="237">
        <f t="shared" si="76"/>
        <v>0</v>
      </c>
      <c r="CA50" s="237">
        <f t="shared" si="77"/>
        <v>0</v>
      </c>
      <c r="CB50" s="237"/>
      <c r="CC50" s="237">
        <f t="shared" si="78"/>
        <v>0</v>
      </c>
      <c r="CD50" s="237">
        <f t="shared" si="79"/>
        <v>16064</v>
      </c>
      <c r="CE50" s="237">
        <f t="shared" si="80"/>
        <v>0</v>
      </c>
      <c r="CF50" s="237">
        <f t="shared" si="81"/>
        <v>0</v>
      </c>
      <c r="CG50" s="237">
        <f t="shared" si="82"/>
        <v>0</v>
      </c>
      <c r="CH50" s="237">
        <f t="shared" si="83"/>
        <v>0</v>
      </c>
      <c r="CI50" s="237">
        <f t="shared" si="84"/>
        <v>0</v>
      </c>
      <c r="CJ50" s="237">
        <f t="shared" si="85"/>
        <v>0</v>
      </c>
      <c r="CK50" s="237">
        <f t="shared" si="86"/>
        <v>0</v>
      </c>
      <c r="CL50" s="237">
        <f t="shared" si="87"/>
        <v>0</v>
      </c>
      <c r="CM50" s="237">
        <f t="shared" si="88"/>
        <v>0</v>
      </c>
      <c r="CN50" s="237">
        <f t="shared" si="89"/>
        <v>0</v>
      </c>
      <c r="CO50" s="237">
        <f t="shared" si="90"/>
        <v>0</v>
      </c>
      <c r="CP50" s="237"/>
      <c r="CQ50" s="237">
        <f t="shared" si="0"/>
        <v>1951414.30146277</v>
      </c>
    </row>
    <row r="51" spans="1:95" x14ac:dyDescent="0.3">
      <c r="A51" s="147" t="s">
        <v>421</v>
      </c>
      <c r="B51" s="262">
        <f>SUM(B42:B50)</f>
        <v>24712581</v>
      </c>
      <c r="C51" s="262">
        <f t="shared" ref="C51:BN51" si="91">SUM(C42:C50)</f>
        <v>9390957.9999999981</v>
      </c>
      <c r="D51" s="262">
        <f t="shared" si="91"/>
        <v>5319630</v>
      </c>
      <c r="E51" s="262">
        <f t="shared" si="91"/>
        <v>4160045</v>
      </c>
      <c r="F51" s="262">
        <f t="shared" si="91"/>
        <v>7196567</v>
      </c>
      <c r="G51" s="262">
        <f t="shared" si="91"/>
        <v>3934362</v>
      </c>
      <c r="H51" s="262">
        <f t="shared" si="91"/>
        <v>4973283</v>
      </c>
      <c r="I51" s="262">
        <f t="shared" si="91"/>
        <v>4566309</v>
      </c>
      <c r="J51" s="262">
        <f t="shared" si="91"/>
        <v>3251361.9999999995</v>
      </c>
      <c r="K51" s="262">
        <f t="shared" si="91"/>
        <v>7176262.9999999991</v>
      </c>
      <c r="L51" s="262">
        <f t="shared" si="91"/>
        <v>4790134</v>
      </c>
      <c r="M51" s="262">
        <f t="shared" si="91"/>
        <v>5713593</v>
      </c>
      <c r="N51" s="262">
        <f t="shared" si="91"/>
        <v>4803192</v>
      </c>
      <c r="O51" s="262">
        <f t="shared" si="91"/>
        <v>4174940</v>
      </c>
      <c r="P51" s="262">
        <f t="shared" si="91"/>
        <v>2619147</v>
      </c>
      <c r="Q51" s="262">
        <f t="shared" si="91"/>
        <v>2477402</v>
      </c>
      <c r="R51" s="262">
        <f t="shared" si="91"/>
        <v>1638136.4776909784</v>
      </c>
      <c r="S51" s="262">
        <f t="shared" si="91"/>
        <v>3865795.0121493726</v>
      </c>
      <c r="T51" s="262">
        <f t="shared" si="91"/>
        <v>3505364.0000000005</v>
      </c>
      <c r="U51" s="262">
        <f t="shared" si="91"/>
        <v>3452279</v>
      </c>
      <c r="V51" s="262">
        <f t="shared" si="91"/>
        <v>1168246</v>
      </c>
      <c r="W51" s="262">
        <f t="shared" si="91"/>
        <v>1425112</v>
      </c>
      <c r="X51" s="262">
        <f t="shared" si="91"/>
        <v>1089658.7412928853</v>
      </c>
      <c r="Y51" s="262">
        <f t="shared" si="91"/>
        <v>1132125</v>
      </c>
      <c r="Z51" s="262">
        <f t="shared" si="91"/>
        <v>2001791.4446957335</v>
      </c>
      <c r="AA51" s="262">
        <f t="shared" si="91"/>
        <v>2039641</v>
      </c>
      <c r="AB51" s="262">
        <f t="shared" si="91"/>
        <v>587069</v>
      </c>
      <c r="AC51" s="262">
        <f t="shared" si="91"/>
        <v>2633471.9999999995</v>
      </c>
      <c r="AD51" s="262">
        <f t="shared" si="91"/>
        <v>2255912.9999999995</v>
      </c>
      <c r="AE51" s="262">
        <f t="shared" si="91"/>
        <v>1552417.5</v>
      </c>
      <c r="AF51" s="262">
        <f t="shared" si="91"/>
        <v>1847078</v>
      </c>
      <c r="AG51" s="262">
        <f t="shared" si="91"/>
        <v>1641373</v>
      </c>
      <c r="AH51" s="262">
        <f t="shared" si="91"/>
        <v>1462434</v>
      </c>
      <c r="AI51" s="262">
        <f t="shared" si="91"/>
        <v>1715626</v>
      </c>
      <c r="AJ51" s="262">
        <f t="shared" si="91"/>
        <v>1120155</v>
      </c>
      <c r="AK51" s="262">
        <f t="shared" si="91"/>
        <v>1155905</v>
      </c>
      <c r="AL51" s="262">
        <f t="shared" si="91"/>
        <v>849509</v>
      </c>
      <c r="AM51" s="262">
        <f t="shared" si="91"/>
        <v>1533733</v>
      </c>
      <c r="AN51" s="262">
        <f t="shared" si="91"/>
        <v>1177267</v>
      </c>
      <c r="AO51" s="262">
        <f t="shared" si="91"/>
        <v>1261574</v>
      </c>
      <c r="AP51" s="262">
        <f t="shared" si="91"/>
        <v>451202.00000000006</v>
      </c>
      <c r="AQ51" s="262">
        <f t="shared" si="91"/>
        <v>1610256</v>
      </c>
      <c r="AR51" s="262">
        <f t="shared" si="91"/>
        <v>1410179</v>
      </c>
      <c r="AS51" s="262">
        <f t="shared" si="91"/>
        <v>1100524.9999999998</v>
      </c>
      <c r="AT51" s="262">
        <f t="shared" si="91"/>
        <v>714398</v>
      </c>
      <c r="AU51" s="262">
        <f t="shared" si="91"/>
        <v>1086035</v>
      </c>
      <c r="AV51" s="262">
        <f t="shared" si="91"/>
        <v>694696</v>
      </c>
      <c r="AW51" s="262">
        <f t="shared" si="91"/>
        <v>544490</v>
      </c>
      <c r="AX51" s="262">
        <f t="shared" si="91"/>
        <v>1012049</v>
      </c>
      <c r="AY51" s="262">
        <f t="shared" si="91"/>
        <v>632186.00000000012</v>
      </c>
      <c r="AZ51" s="262">
        <f t="shared" si="91"/>
        <v>0</v>
      </c>
      <c r="BA51" s="262">
        <f t="shared" si="91"/>
        <v>966632</v>
      </c>
      <c r="BB51" s="262">
        <f t="shared" si="91"/>
        <v>636360</v>
      </c>
      <c r="BC51" s="262">
        <f t="shared" si="91"/>
        <v>1158721</v>
      </c>
      <c r="BD51" s="262">
        <f t="shared" si="91"/>
        <v>408492</v>
      </c>
      <c r="BE51" s="262">
        <f t="shared" si="91"/>
        <v>370119.00000000006</v>
      </c>
      <c r="BF51" s="262">
        <f t="shared" si="91"/>
        <v>1046176.9999999999</v>
      </c>
      <c r="BG51" s="262">
        <f t="shared" si="91"/>
        <v>414063.00000000006</v>
      </c>
      <c r="BH51" s="262">
        <f t="shared" si="91"/>
        <v>515264</v>
      </c>
      <c r="BI51" s="262">
        <f t="shared" si="91"/>
        <v>828725</v>
      </c>
      <c r="BJ51" s="262">
        <f t="shared" si="91"/>
        <v>74679.183341689626</v>
      </c>
      <c r="BK51" s="262">
        <f t="shared" si="91"/>
        <v>140507.00000000003</v>
      </c>
      <c r="BL51" s="262">
        <f t="shared" si="91"/>
        <v>730785.00000000012</v>
      </c>
      <c r="BM51" s="262">
        <f t="shared" si="91"/>
        <v>1784695</v>
      </c>
      <c r="BN51" s="262">
        <f t="shared" si="91"/>
        <v>294420.3716007914</v>
      </c>
      <c r="BO51" s="262">
        <f t="shared" ref="BO51:CO51" si="92">SUM(BO42:BO50)</f>
        <v>308573</v>
      </c>
      <c r="BP51" s="262">
        <f t="shared" si="92"/>
        <v>4474.3530576644025</v>
      </c>
      <c r="BQ51" s="262">
        <f t="shared" si="92"/>
        <v>603488</v>
      </c>
      <c r="BR51" s="262">
        <f t="shared" si="92"/>
        <v>0</v>
      </c>
      <c r="BS51" s="262">
        <f t="shared" si="92"/>
        <v>748403.99999999988</v>
      </c>
      <c r="BT51" s="262">
        <f t="shared" si="92"/>
        <v>0</v>
      </c>
      <c r="BU51" s="262">
        <f t="shared" si="92"/>
        <v>0</v>
      </c>
      <c r="BV51" s="262">
        <f t="shared" si="92"/>
        <v>341170</v>
      </c>
      <c r="BW51" s="262">
        <f t="shared" si="92"/>
        <v>208422</v>
      </c>
      <c r="BX51" s="262">
        <f t="shared" si="92"/>
        <v>519402.00000000006</v>
      </c>
      <c r="BY51" s="262">
        <f t="shared" si="92"/>
        <v>92760</v>
      </c>
      <c r="BZ51" s="262">
        <f t="shared" si="92"/>
        <v>311864.00000000006</v>
      </c>
      <c r="CA51" s="262">
        <f t="shared" si="92"/>
        <v>228068</v>
      </c>
      <c r="CB51" s="262">
        <f t="shared" si="92"/>
        <v>0</v>
      </c>
      <c r="CC51" s="262">
        <f t="shared" si="92"/>
        <v>149048.00000000003</v>
      </c>
      <c r="CD51" s="262">
        <f t="shared" si="92"/>
        <v>164502</v>
      </c>
      <c r="CE51" s="262">
        <f t="shared" si="92"/>
        <v>452451.17313171324</v>
      </c>
      <c r="CF51" s="262">
        <f t="shared" si="92"/>
        <v>95706</v>
      </c>
      <c r="CG51" s="262">
        <f t="shared" si="92"/>
        <v>454680.00000000006</v>
      </c>
      <c r="CH51" s="262">
        <f t="shared" si="92"/>
        <v>0.4176245282858137</v>
      </c>
      <c r="CI51" s="262">
        <f t="shared" si="92"/>
        <v>95856</v>
      </c>
      <c r="CJ51" s="262">
        <f t="shared" si="92"/>
        <v>660474</v>
      </c>
      <c r="CK51" s="262">
        <f t="shared" si="92"/>
        <v>274750</v>
      </c>
      <c r="CL51" s="262">
        <f t="shared" si="92"/>
        <v>82962</v>
      </c>
      <c r="CM51" s="262">
        <f t="shared" si="92"/>
        <v>43000</v>
      </c>
      <c r="CN51" s="262">
        <f t="shared" si="92"/>
        <v>249.10688009178978</v>
      </c>
      <c r="CO51" s="262">
        <f t="shared" si="92"/>
        <v>144489.96234682354</v>
      </c>
      <c r="CP51" s="237"/>
      <c r="CQ51" s="262">
        <f t="shared" si="0"/>
        <v>165981891.74381223</v>
      </c>
    </row>
    <row r="52" spans="1:95" s="254" customFormat="1" x14ac:dyDescent="0.3">
      <c r="A52" s="177" t="s">
        <v>463</v>
      </c>
      <c r="B52" s="247">
        <f>B10</f>
        <v>89354658</v>
      </c>
      <c r="C52" s="247">
        <f t="shared" ref="C52:BN52" si="93">C10</f>
        <v>9390958</v>
      </c>
      <c r="D52" s="247">
        <f t="shared" si="93"/>
        <v>5857951</v>
      </c>
      <c r="E52" s="247">
        <f t="shared" si="93"/>
        <v>8021159</v>
      </c>
      <c r="F52" s="247">
        <f t="shared" si="93"/>
        <v>7196567</v>
      </c>
      <c r="G52" s="247">
        <f t="shared" si="93"/>
        <v>4029508</v>
      </c>
      <c r="H52" s="247">
        <f t="shared" si="93"/>
        <v>10035329</v>
      </c>
      <c r="I52" s="247">
        <f t="shared" si="93"/>
        <v>6518879</v>
      </c>
      <c r="J52" s="247">
        <f t="shared" si="93"/>
        <v>3251362</v>
      </c>
      <c r="K52" s="247">
        <f t="shared" si="93"/>
        <v>7176263</v>
      </c>
      <c r="L52" s="247">
        <f t="shared" si="93"/>
        <v>4790134</v>
      </c>
      <c r="M52" s="247">
        <f t="shared" si="93"/>
        <v>5735266</v>
      </c>
      <c r="N52" s="247">
        <f t="shared" si="93"/>
        <v>4803192</v>
      </c>
      <c r="O52" s="247">
        <f t="shared" si="93"/>
        <v>4174940</v>
      </c>
      <c r="P52" s="247">
        <f t="shared" si="93"/>
        <v>2619147</v>
      </c>
      <c r="Q52" s="247">
        <f t="shared" si="93"/>
        <v>2860604</v>
      </c>
      <c r="R52" s="247">
        <f t="shared" si="93"/>
        <v>1729915</v>
      </c>
      <c r="S52" s="247">
        <f t="shared" si="93"/>
        <v>5063398</v>
      </c>
      <c r="T52" s="247">
        <f t="shared" si="93"/>
        <v>3505364</v>
      </c>
      <c r="U52" s="247">
        <f t="shared" si="93"/>
        <v>3452279</v>
      </c>
      <c r="V52" s="247">
        <f t="shared" si="93"/>
        <v>1168246</v>
      </c>
      <c r="W52" s="247">
        <f t="shared" si="93"/>
        <v>2821512</v>
      </c>
      <c r="X52" s="247">
        <f t="shared" si="93"/>
        <v>2309753</v>
      </c>
      <c r="Y52" s="247">
        <f t="shared" si="93"/>
        <v>1132125</v>
      </c>
      <c r="Z52" s="247">
        <f t="shared" si="93"/>
        <v>1981221</v>
      </c>
      <c r="AA52" s="247">
        <f t="shared" si="93"/>
        <v>1082267</v>
      </c>
      <c r="AB52" s="247">
        <f t="shared" si="93"/>
        <v>3913798</v>
      </c>
      <c r="AC52" s="247">
        <f t="shared" si="93"/>
        <v>2633472</v>
      </c>
      <c r="AD52" s="247">
        <f t="shared" si="93"/>
        <v>2255913</v>
      </c>
      <c r="AE52" s="247">
        <f t="shared" si="93"/>
        <v>1552417.5</v>
      </c>
      <c r="AF52" s="247">
        <f t="shared" si="93"/>
        <v>1847078</v>
      </c>
      <c r="AG52" s="247">
        <f t="shared" si="93"/>
        <v>1641373</v>
      </c>
      <c r="AH52" s="247">
        <f t="shared" si="93"/>
        <v>1462434</v>
      </c>
      <c r="AI52" s="247">
        <f t="shared" si="93"/>
        <v>1715626</v>
      </c>
      <c r="AJ52" s="247">
        <f t="shared" si="93"/>
        <v>1122874</v>
      </c>
      <c r="AK52" s="247">
        <f t="shared" si="93"/>
        <v>1384751</v>
      </c>
      <c r="AL52" s="247">
        <f t="shared" si="93"/>
        <v>1035882</v>
      </c>
      <c r="AM52" s="247">
        <f t="shared" si="93"/>
        <v>1533733</v>
      </c>
      <c r="AN52" s="247">
        <f t="shared" si="93"/>
        <v>1177267</v>
      </c>
      <c r="AO52" s="247">
        <f t="shared" si="93"/>
        <v>1683819</v>
      </c>
      <c r="AP52" s="247">
        <f t="shared" si="93"/>
        <v>451202</v>
      </c>
      <c r="AQ52" s="247">
        <f t="shared" si="93"/>
        <v>2184974</v>
      </c>
      <c r="AR52" s="247">
        <f t="shared" si="93"/>
        <v>1410179</v>
      </c>
      <c r="AS52" s="247">
        <f t="shared" si="93"/>
        <v>1100525</v>
      </c>
      <c r="AT52" s="247">
        <f t="shared" si="93"/>
        <v>714398</v>
      </c>
      <c r="AU52" s="247">
        <f t="shared" si="93"/>
        <v>1509089</v>
      </c>
      <c r="AV52" s="247">
        <f t="shared" si="93"/>
        <v>694696</v>
      </c>
      <c r="AW52" s="247">
        <f t="shared" si="93"/>
        <v>544490</v>
      </c>
      <c r="AX52" s="247">
        <f t="shared" si="93"/>
        <v>1012049</v>
      </c>
      <c r="AY52" s="247">
        <f t="shared" si="93"/>
        <v>632186</v>
      </c>
      <c r="AZ52" s="247">
        <f t="shared" si="93"/>
        <v>1096386</v>
      </c>
      <c r="BA52" s="247">
        <f t="shared" si="93"/>
        <v>986358</v>
      </c>
      <c r="BB52" s="247">
        <f t="shared" si="93"/>
        <v>747585</v>
      </c>
      <c r="BC52" s="247">
        <f t="shared" si="93"/>
        <v>1158721</v>
      </c>
      <c r="BD52" s="247">
        <f t="shared" si="93"/>
        <v>408492</v>
      </c>
      <c r="BE52" s="247">
        <f t="shared" si="93"/>
        <v>370119</v>
      </c>
      <c r="BF52" s="247">
        <f t="shared" si="93"/>
        <v>1046177</v>
      </c>
      <c r="BG52" s="247">
        <f t="shared" si="93"/>
        <v>414063</v>
      </c>
      <c r="BH52" s="247">
        <f t="shared" si="93"/>
        <v>515264</v>
      </c>
      <c r="BI52" s="247">
        <f t="shared" si="93"/>
        <v>828725</v>
      </c>
      <c r="BJ52" s="247">
        <f t="shared" si="93"/>
        <v>591852</v>
      </c>
      <c r="BK52" s="247">
        <f t="shared" si="93"/>
        <v>140507</v>
      </c>
      <c r="BL52" s="247">
        <f t="shared" si="93"/>
        <v>730785</v>
      </c>
      <c r="BM52" s="247">
        <f t="shared" si="93"/>
        <v>1784695</v>
      </c>
      <c r="BN52" s="247">
        <f t="shared" si="93"/>
        <v>356049</v>
      </c>
      <c r="BO52" s="247">
        <f t="shared" ref="BO52:CO52" si="94">BO10</f>
        <v>308573</v>
      </c>
      <c r="BP52" s="247">
        <f t="shared" si="94"/>
        <v>460217</v>
      </c>
      <c r="BQ52" s="247">
        <f t="shared" si="94"/>
        <v>632818</v>
      </c>
      <c r="BR52" s="247">
        <f t="shared" si="94"/>
        <v>679966</v>
      </c>
      <c r="BS52" s="247">
        <f t="shared" si="94"/>
        <v>748404</v>
      </c>
      <c r="BT52" s="247">
        <f t="shared" si="94"/>
        <v>302011</v>
      </c>
      <c r="BU52" s="247">
        <f t="shared" si="94"/>
        <v>446190</v>
      </c>
      <c r="BV52" s="247">
        <f t="shared" si="94"/>
        <v>341170</v>
      </c>
      <c r="BW52" s="247">
        <f t="shared" si="94"/>
        <v>213422</v>
      </c>
      <c r="BX52" s="247">
        <f t="shared" si="94"/>
        <v>519402</v>
      </c>
      <c r="BY52" s="247">
        <f t="shared" si="94"/>
        <v>92760</v>
      </c>
      <c r="BZ52" s="247">
        <f t="shared" si="94"/>
        <v>311864</v>
      </c>
      <c r="CA52" s="247">
        <f t="shared" si="94"/>
        <v>228068</v>
      </c>
      <c r="CB52" s="247">
        <f t="shared" si="94"/>
        <v>141978</v>
      </c>
      <c r="CC52" s="247">
        <f t="shared" si="94"/>
        <v>149048</v>
      </c>
      <c r="CD52" s="247">
        <f t="shared" si="94"/>
        <v>150404.03076923077</v>
      </c>
      <c r="CE52" s="247">
        <f t="shared" si="94"/>
        <v>19462</v>
      </c>
      <c r="CF52" s="247">
        <f t="shared" si="94"/>
        <v>95706</v>
      </c>
      <c r="CG52" s="247">
        <f t="shared" si="94"/>
        <v>454680</v>
      </c>
      <c r="CH52" s="247">
        <f t="shared" si="94"/>
        <v>37031</v>
      </c>
      <c r="CI52" s="247">
        <f t="shared" si="94"/>
        <v>95856</v>
      </c>
      <c r="CJ52" s="247">
        <f t="shared" si="94"/>
        <v>660474</v>
      </c>
      <c r="CK52" s="247">
        <f t="shared" si="94"/>
        <v>274750</v>
      </c>
      <c r="CL52" s="247">
        <f t="shared" si="94"/>
        <v>82962</v>
      </c>
      <c r="CM52" s="247">
        <f t="shared" si="94"/>
        <v>43000</v>
      </c>
      <c r="CN52" s="247">
        <f t="shared" si="94"/>
        <v>227620</v>
      </c>
      <c r="CO52" s="247">
        <f t="shared" si="94"/>
        <v>91707</v>
      </c>
      <c r="CP52" s="240"/>
      <c r="CQ52" s="247"/>
    </row>
    <row r="53" spans="1:95" x14ac:dyDescent="0.3">
      <c r="A53" s="157" t="s">
        <v>464</v>
      </c>
      <c r="B53" s="248">
        <f>B52-B51</f>
        <v>64642077</v>
      </c>
      <c r="C53" s="248">
        <f t="shared" ref="C53:BN53" si="95">C52-C51</f>
        <v>0</v>
      </c>
      <c r="D53" s="248">
        <f t="shared" si="95"/>
        <v>538321</v>
      </c>
      <c r="E53" s="248">
        <f t="shared" si="95"/>
        <v>3861114</v>
      </c>
      <c r="F53" s="248">
        <f t="shared" si="95"/>
        <v>0</v>
      </c>
      <c r="G53" s="248">
        <f t="shared" si="95"/>
        <v>95146</v>
      </c>
      <c r="H53" s="248">
        <f t="shared" si="95"/>
        <v>5062046</v>
      </c>
      <c r="I53" s="248">
        <f t="shared" si="95"/>
        <v>1952570</v>
      </c>
      <c r="J53" s="248">
        <f t="shared" si="95"/>
        <v>0</v>
      </c>
      <c r="K53" s="248">
        <f t="shared" si="95"/>
        <v>0</v>
      </c>
      <c r="L53" s="248">
        <f t="shared" si="95"/>
        <v>0</v>
      </c>
      <c r="M53" s="248">
        <f t="shared" si="95"/>
        <v>21673</v>
      </c>
      <c r="N53" s="248">
        <f t="shared" si="95"/>
        <v>0</v>
      </c>
      <c r="O53" s="248">
        <f t="shared" si="95"/>
        <v>0</v>
      </c>
      <c r="P53" s="248">
        <f t="shared" si="95"/>
        <v>0</v>
      </c>
      <c r="Q53" s="248">
        <f t="shared" si="95"/>
        <v>383202</v>
      </c>
      <c r="R53" s="248">
        <f t="shared" si="95"/>
        <v>91778.522309021559</v>
      </c>
      <c r="S53" s="248">
        <f t="shared" si="95"/>
        <v>1197602.9878506274</v>
      </c>
      <c r="T53" s="248">
        <f t="shared" si="95"/>
        <v>0</v>
      </c>
      <c r="U53" s="248">
        <f t="shared" si="95"/>
        <v>0</v>
      </c>
      <c r="V53" s="248">
        <f t="shared" si="95"/>
        <v>0</v>
      </c>
      <c r="W53" s="248">
        <f t="shared" si="95"/>
        <v>1396400</v>
      </c>
      <c r="X53" s="248">
        <f t="shared" si="95"/>
        <v>1220094.2587071147</v>
      </c>
      <c r="Y53" s="248">
        <f t="shared" si="95"/>
        <v>0</v>
      </c>
      <c r="Z53" s="248">
        <f t="shared" si="95"/>
        <v>-20570.444695733488</v>
      </c>
      <c r="AA53" s="248">
        <f t="shared" si="95"/>
        <v>-957374</v>
      </c>
      <c r="AB53" s="248">
        <f t="shared" si="95"/>
        <v>3326729</v>
      </c>
      <c r="AC53" s="248">
        <f t="shared" si="95"/>
        <v>0</v>
      </c>
      <c r="AD53" s="248">
        <f t="shared" si="95"/>
        <v>0</v>
      </c>
      <c r="AE53" s="248">
        <f t="shared" si="95"/>
        <v>0</v>
      </c>
      <c r="AF53" s="248">
        <f t="shared" si="95"/>
        <v>0</v>
      </c>
      <c r="AG53" s="248">
        <f t="shared" si="95"/>
        <v>0</v>
      </c>
      <c r="AH53" s="248">
        <f t="shared" si="95"/>
        <v>0</v>
      </c>
      <c r="AI53" s="248">
        <f t="shared" si="95"/>
        <v>0</v>
      </c>
      <c r="AJ53" s="248">
        <f t="shared" si="95"/>
        <v>2719</v>
      </c>
      <c r="AK53" s="248">
        <f t="shared" si="95"/>
        <v>228846</v>
      </c>
      <c r="AL53" s="248">
        <f t="shared" si="95"/>
        <v>186373</v>
      </c>
      <c r="AM53" s="248">
        <f t="shared" si="95"/>
        <v>0</v>
      </c>
      <c r="AN53" s="248">
        <f t="shared" si="95"/>
        <v>0</v>
      </c>
      <c r="AO53" s="248">
        <f t="shared" si="95"/>
        <v>422245</v>
      </c>
      <c r="AP53" s="248">
        <f t="shared" si="95"/>
        <v>0</v>
      </c>
      <c r="AQ53" s="248">
        <f t="shared" si="95"/>
        <v>574718</v>
      </c>
      <c r="AR53" s="248">
        <f t="shared" si="95"/>
        <v>0</v>
      </c>
      <c r="AS53" s="248">
        <f t="shared" si="95"/>
        <v>0</v>
      </c>
      <c r="AT53" s="248">
        <f t="shared" si="95"/>
        <v>0</v>
      </c>
      <c r="AU53" s="248">
        <f t="shared" si="95"/>
        <v>423054</v>
      </c>
      <c r="AV53" s="248">
        <f t="shared" si="95"/>
        <v>0</v>
      </c>
      <c r="AW53" s="248">
        <f t="shared" si="95"/>
        <v>0</v>
      </c>
      <c r="AX53" s="248">
        <f t="shared" si="95"/>
        <v>0</v>
      </c>
      <c r="AY53" s="248">
        <f t="shared" si="95"/>
        <v>0</v>
      </c>
      <c r="AZ53" s="248">
        <f t="shared" si="95"/>
        <v>1096386</v>
      </c>
      <c r="BA53" s="248">
        <f t="shared" si="95"/>
        <v>19726</v>
      </c>
      <c r="BB53" s="248">
        <f t="shared" si="95"/>
        <v>111225</v>
      </c>
      <c r="BC53" s="248">
        <f t="shared" si="95"/>
        <v>0</v>
      </c>
      <c r="BD53" s="248">
        <f t="shared" si="95"/>
        <v>0</v>
      </c>
      <c r="BE53" s="248">
        <f t="shared" si="95"/>
        <v>0</v>
      </c>
      <c r="BF53" s="248">
        <f t="shared" si="95"/>
        <v>0</v>
      </c>
      <c r="BG53" s="248">
        <f t="shared" si="95"/>
        <v>0</v>
      </c>
      <c r="BH53" s="248">
        <f t="shared" si="95"/>
        <v>0</v>
      </c>
      <c r="BI53" s="248">
        <f t="shared" si="95"/>
        <v>0</v>
      </c>
      <c r="BJ53" s="248">
        <f t="shared" si="95"/>
        <v>517172.81665831036</v>
      </c>
      <c r="BK53" s="248">
        <f t="shared" si="95"/>
        <v>0</v>
      </c>
      <c r="BL53" s="248">
        <f t="shared" si="95"/>
        <v>0</v>
      </c>
      <c r="BM53" s="248">
        <f t="shared" si="95"/>
        <v>0</v>
      </c>
      <c r="BN53" s="248">
        <f t="shared" si="95"/>
        <v>61628.628399208596</v>
      </c>
      <c r="BO53" s="248">
        <f t="shared" ref="BO53:CO53" si="96">BO52-BO51</f>
        <v>0</v>
      </c>
      <c r="BP53" s="248">
        <f t="shared" si="96"/>
        <v>455742.64694233559</v>
      </c>
      <c r="BQ53" s="248">
        <f t="shared" si="96"/>
        <v>29330</v>
      </c>
      <c r="BR53" s="248">
        <f t="shared" si="96"/>
        <v>679966</v>
      </c>
      <c r="BS53" s="248">
        <f t="shared" si="96"/>
        <v>0</v>
      </c>
      <c r="BT53" s="248">
        <f t="shared" si="96"/>
        <v>302011</v>
      </c>
      <c r="BU53" s="248">
        <f t="shared" si="96"/>
        <v>446190</v>
      </c>
      <c r="BV53" s="248">
        <f t="shared" si="96"/>
        <v>0</v>
      </c>
      <c r="BW53" s="248">
        <f t="shared" si="96"/>
        <v>5000</v>
      </c>
      <c r="BX53" s="248">
        <f t="shared" si="96"/>
        <v>0</v>
      </c>
      <c r="BY53" s="248">
        <f t="shared" si="96"/>
        <v>0</v>
      </c>
      <c r="BZ53" s="248">
        <f t="shared" si="96"/>
        <v>0</v>
      </c>
      <c r="CA53" s="248">
        <f t="shared" si="96"/>
        <v>0</v>
      </c>
      <c r="CB53" s="248">
        <f t="shared" si="96"/>
        <v>141978</v>
      </c>
      <c r="CC53" s="248">
        <f t="shared" si="96"/>
        <v>0</v>
      </c>
      <c r="CD53" s="248">
        <f t="shared" si="96"/>
        <v>-14097.969230769231</v>
      </c>
      <c r="CE53" s="248">
        <f t="shared" si="96"/>
        <v>-432989.17313171324</v>
      </c>
      <c r="CF53" s="248">
        <f t="shared" si="96"/>
        <v>0</v>
      </c>
      <c r="CG53" s="248">
        <f t="shared" si="96"/>
        <v>0</v>
      </c>
      <c r="CH53" s="248">
        <f t="shared" si="96"/>
        <v>37030.582375471713</v>
      </c>
      <c r="CI53" s="248">
        <f t="shared" si="96"/>
        <v>0</v>
      </c>
      <c r="CJ53" s="248">
        <f t="shared" si="96"/>
        <v>0</v>
      </c>
      <c r="CK53" s="248">
        <f t="shared" si="96"/>
        <v>0</v>
      </c>
      <c r="CL53" s="248">
        <f t="shared" si="96"/>
        <v>0</v>
      </c>
      <c r="CM53" s="248">
        <f t="shared" si="96"/>
        <v>0</v>
      </c>
      <c r="CN53" s="248">
        <f t="shared" si="96"/>
        <v>227370.8931199082</v>
      </c>
      <c r="CO53" s="248">
        <f t="shared" si="96"/>
        <v>-52782.962346823537</v>
      </c>
      <c r="CP53" s="237"/>
      <c r="CQ53" s="263">
        <f>SUM(B53:CO53)</f>
        <v>88279651.786956936</v>
      </c>
    </row>
    <row r="54" spans="1:95" x14ac:dyDescent="0.3">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46"/>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47"/>
    </row>
    <row r="55" spans="1:95" x14ac:dyDescent="0.3">
      <c r="A55" s="172" t="s">
        <v>410</v>
      </c>
      <c r="B55" s="238">
        <f>B13-B10</f>
        <v>89172255</v>
      </c>
      <c r="C55" s="238">
        <f t="shared" ref="C55:BN55" si="97">C13-C10</f>
        <v>6060923</v>
      </c>
      <c r="D55" s="238">
        <f t="shared" si="97"/>
        <v>6046343</v>
      </c>
      <c r="E55" s="238">
        <f t="shared" si="97"/>
        <v>3486381</v>
      </c>
      <c r="F55" s="238">
        <f t="shared" si="97"/>
        <v>3301051</v>
      </c>
      <c r="G55" s="238">
        <f t="shared" si="97"/>
        <v>4279774</v>
      </c>
      <c r="H55" s="238">
        <f t="shared" si="97"/>
        <v>3987266</v>
      </c>
      <c r="I55" s="238">
        <f t="shared" si="97"/>
        <v>1364111</v>
      </c>
      <c r="J55" s="238">
        <f t="shared" si="97"/>
        <v>2868483</v>
      </c>
      <c r="K55" s="238">
        <f t="shared" si="97"/>
        <v>4368303</v>
      </c>
      <c r="L55" s="238">
        <f t="shared" si="97"/>
        <v>2616142</v>
      </c>
      <c r="M55" s="238">
        <f t="shared" si="97"/>
        <v>5144913</v>
      </c>
      <c r="N55" s="238">
        <f t="shared" si="97"/>
        <v>2901905</v>
      </c>
      <c r="O55" s="238">
        <f t="shared" si="97"/>
        <v>4059032</v>
      </c>
      <c r="P55" s="238">
        <f t="shared" si="97"/>
        <v>3722755</v>
      </c>
      <c r="Q55" s="238">
        <f t="shared" si="97"/>
        <v>1638527</v>
      </c>
      <c r="R55" s="238">
        <f t="shared" si="97"/>
        <v>1915866</v>
      </c>
      <c r="S55" s="238">
        <f t="shared" si="97"/>
        <v>2109984</v>
      </c>
      <c r="T55" s="238">
        <f t="shared" si="97"/>
        <v>2955916</v>
      </c>
      <c r="U55" s="238">
        <f t="shared" si="97"/>
        <v>1968635</v>
      </c>
      <c r="V55" s="238">
        <f t="shared" si="97"/>
        <v>880459</v>
      </c>
      <c r="W55" s="238">
        <f t="shared" si="97"/>
        <v>1298452</v>
      </c>
      <c r="X55" s="238">
        <f t="shared" si="97"/>
        <v>732492</v>
      </c>
      <c r="Y55" s="238">
        <f t="shared" si="97"/>
        <v>1625028</v>
      </c>
      <c r="Z55" s="238">
        <f t="shared" si="97"/>
        <v>1329025</v>
      </c>
      <c r="AA55" s="238">
        <f t="shared" si="97"/>
        <v>3586523</v>
      </c>
      <c r="AB55" s="238">
        <f t="shared" si="97"/>
        <v>2609202</v>
      </c>
      <c r="AC55" s="238">
        <f t="shared" si="97"/>
        <v>589952</v>
      </c>
      <c r="AD55" s="238">
        <f t="shared" si="97"/>
        <v>2829584</v>
      </c>
      <c r="AE55" s="238">
        <f t="shared" si="97"/>
        <v>1951926.5</v>
      </c>
      <c r="AF55" s="238">
        <f t="shared" si="97"/>
        <v>1009418</v>
      </c>
      <c r="AG55" s="238">
        <f t="shared" si="97"/>
        <v>1809943</v>
      </c>
      <c r="AH55" s="238">
        <f t="shared" si="97"/>
        <v>2822752</v>
      </c>
      <c r="AI55" s="238">
        <f t="shared" si="97"/>
        <v>1143750</v>
      </c>
      <c r="AJ55" s="238">
        <f t="shared" si="97"/>
        <v>1475034</v>
      </c>
      <c r="AK55" s="238">
        <f t="shared" si="97"/>
        <v>720196</v>
      </c>
      <c r="AL55" s="238">
        <f t="shared" si="97"/>
        <v>518291</v>
      </c>
      <c r="AM55" s="238">
        <f t="shared" si="97"/>
        <v>956024</v>
      </c>
      <c r="AN55" s="238">
        <f t="shared" si="97"/>
        <v>1672133</v>
      </c>
      <c r="AO55" s="238">
        <f t="shared" si="97"/>
        <v>706112</v>
      </c>
      <c r="AP55" s="238">
        <f t="shared" si="97"/>
        <v>419210</v>
      </c>
      <c r="AQ55" s="238">
        <f t="shared" si="97"/>
        <v>1125937</v>
      </c>
      <c r="AR55" s="238">
        <f t="shared" si="97"/>
        <v>932053</v>
      </c>
      <c r="AS55" s="238">
        <f t="shared" si="97"/>
        <v>659264</v>
      </c>
      <c r="AT55" s="238">
        <f t="shared" si="97"/>
        <v>442410</v>
      </c>
      <c r="AU55" s="238">
        <f t="shared" si="97"/>
        <v>541052</v>
      </c>
      <c r="AV55" s="238">
        <f t="shared" si="97"/>
        <v>454340</v>
      </c>
      <c r="AW55" s="238">
        <f t="shared" si="97"/>
        <v>495250</v>
      </c>
      <c r="AX55" s="238">
        <f t="shared" si="97"/>
        <v>587295</v>
      </c>
      <c r="AY55" s="238">
        <f t="shared" si="97"/>
        <v>1437027</v>
      </c>
      <c r="AZ55" s="238">
        <f t="shared" si="97"/>
        <v>1112950</v>
      </c>
      <c r="BA55" s="238">
        <f t="shared" si="97"/>
        <v>1203642</v>
      </c>
      <c r="BB55" s="238">
        <f t="shared" si="97"/>
        <v>451445</v>
      </c>
      <c r="BC55" s="238">
        <f t="shared" si="97"/>
        <v>488904</v>
      </c>
      <c r="BD55" s="238">
        <f t="shared" si="97"/>
        <v>343362</v>
      </c>
      <c r="BE55" s="238">
        <f t="shared" si="97"/>
        <v>1123058</v>
      </c>
      <c r="BF55" s="238">
        <f t="shared" si="97"/>
        <v>436630</v>
      </c>
      <c r="BG55" s="238">
        <f t="shared" si="97"/>
        <v>351817</v>
      </c>
      <c r="BH55" s="238">
        <f t="shared" si="97"/>
        <v>643102</v>
      </c>
      <c r="BI55" s="238">
        <f t="shared" si="97"/>
        <v>424484</v>
      </c>
      <c r="BJ55" s="238">
        <f t="shared" si="97"/>
        <v>1442605</v>
      </c>
      <c r="BK55" s="238">
        <f t="shared" si="97"/>
        <v>190150</v>
      </c>
      <c r="BL55" s="238">
        <f t="shared" si="97"/>
        <v>482082</v>
      </c>
      <c r="BM55" s="238">
        <f t="shared" si="97"/>
        <v>448295</v>
      </c>
      <c r="BN55" s="238">
        <f t="shared" si="97"/>
        <v>526754</v>
      </c>
      <c r="BO55" s="238">
        <f t="shared" ref="BO55:CO55" si="98">BO13-BO10</f>
        <v>239961</v>
      </c>
      <c r="BP55" s="238">
        <f t="shared" si="98"/>
        <v>690033</v>
      </c>
      <c r="BQ55" s="238">
        <f t="shared" si="98"/>
        <v>358445</v>
      </c>
      <c r="BR55" s="238">
        <f t="shared" si="98"/>
        <v>307269</v>
      </c>
      <c r="BS55" s="238">
        <f t="shared" si="98"/>
        <v>352196</v>
      </c>
      <c r="BT55" s="238">
        <f t="shared" si="98"/>
        <v>241609</v>
      </c>
      <c r="BU55" s="238">
        <f t="shared" si="98"/>
        <v>202064</v>
      </c>
      <c r="BV55" s="238">
        <f t="shared" si="98"/>
        <v>238857</v>
      </c>
      <c r="BW55" s="238">
        <f t="shared" si="98"/>
        <v>116188</v>
      </c>
      <c r="BX55" s="238">
        <f t="shared" si="98"/>
        <v>129054</v>
      </c>
      <c r="BY55" s="238">
        <f t="shared" si="98"/>
        <v>42240</v>
      </c>
      <c r="BZ55" s="238">
        <f t="shared" si="98"/>
        <v>145502</v>
      </c>
      <c r="CA55" s="238">
        <f t="shared" si="98"/>
        <v>90611</v>
      </c>
      <c r="CB55" s="238">
        <f t="shared" si="98"/>
        <v>207942</v>
      </c>
      <c r="CC55" s="238">
        <f t="shared" si="98"/>
        <v>43090</v>
      </c>
      <c r="CD55" s="238">
        <f t="shared" si="98"/>
        <v>110174.96923076923</v>
      </c>
      <c r="CE55" s="238">
        <f t="shared" si="98"/>
        <v>0</v>
      </c>
      <c r="CF55" s="238">
        <f t="shared" si="98"/>
        <v>56905</v>
      </c>
      <c r="CG55" s="238">
        <f t="shared" si="98"/>
        <v>87300</v>
      </c>
      <c r="CH55" s="238">
        <f t="shared" si="98"/>
        <v>18280</v>
      </c>
      <c r="CI55" s="238">
        <f t="shared" si="98"/>
        <v>52197</v>
      </c>
      <c r="CJ55" s="238">
        <f t="shared" si="98"/>
        <v>210707</v>
      </c>
      <c r="CK55" s="238">
        <f t="shared" si="98"/>
        <v>90147</v>
      </c>
      <c r="CL55" s="238">
        <f t="shared" si="98"/>
        <v>35730</v>
      </c>
      <c r="CM55" s="238">
        <f t="shared" si="98"/>
        <v>16656</v>
      </c>
      <c r="CN55" s="238">
        <f t="shared" si="98"/>
        <v>14796</v>
      </c>
      <c r="CO55" s="238">
        <f t="shared" si="98"/>
        <v>3668</v>
      </c>
      <c r="CP55" s="237"/>
      <c r="CQ55" s="247">
        <f t="shared" si="0"/>
        <v>205099601.46923077</v>
      </c>
    </row>
    <row r="56" spans="1:95" x14ac:dyDescent="0.3">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c r="AI56" s="237"/>
      <c r="AJ56" s="237"/>
      <c r="AK56" s="237"/>
      <c r="AL56" s="237"/>
      <c r="AM56" s="237"/>
      <c r="AN56" s="237"/>
      <c r="AO56" s="237"/>
      <c r="AP56" s="237"/>
      <c r="AQ56" s="237"/>
      <c r="AR56" s="237"/>
      <c r="AS56" s="237"/>
      <c r="AT56" s="237"/>
      <c r="AU56" s="237"/>
      <c r="AV56" s="237"/>
      <c r="AW56" s="237"/>
      <c r="AX56" s="237"/>
      <c r="AY56" s="237"/>
      <c r="AZ56" s="237"/>
      <c r="BA56" s="237"/>
      <c r="BB56" s="237"/>
      <c r="BC56" s="237"/>
      <c r="BD56" s="237"/>
      <c r="BE56" s="237"/>
      <c r="BF56" s="237"/>
      <c r="BG56" s="237"/>
      <c r="BH56" s="237"/>
      <c r="BI56" s="237"/>
      <c r="BJ56" s="237"/>
      <c r="BK56" s="237"/>
      <c r="BL56" s="237"/>
      <c r="BM56" s="237"/>
      <c r="BN56" s="237"/>
      <c r="BO56" s="237"/>
      <c r="BP56" s="246"/>
      <c r="BQ56" s="237"/>
      <c r="BR56" s="237"/>
      <c r="BS56" s="237"/>
      <c r="BT56" s="237"/>
      <c r="BU56" s="237"/>
      <c r="BV56" s="237"/>
      <c r="BW56" s="237"/>
      <c r="BX56" s="237"/>
      <c r="BY56" s="237"/>
      <c r="BZ56" s="237"/>
      <c r="CA56" s="237"/>
      <c r="CB56" s="237"/>
      <c r="CC56" s="237"/>
      <c r="CD56" s="237"/>
      <c r="CE56" s="237"/>
      <c r="CF56" s="237"/>
      <c r="CG56" s="237"/>
      <c r="CH56" s="237"/>
      <c r="CI56" s="237"/>
      <c r="CJ56" s="237"/>
      <c r="CK56" s="237"/>
      <c r="CL56" s="237"/>
      <c r="CM56" s="237"/>
      <c r="CN56" s="237"/>
      <c r="CO56" s="237"/>
      <c r="CP56" s="237"/>
      <c r="CQ56" s="237">
        <f t="shared" si="0"/>
        <v>0</v>
      </c>
    </row>
    <row r="57" spans="1:95" x14ac:dyDescent="0.3">
      <c r="A57" s="157" t="s">
        <v>465</v>
      </c>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c r="AI57" s="237"/>
      <c r="AJ57" s="237"/>
      <c r="AK57" s="237"/>
      <c r="AL57" s="237"/>
      <c r="AM57" s="237"/>
      <c r="AN57" s="237"/>
      <c r="AO57" s="237"/>
      <c r="AP57" s="237"/>
      <c r="AQ57" s="237"/>
      <c r="AR57" s="237"/>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46"/>
      <c r="BQ57" s="237"/>
      <c r="BR57" s="237"/>
      <c r="BS57" s="237"/>
      <c r="BT57" s="237"/>
      <c r="BU57" s="237"/>
      <c r="BV57" s="237"/>
      <c r="BW57" s="237"/>
      <c r="BX57" s="237"/>
      <c r="BY57" s="237"/>
      <c r="BZ57" s="237"/>
      <c r="CA57" s="237"/>
      <c r="CB57" s="237"/>
      <c r="CC57" s="237"/>
      <c r="CD57" s="237"/>
      <c r="CE57" s="237"/>
      <c r="CF57" s="237"/>
      <c r="CG57" s="237"/>
      <c r="CH57" s="237"/>
      <c r="CI57" s="237"/>
      <c r="CJ57" s="237"/>
      <c r="CK57" s="237"/>
      <c r="CL57" s="237"/>
      <c r="CM57" s="237"/>
      <c r="CN57" s="237"/>
      <c r="CO57" s="237"/>
      <c r="CP57" s="237"/>
      <c r="CQ57" s="237">
        <f t="shared" si="0"/>
        <v>0</v>
      </c>
    </row>
    <row r="58" spans="1:95" x14ac:dyDescent="0.3">
      <c r="A58" s="245" t="s">
        <v>206</v>
      </c>
      <c r="B58" s="237">
        <f>B33/$B$19</f>
        <v>3452843.0242216992</v>
      </c>
      <c r="C58" s="237">
        <f>C33/$C$19</f>
        <v>4271781.7755453773</v>
      </c>
      <c r="D58" s="237">
        <f>D33/$D$19</f>
        <v>501907.60000000003</v>
      </c>
      <c r="E58" s="237">
        <f>E33/$E$19</f>
        <v>982511.96298504865</v>
      </c>
      <c r="F58" s="237">
        <f>F33/$F$19</f>
        <v>1648271.392346787</v>
      </c>
      <c r="G58" s="237">
        <f>G33/$G$19</f>
        <v>445656.1666210859</v>
      </c>
      <c r="H58" s="237">
        <f>H33/$H$19</f>
        <v>1123189.5790466024</v>
      </c>
      <c r="I58" s="237">
        <f>I33/$I$19</f>
        <v>1050729.5842755672</v>
      </c>
      <c r="J58" s="237"/>
      <c r="K58" s="237">
        <f>K33/$K$19</f>
        <v>912953.83034677431</v>
      </c>
      <c r="L58" s="237"/>
      <c r="M58" s="237"/>
      <c r="N58" s="237">
        <f>N33/$N$19</f>
        <v>922959.64248318784</v>
      </c>
      <c r="O58" s="237"/>
      <c r="P58" s="237"/>
      <c r="Q58" s="237">
        <f>Q33/$Q$19</f>
        <v>46018.349134653741</v>
      </c>
      <c r="R58" s="237">
        <f>R33/$R$19</f>
        <v>205432.97656783366</v>
      </c>
      <c r="S58" s="237"/>
      <c r="T58" s="237"/>
      <c r="U58" s="237"/>
      <c r="V58" s="237"/>
      <c r="W58" s="237">
        <f>W33/$W$19</f>
        <v>514461.09735644533</v>
      </c>
      <c r="X58" s="237">
        <f>X33/$X$19</f>
        <v>74274.843959023696</v>
      </c>
      <c r="Y58" s="237"/>
      <c r="Z58" s="237">
        <f>Z33/$Z$19</f>
        <v>311484.81035057007</v>
      </c>
      <c r="AA58" s="237">
        <f>AA33/$AA$19</f>
        <v>405186.2091181057</v>
      </c>
      <c r="AB58" s="237">
        <f>AB33/$AB$19</f>
        <v>3842.0096620377708</v>
      </c>
      <c r="AC58" s="237"/>
      <c r="AD58" s="237"/>
      <c r="AE58" s="237"/>
      <c r="AF58" s="237"/>
      <c r="AG58" s="237">
        <f>AG33/$AG$19</f>
        <v>99941.436098806123</v>
      </c>
      <c r="AH58" s="237"/>
      <c r="AI58" s="237"/>
      <c r="AJ58" s="237"/>
      <c r="AK58" s="237"/>
      <c r="AL58" s="237">
        <f>AL33/$AL$19</f>
        <v>38145.450000000004</v>
      </c>
      <c r="AM58" s="237"/>
      <c r="AN58" s="237"/>
      <c r="AO58" s="237">
        <f>AO33/$AO$19</f>
        <v>143327.0332909383</v>
      </c>
      <c r="AP58" s="237"/>
      <c r="AQ58" s="237">
        <f>AQ33/$AQ$19</f>
        <v>132394.5</v>
      </c>
      <c r="AR58" s="237"/>
      <c r="AS58" s="237"/>
      <c r="AT58" s="237"/>
      <c r="AU58" s="237">
        <f>AU33/AU19</f>
        <v>101997.78088484418</v>
      </c>
      <c r="AV58" s="237"/>
      <c r="AW58" s="237"/>
      <c r="AX58" s="237"/>
      <c r="AY58" s="237"/>
      <c r="AZ58" s="237"/>
      <c r="BA58" s="237"/>
      <c r="BB58" s="237">
        <f>BB33/$BB$19</f>
        <v>16017.300000000001</v>
      </c>
      <c r="BC58" s="237"/>
      <c r="BD58" s="237">
        <f>BD33/$BD$19</f>
        <v>53664.797901551254</v>
      </c>
      <c r="BE58" s="237"/>
      <c r="BF58" s="237"/>
      <c r="BG58" s="237"/>
      <c r="BH58" s="237"/>
      <c r="BI58" s="237"/>
      <c r="BJ58" s="237"/>
      <c r="BK58" s="237"/>
      <c r="BL58" s="237"/>
      <c r="BM58" s="237"/>
      <c r="BN58" s="237"/>
      <c r="BO58" s="237"/>
      <c r="BP58" s="246"/>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f t="shared" si="0"/>
        <v>17458993.15219694</v>
      </c>
    </row>
    <row r="59" spans="1:95" x14ac:dyDescent="0.3">
      <c r="A59" s="245" t="s">
        <v>207</v>
      </c>
      <c r="B59" s="237">
        <f t="shared" ref="B59:B63" si="99">B34/$B$19</f>
        <v>1233431.9267792646</v>
      </c>
      <c r="C59" s="237">
        <f t="shared" ref="C59:C63" si="100">C34/$C$19</f>
        <v>22625.826951028583</v>
      </c>
      <c r="D59" s="237">
        <f t="shared" ref="D59:D63" si="101">D34/$D$19</f>
        <v>215103.4</v>
      </c>
      <c r="E59" s="237">
        <f t="shared" ref="E59:E63" si="102">E34/$E$19</f>
        <v>840133.62771379657</v>
      </c>
      <c r="F59" s="237">
        <f t="shared" ref="F59:F63" si="103">F34/$F$19</f>
        <v>0</v>
      </c>
      <c r="G59" s="237">
        <f t="shared" ref="G59:G63" si="104">G34/$G$19</f>
        <v>24007.854878078717</v>
      </c>
      <c r="H59" s="237">
        <f t="shared" ref="H59:H63" si="105">H34/$H$19</f>
        <v>41437.123009483854</v>
      </c>
      <c r="I59" s="237">
        <f t="shared" ref="I59:I63" si="106">I34/$I$19</f>
        <v>935202.59581825975</v>
      </c>
      <c r="J59" s="237"/>
      <c r="K59" s="237">
        <f t="shared" ref="K59:K63" si="107">K34/$K$19</f>
        <v>338420.09245018841</v>
      </c>
      <c r="L59" s="237"/>
      <c r="M59" s="237"/>
      <c r="N59" s="237">
        <f t="shared" ref="N59:N63" si="108">N34/$N$19</f>
        <v>0</v>
      </c>
      <c r="O59" s="237"/>
      <c r="P59" s="237"/>
      <c r="Q59" s="237">
        <f t="shared" ref="Q59:Q63" si="109">Q34/$Q$19</f>
        <v>59827.845436160867</v>
      </c>
      <c r="R59" s="237">
        <f t="shared" ref="R59:R63" si="110">R34/$R$19</f>
        <v>0</v>
      </c>
      <c r="S59" s="237"/>
      <c r="T59" s="237"/>
      <c r="U59" s="237"/>
      <c r="V59" s="237"/>
      <c r="W59" s="237">
        <f t="shared" ref="W59:W63" si="111">W34/$W$19</f>
        <v>0</v>
      </c>
      <c r="X59" s="237">
        <f t="shared" ref="X59:X63" si="112">X34/$X$19</f>
        <v>41349.099788625426</v>
      </c>
      <c r="Y59" s="237"/>
      <c r="Z59" s="237">
        <f t="shared" ref="Z59:Z63" si="113">Z34/$Z$19</f>
        <v>0</v>
      </c>
      <c r="AA59" s="237">
        <f t="shared" ref="AA59:AA63" si="114">AA34/$AA$19</f>
        <v>244849.91115678614</v>
      </c>
      <c r="AB59" s="237">
        <f t="shared" ref="AB59:AB63" si="115">AB34/$AB$19</f>
        <v>726.86812694019875</v>
      </c>
      <c r="AC59" s="237"/>
      <c r="AD59" s="237"/>
      <c r="AE59" s="237"/>
      <c r="AF59" s="237"/>
      <c r="AG59" s="237">
        <f t="shared" ref="AG59:AG63" si="116">AG34/$AG$19</f>
        <v>41832.446237750133</v>
      </c>
      <c r="AH59" s="237"/>
      <c r="AI59" s="237"/>
      <c r="AJ59" s="237"/>
      <c r="AK59" s="237"/>
      <c r="AL59" s="237">
        <f t="shared" ref="AL59:AL63" si="117">AL34/$AL$19</f>
        <v>22524.6</v>
      </c>
      <c r="AM59" s="237"/>
      <c r="AN59" s="237"/>
      <c r="AO59" s="237">
        <f t="shared" ref="AO59:AO63" si="118">AO34/$AO$19</f>
        <v>0</v>
      </c>
      <c r="AP59" s="237"/>
      <c r="AQ59" s="237">
        <f t="shared" ref="AQ59:AQ63" si="119">AQ34/$AQ$19</f>
        <v>65841.299999999988</v>
      </c>
      <c r="AR59" s="237"/>
      <c r="AS59" s="237"/>
      <c r="AT59" s="237"/>
      <c r="AU59" s="237">
        <f t="shared" ref="AU59:AU63" si="120">AU34/$AU$19</f>
        <v>26178.791095356119</v>
      </c>
      <c r="AV59" s="237"/>
      <c r="AW59" s="237"/>
      <c r="AX59" s="237"/>
      <c r="AY59" s="237"/>
      <c r="AZ59" s="237"/>
      <c r="BA59" s="237"/>
      <c r="BB59" s="237">
        <f t="shared" ref="BB59:BB63" si="121">BB34/$BB$19</f>
        <v>14458.349999999999</v>
      </c>
      <c r="BC59" s="237"/>
      <c r="BD59" s="237">
        <f t="shared" ref="BD59:BD63" si="122">BD34/$BD$19</f>
        <v>0</v>
      </c>
      <c r="BE59" s="237"/>
      <c r="BF59" s="237"/>
      <c r="BG59" s="237"/>
      <c r="BH59" s="237"/>
      <c r="BI59" s="237"/>
      <c r="BJ59" s="237"/>
      <c r="BK59" s="237"/>
      <c r="BL59" s="237"/>
      <c r="BM59" s="237"/>
      <c r="BN59" s="237"/>
      <c r="BO59" s="237"/>
      <c r="BP59" s="246"/>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f t="shared" si="0"/>
        <v>4167951.6594417188</v>
      </c>
    </row>
    <row r="60" spans="1:95" x14ac:dyDescent="0.3">
      <c r="A60" s="245" t="s">
        <v>2</v>
      </c>
      <c r="B60" s="237">
        <f t="shared" si="99"/>
        <v>177532.78940517927</v>
      </c>
      <c r="C60" s="237">
        <f t="shared" si="100"/>
        <v>220730.3614990545</v>
      </c>
      <c r="D60" s="237">
        <f t="shared" si="101"/>
        <v>20637.400000000001</v>
      </c>
      <c r="E60" s="237">
        <f t="shared" si="102"/>
        <v>2660.6423498587092</v>
      </c>
      <c r="F60" s="237">
        <f t="shared" si="103"/>
        <v>144246.1192833918</v>
      </c>
      <c r="G60" s="237">
        <f t="shared" si="104"/>
        <v>1762.6209537126513</v>
      </c>
      <c r="H60" s="237">
        <f t="shared" si="105"/>
        <v>23328.343313348028</v>
      </c>
      <c r="I60" s="237">
        <f t="shared" si="106"/>
        <v>271763.75037328235</v>
      </c>
      <c r="J60" s="237"/>
      <c r="K60" s="237">
        <f t="shared" si="107"/>
        <v>9211.1985804964152</v>
      </c>
      <c r="L60" s="237"/>
      <c r="M60" s="237"/>
      <c r="N60" s="237">
        <f t="shared" si="108"/>
        <v>56855.112833844913</v>
      </c>
      <c r="O60" s="237"/>
      <c r="P60" s="237"/>
      <c r="Q60" s="237">
        <f t="shared" si="109"/>
        <v>3283.4124899283206</v>
      </c>
      <c r="R60" s="237">
        <f t="shared" si="110"/>
        <v>2289.4074790383479</v>
      </c>
      <c r="S60" s="237"/>
      <c r="T60" s="237"/>
      <c r="U60" s="237"/>
      <c r="V60" s="237"/>
      <c r="W60" s="237">
        <f t="shared" si="111"/>
        <v>0</v>
      </c>
      <c r="X60" s="237">
        <f t="shared" si="112"/>
        <v>4018.2925592230772</v>
      </c>
      <c r="Y60" s="237"/>
      <c r="Z60" s="237">
        <f t="shared" si="113"/>
        <v>28080.613026846331</v>
      </c>
      <c r="AA60" s="237">
        <f t="shared" si="114"/>
        <v>74308.583961795593</v>
      </c>
      <c r="AB60" s="237">
        <f t="shared" si="115"/>
        <v>1246.0495390359683</v>
      </c>
      <c r="AC60" s="237"/>
      <c r="AD60" s="237"/>
      <c r="AE60" s="237"/>
      <c r="AF60" s="237"/>
      <c r="AG60" s="237">
        <f t="shared" si="116"/>
        <v>25273.603285431924</v>
      </c>
      <c r="AH60" s="237"/>
      <c r="AI60" s="237"/>
      <c r="AJ60" s="237"/>
      <c r="AK60" s="237"/>
      <c r="AL60" s="237">
        <f t="shared" si="117"/>
        <v>1216.6499999999999</v>
      </c>
      <c r="AM60" s="237"/>
      <c r="AN60" s="237"/>
      <c r="AO60" s="237">
        <f t="shared" si="118"/>
        <v>4773.4674525146211</v>
      </c>
      <c r="AP60" s="237"/>
      <c r="AQ60" s="237">
        <f t="shared" si="119"/>
        <v>3619.7999999999997</v>
      </c>
      <c r="AR60" s="237"/>
      <c r="AS60" s="237"/>
      <c r="AT60" s="237"/>
      <c r="AU60" s="237">
        <f t="shared" si="120"/>
        <v>768.87467394603198</v>
      </c>
      <c r="AV60" s="237"/>
      <c r="AW60" s="237"/>
      <c r="AX60" s="237"/>
      <c r="AY60" s="237"/>
      <c r="AZ60" s="237"/>
      <c r="BA60" s="237"/>
      <c r="BB60" s="237">
        <f t="shared" si="121"/>
        <v>17666.099999999999</v>
      </c>
      <c r="BC60" s="237"/>
      <c r="BD60" s="237">
        <f t="shared" si="122"/>
        <v>2947.3402780729184</v>
      </c>
      <c r="BE60" s="237"/>
      <c r="BF60" s="237"/>
      <c r="BG60" s="237"/>
      <c r="BH60" s="237"/>
      <c r="BI60" s="237"/>
      <c r="BJ60" s="237"/>
      <c r="BK60" s="237"/>
      <c r="BL60" s="237"/>
      <c r="BM60" s="237"/>
      <c r="BN60" s="237"/>
      <c r="BO60" s="237"/>
      <c r="BP60" s="246"/>
      <c r="BQ60" s="237"/>
      <c r="BR60" s="237"/>
      <c r="BS60" s="237"/>
      <c r="BT60" s="237"/>
      <c r="BU60" s="237"/>
      <c r="BV60" s="237"/>
      <c r="BW60" s="237"/>
      <c r="BX60" s="237"/>
      <c r="BY60" s="237"/>
      <c r="BZ60" s="237"/>
      <c r="CA60" s="237"/>
      <c r="CB60" s="237"/>
      <c r="CC60" s="237"/>
      <c r="CD60" s="237"/>
      <c r="CE60" s="237"/>
      <c r="CF60" s="237"/>
      <c r="CG60" s="237"/>
      <c r="CH60" s="237"/>
      <c r="CI60" s="237"/>
      <c r="CJ60" s="237"/>
      <c r="CK60" s="237"/>
      <c r="CL60" s="237"/>
      <c r="CM60" s="237"/>
      <c r="CN60" s="237"/>
      <c r="CO60" s="237"/>
      <c r="CP60" s="237"/>
      <c r="CQ60" s="237">
        <f t="shared" si="0"/>
        <v>1098220.5333380019</v>
      </c>
    </row>
    <row r="61" spans="1:95" x14ac:dyDescent="0.3">
      <c r="A61" s="245" t="s">
        <v>208</v>
      </c>
      <c r="B61" s="237">
        <f t="shared" si="99"/>
        <v>17128.195078160363</v>
      </c>
      <c r="C61" s="237">
        <f t="shared" si="100"/>
        <v>35841.011362624653</v>
      </c>
      <c r="D61" s="237">
        <f t="shared" si="101"/>
        <v>13758.4</v>
      </c>
      <c r="E61" s="237">
        <f t="shared" si="102"/>
        <v>2719.8595450160201</v>
      </c>
      <c r="F61" s="237">
        <f t="shared" si="103"/>
        <v>25039.7558525821</v>
      </c>
      <c r="G61" s="237">
        <f t="shared" si="104"/>
        <v>60457.446478355982</v>
      </c>
      <c r="H61" s="237">
        <f t="shared" si="105"/>
        <v>30121.788102582868</v>
      </c>
      <c r="I61" s="237">
        <f t="shared" si="106"/>
        <v>198664.52982776213</v>
      </c>
      <c r="J61" s="237"/>
      <c r="K61" s="237">
        <f t="shared" si="107"/>
        <v>10381.827483598201</v>
      </c>
      <c r="L61" s="237"/>
      <c r="M61" s="237"/>
      <c r="N61" s="237">
        <f t="shared" si="108"/>
        <v>78674.390804271068</v>
      </c>
      <c r="O61" s="237"/>
      <c r="P61" s="237"/>
      <c r="Q61" s="237">
        <f t="shared" si="109"/>
        <v>9630.6472277376834</v>
      </c>
      <c r="R61" s="237">
        <f t="shared" si="110"/>
        <v>12317.77871054911</v>
      </c>
      <c r="S61" s="237"/>
      <c r="T61" s="237"/>
      <c r="U61" s="237"/>
      <c r="V61" s="237"/>
      <c r="W61" s="237">
        <f t="shared" si="111"/>
        <v>19100.503998897788</v>
      </c>
      <c r="X61" s="237">
        <f t="shared" si="112"/>
        <v>2171.7104935731877</v>
      </c>
      <c r="Y61" s="237"/>
      <c r="Z61" s="237">
        <f t="shared" si="113"/>
        <v>25216.467002843212</v>
      </c>
      <c r="AA61" s="237">
        <f t="shared" si="114"/>
        <v>26648.785291998494</v>
      </c>
      <c r="AB61" s="237">
        <f t="shared" si="115"/>
        <v>1869.0743085539523</v>
      </c>
      <c r="AC61" s="237"/>
      <c r="AD61" s="237"/>
      <c r="AE61" s="237"/>
      <c r="AF61" s="237"/>
      <c r="AG61" s="237">
        <f t="shared" si="116"/>
        <v>10831.495735130271</v>
      </c>
      <c r="AH61" s="237"/>
      <c r="AI61" s="237"/>
      <c r="AJ61" s="237"/>
      <c r="AK61" s="237"/>
      <c r="AL61" s="237">
        <f t="shared" si="117"/>
        <v>484.2</v>
      </c>
      <c r="AM61" s="237"/>
      <c r="AN61" s="237"/>
      <c r="AO61" s="237">
        <f t="shared" si="118"/>
        <v>0</v>
      </c>
      <c r="AP61" s="237"/>
      <c r="AQ61" s="237">
        <f t="shared" si="119"/>
        <v>1021.5</v>
      </c>
      <c r="AR61" s="237"/>
      <c r="AS61" s="237"/>
      <c r="AT61" s="237"/>
      <c r="AU61" s="237">
        <f t="shared" si="120"/>
        <v>4032.8197573261787</v>
      </c>
      <c r="AV61" s="237"/>
      <c r="AW61" s="237"/>
      <c r="AX61" s="237"/>
      <c r="AY61" s="237"/>
      <c r="AZ61" s="237"/>
      <c r="BA61" s="237"/>
      <c r="BB61" s="237">
        <f t="shared" si="121"/>
        <v>10379.699999999999</v>
      </c>
      <c r="BC61" s="237"/>
      <c r="BD61" s="237">
        <f t="shared" si="122"/>
        <v>1362.1799478613279</v>
      </c>
      <c r="BE61" s="237"/>
      <c r="BF61" s="237"/>
      <c r="BG61" s="237"/>
      <c r="BH61" s="237"/>
      <c r="BI61" s="237"/>
      <c r="BJ61" s="237"/>
      <c r="BK61" s="237"/>
      <c r="BL61" s="237"/>
      <c r="BM61" s="237"/>
      <c r="BN61" s="237"/>
      <c r="BO61" s="237"/>
      <c r="BP61" s="246"/>
      <c r="BQ61" s="237"/>
      <c r="BR61" s="237"/>
      <c r="BS61" s="237"/>
      <c r="BT61" s="237"/>
      <c r="BU61" s="237"/>
      <c r="BV61" s="237"/>
      <c r="BW61" s="237"/>
      <c r="BX61" s="237"/>
      <c r="BY61" s="237"/>
      <c r="BZ61" s="237"/>
      <c r="CA61" s="237"/>
      <c r="CB61" s="237"/>
      <c r="CC61" s="237"/>
      <c r="CD61" s="237"/>
      <c r="CE61" s="237"/>
      <c r="CF61" s="237"/>
      <c r="CG61" s="237"/>
      <c r="CH61" s="237"/>
      <c r="CI61" s="237"/>
      <c r="CJ61" s="237"/>
      <c r="CK61" s="237"/>
      <c r="CL61" s="237"/>
      <c r="CM61" s="237"/>
      <c r="CN61" s="237"/>
      <c r="CO61" s="237"/>
      <c r="CP61" s="237"/>
      <c r="CQ61" s="237">
        <f t="shared" si="0"/>
        <v>597854.06700942444</v>
      </c>
    </row>
    <row r="62" spans="1:95" x14ac:dyDescent="0.3">
      <c r="A62" s="245" t="s">
        <v>209</v>
      </c>
      <c r="B62" s="237">
        <f t="shared" si="99"/>
        <v>870928.74725641438</v>
      </c>
      <c r="C62" s="237">
        <f t="shared" si="100"/>
        <v>651447.41355760244</v>
      </c>
      <c r="D62" s="237">
        <f t="shared" si="101"/>
        <v>103187.00000000001</v>
      </c>
      <c r="E62" s="237">
        <f t="shared" si="102"/>
        <v>80306.779497754018</v>
      </c>
      <c r="F62" s="237">
        <f t="shared" si="103"/>
        <v>877990.96694510931</v>
      </c>
      <c r="G62" s="237">
        <f t="shared" si="104"/>
        <v>69875.453191487177</v>
      </c>
      <c r="H62" s="237">
        <f t="shared" si="105"/>
        <v>447307.49236208206</v>
      </c>
      <c r="I62" s="237">
        <f t="shared" si="106"/>
        <v>342061.47907015024</v>
      </c>
      <c r="J62" s="237"/>
      <c r="K62" s="237">
        <f t="shared" si="107"/>
        <v>0</v>
      </c>
      <c r="L62" s="237"/>
      <c r="M62" s="237"/>
      <c r="N62" s="237">
        <f t="shared" si="108"/>
        <v>227606.4517377505</v>
      </c>
      <c r="O62" s="237"/>
      <c r="P62" s="237"/>
      <c r="Q62" s="237">
        <f t="shared" si="109"/>
        <v>4298.7590499245389</v>
      </c>
      <c r="R62" s="237">
        <f t="shared" si="110"/>
        <v>24509.365529439568</v>
      </c>
      <c r="S62" s="237"/>
      <c r="T62" s="237"/>
      <c r="U62" s="237"/>
      <c r="V62" s="237"/>
      <c r="W62" s="237">
        <f t="shared" si="111"/>
        <v>271179.86234563438</v>
      </c>
      <c r="X62" s="237">
        <f t="shared" si="112"/>
        <v>37959.623364602783</v>
      </c>
      <c r="Y62" s="237"/>
      <c r="Z62" s="237">
        <f t="shared" si="113"/>
        <v>100531.44106228712</v>
      </c>
      <c r="AA62" s="237">
        <f t="shared" si="114"/>
        <v>58534.536129951579</v>
      </c>
      <c r="AB62" s="237">
        <f t="shared" si="115"/>
        <v>2180.6043808205964</v>
      </c>
      <c r="AC62" s="237"/>
      <c r="AD62" s="237"/>
      <c r="AE62" s="237"/>
      <c r="AF62" s="237"/>
      <c r="AG62" s="237">
        <f t="shared" si="116"/>
        <v>13182.46144683875</v>
      </c>
      <c r="AH62" s="237"/>
      <c r="AI62" s="237"/>
      <c r="AJ62" s="237"/>
      <c r="AK62" s="237"/>
      <c r="AL62" s="237">
        <f t="shared" si="117"/>
        <v>43320.450000000004</v>
      </c>
      <c r="AM62" s="237"/>
      <c r="AN62" s="237"/>
      <c r="AO62" s="237">
        <f t="shared" si="118"/>
        <v>12202.129023897369</v>
      </c>
      <c r="AP62" s="237"/>
      <c r="AQ62" s="237">
        <f t="shared" si="119"/>
        <v>8580.2999999999993</v>
      </c>
      <c r="AR62" s="237"/>
      <c r="AS62" s="237"/>
      <c r="AT62" s="237"/>
      <c r="AU62" s="237">
        <f t="shared" si="120"/>
        <v>36981.262310290862</v>
      </c>
      <c r="AV62" s="237"/>
      <c r="AW62" s="237"/>
      <c r="AX62" s="237"/>
      <c r="AY62" s="237"/>
      <c r="AZ62" s="237"/>
      <c r="BA62" s="237"/>
      <c r="BB62" s="237">
        <f t="shared" si="121"/>
        <v>18772.5</v>
      </c>
      <c r="BC62" s="237"/>
      <c r="BD62" s="237">
        <f t="shared" si="122"/>
        <v>2172.7217756746913</v>
      </c>
      <c r="BE62" s="237"/>
      <c r="BF62" s="237"/>
      <c r="BG62" s="237"/>
      <c r="BH62" s="237"/>
      <c r="BI62" s="237"/>
      <c r="BJ62" s="237"/>
      <c r="BK62" s="237"/>
      <c r="BL62" s="237"/>
      <c r="BM62" s="237"/>
      <c r="BN62" s="237"/>
      <c r="BO62" s="237"/>
      <c r="BP62" s="246"/>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f t="shared" si="0"/>
        <v>4305117.8000377109</v>
      </c>
    </row>
    <row r="63" spans="1:95" x14ac:dyDescent="0.3">
      <c r="A63" s="245" t="s">
        <v>210</v>
      </c>
      <c r="B63" s="237">
        <f t="shared" si="99"/>
        <v>56128.044591893013</v>
      </c>
      <c r="C63" s="237">
        <f t="shared" si="100"/>
        <v>0</v>
      </c>
      <c r="D63" s="237">
        <f t="shared" si="101"/>
        <v>68791.399999999994</v>
      </c>
      <c r="E63" s="237">
        <f t="shared" si="102"/>
        <v>0</v>
      </c>
      <c r="F63" s="237">
        <f t="shared" si="103"/>
        <v>5828.7305511556851</v>
      </c>
      <c r="G63" s="237">
        <f t="shared" si="104"/>
        <v>0</v>
      </c>
      <c r="H63" s="237">
        <f t="shared" si="105"/>
        <v>152197.08978482283</v>
      </c>
      <c r="I63" s="237">
        <f t="shared" si="106"/>
        <v>0</v>
      </c>
      <c r="J63" s="237"/>
      <c r="K63" s="237">
        <f t="shared" si="107"/>
        <v>130350.41946411607</v>
      </c>
      <c r="L63" s="237"/>
      <c r="M63" s="237"/>
      <c r="N63" s="237">
        <f t="shared" si="108"/>
        <v>0</v>
      </c>
      <c r="O63" s="237"/>
      <c r="P63" s="237"/>
      <c r="Q63" s="237">
        <f t="shared" si="109"/>
        <v>0</v>
      </c>
      <c r="R63" s="237">
        <f t="shared" si="110"/>
        <v>0</v>
      </c>
      <c r="S63" s="237"/>
      <c r="T63" s="237"/>
      <c r="U63" s="237"/>
      <c r="V63" s="237"/>
      <c r="W63" s="237">
        <f t="shared" si="111"/>
        <v>0</v>
      </c>
      <c r="X63" s="237">
        <f t="shared" si="112"/>
        <v>3383.2787157108555</v>
      </c>
      <c r="Y63" s="237"/>
      <c r="Z63" s="237">
        <f t="shared" si="113"/>
        <v>32024.263365896502</v>
      </c>
      <c r="AA63" s="237">
        <f t="shared" si="114"/>
        <v>50.419098419673787</v>
      </c>
      <c r="AB63" s="237">
        <f t="shared" si="115"/>
        <v>519.18141209576959</v>
      </c>
      <c r="AC63" s="237"/>
      <c r="AD63" s="237"/>
      <c r="AE63" s="237"/>
      <c r="AF63" s="237"/>
      <c r="AG63" s="237">
        <f t="shared" si="116"/>
        <v>0</v>
      </c>
      <c r="AH63" s="237"/>
      <c r="AI63" s="237"/>
      <c r="AJ63" s="237"/>
      <c r="AK63" s="237"/>
      <c r="AL63" s="237">
        <f t="shared" si="117"/>
        <v>17027.399999999998</v>
      </c>
      <c r="AM63" s="237"/>
      <c r="AN63" s="237"/>
      <c r="AO63" s="237">
        <f t="shared" si="118"/>
        <v>0</v>
      </c>
      <c r="AP63" s="237"/>
      <c r="AQ63" s="237">
        <f t="shared" si="119"/>
        <v>0</v>
      </c>
      <c r="AR63" s="237"/>
      <c r="AS63" s="237"/>
      <c r="AT63" s="237"/>
      <c r="AU63" s="237">
        <f t="shared" si="120"/>
        <v>0</v>
      </c>
      <c r="AV63" s="237"/>
      <c r="AW63" s="237"/>
      <c r="AX63" s="237"/>
      <c r="AY63" s="237"/>
      <c r="AZ63" s="237"/>
      <c r="BA63" s="237"/>
      <c r="BB63" s="237">
        <f t="shared" si="121"/>
        <v>15364.949999999999</v>
      </c>
      <c r="BC63" s="237"/>
      <c r="BD63" s="237">
        <f t="shared" si="122"/>
        <v>63.24365380528824</v>
      </c>
      <c r="BE63" s="237"/>
      <c r="BF63" s="237"/>
      <c r="BG63" s="237"/>
      <c r="BH63" s="237"/>
      <c r="BI63" s="237"/>
      <c r="BJ63" s="237"/>
      <c r="BK63" s="237"/>
      <c r="BL63" s="237"/>
      <c r="BM63" s="237"/>
      <c r="BN63" s="237"/>
      <c r="BO63" s="237"/>
      <c r="BP63" s="246"/>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f t="shared" si="0"/>
        <v>481728.42063791573</v>
      </c>
    </row>
    <row r="64" spans="1:95" s="260" customFormat="1" x14ac:dyDescent="0.3">
      <c r="A64" s="261" t="s">
        <v>1</v>
      </c>
      <c r="B64" s="247">
        <f>SUM(B58:B63)</f>
        <v>5807992.7273326116</v>
      </c>
      <c r="C64" s="247">
        <f t="shared" ref="C64:BD64" si="123">SUM(C58:C63)</f>
        <v>5202426.3889156869</v>
      </c>
      <c r="D64" s="247">
        <f t="shared" si="123"/>
        <v>923385.20000000007</v>
      </c>
      <c r="E64" s="247">
        <f t="shared" si="123"/>
        <v>1908332.872091474</v>
      </c>
      <c r="F64" s="247">
        <f t="shared" si="123"/>
        <v>2701376.964979026</v>
      </c>
      <c r="G64" s="247">
        <f t="shared" si="123"/>
        <v>601759.54212272051</v>
      </c>
      <c r="H64" s="247">
        <f t="shared" si="123"/>
        <v>1817581.4156189219</v>
      </c>
      <c r="I64" s="247">
        <f t="shared" si="123"/>
        <v>2798421.9393650214</v>
      </c>
      <c r="J64" s="247">
        <f t="shared" si="123"/>
        <v>0</v>
      </c>
      <c r="K64" s="247">
        <f t="shared" si="123"/>
        <v>1401317.3683251734</v>
      </c>
      <c r="L64" s="247">
        <f t="shared" si="123"/>
        <v>0</v>
      </c>
      <c r="M64" s="247">
        <f t="shared" si="123"/>
        <v>0</v>
      </c>
      <c r="N64" s="247">
        <f t="shared" si="123"/>
        <v>1286095.5978590543</v>
      </c>
      <c r="O64" s="247">
        <f t="shared" si="123"/>
        <v>0</v>
      </c>
      <c r="P64" s="247">
        <f t="shared" si="123"/>
        <v>0</v>
      </c>
      <c r="Q64" s="247">
        <f t="shared" si="123"/>
        <v>123059.01333840516</v>
      </c>
      <c r="R64" s="247">
        <f t="shared" si="123"/>
        <v>244549.52828686067</v>
      </c>
      <c r="S64" s="247">
        <f t="shared" si="123"/>
        <v>0</v>
      </c>
      <c r="T64" s="247">
        <f t="shared" si="123"/>
        <v>0</v>
      </c>
      <c r="U64" s="247">
        <f t="shared" si="123"/>
        <v>0</v>
      </c>
      <c r="V64" s="247">
        <f t="shared" si="123"/>
        <v>0</v>
      </c>
      <c r="W64" s="247">
        <f t="shared" si="123"/>
        <v>804741.4637009775</v>
      </c>
      <c r="X64" s="247">
        <f t="shared" si="123"/>
        <v>163156.84888075903</v>
      </c>
      <c r="Y64" s="247">
        <f t="shared" si="123"/>
        <v>0</v>
      </c>
      <c r="Z64" s="247">
        <f t="shared" si="123"/>
        <v>497337.59480844322</v>
      </c>
      <c r="AA64" s="247">
        <f t="shared" si="123"/>
        <v>809578.44475705724</v>
      </c>
      <c r="AB64" s="247">
        <f t="shared" si="123"/>
        <v>10383.787429484257</v>
      </c>
      <c r="AC64" s="247">
        <f t="shared" si="123"/>
        <v>0</v>
      </c>
      <c r="AD64" s="247">
        <f t="shared" si="123"/>
        <v>0</v>
      </c>
      <c r="AE64" s="247">
        <f t="shared" si="123"/>
        <v>0</v>
      </c>
      <c r="AF64" s="247">
        <f t="shared" si="123"/>
        <v>0</v>
      </c>
      <c r="AG64" s="247">
        <f t="shared" si="123"/>
        <v>191061.44280395721</v>
      </c>
      <c r="AH64" s="247">
        <f t="shared" si="123"/>
        <v>0</v>
      </c>
      <c r="AI64" s="247">
        <f t="shared" si="123"/>
        <v>0</v>
      </c>
      <c r="AJ64" s="247">
        <f t="shared" si="123"/>
        <v>0</v>
      </c>
      <c r="AK64" s="247">
        <f t="shared" si="123"/>
        <v>0</v>
      </c>
      <c r="AL64" s="247">
        <f t="shared" si="123"/>
        <v>122718.75</v>
      </c>
      <c r="AM64" s="247">
        <f t="shared" si="123"/>
        <v>0</v>
      </c>
      <c r="AN64" s="247">
        <f t="shared" si="123"/>
        <v>0</v>
      </c>
      <c r="AO64" s="247">
        <f t="shared" si="123"/>
        <v>160302.6297673503</v>
      </c>
      <c r="AP64" s="247">
        <f t="shared" si="123"/>
        <v>0</v>
      </c>
      <c r="AQ64" s="247">
        <f t="shared" si="123"/>
        <v>211457.39999999997</v>
      </c>
      <c r="AR64" s="247">
        <f t="shared" si="123"/>
        <v>0</v>
      </c>
      <c r="AS64" s="247">
        <f t="shared" si="123"/>
        <v>0</v>
      </c>
      <c r="AT64" s="247">
        <f t="shared" si="123"/>
        <v>0</v>
      </c>
      <c r="AU64" s="247">
        <f t="shared" si="123"/>
        <v>169959.52872176337</v>
      </c>
      <c r="AV64" s="247">
        <f t="shared" si="123"/>
        <v>0</v>
      </c>
      <c r="AW64" s="247">
        <f t="shared" si="123"/>
        <v>0</v>
      </c>
      <c r="AX64" s="247">
        <f t="shared" si="123"/>
        <v>0</v>
      </c>
      <c r="AY64" s="247">
        <f t="shared" si="123"/>
        <v>0</v>
      </c>
      <c r="AZ64" s="247">
        <f t="shared" si="123"/>
        <v>0</v>
      </c>
      <c r="BA64" s="247">
        <f t="shared" si="123"/>
        <v>0</v>
      </c>
      <c r="BB64" s="247">
        <f t="shared" si="123"/>
        <v>92658.9</v>
      </c>
      <c r="BC64" s="247">
        <f t="shared" si="123"/>
        <v>0</v>
      </c>
      <c r="BD64" s="247">
        <f t="shared" si="123"/>
        <v>60210.283556965471</v>
      </c>
      <c r="BE64" s="247"/>
      <c r="BF64" s="247"/>
      <c r="BG64" s="247"/>
      <c r="BH64" s="247"/>
      <c r="BI64" s="247"/>
      <c r="BJ64" s="247"/>
      <c r="BK64" s="247"/>
      <c r="BL64" s="247"/>
      <c r="BM64" s="247"/>
      <c r="BN64" s="247"/>
      <c r="BO64" s="247"/>
      <c r="BP64" s="249"/>
      <c r="BQ64" s="247"/>
      <c r="BR64" s="247"/>
      <c r="BS64" s="247"/>
      <c r="BT64" s="247"/>
      <c r="BU64" s="247"/>
      <c r="BV64" s="247"/>
      <c r="BW64" s="247"/>
      <c r="BX64" s="247"/>
      <c r="BY64" s="247"/>
      <c r="BZ64" s="247"/>
      <c r="CA64" s="247"/>
      <c r="CB64" s="247"/>
      <c r="CC64" s="247"/>
      <c r="CD64" s="247"/>
      <c r="CE64" s="247"/>
      <c r="CF64" s="247"/>
      <c r="CG64" s="247"/>
      <c r="CH64" s="247"/>
      <c r="CI64" s="247"/>
      <c r="CJ64" s="247"/>
      <c r="CK64" s="247"/>
      <c r="CL64" s="247"/>
      <c r="CM64" s="247"/>
      <c r="CN64" s="247"/>
      <c r="CO64" s="247"/>
      <c r="CP64" s="247"/>
      <c r="CQ64" s="247">
        <f t="shared" si="0"/>
        <v>28109865.632661711</v>
      </c>
    </row>
    <row r="65" spans="1:1" x14ac:dyDescent="0.3">
      <c r="A65" s="257"/>
    </row>
    <row r="66" spans="1:1" x14ac:dyDescent="0.3">
      <c r="A66" s="25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C8469-1586-4489-82AE-9617DD13ED10}">
  <sheetPr>
    <tabColor theme="7" tint="0.79998168889431442"/>
  </sheetPr>
  <dimension ref="A1:CR65"/>
  <sheetViews>
    <sheetView workbookViewId="0">
      <selection activeCell="A2" sqref="A2"/>
    </sheetView>
  </sheetViews>
  <sheetFormatPr defaultColWidth="9.21875" defaultRowHeight="14.4" x14ac:dyDescent="0.3"/>
  <cols>
    <col min="1" max="1" width="31.77734375" style="152" bestFit="1" customWidth="1"/>
    <col min="2" max="2" width="17.33203125" style="126" bestFit="1" customWidth="1"/>
    <col min="3" max="3" width="16.21875" style="126" bestFit="1" customWidth="1"/>
    <col min="4" max="4" width="14.77734375" style="126" bestFit="1" customWidth="1"/>
    <col min="5" max="6" width="16.21875" style="126" bestFit="1" customWidth="1"/>
    <col min="7" max="9" width="14.77734375" style="126" bestFit="1" customWidth="1"/>
    <col min="10" max="10" width="16" style="126" bestFit="1" customWidth="1"/>
    <col min="11" max="11" width="14.77734375" style="126" bestFit="1" customWidth="1"/>
    <col min="12" max="12" width="15.109375" style="126" bestFit="1" customWidth="1"/>
    <col min="13" max="13" width="14.77734375" style="126" bestFit="1" customWidth="1"/>
    <col min="14" max="14" width="12.21875" style="126" customWidth="1"/>
    <col min="15" max="15" width="14.77734375" style="126" bestFit="1" customWidth="1"/>
    <col min="16" max="16" width="14.77734375" style="152" bestFit="1" customWidth="1"/>
    <col min="17" max="18" width="14.77734375" style="126" bestFit="1" customWidth="1"/>
    <col min="19" max="19" width="19.33203125" style="126" bestFit="1" customWidth="1"/>
    <col min="20" max="22" width="14.77734375" style="126" bestFit="1" customWidth="1"/>
    <col min="23" max="23" width="14.77734375" style="152" bestFit="1" customWidth="1"/>
    <col min="24" max="24" width="15.44140625" style="126" bestFit="1" customWidth="1"/>
    <col min="25" max="25" width="16.109375" style="126" bestFit="1" customWidth="1"/>
    <col min="26" max="28" width="14.77734375" style="126" bestFit="1" customWidth="1"/>
    <col min="29" max="29" width="14.77734375" style="152" bestFit="1" customWidth="1"/>
    <col min="30" max="31" width="14.77734375" style="126" bestFit="1" customWidth="1"/>
    <col min="32" max="32" width="16.88671875" style="152" bestFit="1" customWidth="1"/>
    <col min="33" max="34" width="14.77734375" style="126" bestFit="1" customWidth="1"/>
    <col min="35" max="35" width="14.6640625" style="126" bestFit="1" customWidth="1"/>
    <col min="36" max="36" width="14.77734375" style="126" bestFit="1" customWidth="1"/>
    <col min="37" max="37" width="11.44140625" style="126" customWidth="1"/>
    <col min="38" max="42" width="14.77734375" style="126" bestFit="1" customWidth="1"/>
    <col min="43" max="44" width="11.44140625" style="126" customWidth="1"/>
    <col min="45" max="45" width="14.77734375" style="126" bestFit="1" customWidth="1"/>
    <col min="46" max="46" width="13.77734375" style="126" bestFit="1" customWidth="1"/>
    <col min="47" max="47" width="14.77734375" style="126" bestFit="1" customWidth="1"/>
    <col min="48" max="48" width="13.77734375" style="126" bestFit="1" customWidth="1"/>
    <col min="49" max="50" width="14.77734375" style="126" bestFit="1" customWidth="1"/>
    <col min="51" max="52" width="13.77734375" style="126" bestFit="1" customWidth="1"/>
    <col min="53" max="53" width="14.77734375" style="126" bestFit="1" customWidth="1"/>
    <col min="54" max="54" width="13.77734375" style="126" bestFit="1" customWidth="1"/>
    <col min="55" max="55" width="14.77734375" style="126" bestFit="1" customWidth="1"/>
    <col min="56" max="57" width="13.77734375" style="126" bestFit="1" customWidth="1"/>
    <col min="58" max="58" width="17" style="126" bestFit="1" customWidth="1"/>
    <col min="59" max="59" width="14.77734375" style="126" bestFit="1" customWidth="1"/>
    <col min="60" max="62" width="13.77734375" style="126" bestFit="1" customWidth="1"/>
    <col min="63" max="63" width="16.33203125" style="126" bestFit="1" customWidth="1"/>
    <col min="64" max="64" width="13.77734375" style="126" bestFit="1" customWidth="1"/>
    <col min="65" max="65" width="19.44140625" style="126" bestFit="1" customWidth="1"/>
    <col min="66" max="68" width="13.77734375" style="126" bestFit="1" customWidth="1"/>
    <col min="69" max="69" width="17.109375" style="126" bestFit="1" customWidth="1"/>
    <col min="70" max="70" width="17.6640625" style="126" bestFit="1" customWidth="1"/>
    <col min="71" max="71" width="14.77734375" style="126" bestFit="1" customWidth="1"/>
    <col min="72" max="72" width="16.44140625" style="126" bestFit="1" customWidth="1"/>
    <col min="73" max="74" width="13.77734375" style="126" bestFit="1" customWidth="1"/>
    <col min="75" max="75" width="14.44140625" style="126" bestFit="1" customWidth="1"/>
    <col min="76" max="78" width="13.77734375" style="126" bestFit="1" customWidth="1"/>
    <col min="79" max="80" width="14.77734375" style="126" bestFit="1" customWidth="1"/>
    <col min="81" max="83" width="13.77734375" style="126" bestFit="1" customWidth="1"/>
    <col min="84" max="84" width="21" style="126" bestFit="1" customWidth="1"/>
    <col min="85" max="85" width="13.77734375" style="126" bestFit="1" customWidth="1"/>
    <col min="86" max="88" width="12.6640625" style="126" bestFit="1" customWidth="1"/>
    <col min="89" max="92" width="13.77734375" style="126" bestFit="1" customWidth="1"/>
    <col min="93" max="93" width="12.6640625" style="126" bestFit="1" customWidth="1"/>
    <col min="94" max="95" width="5.6640625" style="126" bestFit="1" customWidth="1"/>
    <col min="96" max="96" width="17.33203125" style="126" bestFit="1" customWidth="1"/>
    <col min="97" max="16384" width="9.21875" style="126"/>
  </cols>
  <sheetData>
    <row r="1" spans="1:96" x14ac:dyDescent="0.3">
      <c r="A1" s="152" t="s">
        <v>552</v>
      </c>
      <c r="B1" s="126" t="s">
        <v>551</v>
      </c>
    </row>
    <row r="2" spans="1:96" s="264" customFormat="1" x14ac:dyDescent="0.3">
      <c r="A2" s="265" t="s">
        <v>35</v>
      </c>
      <c r="B2" s="157" t="s">
        <v>84</v>
      </c>
      <c r="C2" s="157" t="s">
        <v>85</v>
      </c>
      <c r="D2" s="157" t="s">
        <v>86</v>
      </c>
      <c r="E2" s="157" t="s">
        <v>55</v>
      </c>
      <c r="F2" s="157" t="s">
        <v>87</v>
      </c>
      <c r="G2" s="157" t="s">
        <v>88</v>
      </c>
      <c r="H2" s="157" t="s">
        <v>89</v>
      </c>
      <c r="I2" s="157" t="s">
        <v>89</v>
      </c>
      <c r="J2" s="157" t="s">
        <v>90</v>
      </c>
      <c r="K2" s="157" t="s">
        <v>91</v>
      </c>
      <c r="L2" s="157" t="s">
        <v>92</v>
      </c>
      <c r="M2" s="157" t="s">
        <v>89</v>
      </c>
      <c r="N2" s="157" t="s">
        <v>93</v>
      </c>
      <c r="O2" s="157" t="s">
        <v>41</v>
      </c>
      <c r="P2" s="157" t="s">
        <v>92</v>
      </c>
      <c r="Q2" s="157" t="s">
        <v>94</v>
      </c>
      <c r="R2" s="157" t="s">
        <v>95</v>
      </c>
      <c r="S2" s="157" t="s">
        <v>88</v>
      </c>
      <c r="T2" s="157" t="s">
        <v>88</v>
      </c>
      <c r="U2" s="157" t="s">
        <v>87</v>
      </c>
      <c r="V2" s="157" t="s">
        <v>96</v>
      </c>
      <c r="W2" s="157" t="s">
        <v>97</v>
      </c>
      <c r="X2" s="157" t="s">
        <v>90</v>
      </c>
      <c r="Y2" s="157" t="s">
        <v>90</v>
      </c>
      <c r="Z2" s="157" t="s">
        <v>97</v>
      </c>
      <c r="AA2" s="157" t="s">
        <v>98</v>
      </c>
      <c r="AB2" s="157" t="s">
        <v>99</v>
      </c>
      <c r="AC2" s="157" t="s">
        <v>100</v>
      </c>
      <c r="AD2" s="157" t="s">
        <v>101</v>
      </c>
      <c r="AE2" s="157" t="s">
        <v>102</v>
      </c>
      <c r="AF2" s="157" t="s">
        <v>93</v>
      </c>
      <c r="AG2" s="157" t="s">
        <v>103</v>
      </c>
      <c r="AH2" s="157" t="s">
        <v>104</v>
      </c>
      <c r="AI2" s="157" t="s">
        <v>88</v>
      </c>
      <c r="AJ2" s="157" t="s">
        <v>105</v>
      </c>
      <c r="AK2" s="157" t="s">
        <v>90</v>
      </c>
      <c r="AL2" s="157" t="s">
        <v>106</v>
      </c>
      <c r="AM2" s="157" t="s">
        <v>89</v>
      </c>
      <c r="AN2" s="157" t="s">
        <v>107</v>
      </c>
      <c r="AO2" s="157" t="s">
        <v>89</v>
      </c>
      <c r="AP2" s="157" t="s">
        <v>89</v>
      </c>
      <c r="AQ2" s="157" t="s">
        <v>90</v>
      </c>
      <c r="AR2" s="157" t="s">
        <v>89</v>
      </c>
      <c r="AS2" s="157" t="s">
        <v>87</v>
      </c>
      <c r="AT2" s="157" t="s">
        <v>93</v>
      </c>
      <c r="AU2" s="157" t="s">
        <v>108</v>
      </c>
      <c r="AV2" s="157" t="s">
        <v>102</v>
      </c>
      <c r="AW2" s="157" t="s">
        <v>109</v>
      </c>
      <c r="AX2" s="157" t="s">
        <v>89</v>
      </c>
      <c r="AY2" s="157" t="s">
        <v>93</v>
      </c>
      <c r="AZ2" s="157" t="s">
        <v>110</v>
      </c>
      <c r="BA2" s="157" t="s">
        <v>111</v>
      </c>
      <c r="BB2" s="157" t="s">
        <v>108</v>
      </c>
      <c r="BC2" s="157" t="s">
        <v>106</v>
      </c>
      <c r="BD2" s="157" t="s">
        <v>102</v>
      </c>
      <c r="BE2" s="157" t="s">
        <v>112</v>
      </c>
      <c r="BF2" s="157" t="s">
        <v>113</v>
      </c>
      <c r="BG2" s="157" t="s">
        <v>114</v>
      </c>
      <c r="BH2" s="157" t="s">
        <v>93</v>
      </c>
      <c r="BI2" s="157" t="s">
        <v>47</v>
      </c>
      <c r="BJ2" s="157" t="s">
        <v>115</v>
      </c>
      <c r="BK2" s="157" t="s">
        <v>116</v>
      </c>
      <c r="BL2" s="157" t="s">
        <v>52</v>
      </c>
      <c r="BM2" s="157" t="s">
        <v>105</v>
      </c>
      <c r="BN2" s="157" t="s">
        <v>52</v>
      </c>
      <c r="BO2" s="157" t="s">
        <v>117</v>
      </c>
      <c r="BP2" s="157" t="s">
        <v>118</v>
      </c>
      <c r="BQ2" s="157" t="s">
        <v>103</v>
      </c>
      <c r="BR2" s="157" t="s">
        <v>119</v>
      </c>
      <c r="BS2" s="157" t="s">
        <v>120</v>
      </c>
      <c r="BT2" s="157" t="s">
        <v>94</v>
      </c>
      <c r="BU2" s="157" t="s">
        <v>112</v>
      </c>
      <c r="BV2" s="157" t="s">
        <v>108</v>
      </c>
      <c r="BW2" s="157" t="s">
        <v>105</v>
      </c>
      <c r="BX2" s="157" t="s">
        <v>121</v>
      </c>
      <c r="BY2" s="157" t="s">
        <v>41</v>
      </c>
      <c r="BZ2" s="157" t="s">
        <v>88</v>
      </c>
      <c r="CA2" s="157" t="s">
        <v>120</v>
      </c>
      <c r="CB2" s="157" t="s">
        <v>122</v>
      </c>
      <c r="CC2" s="157" t="s">
        <v>106</v>
      </c>
      <c r="CD2" s="157" t="s">
        <v>106</v>
      </c>
      <c r="CE2" s="157" t="s">
        <v>89</v>
      </c>
      <c r="CF2" s="157" t="s">
        <v>106</v>
      </c>
      <c r="CG2" s="157" t="s">
        <v>113</v>
      </c>
      <c r="CH2" s="157" t="s">
        <v>113</v>
      </c>
      <c r="CI2" s="157" t="s">
        <v>115</v>
      </c>
      <c r="CJ2" s="157" t="s">
        <v>116</v>
      </c>
      <c r="CK2" s="157" t="s">
        <v>84</v>
      </c>
      <c r="CL2" s="157" t="s">
        <v>106</v>
      </c>
      <c r="CM2" s="157" t="s">
        <v>84</v>
      </c>
      <c r="CN2" s="157" t="s">
        <v>89</v>
      </c>
      <c r="CO2" s="157" t="s">
        <v>123</v>
      </c>
    </row>
    <row r="3" spans="1:96" s="256" customFormat="1" x14ac:dyDescent="0.3">
      <c r="A3" s="265" t="s">
        <v>124</v>
      </c>
      <c r="B3" s="157" t="s">
        <v>84</v>
      </c>
      <c r="C3" s="157" t="s">
        <v>125</v>
      </c>
      <c r="D3" s="157" t="s">
        <v>86</v>
      </c>
      <c r="E3" s="157" t="s">
        <v>55</v>
      </c>
      <c r="F3" s="157" t="s">
        <v>126</v>
      </c>
      <c r="G3" s="157" t="s">
        <v>88</v>
      </c>
      <c r="H3" s="157" t="s">
        <v>127</v>
      </c>
      <c r="I3" s="157" t="s">
        <v>128</v>
      </c>
      <c r="J3" s="157" t="s">
        <v>129</v>
      </c>
      <c r="K3" s="157" t="s">
        <v>130</v>
      </c>
      <c r="L3" s="157" t="s">
        <v>131</v>
      </c>
      <c r="M3" s="157" t="s">
        <v>132</v>
      </c>
      <c r="N3" s="157" t="s">
        <v>93</v>
      </c>
      <c r="O3" s="157" t="s">
        <v>41</v>
      </c>
      <c r="P3" s="157" t="s">
        <v>133</v>
      </c>
      <c r="Q3" s="157" t="s">
        <v>94</v>
      </c>
      <c r="R3" s="157" t="s">
        <v>134</v>
      </c>
      <c r="S3" s="157" t="s">
        <v>135</v>
      </c>
      <c r="T3" s="157" t="s">
        <v>136</v>
      </c>
      <c r="U3" s="157" t="s">
        <v>137</v>
      </c>
      <c r="V3" s="157" t="s">
        <v>138</v>
      </c>
      <c r="W3" s="157" t="s">
        <v>139</v>
      </c>
      <c r="X3" s="157" t="s">
        <v>140</v>
      </c>
      <c r="Y3" s="157" t="s">
        <v>141</v>
      </c>
      <c r="Z3" s="157" t="s">
        <v>142</v>
      </c>
      <c r="AA3" s="157" t="s">
        <v>143</v>
      </c>
      <c r="AB3" s="157" t="s">
        <v>99</v>
      </c>
      <c r="AC3" s="157" t="s">
        <v>100</v>
      </c>
      <c r="AD3" s="157" t="s">
        <v>101</v>
      </c>
      <c r="AE3" s="157" t="s">
        <v>102</v>
      </c>
      <c r="AF3" s="157" t="s">
        <v>144</v>
      </c>
      <c r="AG3" s="157" t="s">
        <v>103</v>
      </c>
      <c r="AH3" s="157" t="s">
        <v>145</v>
      </c>
      <c r="AI3" s="157" t="s">
        <v>146</v>
      </c>
      <c r="AJ3" s="157" t="s">
        <v>147</v>
      </c>
      <c r="AK3" s="157" t="s">
        <v>148</v>
      </c>
      <c r="AL3" s="157" t="s">
        <v>149</v>
      </c>
      <c r="AM3" s="157" t="s">
        <v>150</v>
      </c>
      <c r="AN3" s="157" t="s">
        <v>107</v>
      </c>
      <c r="AO3" s="157" t="s">
        <v>89</v>
      </c>
      <c r="AP3" s="157" t="s">
        <v>151</v>
      </c>
      <c r="AQ3" s="157" t="s">
        <v>152</v>
      </c>
      <c r="AR3" s="157" t="s">
        <v>153</v>
      </c>
      <c r="AS3" s="157" t="s">
        <v>154</v>
      </c>
      <c r="AT3" s="157" t="s">
        <v>155</v>
      </c>
      <c r="AU3" s="157" t="s">
        <v>156</v>
      </c>
      <c r="AV3" s="157" t="s">
        <v>157</v>
      </c>
      <c r="AW3" s="157" t="s">
        <v>158</v>
      </c>
      <c r="AX3" s="157" t="s">
        <v>159</v>
      </c>
      <c r="AY3" s="157" t="s">
        <v>160</v>
      </c>
      <c r="AZ3" s="157" t="s">
        <v>110</v>
      </c>
      <c r="BA3" s="157" t="s">
        <v>111</v>
      </c>
      <c r="BB3" s="157" t="s">
        <v>161</v>
      </c>
      <c r="BC3" s="157" t="s">
        <v>106</v>
      </c>
      <c r="BD3" s="157" t="s">
        <v>162</v>
      </c>
      <c r="BE3" s="157" t="s">
        <v>112</v>
      </c>
      <c r="BF3" s="157" t="s">
        <v>163</v>
      </c>
      <c r="BG3" s="157" t="s">
        <v>114</v>
      </c>
      <c r="BH3" s="157" t="s">
        <v>164</v>
      </c>
      <c r="BI3" s="157" t="s">
        <v>46</v>
      </c>
      <c r="BJ3" s="157" t="s">
        <v>115</v>
      </c>
      <c r="BK3" s="157" t="s">
        <v>165</v>
      </c>
      <c r="BL3" s="157" t="s">
        <v>166</v>
      </c>
      <c r="BM3" s="157" t="s">
        <v>167</v>
      </c>
      <c r="BN3" s="157" t="s">
        <v>168</v>
      </c>
      <c r="BO3" s="157" t="s">
        <v>117</v>
      </c>
      <c r="BP3" s="157" t="s">
        <v>118</v>
      </c>
      <c r="BQ3" s="157" t="s">
        <v>169</v>
      </c>
      <c r="BR3" s="157" t="s">
        <v>170</v>
      </c>
      <c r="BS3" s="157" t="s">
        <v>120</v>
      </c>
      <c r="BT3" s="157" t="s">
        <v>171</v>
      </c>
      <c r="BU3" s="157" t="s">
        <v>172</v>
      </c>
      <c r="BV3" s="157" t="s">
        <v>173</v>
      </c>
      <c r="BW3" s="157" t="s">
        <v>174</v>
      </c>
      <c r="BX3" s="157" t="s">
        <v>175</v>
      </c>
      <c r="BY3" s="157" t="s">
        <v>176</v>
      </c>
      <c r="BZ3" s="157" t="s">
        <v>177</v>
      </c>
      <c r="CA3" s="157" t="s">
        <v>178</v>
      </c>
      <c r="CB3" s="157" t="s">
        <v>122</v>
      </c>
      <c r="CC3" s="157" t="s">
        <v>179</v>
      </c>
      <c r="CD3" s="157" t="s">
        <v>180</v>
      </c>
      <c r="CE3" s="157" t="s">
        <v>181</v>
      </c>
      <c r="CF3" s="157" t="s">
        <v>182</v>
      </c>
      <c r="CG3" s="157" t="s">
        <v>183</v>
      </c>
      <c r="CH3" s="157" t="s">
        <v>184</v>
      </c>
      <c r="CI3" s="157" t="s">
        <v>185</v>
      </c>
      <c r="CJ3" s="157" t="s">
        <v>186</v>
      </c>
      <c r="CK3" s="157" t="s">
        <v>187</v>
      </c>
      <c r="CL3" s="157" t="s">
        <v>188</v>
      </c>
      <c r="CM3" s="157" t="s">
        <v>189</v>
      </c>
      <c r="CN3" s="157" t="s">
        <v>190</v>
      </c>
      <c r="CO3" s="157" t="s">
        <v>123</v>
      </c>
      <c r="CR3" s="256" t="s">
        <v>1</v>
      </c>
    </row>
    <row r="4" spans="1:96" x14ac:dyDescent="0.3">
      <c r="A4" s="152" t="s">
        <v>191</v>
      </c>
      <c r="B4" s="235">
        <v>180816150.50999999</v>
      </c>
      <c r="C4" s="235">
        <v>14891969</v>
      </c>
      <c r="D4" s="235">
        <v>11310974.9</v>
      </c>
      <c r="E4" s="235">
        <v>11722682</v>
      </c>
      <c r="F4" s="235">
        <v>11966635</v>
      </c>
      <c r="G4" s="235">
        <v>7802800</v>
      </c>
      <c r="H4" s="235">
        <v>14141295</v>
      </c>
      <c r="I4" s="235">
        <v>13179011</v>
      </c>
      <c r="J4" s="235">
        <v>6163553</v>
      </c>
      <c r="K4" s="235">
        <v>8188812</v>
      </c>
      <c r="L4" s="235">
        <v>10278570</v>
      </c>
      <c r="M4" s="235">
        <v>5216907</v>
      </c>
      <c r="N4" s="235">
        <v>7510145</v>
      </c>
      <c r="O4" s="235">
        <v>6206683</v>
      </c>
      <c r="P4" s="235">
        <v>6910230</v>
      </c>
      <c r="Q4" s="235">
        <v>4565123</v>
      </c>
      <c r="R4" s="235">
        <v>3910733</v>
      </c>
      <c r="S4" s="235">
        <v>6461280</v>
      </c>
      <c r="T4" s="235">
        <v>2022607</v>
      </c>
      <c r="U4" s="235">
        <v>7451705</v>
      </c>
      <c r="V4" s="235">
        <v>6118445</v>
      </c>
      <c r="W4" s="235">
        <v>4037242</v>
      </c>
      <c r="X4" s="235">
        <v>2716661</v>
      </c>
      <c r="Y4" s="235">
        <v>3086430</v>
      </c>
      <c r="Z4" s="235">
        <v>3241297</v>
      </c>
      <c r="AA4" s="235">
        <v>3583935</v>
      </c>
      <c r="AB4" s="235">
        <v>5553603</v>
      </c>
      <c r="AC4" s="235">
        <v>3626535</v>
      </c>
      <c r="AD4" s="235">
        <v>4628377</v>
      </c>
      <c r="AE4" s="235">
        <v>3371599</v>
      </c>
      <c r="AF4" s="235">
        <v>2720468</v>
      </c>
      <c r="AG4" s="235">
        <v>3178823</v>
      </c>
      <c r="AH4" s="235">
        <v>2530098</v>
      </c>
      <c r="AI4" s="235">
        <v>2566769</v>
      </c>
      <c r="AJ4" s="235">
        <v>3509726</v>
      </c>
      <c r="AK4" s="235">
        <v>3286000</v>
      </c>
      <c r="AL4" s="235">
        <v>1164891</v>
      </c>
      <c r="AM4" s="235">
        <v>2837290</v>
      </c>
      <c r="AN4" s="235">
        <v>2147913</v>
      </c>
      <c r="AO4" s="235">
        <v>3360749</v>
      </c>
      <c r="AP4" s="235">
        <v>1862867</v>
      </c>
      <c r="AQ4" s="235">
        <v>1839189</v>
      </c>
      <c r="AR4" s="235">
        <v>1829423</v>
      </c>
      <c r="AS4" s="235">
        <v>2234129</v>
      </c>
      <c r="AT4" s="235">
        <v>1122612</v>
      </c>
      <c r="AU4" s="235">
        <v>1643799</v>
      </c>
      <c r="AV4" s="235">
        <v>1186698</v>
      </c>
      <c r="AW4" s="235">
        <v>1748197</v>
      </c>
      <c r="AX4" s="235">
        <v>1377973</v>
      </c>
      <c r="AY4" s="235">
        <v>675720</v>
      </c>
      <c r="AZ4" s="235">
        <v>996774</v>
      </c>
      <c r="BA4" s="235">
        <v>732063</v>
      </c>
      <c r="BB4" s="235">
        <v>1540936</v>
      </c>
      <c r="BC4" s="235">
        <v>968302</v>
      </c>
      <c r="BD4" s="235">
        <v>1590175</v>
      </c>
      <c r="BE4" s="235">
        <v>884377</v>
      </c>
      <c r="BF4" s="235">
        <v>1481649</v>
      </c>
      <c r="BG4" s="235">
        <v>1205444.5900000001</v>
      </c>
      <c r="BH4" s="235">
        <v>1114978</v>
      </c>
      <c r="BI4" s="235">
        <v>1837363</v>
      </c>
      <c r="BJ4" s="235">
        <v>531836</v>
      </c>
      <c r="BK4" s="235">
        <v>1243599</v>
      </c>
      <c r="BL4" s="235">
        <v>1700700</v>
      </c>
      <c r="BM4" s="235">
        <v>3613666</v>
      </c>
      <c r="BN4" s="235">
        <v>882803</v>
      </c>
      <c r="BO4" s="235">
        <v>420485</v>
      </c>
      <c r="BP4" s="235">
        <v>589736</v>
      </c>
      <c r="BQ4" s="235">
        <v>932601</v>
      </c>
      <c r="BR4" s="235">
        <v>724558</v>
      </c>
      <c r="BS4" s="235">
        <v>532415</v>
      </c>
      <c r="BT4" s="235">
        <v>287414.5</v>
      </c>
      <c r="BU4" s="235">
        <v>547153</v>
      </c>
      <c r="BV4" s="235">
        <v>255014</v>
      </c>
      <c r="BW4" s="235">
        <v>741960</v>
      </c>
      <c r="BX4" s="235">
        <v>339988</v>
      </c>
      <c r="BY4" s="235">
        <v>223278</v>
      </c>
      <c r="BZ4" s="235">
        <v>317105</v>
      </c>
      <c r="CA4" s="235">
        <v>145830</v>
      </c>
      <c r="CB4" s="235">
        <v>201066</v>
      </c>
      <c r="CC4" s="235">
        <v>341740</v>
      </c>
      <c r="CD4" s="235">
        <v>116065</v>
      </c>
      <c r="CE4" s="235">
        <v>471593</v>
      </c>
      <c r="CF4" s="235">
        <v>155692</v>
      </c>
      <c r="CG4" s="235">
        <v>426171</v>
      </c>
      <c r="CH4" s="235">
        <v>44020</v>
      </c>
      <c r="CI4" s="235">
        <v>134403</v>
      </c>
      <c r="CJ4" s="235">
        <v>375737</v>
      </c>
      <c r="CK4" s="235">
        <v>861970</v>
      </c>
      <c r="CL4" s="235">
        <v>55424</v>
      </c>
      <c r="CM4" s="235">
        <v>96374</v>
      </c>
      <c r="CN4" s="235">
        <v>331605.2</v>
      </c>
      <c r="CO4" s="235">
        <v>32800</v>
      </c>
      <c r="CP4" s="237"/>
      <c r="CQ4" s="237"/>
      <c r="CR4" s="237">
        <f>SUM(B4:CO4)</f>
        <v>453532186.69999993</v>
      </c>
    </row>
    <row r="5" spans="1:96" x14ac:dyDescent="0.3">
      <c r="A5" s="152" t="s">
        <v>192</v>
      </c>
      <c r="B5" s="235"/>
      <c r="C5" s="235"/>
      <c r="D5" s="235"/>
      <c r="E5" s="235"/>
      <c r="F5" s="235"/>
      <c r="G5" s="235"/>
      <c r="H5" s="235"/>
      <c r="I5" s="235"/>
      <c r="J5" s="235"/>
      <c r="K5" s="235"/>
      <c r="L5" s="235"/>
      <c r="M5" s="235"/>
      <c r="N5" s="235"/>
      <c r="O5" s="235"/>
      <c r="P5" s="235"/>
      <c r="Q5" s="235"/>
      <c r="R5" s="235"/>
      <c r="S5" s="235"/>
      <c r="T5" s="235"/>
      <c r="U5" s="235"/>
      <c r="V5" s="235"/>
      <c r="W5" s="235"/>
      <c r="X5" s="235"/>
      <c r="Y5" s="235"/>
      <c r="Z5" s="235"/>
      <c r="AA5" s="235"/>
      <c r="AB5" s="235"/>
      <c r="AC5" s="235"/>
      <c r="AD5" s="235"/>
      <c r="AE5" s="235"/>
      <c r="AF5" s="235"/>
      <c r="AG5" s="235"/>
      <c r="AH5" s="235"/>
      <c r="AI5" s="235"/>
      <c r="AJ5" s="235"/>
      <c r="AK5" s="235"/>
      <c r="AL5" s="235"/>
      <c r="AM5" s="235"/>
      <c r="AN5" s="235"/>
      <c r="AO5" s="235"/>
      <c r="AP5" s="235"/>
      <c r="AQ5" s="235"/>
      <c r="AR5" s="235"/>
      <c r="AS5" s="235"/>
      <c r="AT5" s="235"/>
      <c r="AU5" s="235"/>
      <c r="AV5" s="235"/>
      <c r="AW5" s="235"/>
      <c r="AX5" s="235"/>
      <c r="AY5" s="235"/>
      <c r="AZ5" s="235"/>
      <c r="BA5" s="235"/>
      <c r="BB5" s="235"/>
      <c r="BC5" s="235"/>
      <c r="BD5" s="235"/>
      <c r="BE5" s="235"/>
      <c r="BF5" s="235"/>
      <c r="BG5" s="235"/>
      <c r="BH5" s="235"/>
      <c r="BI5" s="235"/>
      <c r="BJ5" s="235"/>
      <c r="BK5" s="235"/>
      <c r="BL5" s="235"/>
      <c r="BM5" s="235"/>
      <c r="BN5" s="235"/>
      <c r="BO5" s="235"/>
      <c r="BP5" s="235"/>
      <c r="BQ5" s="235"/>
      <c r="BR5" s="235"/>
      <c r="BS5" s="235"/>
      <c r="BT5" s="235"/>
      <c r="BU5" s="235"/>
      <c r="BV5" s="235"/>
      <c r="BW5" s="235"/>
      <c r="BX5" s="235"/>
      <c r="BY5" s="235"/>
      <c r="BZ5" s="235"/>
      <c r="CA5" s="235"/>
      <c r="CB5" s="235"/>
      <c r="CC5" s="235"/>
      <c r="CD5" s="235"/>
      <c r="CE5" s="235"/>
      <c r="CF5" s="235"/>
      <c r="CG5" s="235"/>
      <c r="CH5" s="235"/>
      <c r="CI5" s="235"/>
      <c r="CJ5" s="235"/>
      <c r="CK5" s="235"/>
      <c r="CL5" s="235"/>
      <c r="CM5" s="235"/>
      <c r="CN5" s="235"/>
      <c r="CO5" s="235"/>
      <c r="CP5" s="237"/>
      <c r="CQ5" s="237"/>
      <c r="CR5" s="237">
        <f t="shared" ref="CR5:CR65" si="0">SUM(B5:CO5)</f>
        <v>0</v>
      </c>
    </row>
    <row r="6" spans="1:96" x14ac:dyDescent="0.3">
      <c r="A6" s="152" t="s">
        <v>193</v>
      </c>
      <c r="B6" s="235"/>
      <c r="C6" s="235"/>
      <c r="D6" s="235"/>
      <c r="E6" s="235"/>
      <c r="F6" s="235"/>
      <c r="G6" s="235"/>
      <c r="H6" s="235"/>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5"/>
      <c r="BK6" s="235"/>
      <c r="BL6" s="235"/>
      <c r="BM6" s="235"/>
      <c r="BN6" s="235"/>
      <c r="BO6" s="235"/>
      <c r="BP6" s="235"/>
      <c r="BQ6" s="235"/>
      <c r="BR6" s="235"/>
      <c r="BS6" s="235"/>
      <c r="BT6" s="235"/>
      <c r="BU6" s="235"/>
      <c r="BV6" s="235"/>
      <c r="BW6" s="235"/>
      <c r="BX6" s="235"/>
      <c r="BY6" s="235"/>
      <c r="BZ6" s="235"/>
      <c r="CA6" s="235"/>
      <c r="CB6" s="235"/>
      <c r="CC6" s="235"/>
      <c r="CD6" s="235"/>
      <c r="CE6" s="235"/>
      <c r="CF6" s="235"/>
      <c r="CG6" s="235"/>
      <c r="CH6" s="235"/>
      <c r="CI6" s="235"/>
      <c r="CJ6" s="235"/>
      <c r="CK6" s="235"/>
      <c r="CL6" s="235"/>
      <c r="CM6" s="235"/>
      <c r="CN6" s="235"/>
      <c r="CO6" s="235"/>
      <c r="CP6" s="237"/>
      <c r="CQ6" s="237"/>
      <c r="CR6" s="237">
        <f t="shared" si="0"/>
        <v>0</v>
      </c>
    </row>
    <row r="7" spans="1:96" x14ac:dyDescent="0.3">
      <c r="A7" s="152" t="s">
        <v>194</v>
      </c>
      <c r="B7" s="235"/>
      <c r="C7" s="235"/>
      <c r="D7" s="235"/>
      <c r="E7" s="235"/>
      <c r="F7" s="235"/>
      <c r="G7" s="235"/>
      <c r="H7" s="235"/>
      <c r="I7" s="235"/>
      <c r="J7" s="235"/>
      <c r="K7" s="235"/>
      <c r="L7" s="235"/>
      <c r="M7" s="235"/>
      <c r="N7" s="235"/>
      <c r="O7" s="235"/>
      <c r="P7" s="235"/>
      <c r="Q7" s="235"/>
      <c r="R7" s="235"/>
      <c r="S7" s="235"/>
      <c r="T7" s="235"/>
      <c r="U7" s="235"/>
      <c r="V7" s="235"/>
      <c r="W7" s="235"/>
      <c r="X7" s="235"/>
      <c r="Y7" s="235"/>
      <c r="Z7" s="235"/>
      <c r="AA7" s="235"/>
      <c r="AB7" s="235"/>
      <c r="AC7" s="235"/>
      <c r="AD7" s="235"/>
      <c r="AE7" s="235"/>
      <c r="AF7" s="235"/>
      <c r="AG7" s="235"/>
      <c r="AH7" s="235"/>
      <c r="AI7" s="235"/>
      <c r="AJ7" s="235"/>
      <c r="AK7" s="235"/>
      <c r="AL7" s="235"/>
      <c r="AM7" s="235"/>
      <c r="AN7" s="235"/>
      <c r="AO7" s="235"/>
      <c r="AP7" s="235"/>
      <c r="AQ7" s="235"/>
      <c r="AR7" s="235"/>
      <c r="AS7" s="235"/>
      <c r="AT7" s="235"/>
      <c r="AU7" s="235"/>
      <c r="AV7" s="235"/>
      <c r="AW7" s="235"/>
      <c r="AX7" s="235"/>
      <c r="AY7" s="235"/>
      <c r="AZ7" s="235"/>
      <c r="BA7" s="235"/>
      <c r="BB7" s="235"/>
      <c r="BC7" s="235"/>
      <c r="BD7" s="235"/>
      <c r="BE7" s="235"/>
      <c r="BF7" s="235"/>
      <c r="BG7" s="235"/>
      <c r="BH7" s="235"/>
      <c r="BI7" s="235"/>
      <c r="BJ7" s="235"/>
      <c r="BK7" s="235"/>
      <c r="BL7" s="235"/>
      <c r="BM7" s="235"/>
      <c r="BN7" s="235"/>
      <c r="BO7" s="235"/>
      <c r="BP7" s="235"/>
      <c r="BQ7" s="235"/>
      <c r="BR7" s="235"/>
      <c r="BS7" s="235"/>
      <c r="BT7" s="235"/>
      <c r="BU7" s="235"/>
      <c r="BV7" s="235"/>
      <c r="BW7" s="235"/>
      <c r="BX7" s="235"/>
      <c r="BY7" s="235"/>
      <c r="BZ7" s="235"/>
      <c r="CA7" s="235"/>
      <c r="CB7" s="235"/>
      <c r="CC7" s="235"/>
      <c r="CD7" s="235"/>
      <c r="CE7" s="235"/>
      <c r="CF7" s="235"/>
      <c r="CG7" s="235"/>
      <c r="CH7" s="235"/>
      <c r="CI7" s="235"/>
      <c r="CJ7" s="235"/>
      <c r="CK7" s="235"/>
      <c r="CL7" s="235"/>
      <c r="CM7" s="235"/>
      <c r="CN7" s="235"/>
      <c r="CO7" s="235"/>
      <c r="CP7" s="237"/>
      <c r="CQ7" s="237"/>
      <c r="CR7" s="237">
        <f t="shared" si="0"/>
        <v>0</v>
      </c>
    </row>
    <row r="8" spans="1:96" x14ac:dyDescent="0.3">
      <c r="A8" s="152" t="s">
        <v>195</v>
      </c>
      <c r="B8" s="235"/>
      <c r="C8" s="235"/>
      <c r="D8" s="235"/>
      <c r="E8" s="235"/>
      <c r="F8" s="235"/>
      <c r="G8" s="235"/>
      <c r="H8" s="235"/>
      <c r="I8" s="235"/>
      <c r="J8" s="235"/>
      <c r="K8" s="235"/>
      <c r="L8" s="235"/>
      <c r="M8" s="235"/>
      <c r="N8" s="235"/>
      <c r="O8" s="235"/>
      <c r="P8" s="235"/>
      <c r="Q8" s="235"/>
      <c r="R8" s="235"/>
      <c r="S8" s="235"/>
      <c r="T8" s="235"/>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c r="BD8" s="235"/>
      <c r="BE8" s="235"/>
      <c r="BF8" s="235"/>
      <c r="BG8" s="235"/>
      <c r="BH8" s="235"/>
      <c r="BI8" s="235"/>
      <c r="BJ8" s="235"/>
      <c r="BK8" s="235"/>
      <c r="BL8" s="235"/>
      <c r="BM8" s="235"/>
      <c r="BN8" s="235"/>
      <c r="BO8" s="235"/>
      <c r="BP8" s="235"/>
      <c r="BQ8" s="235"/>
      <c r="BR8" s="235"/>
      <c r="BS8" s="235"/>
      <c r="BT8" s="235"/>
      <c r="BU8" s="235"/>
      <c r="BV8" s="235"/>
      <c r="BW8" s="235"/>
      <c r="BX8" s="235"/>
      <c r="BY8" s="235"/>
      <c r="BZ8" s="235"/>
      <c r="CA8" s="235"/>
      <c r="CB8" s="235"/>
      <c r="CC8" s="235"/>
      <c r="CD8" s="235"/>
      <c r="CE8" s="235"/>
      <c r="CF8" s="235"/>
      <c r="CG8" s="235"/>
      <c r="CH8" s="235"/>
      <c r="CI8" s="235"/>
      <c r="CJ8" s="235"/>
      <c r="CK8" s="235"/>
      <c r="CL8" s="235"/>
      <c r="CM8" s="235"/>
      <c r="CN8" s="235"/>
      <c r="CO8" s="235"/>
      <c r="CP8" s="237"/>
      <c r="CQ8" s="237"/>
      <c r="CR8" s="237">
        <f t="shared" si="0"/>
        <v>0</v>
      </c>
    </row>
    <row r="9" spans="1:96" x14ac:dyDescent="0.3">
      <c r="A9" s="172" t="s">
        <v>196</v>
      </c>
      <c r="B9" s="198">
        <v>180816150.50999999</v>
      </c>
      <c r="C9" s="198">
        <v>14891969</v>
      </c>
      <c r="D9" s="198">
        <v>11310974.9</v>
      </c>
      <c r="E9" s="198">
        <v>11722682</v>
      </c>
      <c r="F9" s="198">
        <v>11966635</v>
      </c>
      <c r="G9" s="198">
        <v>7802800</v>
      </c>
      <c r="H9" s="198">
        <v>14141295</v>
      </c>
      <c r="I9" s="198">
        <v>13179011</v>
      </c>
      <c r="J9" s="198">
        <v>6163553</v>
      </c>
      <c r="K9" s="198">
        <v>8188812</v>
      </c>
      <c r="L9" s="198">
        <v>10278570</v>
      </c>
      <c r="M9" s="198">
        <v>5216907</v>
      </c>
      <c r="N9" s="198">
        <v>7510145</v>
      </c>
      <c r="O9" s="198">
        <v>6206683</v>
      </c>
      <c r="P9" s="198">
        <v>6910230</v>
      </c>
      <c r="Q9" s="198">
        <v>4565123</v>
      </c>
      <c r="R9" s="198">
        <v>3910733</v>
      </c>
      <c r="S9" s="198">
        <v>6461280</v>
      </c>
      <c r="T9" s="198">
        <v>2022607</v>
      </c>
      <c r="U9" s="198">
        <v>7451705</v>
      </c>
      <c r="V9" s="198">
        <v>6118445</v>
      </c>
      <c r="W9" s="198">
        <v>4037242</v>
      </c>
      <c r="X9" s="198">
        <v>2716661</v>
      </c>
      <c r="Y9" s="198">
        <v>3086430</v>
      </c>
      <c r="Z9" s="198">
        <v>3241297</v>
      </c>
      <c r="AA9" s="198">
        <v>3583935</v>
      </c>
      <c r="AB9" s="198">
        <v>5553603</v>
      </c>
      <c r="AC9" s="198">
        <v>3626535</v>
      </c>
      <c r="AD9" s="198">
        <v>4628377</v>
      </c>
      <c r="AE9" s="198">
        <v>3371599</v>
      </c>
      <c r="AF9" s="198">
        <v>2720468</v>
      </c>
      <c r="AG9" s="198">
        <v>3178823</v>
      </c>
      <c r="AH9" s="198">
        <v>2530098</v>
      </c>
      <c r="AI9" s="198">
        <v>2566769</v>
      </c>
      <c r="AJ9" s="198">
        <v>3509726</v>
      </c>
      <c r="AK9" s="198">
        <v>3286000</v>
      </c>
      <c r="AL9" s="198">
        <v>1164891</v>
      </c>
      <c r="AM9" s="198">
        <v>2837290</v>
      </c>
      <c r="AN9" s="198">
        <v>2147913</v>
      </c>
      <c r="AO9" s="198">
        <v>3360749</v>
      </c>
      <c r="AP9" s="198">
        <v>1862867</v>
      </c>
      <c r="AQ9" s="198">
        <v>1839189</v>
      </c>
      <c r="AR9" s="198">
        <v>1829423</v>
      </c>
      <c r="AS9" s="198">
        <v>2234129</v>
      </c>
      <c r="AT9" s="198">
        <v>1122612</v>
      </c>
      <c r="AU9" s="198">
        <v>1643799</v>
      </c>
      <c r="AV9" s="198">
        <v>1186698</v>
      </c>
      <c r="AW9" s="198">
        <v>1748197</v>
      </c>
      <c r="AX9" s="198">
        <v>1377973</v>
      </c>
      <c r="AY9" s="198">
        <v>675720</v>
      </c>
      <c r="AZ9" s="198">
        <v>996774</v>
      </c>
      <c r="BA9" s="198">
        <v>732063</v>
      </c>
      <c r="BB9" s="198">
        <v>1540936</v>
      </c>
      <c r="BC9" s="198">
        <v>968302</v>
      </c>
      <c r="BD9" s="198">
        <v>1590175</v>
      </c>
      <c r="BE9" s="198">
        <v>884377</v>
      </c>
      <c r="BF9" s="198">
        <v>1481649</v>
      </c>
      <c r="BG9" s="198">
        <v>1205444.5900000001</v>
      </c>
      <c r="BH9" s="198">
        <v>1114978</v>
      </c>
      <c r="BI9" s="198">
        <v>1837363</v>
      </c>
      <c r="BJ9" s="198">
        <v>531836</v>
      </c>
      <c r="BK9" s="198">
        <v>1243599</v>
      </c>
      <c r="BL9" s="198">
        <v>1700700</v>
      </c>
      <c r="BM9" s="198">
        <v>3613666</v>
      </c>
      <c r="BN9" s="198">
        <v>882803</v>
      </c>
      <c r="BO9" s="198">
        <v>420485</v>
      </c>
      <c r="BP9" s="198">
        <v>589736</v>
      </c>
      <c r="BQ9" s="198">
        <v>932601</v>
      </c>
      <c r="BR9" s="198">
        <v>724558</v>
      </c>
      <c r="BS9" s="198">
        <v>532415</v>
      </c>
      <c r="BT9" s="198">
        <v>287414.5</v>
      </c>
      <c r="BU9" s="198">
        <v>547153</v>
      </c>
      <c r="BV9" s="198">
        <v>255014</v>
      </c>
      <c r="BW9" s="198">
        <v>741960</v>
      </c>
      <c r="BX9" s="198">
        <v>339988</v>
      </c>
      <c r="BY9" s="198">
        <v>223278</v>
      </c>
      <c r="BZ9" s="198">
        <v>317105</v>
      </c>
      <c r="CA9" s="198">
        <v>145830</v>
      </c>
      <c r="CB9" s="198">
        <v>201066</v>
      </c>
      <c r="CC9" s="198">
        <v>341740</v>
      </c>
      <c r="CD9" s="198">
        <v>116065</v>
      </c>
      <c r="CE9" s="198">
        <v>471593</v>
      </c>
      <c r="CF9" s="198">
        <v>155692</v>
      </c>
      <c r="CG9" s="198">
        <v>426171</v>
      </c>
      <c r="CH9" s="198">
        <v>44020</v>
      </c>
      <c r="CI9" s="198">
        <v>134403</v>
      </c>
      <c r="CJ9" s="198">
        <v>375737</v>
      </c>
      <c r="CK9" s="198">
        <v>861970</v>
      </c>
      <c r="CL9" s="198">
        <v>55424</v>
      </c>
      <c r="CM9" s="198">
        <v>96374</v>
      </c>
      <c r="CN9" s="198">
        <v>331605.2</v>
      </c>
      <c r="CO9" s="198">
        <v>32800</v>
      </c>
      <c r="CP9" s="237"/>
      <c r="CQ9" s="237"/>
      <c r="CR9" s="240">
        <f t="shared" si="0"/>
        <v>453532186.69999993</v>
      </c>
    </row>
    <row r="10" spans="1:96" x14ac:dyDescent="0.3">
      <c r="A10" s="152" t="s">
        <v>197</v>
      </c>
      <c r="B10" s="235"/>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5"/>
      <c r="AH10" s="235"/>
      <c r="AI10" s="235"/>
      <c r="AJ10" s="235"/>
      <c r="AK10" s="235"/>
      <c r="AL10" s="235"/>
      <c r="AM10" s="235"/>
      <c r="AN10" s="235"/>
      <c r="AO10" s="235"/>
      <c r="AP10" s="235"/>
      <c r="AQ10" s="235"/>
      <c r="AR10" s="235"/>
      <c r="AS10" s="235"/>
      <c r="AT10" s="235"/>
      <c r="AU10" s="235"/>
      <c r="AV10" s="235"/>
      <c r="AW10" s="235"/>
      <c r="AX10" s="235"/>
      <c r="AY10" s="235"/>
      <c r="AZ10" s="235"/>
      <c r="BA10" s="235"/>
      <c r="BB10" s="235"/>
      <c r="BC10" s="235"/>
      <c r="BD10" s="235"/>
      <c r="BE10" s="235"/>
      <c r="BF10" s="235"/>
      <c r="BG10" s="235"/>
      <c r="BH10" s="235"/>
      <c r="BI10" s="235"/>
      <c r="BJ10" s="235"/>
      <c r="BK10" s="235"/>
      <c r="BL10" s="235"/>
      <c r="BM10" s="235"/>
      <c r="BN10" s="235"/>
      <c r="BO10" s="235"/>
      <c r="BP10" s="235"/>
      <c r="BQ10" s="235"/>
      <c r="BR10" s="235"/>
      <c r="BS10" s="235"/>
      <c r="BT10" s="235"/>
      <c r="BU10" s="235"/>
      <c r="BV10" s="235"/>
      <c r="BW10" s="235"/>
      <c r="BX10" s="235"/>
      <c r="BY10" s="235"/>
      <c r="BZ10" s="235"/>
      <c r="CA10" s="235"/>
      <c r="CB10" s="235"/>
      <c r="CC10" s="235"/>
      <c r="CD10" s="235"/>
      <c r="CE10" s="235"/>
      <c r="CF10" s="235"/>
      <c r="CG10" s="235"/>
      <c r="CH10" s="235"/>
      <c r="CI10" s="235"/>
      <c r="CJ10" s="235"/>
      <c r="CK10" s="235"/>
      <c r="CL10" s="235"/>
      <c r="CM10" s="235"/>
      <c r="CN10" s="235"/>
      <c r="CO10" s="235"/>
      <c r="CP10" s="237"/>
      <c r="CQ10" s="237"/>
      <c r="CR10" s="237">
        <f t="shared" si="0"/>
        <v>0</v>
      </c>
    </row>
    <row r="11" spans="1:96" x14ac:dyDescent="0.3">
      <c r="A11" s="172" t="s">
        <v>198</v>
      </c>
      <c r="B11" s="198">
        <v>95379600</v>
      </c>
      <c r="C11" s="198">
        <v>9285682</v>
      </c>
      <c r="D11" s="198">
        <v>5469410</v>
      </c>
      <c r="E11" s="198">
        <v>7330450</v>
      </c>
      <c r="F11" s="198">
        <v>8464454</v>
      </c>
      <c r="G11" s="198">
        <v>6492661</v>
      </c>
      <c r="H11" s="198">
        <v>9577143</v>
      </c>
      <c r="I11" s="198">
        <v>7988954.75</v>
      </c>
      <c r="J11" s="198">
        <v>3372588</v>
      </c>
      <c r="K11" s="198">
        <v>4220573</v>
      </c>
      <c r="L11" s="198">
        <v>5674189</v>
      </c>
      <c r="M11" s="198">
        <v>3521139</v>
      </c>
      <c r="N11" s="198">
        <v>4607024</v>
      </c>
      <c r="O11" s="198">
        <v>2618120</v>
      </c>
      <c r="P11" s="198">
        <v>5313433</v>
      </c>
      <c r="Q11" s="198">
        <v>2855783</v>
      </c>
      <c r="R11" s="198">
        <v>1836073</v>
      </c>
      <c r="S11" s="198">
        <v>4128699</v>
      </c>
      <c r="T11" s="198">
        <v>1275266</v>
      </c>
      <c r="U11" s="198">
        <v>4080087</v>
      </c>
      <c r="V11" s="198">
        <v>3545108</v>
      </c>
      <c r="W11" s="198">
        <v>2818164</v>
      </c>
      <c r="X11" s="198">
        <v>1320935</v>
      </c>
      <c r="Y11" s="198">
        <v>2330911</v>
      </c>
      <c r="Z11" s="198">
        <v>1995241</v>
      </c>
      <c r="AA11" s="198">
        <v>1230624</v>
      </c>
      <c r="AB11" s="198">
        <v>3468770</v>
      </c>
      <c r="AC11" s="198">
        <v>1237626</v>
      </c>
      <c r="AD11" s="198">
        <v>2167423</v>
      </c>
      <c r="AE11" s="198">
        <v>2723122</v>
      </c>
      <c r="AF11" s="198">
        <v>1784778</v>
      </c>
      <c r="AG11" s="198">
        <v>1630325</v>
      </c>
      <c r="AH11" s="198">
        <v>1101993</v>
      </c>
      <c r="AI11" s="198">
        <v>1650627</v>
      </c>
      <c r="AJ11" s="198">
        <v>1448674</v>
      </c>
      <c r="AK11" s="198">
        <v>1358955</v>
      </c>
      <c r="AL11" s="198">
        <v>784687</v>
      </c>
      <c r="AM11" s="198">
        <v>1731476</v>
      </c>
      <c r="AN11" s="198">
        <v>1507078</v>
      </c>
      <c r="AO11" s="198">
        <v>2201798</v>
      </c>
      <c r="AP11" s="198">
        <v>1285825</v>
      </c>
      <c r="AQ11" s="198">
        <v>1210384</v>
      </c>
      <c r="AR11" s="198">
        <v>595642</v>
      </c>
      <c r="AS11" s="198">
        <v>1667181</v>
      </c>
      <c r="AT11" s="198">
        <v>713983</v>
      </c>
      <c r="AU11" s="198">
        <v>1065353</v>
      </c>
      <c r="AV11" s="198">
        <v>723087</v>
      </c>
      <c r="AW11" s="198">
        <v>1198500.1000000001</v>
      </c>
      <c r="AX11" s="198">
        <v>991285</v>
      </c>
      <c r="AY11" s="198">
        <v>325704</v>
      </c>
      <c r="AZ11" s="198">
        <v>464162</v>
      </c>
      <c r="BA11" s="198">
        <v>425838</v>
      </c>
      <c r="BB11" s="198">
        <v>969113</v>
      </c>
      <c r="BC11" s="198">
        <v>660034</v>
      </c>
      <c r="BD11" s="198">
        <v>260656</v>
      </c>
      <c r="BE11" s="198">
        <v>477219</v>
      </c>
      <c r="BF11" s="198">
        <v>939527</v>
      </c>
      <c r="BG11" s="198">
        <v>795853</v>
      </c>
      <c r="BH11" s="198">
        <v>509340</v>
      </c>
      <c r="BI11" s="198">
        <v>650881</v>
      </c>
      <c r="BJ11" s="198">
        <v>302085</v>
      </c>
      <c r="BK11" s="198">
        <v>777903</v>
      </c>
      <c r="BL11" s="198">
        <v>575807</v>
      </c>
      <c r="BM11" s="198">
        <v>1914434</v>
      </c>
      <c r="BN11" s="198">
        <v>391802</v>
      </c>
      <c r="BO11" s="198">
        <v>215970</v>
      </c>
      <c r="BP11" s="198">
        <v>300510</v>
      </c>
      <c r="BQ11" s="198">
        <v>604831</v>
      </c>
      <c r="BR11" s="198">
        <v>494732</v>
      </c>
      <c r="BS11" s="198">
        <v>280192</v>
      </c>
      <c r="BT11" s="198">
        <v>184716</v>
      </c>
      <c r="BU11" s="198">
        <v>345096</v>
      </c>
      <c r="BV11" s="198">
        <v>142828</v>
      </c>
      <c r="BW11" s="198">
        <v>557518</v>
      </c>
      <c r="BX11" s="198">
        <v>220834</v>
      </c>
      <c r="BY11" s="198">
        <v>185407</v>
      </c>
      <c r="BZ11" s="198">
        <v>229023</v>
      </c>
      <c r="CA11" s="198">
        <v>74265</v>
      </c>
      <c r="CB11" s="198">
        <v>80159</v>
      </c>
      <c r="CC11" s="198">
        <v>214532</v>
      </c>
      <c r="CD11" s="198">
        <v>83267</v>
      </c>
      <c r="CE11" s="198">
        <v>400514</v>
      </c>
      <c r="CF11" s="198">
        <v>99834</v>
      </c>
      <c r="CG11" s="198">
        <v>310285</v>
      </c>
      <c r="CH11" s="198">
        <v>29694.5</v>
      </c>
      <c r="CI11" s="198">
        <v>85640</v>
      </c>
      <c r="CJ11" s="198">
        <v>284946</v>
      </c>
      <c r="CK11" s="198">
        <v>690520</v>
      </c>
      <c r="CL11" s="198">
        <v>40676</v>
      </c>
      <c r="CM11" s="198">
        <v>93296</v>
      </c>
      <c r="CN11" s="198">
        <v>311401.27</v>
      </c>
      <c r="CO11" s="198">
        <v>13454.06</v>
      </c>
      <c r="CP11" s="237"/>
      <c r="CQ11" s="237"/>
      <c r="CR11" s="240">
        <f t="shared" si="0"/>
        <v>257995382.68000001</v>
      </c>
    </row>
    <row r="12" spans="1:96" x14ac:dyDescent="0.3">
      <c r="B12" s="235"/>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c r="BM12" s="235"/>
      <c r="BN12" s="235"/>
      <c r="BO12" s="235"/>
      <c r="BP12" s="235"/>
      <c r="BQ12" s="235"/>
      <c r="BR12" s="235"/>
      <c r="BS12" s="235"/>
      <c r="BT12" s="235"/>
      <c r="BU12" s="235"/>
      <c r="BV12" s="235"/>
      <c r="BW12" s="235"/>
      <c r="BX12" s="235"/>
      <c r="BY12" s="235"/>
      <c r="BZ12" s="235"/>
      <c r="CA12" s="235"/>
      <c r="CB12" s="235"/>
      <c r="CC12" s="235"/>
      <c r="CD12" s="235"/>
      <c r="CE12" s="235"/>
      <c r="CF12" s="235"/>
      <c r="CG12" s="235"/>
      <c r="CH12" s="235"/>
      <c r="CI12" s="235"/>
      <c r="CJ12" s="235"/>
      <c r="CK12" s="235"/>
      <c r="CL12" s="235"/>
      <c r="CM12" s="235"/>
      <c r="CN12" s="235"/>
      <c r="CO12" s="235"/>
      <c r="CP12" s="237"/>
      <c r="CQ12" s="237"/>
      <c r="CR12" s="237">
        <f t="shared" si="0"/>
        <v>0</v>
      </c>
    </row>
    <row r="13" spans="1:96" x14ac:dyDescent="0.3">
      <c r="B13" s="235"/>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35"/>
      <c r="BF13" s="235"/>
      <c r="BG13" s="235"/>
      <c r="BH13" s="235"/>
      <c r="BI13" s="235"/>
      <c r="BJ13" s="235"/>
      <c r="BK13" s="235"/>
      <c r="BL13" s="235"/>
      <c r="BM13" s="235"/>
      <c r="BN13" s="235"/>
      <c r="BO13" s="235"/>
      <c r="BP13" s="235"/>
      <c r="BQ13" s="235"/>
      <c r="BR13" s="235"/>
      <c r="BS13" s="235"/>
      <c r="BT13" s="235"/>
      <c r="BU13" s="235"/>
      <c r="BV13" s="235"/>
      <c r="BW13" s="235"/>
      <c r="BX13" s="235"/>
      <c r="BY13" s="235"/>
      <c r="BZ13" s="235"/>
      <c r="CA13" s="235"/>
      <c r="CB13" s="235"/>
      <c r="CC13" s="235"/>
      <c r="CD13" s="235"/>
      <c r="CE13" s="235"/>
      <c r="CF13" s="235"/>
      <c r="CG13" s="235"/>
      <c r="CH13" s="235"/>
      <c r="CI13" s="235"/>
      <c r="CJ13" s="235"/>
      <c r="CK13" s="235"/>
      <c r="CL13" s="235"/>
      <c r="CM13" s="235"/>
      <c r="CN13" s="235"/>
      <c r="CO13" s="235"/>
      <c r="CP13" s="237"/>
      <c r="CQ13" s="237"/>
      <c r="CR13" s="237">
        <f t="shared" si="0"/>
        <v>0</v>
      </c>
    </row>
    <row r="14" spans="1:96" s="254" customFormat="1" x14ac:dyDescent="0.3">
      <c r="A14" s="172" t="s">
        <v>199</v>
      </c>
      <c r="B14" s="198">
        <v>180816150.50999999</v>
      </c>
      <c r="C14" s="198">
        <v>14891969</v>
      </c>
      <c r="D14" s="198">
        <v>11310974.9</v>
      </c>
      <c r="E14" s="198">
        <v>11722682</v>
      </c>
      <c r="F14" s="198">
        <v>11966635</v>
      </c>
      <c r="G14" s="198">
        <v>7802800</v>
      </c>
      <c r="H14" s="198">
        <v>14141295</v>
      </c>
      <c r="I14" s="198">
        <v>13179011</v>
      </c>
      <c r="J14" s="198">
        <v>6163553</v>
      </c>
      <c r="K14" s="198">
        <v>8188812</v>
      </c>
      <c r="L14" s="198">
        <v>10278570</v>
      </c>
      <c r="M14" s="198">
        <v>5216907</v>
      </c>
      <c r="N14" s="198">
        <v>7510145</v>
      </c>
      <c r="O14" s="198">
        <v>6206683</v>
      </c>
      <c r="P14" s="198">
        <v>6910230</v>
      </c>
      <c r="Q14" s="198">
        <v>4565123</v>
      </c>
      <c r="R14" s="198">
        <v>3910733</v>
      </c>
      <c r="S14" s="198">
        <v>6461280</v>
      </c>
      <c r="T14" s="198">
        <v>2022607</v>
      </c>
      <c r="U14" s="198">
        <v>7451705</v>
      </c>
      <c r="V14" s="198">
        <v>6118445</v>
      </c>
      <c r="W14" s="198">
        <v>4037242</v>
      </c>
      <c r="X14" s="198">
        <v>2716661</v>
      </c>
      <c r="Y14" s="198">
        <v>3086430</v>
      </c>
      <c r="Z14" s="198">
        <v>3241297</v>
      </c>
      <c r="AA14" s="198">
        <v>3583935</v>
      </c>
      <c r="AB14" s="198">
        <v>5553603</v>
      </c>
      <c r="AC14" s="198">
        <v>3626535</v>
      </c>
      <c r="AD14" s="198">
        <v>4628377</v>
      </c>
      <c r="AE14" s="198">
        <v>3371599</v>
      </c>
      <c r="AF14" s="198">
        <v>2720468</v>
      </c>
      <c r="AG14" s="198">
        <v>3178823</v>
      </c>
      <c r="AH14" s="198">
        <v>2530098</v>
      </c>
      <c r="AI14" s="198">
        <v>2566769</v>
      </c>
      <c r="AJ14" s="198">
        <v>3509726</v>
      </c>
      <c r="AK14" s="198">
        <v>3286000</v>
      </c>
      <c r="AL14" s="198">
        <v>1164891</v>
      </c>
      <c r="AM14" s="198">
        <v>2837290</v>
      </c>
      <c r="AN14" s="198">
        <v>2147913</v>
      </c>
      <c r="AO14" s="198">
        <v>3360749</v>
      </c>
      <c r="AP14" s="198">
        <v>1862867</v>
      </c>
      <c r="AQ14" s="198">
        <v>1839189</v>
      </c>
      <c r="AR14" s="198">
        <v>1829423</v>
      </c>
      <c r="AS14" s="198">
        <v>2234129</v>
      </c>
      <c r="AT14" s="198">
        <v>1122612</v>
      </c>
      <c r="AU14" s="198">
        <v>1643799</v>
      </c>
      <c r="AV14" s="198">
        <v>1186698</v>
      </c>
      <c r="AW14" s="198">
        <v>1748197</v>
      </c>
      <c r="AX14" s="198">
        <v>1377973</v>
      </c>
      <c r="AY14" s="198">
        <v>675720</v>
      </c>
      <c r="AZ14" s="198">
        <v>996774</v>
      </c>
      <c r="BA14" s="198">
        <v>732063</v>
      </c>
      <c r="BB14" s="198">
        <v>1540936</v>
      </c>
      <c r="BC14" s="198">
        <v>968302</v>
      </c>
      <c r="BD14" s="198">
        <v>1590175</v>
      </c>
      <c r="BE14" s="198">
        <v>884377</v>
      </c>
      <c r="BF14" s="198">
        <v>1481649</v>
      </c>
      <c r="BG14" s="198">
        <v>1205444.5900000001</v>
      </c>
      <c r="BH14" s="198">
        <v>1114978</v>
      </c>
      <c r="BI14" s="198">
        <v>1837363</v>
      </c>
      <c r="BJ14" s="198">
        <v>531836</v>
      </c>
      <c r="BK14" s="198">
        <v>1243599</v>
      </c>
      <c r="BL14" s="198">
        <v>1700700</v>
      </c>
      <c r="BM14" s="198">
        <v>3613666</v>
      </c>
      <c r="BN14" s="198">
        <v>882803</v>
      </c>
      <c r="BO14" s="198">
        <v>420485</v>
      </c>
      <c r="BP14" s="198">
        <v>589736</v>
      </c>
      <c r="BQ14" s="198">
        <v>932601</v>
      </c>
      <c r="BR14" s="198">
        <v>724558</v>
      </c>
      <c r="BS14" s="198">
        <v>532415</v>
      </c>
      <c r="BT14" s="198">
        <v>287414.5</v>
      </c>
      <c r="BU14" s="198">
        <v>547153</v>
      </c>
      <c r="BV14" s="198">
        <v>255014</v>
      </c>
      <c r="BW14" s="198">
        <v>741960</v>
      </c>
      <c r="BX14" s="198">
        <v>339988</v>
      </c>
      <c r="BY14" s="198">
        <v>223278</v>
      </c>
      <c r="BZ14" s="198">
        <v>317105</v>
      </c>
      <c r="CA14" s="198">
        <v>145830</v>
      </c>
      <c r="CB14" s="198">
        <v>201066</v>
      </c>
      <c r="CC14" s="198">
        <v>341740</v>
      </c>
      <c r="CD14" s="198">
        <v>116065</v>
      </c>
      <c r="CE14" s="198">
        <v>471593</v>
      </c>
      <c r="CF14" s="198">
        <v>155692</v>
      </c>
      <c r="CG14" s="198">
        <v>426171</v>
      </c>
      <c r="CH14" s="198">
        <v>44020</v>
      </c>
      <c r="CI14" s="198">
        <v>134403</v>
      </c>
      <c r="CJ14" s="198">
        <v>375737</v>
      </c>
      <c r="CK14" s="198">
        <v>861970</v>
      </c>
      <c r="CL14" s="198">
        <v>55424</v>
      </c>
      <c r="CM14" s="198">
        <v>96374</v>
      </c>
      <c r="CN14" s="198">
        <v>331605.2</v>
      </c>
      <c r="CO14" s="198">
        <v>32800</v>
      </c>
      <c r="CP14" s="240"/>
      <c r="CQ14" s="240"/>
      <c r="CR14" s="240">
        <f t="shared" si="0"/>
        <v>453532186.69999993</v>
      </c>
    </row>
    <row r="15" spans="1:96" x14ac:dyDescent="0.3">
      <c r="A15" s="152" t="s">
        <v>200</v>
      </c>
      <c r="B15" s="235"/>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5"/>
      <c r="AO15" s="235"/>
      <c r="AP15" s="235"/>
      <c r="AQ15" s="235"/>
      <c r="AR15" s="235"/>
      <c r="AS15" s="235"/>
      <c r="AT15" s="235"/>
      <c r="AU15" s="235"/>
      <c r="AV15" s="235"/>
      <c r="AW15" s="235"/>
      <c r="AX15" s="235"/>
      <c r="AY15" s="235"/>
      <c r="AZ15" s="235"/>
      <c r="BA15" s="235"/>
      <c r="BB15" s="235"/>
      <c r="BC15" s="235"/>
      <c r="BD15" s="235"/>
      <c r="BE15" s="235"/>
      <c r="BF15" s="235"/>
      <c r="BG15" s="235"/>
      <c r="BH15" s="235"/>
      <c r="BI15" s="235"/>
      <c r="BJ15" s="235"/>
      <c r="BK15" s="235"/>
      <c r="BL15" s="235"/>
      <c r="BM15" s="235"/>
      <c r="BN15" s="235"/>
      <c r="BO15" s="235"/>
      <c r="BP15" s="235"/>
      <c r="BQ15" s="235"/>
      <c r="BR15" s="235"/>
      <c r="BS15" s="235"/>
      <c r="BT15" s="235"/>
      <c r="BU15" s="235"/>
      <c r="BV15" s="235"/>
      <c r="BW15" s="235"/>
      <c r="BX15" s="235"/>
      <c r="BY15" s="235"/>
      <c r="BZ15" s="235"/>
      <c r="CA15" s="235"/>
      <c r="CB15" s="235"/>
      <c r="CC15" s="235"/>
      <c r="CD15" s="235"/>
      <c r="CE15" s="235"/>
      <c r="CF15" s="235"/>
      <c r="CG15" s="235"/>
      <c r="CH15" s="235"/>
      <c r="CI15" s="235"/>
      <c r="CJ15" s="235"/>
      <c r="CK15" s="235"/>
      <c r="CL15" s="235"/>
      <c r="CM15" s="235"/>
      <c r="CN15" s="235"/>
      <c r="CO15" s="235"/>
      <c r="CP15" s="237"/>
      <c r="CQ15" s="237"/>
      <c r="CR15" s="237"/>
    </row>
    <row r="16" spans="1:96" x14ac:dyDescent="0.3">
      <c r="A16" s="152" t="s">
        <v>201</v>
      </c>
      <c r="B16" s="235">
        <v>11632908893.66</v>
      </c>
      <c r="C16" s="235">
        <v>1055419275</v>
      </c>
      <c r="D16" s="235">
        <v>816014942</v>
      </c>
      <c r="E16" s="235">
        <v>1070204003.34</v>
      </c>
      <c r="F16" s="235">
        <v>1073988762.4100001</v>
      </c>
      <c r="G16" s="235">
        <v>657197325</v>
      </c>
      <c r="H16" s="235">
        <v>850892439.53999996</v>
      </c>
      <c r="I16" s="235">
        <v>734674165.10000002</v>
      </c>
      <c r="J16" s="235">
        <v>245827558</v>
      </c>
      <c r="K16" s="235">
        <v>431313913</v>
      </c>
      <c r="L16" s="235">
        <v>712579832.60000002</v>
      </c>
      <c r="M16" s="235">
        <v>154589404</v>
      </c>
      <c r="N16" s="235">
        <v>518616080.20999998</v>
      </c>
      <c r="O16" s="235">
        <v>223242901</v>
      </c>
      <c r="P16" s="235">
        <v>612053158</v>
      </c>
      <c r="Q16" s="235">
        <v>382389692</v>
      </c>
      <c r="R16" s="235">
        <v>257760856</v>
      </c>
      <c r="S16" s="235">
        <v>246540394</v>
      </c>
      <c r="T16" s="235">
        <v>148469463</v>
      </c>
      <c r="U16" s="235">
        <v>366479957.93000001</v>
      </c>
      <c r="V16" s="235">
        <v>474020896</v>
      </c>
      <c r="W16" s="235">
        <v>351935603</v>
      </c>
      <c r="X16" s="235">
        <v>92675223</v>
      </c>
      <c r="Y16" s="235">
        <v>310029727</v>
      </c>
      <c r="Z16" s="235">
        <v>276962653</v>
      </c>
      <c r="AA16" s="235">
        <v>264306677.69999999</v>
      </c>
      <c r="AB16" s="235">
        <v>284576028</v>
      </c>
      <c r="AC16" s="235">
        <v>220661779</v>
      </c>
      <c r="AD16" s="235">
        <v>309066285</v>
      </c>
      <c r="AE16" s="235">
        <v>237392409.78999999</v>
      </c>
      <c r="AF16" s="235">
        <v>95425177</v>
      </c>
      <c r="AG16" s="235">
        <v>267978728</v>
      </c>
      <c r="AH16" s="235">
        <v>190618283.81999999</v>
      </c>
      <c r="AI16" s="235">
        <v>68911736</v>
      </c>
      <c r="AJ16" s="235">
        <v>106838686</v>
      </c>
      <c r="AK16" s="235">
        <v>77442485</v>
      </c>
      <c r="AL16" s="235">
        <v>245601505</v>
      </c>
      <c r="AM16" s="235">
        <v>208931771</v>
      </c>
      <c r="AN16" s="235">
        <v>107107775</v>
      </c>
      <c r="AO16" s="235">
        <v>259914211</v>
      </c>
      <c r="AP16" s="235">
        <v>177334886</v>
      </c>
      <c r="AQ16" s="235">
        <v>73183709</v>
      </c>
      <c r="AR16" s="235">
        <v>76240389.900000006</v>
      </c>
      <c r="AS16" s="235">
        <v>236108156.37</v>
      </c>
      <c r="AT16" s="235">
        <v>42270520</v>
      </c>
      <c r="AU16" s="235">
        <v>169070604.93000001</v>
      </c>
      <c r="AV16" s="235">
        <v>58282567</v>
      </c>
      <c r="AW16" s="235">
        <v>110244131</v>
      </c>
      <c r="AX16" s="235">
        <v>111987365</v>
      </c>
      <c r="AY16" s="235">
        <v>18699824</v>
      </c>
      <c r="AZ16" s="235">
        <v>80747255</v>
      </c>
      <c r="BA16" s="235">
        <v>145392625</v>
      </c>
      <c r="BB16" s="235">
        <v>82424703.439999998</v>
      </c>
      <c r="BC16" s="235">
        <v>125634730</v>
      </c>
      <c r="BD16" s="235">
        <v>35483198</v>
      </c>
      <c r="BE16" s="235">
        <v>57716262</v>
      </c>
      <c r="BF16" s="235">
        <v>110113458</v>
      </c>
      <c r="BG16" s="235">
        <v>138599083</v>
      </c>
      <c r="BH16" s="235">
        <v>40349065</v>
      </c>
      <c r="BI16" s="235">
        <v>52772446</v>
      </c>
      <c r="BJ16" s="235">
        <v>57555958</v>
      </c>
      <c r="BK16" s="235">
        <v>80103070</v>
      </c>
      <c r="BL16" s="235">
        <v>91116332</v>
      </c>
      <c r="BM16" s="235">
        <v>23187853</v>
      </c>
      <c r="BN16" s="235">
        <v>23112236</v>
      </c>
      <c r="BO16" s="235">
        <v>44737801</v>
      </c>
      <c r="BP16" s="235">
        <v>65851192</v>
      </c>
      <c r="BQ16" s="235">
        <v>152468987</v>
      </c>
      <c r="BR16" s="235">
        <v>36285781</v>
      </c>
      <c r="BS16" s="235">
        <v>194065541.15000001</v>
      </c>
      <c r="BT16" s="235">
        <v>33696652</v>
      </c>
      <c r="BU16" s="235">
        <v>45211152</v>
      </c>
      <c r="BV16" s="235">
        <v>30021932</v>
      </c>
      <c r="BW16" s="235">
        <v>4673862</v>
      </c>
      <c r="BX16" s="235">
        <v>21169793</v>
      </c>
      <c r="BY16" s="235">
        <v>12814492</v>
      </c>
      <c r="BZ16" s="235">
        <v>17811126</v>
      </c>
      <c r="CA16" s="235">
        <v>110983165.59999999</v>
      </c>
      <c r="CB16" s="235">
        <v>608395986</v>
      </c>
      <c r="CC16" s="235">
        <v>29467723</v>
      </c>
      <c r="CD16" s="235">
        <v>18286375.399999999</v>
      </c>
      <c r="CE16" s="235">
        <v>25832593</v>
      </c>
      <c r="CF16" s="235">
        <v>17336981</v>
      </c>
      <c r="CG16" s="235">
        <v>50612521</v>
      </c>
      <c r="CH16" s="235">
        <v>5256306</v>
      </c>
      <c r="CI16" s="235">
        <v>6425389</v>
      </c>
      <c r="CJ16" s="235">
        <v>3301138</v>
      </c>
      <c r="CK16" s="235">
        <v>64943336</v>
      </c>
      <c r="CL16" s="235">
        <v>13088052</v>
      </c>
      <c r="CM16" s="235">
        <v>36125632.68</v>
      </c>
      <c r="CN16" s="235">
        <v>85452380.540000007</v>
      </c>
      <c r="CO16" s="235">
        <v>2629350</v>
      </c>
      <c r="CP16" s="237"/>
      <c r="CQ16" s="237"/>
      <c r="CR16" s="237"/>
    </row>
    <row r="17" spans="1:96" x14ac:dyDescent="0.3">
      <c r="A17" s="152" t="s">
        <v>202</v>
      </c>
      <c r="B17" s="235">
        <v>7561390780.8789997</v>
      </c>
      <c r="C17" s="235">
        <v>897106383.75</v>
      </c>
      <c r="D17" s="235">
        <v>652811953.60000002</v>
      </c>
      <c r="E17" s="235">
        <v>936428502.92250001</v>
      </c>
      <c r="F17" s="235">
        <v>1073988762.4100001</v>
      </c>
      <c r="G17" s="235">
        <v>591477592.5</v>
      </c>
      <c r="H17" s="235">
        <v>646678254.05040002</v>
      </c>
      <c r="I17" s="235">
        <v>734674165.10000002</v>
      </c>
      <c r="J17" s="235">
        <v>245827558</v>
      </c>
      <c r="K17" s="235">
        <v>366616826.05000001</v>
      </c>
      <c r="L17" s="235">
        <v>712579832.60000002</v>
      </c>
      <c r="M17" s="235">
        <v>154589404</v>
      </c>
      <c r="N17" s="235">
        <v>440823668.1785</v>
      </c>
      <c r="O17" s="235">
        <v>223242901</v>
      </c>
      <c r="P17" s="235">
        <v>612053158</v>
      </c>
      <c r="Q17" s="235">
        <v>267672784.39999998</v>
      </c>
      <c r="R17" s="235">
        <v>219096727.59999999</v>
      </c>
      <c r="S17" s="235">
        <v>246540394</v>
      </c>
      <c r="T17" s="235">
        <v>148469463</v>
      </c>
      <c r="U17" s="235">
        <v>366479957.93000001</v>
      </c>
      <c r="V17" s="235">
        <v>474020896</v>
      </c>
      <c r="W17" s="235">
        <v>334338822.84999996</v>
      </c>
      <c r="X17" s="235">
        <v>92675223</v>
      </c>
      <c r="Y17" s="235">
        <v>300728835.19</v>
      </c>
      <c r="Z17" s="235">
        <v>235418255.04999998</v>
      </c>
      <c r="AA17" s="235">
        <v>224660676.04499999</v>
      </c>
      <c r="AB17" s="235">
        <v>241889623.79999998</v>
      </c>
      <c r="AC17" s="235">
        <v>220661779</v>
      </c>
      <c r="AD17" s="235">
        <v>309066285</v>
      </c>
      <c r="AE17" s="235">
        <v>237392409.78999999</v>
      </c>
      <c r="AF17" s="235">
        <v>95425177</v>
      </c>
      <c r="AG17" s="235">
        <v>267978728</v>
      </c>
      <c r="AH17" s="235">
        <v>190618283.81999999</v>
      </c>
      <c r="AI17" s="235">
        <v>68911736</v>
      </c>
      <c r="AJ17" s="235">
        <v>106838686</v>
      </c>
      <c r="AK17" s="235">
        <v>77442485</v>
      </c>
      <c r="AL17" s="235">
        <v>208761279.25</v>
      </c>
      <c r="AM17" s="235">
        <v>208931771</v>
      </c>
      <c r="AN17" s="235">
        <v>91041608.75</v>
      </c>
      <c r="AO17" s="235">
        <v>220927079.34999999</v>
      </c>
      <c r="AP17" s="235">
        <v>177334886</v>
      </c>
      <c r="AQ17" s="235">
        <v>73183709</v>
      </c>
      <c r="AR17" s="235">
        <v>76240389.900000006</v>
      </c>
      <c r="AS17" s="235">
        <v>200691932.9145</v>
      </c>
      <c r="AT17" s="235">
        <v>42270520</v>
      </c>
      <c r="AU17" s="235">
        <v>169070604.93000001</v>
      </c>
      <c r="AV17" s="235">
        <v>58282567</v>
      </c>
      <c r="AW17" s="235">
        <v>110244131</v>
      </c>
      <c r="AX17" s="235">
        <v>111987365</v>
      </c>
      <c r="AY17" s="235">
        <v>18699824</v>
      </c>
      <c r="AZ17" s="235">
        <v>80747255</v>
      </c>
      <c r="BA17" s="235">
        <v>145392625</v>
      </c>
      <c r="BB17" s="235">
        <v>82424703.439999998</v>
      </c>
      <c r="BC17" s="235">
        <v>106789520.5</v>
      </c>
      <c r="BD17" s="235">
        <v>35483198</v>
      </c>
      <c r="BE17" s="235">
        <v>57716262</v>
      </c>
      <c r="BF17" s="235">
        <v>110113458</v>
      </c>
      <c r="BG17" s="235">
        <v>138599083</v>
      </c>
      <c r="BH17" s="235">
        <v>40349065</v>
      </c>
      <c r="BI17" s="235">
        <v>52772446</v>
      </c>
      <c r="BJ17" s="235">
        <v>57555958</v>
      </c>
      <c r="BK17" s="235">
        <v>80103070</v>
      </c>
      <c r="BL17" s="235">
        <v>91116332</v>
      </c>
      <c r="BM17" s="235">
        <v>23187853</v>
      </c>
      <c r="BN17" s="235">
        <v>23112236</v>
      </c>
      <c r="BO17" s="235">
        <v>44737801</v>
      </c>
      <c r="BP17" s="235">
        <v>65851192</v>
      </c>
      <c r="BQ17" s="235">
        <v>152468987</v>
      </c>
      <c r="BR17" s="235">
        <v>36285781</v>
      </c>
      <c r="BS17" s="235">
        <v>194065541.15000001</v>
      </c>
      <c r="BT17" s="235">
        <v>33696652</v>
      </c>
      <c r="BU17" s="235">
        <v>45211152</v>
      </c>
      <c r="BV17" s="235">
        <v>30021932</v>
      </c>
      <c r="BW17" s="235">
        <v>4673862</v>
      </c>
      <c r="BX17" s="235">
        <v>21169793</v>
      </c>
      <c r="BY17" s="235">
        <v>12814492</v>
      </c>
      <c r="BZ17" s="235">
        <v>17811126</v>
      </c>
      <c r="CA17" s="235">
        <v>110983165.59999999</v>
      </c>
      <c r="CB17" s="235">
        <v>608395986</v>
      </c>
      <c r="CC17" s="235">
        <v>29467723</v>
      </c>
      <c r="CD17" s="235">
        <v>18286375.399999999</v>
      </c>
      <c r="CE17" s="235">
        <v>25832593</v>
      </c>
      <c r="CF17" s="235">
        <v>17336981</v>
      </c>
      <c r="CG17" s="235">
        <v>50612521</v>
      </c>
      <c r="CH17" s="235">
        <v>5256306</v>
      </c>
      <c r="CI17" s="235">
        <v>6425389</v>
      </c>
      <c r="CJ17" s="235">
        <v>3301138</v>
      </c>
      <c r="CK17" s="235">
        <v>64943336</v>
      </c>
      <c r="CL17" s="235">
        <v>13088052</v>
      </c>
      <c r="CM17" s="235">
        <v>36125632.68</v>
      </c>
      <c r="CN17" s="235">
        <v>85452380.540000007</v>
      </c>
      <c r="CO17" s="235">
        <v>2629350</v>
      </c>
      <c r="CP17" s="237"/>
      <c r="CQ17" s="237"/>
      <c r="CR17" s="237"/>
    </row>
    <row r="18" spans="1:96" x14ac:dyDescent="0.3">
      <c r="A18" s="152" t="s">
        <v>203</v>
      </c>
      <c r="B18" s="235">
        <v>2646486773.3076496</v>
      </c>
      <c r="C18" s="235">
        <v>134565957.5625</v>
      </c>
      <c r="D18" s="235">
        <v>130562390.72000001</v>
      </c>
      <c r="E18" s="235">
        <v>117053562.8653125</v>
      </c>
      <c r="F18" s="235">
        <v>161098314.36149999</v>
      </c>
      <c r="G18" s="235">
        <v>59147759.25</v>
      </c>
      <c r="H18" s="235">
        <v>155202780.972096</v>
      </c>
      <c r="I18" s="235">
        <v>110201124.765</v>
      </c>
      <c r="J18" s="235"/>
      <c r="K18" s="235">
        <v>54992523.907499999</v>
      </c>
      <c r="L18" s="235"/>
      <c r="M18" s="235"/>
      <c r="N18" s="235">
        <v>66123550.226774998</v>
      </c>
      <c r="O18" s="235"/>
      <c r="P18" s="235"/>
      <c r="Q18" s="235">
        <v>80301835.319999993</v>
      </c>
      <c r="R18" s="235">
        <v>32864509.139999997</v>
      </c>
      <c r="S18" s="235"/>
      <c r="T18" s="235"/>
      <c r="U18" s="235"/>
      <c r="V18" s="235"/>
      <c r="W18" s="235">
        <v>16716941.142499998</v>
      </c>
      <c r="X18" s="235"/>
      <c r="Y18" s="235">
        <v>9021865.0557000004</v>
      </c>
      <c r="Z18" s="235">
        <v>35312738.257499993</v>
      </c>
      <c r="AA18" s="235">
        <v>33699101.406749994</v>
      </c>
      <c r="AB18" s="235">
        <v>36283443.569999993</v>
      </c>
      <c r="AC18" s="235"/>
      <c r="AD18" s="235"/>
      <c r="AE18" s="235"/>
      <c r="AF18" s="235"/>
      <c r="AG18" s="235">
        <v>40196809.199999996</v>
      </c>
      <c r="AH18" s="235"/>
      <c r="AI18" s="235"/>
      <c r="AJ18" s="235"/>
      <c r="AK18" s="235"/>
      <c r="AL18" s="235">
        <v>31314191.887499999</v>
      </c>
      <c r="AM18" s="235"/>
      <c r="AN18" s="235">
        <v>13656241.3125</v>
      </c>
      <c r="AO18" s="235">
        <v>33139061.902499996</v>
      </c>
      <c r="AP18" s="235"/>
      <c r="AQ18" s="235"/>
      <c r="AR18" s="235"/>
      <c r="AS18" s="235">
        <v>30103789.937174998</v>
      </c>
      <c r="AT18" s="235"/>
      <c r="AU18" s="235"/>
      <c r="AV18" s="235"/>
      <c r="AW18" s="235"/>
      <c r="AX18" s="235"/>
      <c r="AY18" s="235"/>
      <c r="AZ18" s="235"/>
      <c r="BA18" s="235">
        <v>21808893.75</v>
      </c>
      <c r="BB18" s="235"/>
      <c r="BC18" s="235">
        <v>16018428.074999999</v>
      </c>
      <c r="BD18" s="235"/>
      <c r="BE18" s="235"/>
      <c r="BF18" s="235"/>
      <c r="BG18" s="235"/>
      <c r="BH18" s="235"/>
      <c r="BI18" s="235"/>
      <c r="BJ18" s="235"/>
      <c r="BK18" s="235"/>
      <c r="BL18" s="235"/>
      <c r="BM18" s="235"/>
      <c r="BN18" s="235"/>
      <c r="BO18" s="235"/>
      <c r="BP18" s="235"/>
      <c r="BQ18" s="235"/>
      <c r="BR18" s="235"/>
      <c r="BS18" s="235"/>
      <c r="BT18" s="235"/>
      <c r="BU18" s="235"/>
      <c r="BV18" s="235"/>
      <c r="BW18" s="235"/>
      <c r="BX18" s="235"/>
      <c r="BY18" s="235"/>
      <c r="BZ18" s="235"/>
      <c r="CA18" s="235"/>
      <c r="CB18" s="235"/>
      <c r="CC18" s="235"/>
      <c r="CD18" s="235"/>
      <c r="CE18" s="235"/>
      <c r="CF18" s="235"/>
      <c r="CG18" s="235"/>
      <c r="CH18" s="235"/>
      <c r="CI18" s="235"/>
      <c r="CJ18" s="235"/>
      <c r="CK18" s="235"/>
      <c r="CL18" s="235"/>
      <c r="CM18" s="235"/>
      <c r="CN18" s="235"/>
      <c r="CO18" s="235"/>
      <c r="CP18" s="237"/>
      <c r="CQ18" s="237"/>
      <c r="CR18" s="237"/>
    </row>
    <row r="19" spans="1:96" x14ac:dyDescent="0.3">
      <c r="A19" s="152" t="s">
        <v>320</v>
      </c>
      <c r="B19" s="235">
        <f>B16-SUM(B17:B18)</f>
        <v>1425031339.4733505</v>
      </c>
      <c r="C19" s="235">
        <f t="shared" ref="C19:BN19" si="1">C16-SUM(C17:C18)</f>
        <v>23746933.6875</v>
      </c>
      <c r="D19" s="235">
        <f t="shared" si="1"/>
        <v>32640597.679999948</v>
      </c>
      <c r="E19" s="235">
        <f t="shared" si="1"/>
        <v>16721937.552187562</v>
      </c>
      <c r="F19" s="235">
        <f t="shared" si="1"/>
        <v>-161098314.36150002</v>
      </c>
      <c r="G19" s="235">
        <f t="shared" si="1"/>
        <v>6571973.25</v>
      </c>
      <c r="H19" s="235">
        <f t="shared" si="1"/>
        <v>49011404.517503977</v>
      </c>
      <c r="I19" s="235">
        <f t="shared" si="1"/>
        <v>-110201124.76499999</v>
      </c>
      <c r="J19" s="235">
        <f t="shared" si="1"/>
        <v>0</v>
      </c>
      <c r="K19" s="235">
        <f t="shared" si="1"/>
        <v>9704563.0425000191</v>
      </c>
      <c r="L19" s="235">
        <f t="shared" si="1"/>
        <v>0</v>
      </c>
      <c r="M19" s="235">
        <f t="shared" si="1"/>
        <v>0</v>
      </c>
      <c r="N19" s="235">
        <f t="shared" si="1"/>
        <v>11668861.804724991</v>
      </c>
      <c r="O19" s="235">
        <f t="shared" si="1"/>
        <v>0</v>
      </c>
      <c r="P19" s="235">
        <f t="shared" si="1"/>
        <v>0</v>
      </c>
      <c r="Q19" s="235">
        <f t="shared" si="1"/>
        <v>34415072.280000031</v>
      </c>
      <c r="R19" s="235">
        <f t="shared" si="1"/>
        <v>5799619.2600000203</v>
      </c>
      <c r="S19" s="235">
        <f t="shared" si="1"/>
        <v>0</v>
      </c>
      <c r="T19" s="235">
        <f t="shared" si="1"/>
        <v>0</v>
      </c>
      <c r="U19" s="235">
        <f t="shared" si="1"/>
        <v>0</v>
      </c>
      <c r="V19" s="235">
        <f t="shared" si="1"/>
        <v>0</v>
      </c>
      <c r="W19" s="235">
        <f t="shared" si="1"/>
        <v>879839.00750005245</v>
      </c>
      <c r="X19" s="235">
        <f t="shared" si="1"/>
        <v>0</v>
      </c>
      <c r="Y19" s="235">
        <f t="shared" si="1"/>
        <v>279026.75429999828</v>
      </c>
      <c r="Z19" s="235">
        <f t="shared" si="1"/>
        <v>6231659.6924999952</v>
      </c>
      <c r="AA19" s="235">
        <f t="shared" si="1"/>
        <v>5946900.2482500076</v>
      </c>
      <c r="AB19" s="235">
        <f t="shared" si="1"/>
        <v>6402960.6299999952</v>
      </c>
      <c r="AC19" s="235">
        <f t="shared" si="1"/>
        <v>0</v>
      </c>
      <c r="AD19" s="235">
        <f t="shared" si="1"/>
        <v>0</v>
      </c>
      <c r="AE19" s="235">
        <f t="shared" si="1"/>
        <v>0</v>
      </c>
      <c r="AF19" s="235">
        <f t="shared" si="1"/>
        <v>0</v>
      </c>
      <c r="AG19" s="235">
        <f t="shared" si="1"/>
        <v>-40196809.199999988</v>
      </c>
      <c r="AH19" s="235">
        <f t="shared" si="1"/>
        <v>0</v>
      </c>
      <c r="AI19" s="235">
        <f t="shared" si="1"/>
        <v>0</v>
      </c>
      <c r="AJ19" s="235">
        <f t="shared" si="1"/>
        <v>0</v>
      </c>
      <c r="AK19" s="235">
        <f t="shared" si="1"/>
        <v>0</v>
      </c>
      <c r="AL19" s="235">
        <f t="shared" si="1"/>
        <v>5526033.8625000119</v>
      </c>
      <c r="AM19" s="235">
        <f t="shared" si="1"/>
        <v>0</v>
      </c>
      <c r="AN19" s="235">
        <f t="shared" si="1"/>
        <v>2409924.9375</v>
      </c>
      <c r="AO19" s="235">
        <f t="shared" si="1"/>
        <v>5848069.7475000024</v>
      </c>
      <c r="AP19" s="235">
        <f t="shared" si="1"/>
        <v>0</v>
      </c>
      <c r="AQ19" s="235">
        <f t="shared" si="1"/>
        <v>0</v>
      </c>
      <c r="AR19" s="235">
        <f t="shared" si="1"/>
        <v>0</v>
      </c>
      <c r="AS19" s="235">
        <f t="shared" si="1"/>
        <v>5312433.518325001</v>
      </c>
      <c r="AT19" s="235">
        <f t="shared" si="1"/>
        <v>0</v>
      </c>
      <c r="AU19" s="235">
        <f t="shared" si="1"/>
        <v>0</v>
      </c>
      <c r="AV19" s="235">
        <f t="shared" si="1"/>
        <v>0</v>
      </c>
      <c r="AW19" s="235">
        <f t="shared" si="1"/>
        <v>0</v>
      </c>
      <c r="AX19" s="235">
        <f t="shared" si="1"/>
        <v>0</v>
      </c>
      <c r="AY19" s="235">
        <f t="shared" si="1"/>
        <v>0</v>
      </c>
      <c r="AZ19" s="235">
        <f t="shared" si="1"/>
        <v>0</v>
      </c>
      <c r="BA19" s="235">
        <f t="shared" si="1"/>
        <v>-21808893.75</v>
      </c>
      <c r="BB19" s="235">
        <f t="shared" si="1"/>
        <v>0</v>
      </c>
      <c r="BC19" s="235">
        <f t="shared" si="1"/>
        <v>2826781.424999997</v>
      </c>
      <c r="BD19" s="235">
        <f t="shared" si="1"/>
        <v>0</v>
      </c>
      <c r="BE19" s="235">
        <f t="shared" si="1"/>
        <v>0</v>
      </c>
      <c r="BF19" s="235">
        <f t="shared" si="1"/>
        <v>0</v>
      </c>
      <c r="BG19" s="235">
        <f t="shared" si="1"/>
        <v>0</v>
      </c>
      <c r="BH19" s="235">
        <f t="shared" si="1"/>
        <v>0</v>
      </c>
      <c r="BI19" s="235">
        <f t="shared" si="1"/>
        <v>0</v>
      </c>
      <c r="BJ19" s="235">
        <f t="shared" si="1"/>
        <v>0</v>
      </c>
      <c r="BK19" s="235">
        <f t="shared" si="1"/>
        <v>0</v>
      </c>
      <c r="BL19" s="235">
        <f t="shared" si="1"/>
        <v>0</v>
      </c>
      <c r="BM19" s="235">
        <f t="shared" si="1"/>
        <v>0</v>
      </c>
      <c r="BN19" s="235">
        <f t="shared" si="1"/>
        <v>0</v>
      </c>
      <c r="BO19" s="235">
        <f t="shared" ref="BO19:CO19" si="2">BO16-SUM(BO17:BO18)</f>
        <v>0</v>
      </c>
      <c r="BP19" s="235">
        <f t="shared" si="2"/>
        <v>0</v>
      </c>
      <c r="BQ19" s="235">
        <f t="shared" si="2"/>
        <v>0</v>
      </c>
      <c r="BR19" s="235">
        <f t="shared" si="2"/>
        <v>0</v>
      </c>
      <c r="BS19" s="235">
        <f t="shared" si="2"/>
        <v>0</v>
      </c>
      <c r="BT19" s="235">
        <f t="shared" si="2"/>
        <v>0</v>
      </c>
      <c r="BU19" s="235">
        <f t="shared" si="2"/>
        <v>0</v>
      </c>
      <c r="BV19" s="235">
        <f t="shared" si="2"/>
        <v>0</v>
      </c>
      <c r="BW19" s="235">
        <f t="shared" si="2"/>
        <v>0</v>
      </c>
      <c r="BX19" s="235">
        <f t="shared" si="2"/>
        <v>0</v>
      </c>
      <c r="BY19" s="235">
        <f t="shared" si="2"/>
        <v>0</v>
      </c>
      <c r="BZ19" s="235">
        <f t="shared" si="2"/>
        <v>0</v>
      </c>
      <c r="CA19" s="235">
        <f t="shared" si="2"/>
        <v>0</v>
      </c>
      <c r="CB19" s="235">
        <f t="shared" si="2"/>
        <v>0</v>
      </c>
      <c r="CC19" s="235">
        <f t="shared" si="2"/>
        <v>0</v>
      </c>
      <c r="CD19" s="235">
        <f t="shared" si="2"/>
        <v>0</v>
      </c>
      <c r="CE19" s="235">
        <f t="shared" si="2"/>
        <v>0</v>
      </c>
      <c r="CF19" s="235">
        <f t="shared" si="2"/>
        <v>0</v>
      </c>
      <c r="CG19" s="235">
        <f t="shared" si="2"/>
        <v>0</v>
      </c>
      <c r="CH19" s="235">
        <f t="shared" si="2"/>
        <v>0</v>
      </c>
      <c r="CI19" s="235">
        <f t="shared" si="2"/>
        <v>0</v>
      </c>
      <c r="CJ19" s="235">
        <f t="shared" si="2"/>
        <v>0</v>
      </c>
      <c r="CK19" s="235">
        <f t="shared" si="2"/>
        <v>0</v>
      </c>
      <c r="CL19" s="235">
        <f t="shared" si="2"/>
        <v>0</v>
      </c>
      <c r="CM19" s="235">
        <f t="shared" si="2"/>
        <v>0</v>
      </c>
      <c r="CN19" s="235">
        <f t="shared" si="2"/>
        <v>0</v>
      </c>
      <c r="CO19" s="235">
        <f t="shared" si="2"/>
        <v>0</v>
      </c>
      <c r="CP19" s="237"/>
      <c r="CQ19" s="237"/>
      <c r="CR19" s="237"/>
    </row>
    <row r="20" spans="1:96" s="254" customFormat="1" x14ac:dyDescent="0.3">
      <c r="A20" s="172" t="s">
        <v>204</v>
      </c>
      <c r="B20" s="198">
        <f>B17/B14</f>
        <v>41.818116133717929</v>
      </c>
      <c r="C20" s="198">
        <f t="shared" ref="C20:BN20" si="3">C17/C14</f>
        <v>60.240951599482919</v>
      </c>
      <c r="D20" s="198">
        <f t="shared" si="3"/>
        <v>57.714914883243175</v>
      </c>
      <c r="E20" s="198">
        <f t="shared" si="3"/>
        <v>79.881762801592672</v>
      </c>
      <c r="F20" s="198">
        <f t="shared" si="3"/>
        <v>89.748602043097335</v>
      </c>
      <c r="G20" s="198">
        <f t="shared" si="3"/>
        <v>75.803249154149796</v>
      </c>
      <c r="H20" s="198">
        <f t="shared" si="3"/>
        <v>45.729776095499034</v>
      </c>
      <c r="I20" s="198">
        <f t="shared" si="3"/>
        <v>55.745773723081349</v>
      </c>
      <c r="J20" s="198">
        <f t="shared" si="3"/>
        <v>39.884066544085854</v>
      </c>
      <c r="K20" s="198">
        <f t="shared" si="3"/>
        <v>44.770453400322296</v>
      </c>
      <c r="L20" s="198">
        <f t="shared" si="3"/>
        <v>69.326748039853797</v>
      </c>
      <c r="M20" s="198">
        <f t="shared" si="3"/>
        <v>29.63238639293359</v>
      </c>
      <c r="N20" s="198">
        <f t="shared" si="3"/>
        <v>58.697091491376</v>
      </c>
      <c r="O20" s="198">
        <f t="shared" si="3"/>
        <v>35.968149331937852</v>
      </c>
      <c r="P20" s="198">
        <f t="shared" si="3"/>
        <v>88.572038557327332</v>
      </c>
      <c r="Q20" s="198">
        <f t="shared" si="3"/>
        <v>58.63429844058966</v>
      </c>
      <c r="R20" s="198">
        <f t="shared" si="3"/>
        <v>56.024465899359534</v>
      </c>
      <c r="S20" s="198">
        <f t="shared" si="3"/>
        <v>38.156587239680064</v>
      </c>
      <c r="T20" s="198">
        <f t="shared" si="3"/>
        <v>73.404998103932201</v>
      </c>
      <c r="U20" s="198">
        <f t="shared" si="3"/>
        <v>49.1806852163364</v>
      </c>
      <c r="V20" s="198">
        <f t="shared" si="3"/>
        <v>77.474079770268432</v>
      </c>
      <c r="W20" s="198">
        <f t="shared" si="3"/>
        <v>82.813669046839394</v>
      </c>
      <c r="X20" s="198">
        <f t="shared" si="3"/>
        <v>34.113650175712024</v>
      </c>
      <c r="Y20" s="198">
        <f t="shared" si="3"/>
        <v>97.435819114640537</v>
      </c>
      <c r="Z20" s="198">
        <f t="shared" si="3"/>
        <v>72.630880493209972</v>
      </c>
      <c r="AA20" s="198">
        <f t="shared" si="3"/>
        <v>62.685477288232065</v>
      </c>
      <c r="AB20" s="198">
        <f t="shared" si="3"/>
        <v>43.555440279040468</v>
      </c>
      <c r="AC20" s="198">
        <f t="shared" si="3"/>
        <v>60.846449572387968</v>
      </c>
      <c r="AD20" s="198">
        <f t="shared" si="3"/>
        <v>66.776385112967247</v>
      </c>
      <c r="AE20" s="198">
        <f t="shared" si="3"/>
        <v>70.409443646768196</v>
      </c>
      <c r="AF20" s="198">
        <f t="shared" si="3"/>
        <v>35.076750397358104</v>
      </c>
      <c r="AG20" s="198">
        <f t="shared" si="3"/>
        <v>84.301242315158788</v>
      </c>
      <c r="AH20" s="198">
        <f t="shared" si="3"/>
        <v>75.340276866745867</v>
      </c>
      <c r="AI20" s="198">
        <f t="shared" si="3"/>
        <v>26.847657892081447</v>
      </c>
      <c r="AJ20" s="198">
        <f t="shared" si="3"/>
        <v>30.440748366111769</v>
      </c>
      <c r="AK20" s="198">
        <f t="shared" si="3"/>
        <v>23.567402617163726</v>
      </c>
      <c r="AL20" s="198">
        <f t="shared" si="3"/>
        <v>179.21099849685507</v>
      </c>
      <c r="AM20" s="198">
        <f t="shared" si="3"/>
        <v>73.637792048045853</v>
      </c>
      <c r="AN20" s="198">
        <f t="shared" si="3"/>
        <v>42.386078370027093</v>
      </c>
      <c r="AO20" s="198">
        <f t="shared" si="3"/>
        <v>65.737452975512298</v>
      </c>
      <c r="AP20" s="198">
        <f t="shared" si="3"/>
        <v>95.194603801559637</v>
      </c>
      <c r="AQ20" s="198">
        <f t="shared" si="3"/>
        <v>39.791293336356404</v>
      </c>
      <c r="AR20" s="198">
        <f t="shared" si="3"/>
        <v>41.674555255946821</v>
      </c>
      <c r="AS20" s="198">
        <f t="shared" si="3"/>
        <v>89.83005588061387</v>
      </c>
      <c r="AT20" s="198">
        <f t="shared" si="3"/>
        <v>37.65372185581483</v>
      </c>
      <c r="AU20" s="198">
        <f t="shared" si="3"/>
        <v>102.85357572914937</v>
      </c>
      <c r="AV20" s="198">
        <f t="shared" si="3"/>
        <v>49.113225942910496</v>
      </c>
      <c r="AW20" s="198">
        <f t="shared" si="3"/>
        <v>63.061617769622075</v>
      </c>
      <c r="AX20" s="198">
        <f t="shared" si="3"/>
        <v>81.269636632938386</v>
      </c>
      <c r="AY20" s="198">
        <f t="shared" si="3"/>
        <v>27.673924110578348</v>
      </c>
      <c r="AZ20" s="198">
        <f t="shared" si="3"/>
        <v>81.008588707169324</v>
      </c>
      <c r="BA20" s="198">
        <f t="shared" si="3"/>
        <v>198.60671144423361</v>
      </c>
      <c r="BB20" s="198">
        <f t="shared" si="3"/>
        <v>53.490023881588854</v>
      </c>
      <c r="BC20" s="198">
        <f t="shared" si="3"/>
        <v>110.28534537778503</v>
      </c>
      <c r="BD20" s="198">
        <f t="shared" si="3"/>
        <v>22.314020783875989</v>
      </c>
      <c r="BE20" s="198">
        <f t="shared" si="3"/>
        <v>65.262056792521747</v>
      </c>
      <c r="BF20" s="198">
        <f t="shared" si="3"/>
        <v>74.318180621726199</v>
      </c>
      <c r="BG20" s="198">
        <f t="shared" si="3"/>
        <v>114.97756441878427</v>
      </c>
      <c r="BH20" s="198">
        <f t="shared" si="3"/>
        <v>36.188216269738056</v>
      </c>
      <c r="BI20" s="198">
        <f t="shared" si="3"/>
        <v>28.721839941263649</v>
      </c>
      <c r="BJ20" s="198">
        <f t="shared" si="3"/>
        <v>108.22125241615836</v>
      </c>
      <c r="BK20" s="198">
        <f t="shared" si="3"/>
        <v>64.412298498149326</v>
      </c>
      <c r="BL20" s="198">
        <f t="shared" si="3"/>
        <v>53.575781736931852</v>
      </c>
      <c r="BM20" s="198">
        <f t="shared" si="3"/>
        <v>6.4167117270937606</v>
      </c>
      <c r="BN20" s="198">
        <f t="shared" si="3"/>
        <v>26.180513659332831</v>
      </c>
      <c r="BO20" s="198">
        <f t="shared" ref="BO20:CO20" si="4">BO17/BO14</f>
        <v>106.39571209436721</v>
      </c>
      <c r="BP20" s="198">
        <f t="shared" si="4"/>
        <v>111.66215391293731</v>
      </c>
      <c r="BQ20" s="198">
        <f t="shared" si="4"/>
        <v>163.48790854824304</v>
      </c>
      <c r="BR20" s="198">
        <f t="shared" si="4"/>
        <v>50.079884564106671</v>
      </c>
      <c r="BS20" s="198">
        <f t="shared" si="4"/>
        <v>364.50051397875717</v>
      </c>
      <c r="BT20" s="198">
        <f t="shared" si="4"/>
        <v>117.2406124256083</v>
      </c>
      <c r="BU20" s="198">
        <f t="shared" si="4"/>
        <v>82.629816522983518</v>
      </c>
      <c r="BV20" s="198">
        <f t="shared" si="4"/>
        <v>117.72660324531202</v>
      </c>
      <c r="BW20" s="198">
        <f t="shared" si="4"/>
        <v>6.299344978165939</v>
      </c>
      <c r="BX20" s="198">
        <f t="shared" si="4"/>
        <v>62.26629469275386</v>
      </c>
      <c r="BY20" s="198">
        <f t="shared" si="4"/>
        <v>57.392542032802154</v>
      </c>
      <c r="BZ20" s="198">
        <f t="shared" si="4"/>
        <v>56.167912836442191</v>
      </c>
      <c r="CA20" s="198">
        <f t="shared" si="4"/>
        <v>761.04481656723578</v>
      </c>
      <c r="CB20" s="198">
        <f t="shared" si="4"/>
        <v>3025.8521381039063</v>
      </c>
      <c r="CC20" s="198">
        <f t="shared" si="4"/>
        <v>86.228486568736471</v>
      </c>
      <c r="CD20" s="198">
        <f t="shared" si="4"/>
        <v>157.5528832981519</v>
      </c>
      <c r="CE20" s="198">
        <f t="shared" si="4"/>
        <v>54.777303734364168</v>
      </c>
      <c r="CF20" s="198">
        <f t="shared" si="4"/>
        <v>111.35434704416411</v>
      </c>
      <c r="CG20" s="198">
        <f t="shared" si="4"/>
        <v>118.76106304746217</v>
      </c>
      <c r="CH20" s="198">
        <f t="shared" si="4"/>
        <v>119.40722398909587</v>
      </c>
      <c r="CI20" s="198">
        <f t="shared" si="4"/>
        <v>47.806886751039784</v>
      </c>
      <c r="CJ20" s="198">
        <f t="shared" si="4"/>
        <v>8.7857677045380154</v>
      </c>
      <c r="CK20" s="198">
        <f t="shared" si="4"/>
        <v>75.342919127115792</v>
      </c>
      <c r="CL20" s="198">
        <f t="shared" si="4"/>
        <v>236.1441252886836</v>
      </c>
      <c r="CM20" s="198">
        <f t="shared" si="4"/>
        <v>374.84832714217526</v>
      </c>
      <c r="CN20" s="198">
        <f t="shared" si="4"/>
        <v>257.69312586171748</v>
      </c>
      <c r="CO20" s="198">
        <f t="shared" si="4"/>
        <v>80.163109756097555</v>
      </c>
      <c r="CP20" s="240"/>
      <c r="CQ20" s="240"/>
      <c r="CR20" s="240">
        <f t="shared" si="0"/>
        <v>10937.929950345531</v>
      </c>
    </row>
    <row r="21" spans="1:96" x14ac:dyDescent="0.3">
      <c r="A21" s="152" t="str">
        <f>'[1]FY 2021-2022'!A19</f>
        <v xml:space="preserve">Actual unit cost- sewage treated </v>
      </c>
      <c r="B21" s="235">
        <f>'[1]FY 2021-2022'!B19</f>
        <v>45.3592813060556</v>
      </c>
      <c r="C21" s="235">
        <f>'[1]FY 2021-2022'!C19</f>
        <v>13.609543435250975</v>
      </c>
      <c r="D21" s="235">
        <f>'[1]FY 2021-2022'!D19</f>
        <v>61.737752713432656</v>
      </c>
      <c r="E21" s="235">
        <f>'[1]FY 2021-2022'!F19</f>
        <v>21.999331811330826</v>
      </c>
      <c r="F21" s="235">
        <f>'[1]FY 2021-2022'!E19</f>
        <v>28.300344882973054</v>
      </c>
      <c r="G21" s="235">
        <f>'[1]FY 2021-2022'!I19</f>
        <v>11.876869611226182</v>
      </c>
      <c r="H21" s="235">
        <f>'[1]FY 2021-2022'!H19</f>
        <v>29.754232826899127</v>
      </c>
      <c r="I21" s="235">
        <f>'[1]FY 2021-2022'!K19</f>
        <v>57.853014873717484</v>
      </c>
      <c r="J21" s="235"/>
      <c r="K21" s="235">
        <f>'[1]FY 2021-2022'!G19</f>
        <v>40.558012931151637</v>
      </c>
      <c r="L21" s="235"/>
      <c r="M21" s="235"/>
      <c r="N21" s="235">
        <f>'[1]FY 2021-2022'!N19</f>
        <v>27.909291983171464</v>
      </c>
      <c r="O21" s="235"/>
      <c r="P21" s="235"/>
      <c r="Q21" s="235">
        <f>'[1]FY 2021-2022'!Q19</f>
        <v>185.6063260869565</v>
      </c>
      <c r="R21" s="234">
        <f>R20</f>
        <v>56.024465899359534</v>
      </c>
      <c r="S21" s="235"/>
      <c r="T21" s="235"/>
      <c r="U21" s="235"/>
      <c r="V21" s="235"/>
      <c r="W21" s="235">
        <f>'[1]FY 2021-2022'!W19</f>
        <v>19.862979900341418</v>
      </c>
      <c r="X21" s="235"/>
      <c r="Y21" s="234">
        <f>Y20</f>
        <v>97.435819114640537</v>
      </c>
      <c r="Z21" s="235">
        <f>'[1]FY 2021-2022'!Z19</f>
        <v>35.067307892022747</v>
      </c>
      <c r="AA21" s="235">
        <f>'[1]FY 2021-2022'!AA19</f>
        <v>14.483830280759701</v>
      </c>
      <c r="AB21" s="235">
        <f>'[1]FY 2021-2022'!AB19</f>
        <v>292.32548315624996</v>
      </c>
      <c r="AC21" s="235"/>
      <c r="AD21" s="235"/>
      <c r="AE21" s="235"/>
      <c r="AF21" s="235"/>
      <c r="AG21" s="234">
        <f>AG20</f>
        <v>84.301242315158788</v>
      </c>
      <c r="AH21" s="235"/>
      <c r="AI21" s="235"/>
      <c r="AJ21" s="235"/>
      <c r="AK21" s="235"/>
      <c r="AL21" s="234">
        <f>AL20</f>
        <v>179.21099849685507</v>
      </c>
      <c r="AM21" s="235"/>
      <c r="AN21" s="235">
        <f>'[1]FY 2021-2022'!AO19</f>
        <v>41.510443736698235</v>
      </c>
      <c r="AO21" s="234">
        <f>AO20</f>
        <v>65.737452975512298</v>
      </c>
      <c r="AP21" s="235"/>
      <c r="AQ21" s="235"/>
      <c r="AR21" s="235"/>
      <c r="AS21" s="235">
        <f>'[1]FY 2021-2022'!AU19</f>
        <v>79.573352180034647</v>
      </c>
      <c r="AT21" s="235"/>
      <c r="AU21" s="235"/>
      <c r="AV21" s="235"/>
      <c r="AW21" s="235"/>
      <c r="AX21" s="235"/>
      <c r="AY21" s="235"/>
      <c r="AZ21" s="235"/>
      <c r="BA21" s="234">
        <f>BA20</f>
        <v>198.60671144423361</v>
      </c>
      <c r="BB21" s="235"/>
      <c r="BC21" s="234">
        <f>BC20</f>
        <v>110.28534537778503</v>
      </c>
      <c r="BD21" s="235"/>
      <c r="BE21" s="235"/>
      <c r="BF21" s="235"/>
      <c r="BG21" s="235"/>
      <c r="BH21" s="235"/>
      <c r="BI21" s="235"/>
      <c r="BJ21" s="235"/>
      <c r="BK21" s="235"/>
      <c r="BL21" s="235"/>
      <c r="BM21" s="235"/>
      <c r="BN21" s="235"/>
      <c r="BO21" s="235"/>
      <c r="BP21" s="235"/>
      <c r="BQ21" s="235"/>
      <c r="BR21" s="235"/>
      <c r="BS21" s="235"/>
      <c r="BT21" s="235"/>
      <c r="BU21" s="235"/>
      <c r="BV21" s="235"/>
      <c r="BW21" s="235"/>
      <c r="BX21" s="235"/>
      <c r="BY21" s="235"/>
      <c r="BZ21" s="235"/>
      <c r="CA21" s="235"/>
      <c r="CB21" s="235"/>
      <c r="CC21" s="235"/>
      <c r="CD21" s="235"/>
      <c r="CE21" s="235"/>
      <c r="CF21" s="235"/>
      <c r="CG21" s="235"/>
      <c r="CH21" s="235"/>
      <c r="CI21" s="235"/>
      <c r="CJ21" s="235"/>
      <c r="CK21" s="235"/>
      <c r="CL21" s="235"/>
      <c r="CM21" s="235"/>
      <c r="CN21" s="235"/>
      <c r="CO21" s="235"/>
      <c r="CP21" s="237"/>
      <c r="CQ21" s="237"/>
      <c r="CR21" s="237"/>
    </row>
    <row r="22" spans="1:96" x14ac:dyDescent="0.3">
      <c r="A22" s="157"/>
      <c r="B22" s="237"/>
      <c r="C22" s="235"/>
      <c r="D22" s="235"/>
      <c r="E22" s="235"/>
      <c r="F22" s="235"/>
      <c r="G22" s="235"/>
      <c r="H22" s="235"/>
      <c r="I22" s="235"/>
      <c r="J22" s="235"/>
      <c r="K22" s="235"/>
      <c r="L22" s="235"/>
      <c r="M22" s="235"/>
      <c r="N22" s="235"/>
      <c r="O22" s="235"/>
      <c r="P22" s="235"/>
      <c r="Q22" s="235"/>
      <c r="R22" s="235"/>
      <c r="S22" s="235"/>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35"/>
      <c r="AQ22" s="235"/>
      <c r="AR22" s="235"/>
      <c r="AS22" s="235"/>
      <c r="AT22" s="235"/>
      <c r="AU22" s="235"/>
      <c r="AV22" s="235"/>
      <c r="AW22" s="235"/>
      <c r="AX22" s="235"/>
      <c r="AY22" s="235"/>
      <c r="AZ22" s="235"/>
      <c r="BA22" s="235"/>
      <c r="BB22" s="235"/>
      <c r="BC22" s="235"/>
      <c r="BD22" s="235"/>
      <c r="BE22" s="235"/>
      <c r="BF22" s="235"/>
      <c r="BG22" s="235"/>
      <c r="BH22" s="235"/>
      <c r="BI22" s="235"/>
      <c r="BJ22" s="235"/>
      <c r="BK22" s="235"/>
      <c r="BL22" s="235"/>
      <c r="BM22" s="235"/>
      <c r="BN22" s="235"/>
      <c r="BO22" s="235"/>
      <c r="BP22" s="235"/>
      <c r="BQ22" s="235"/>
      <c r="BR22" s="235"/>
      <c r="BS22" s="235"/>
      <c r="BT22" s="235"/>
      <c r="BU22" s="235"/>
      <c r="BV22" s="235"/>
      <c r="BW22" s="235"/>
      <c r="BX22" s="235"/>
      <c r="BY22" s="235"/>
      <c r="BZ22" s="235"/>
      <c r="CA22" s="235"/>
      <c r="CB22" s="235"/>
      <c r="CC22" s="235"/>
      <c r="CD22" s="235"/>
      <c r="CE22" s="235"/>
      <c r="CF22" s="235"/>
      <c r="CG22" s="235"/>
      <c r="CH22" s="235"/>
      <c r="CI22" s="235"/>
      <c r="CJ22" s="235"/>
      <c r="CK22" s="235"/>
      <c r="CL22" s="235"/>
      <c r="CM22" s="235"/>
      <c r="CN22" s="235"/>
      <c r="CO22" s="235"/>
      <c r="CP22" s="237"/>
      <c r="CQ22" s="237"/>
      <c r="CR22" s="237"/>
    </row>
    <row r="23" spans="1:96" x14ac:dyDescent="0.3">
      <c r="A23" s="256" t="s">
        <v>205</v>
      </c>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5"/>
      <c r="BK23" s="235"/>
      <c r="BL23" s="235"/>
      <c r="BM23" s="235"/>
      <c r="BN23" s="235"/>
      <c r="BO23" s="235"/>
      <c r="BP23" s="235"/>
      <c r="BQ23" s="235"/>
      <c r="BR23" s="235"/>
      <c r="BS23" s="235"/>
      <c r="BT23" s="235"/>
      <c r="BU23" s="235"/>
      <c r="BV23" s="235"/>
      <c r="BW23" s="235"/>
      <c r="BX23" s="235"/>
      <c r="BY23" s="235"/>
      <c r="BZ23" s="235"/>
      <c r="CA23" s="235"/>
      <c r="CB23" s="235"/>
      <c r="CC23" s="235"/>
      <c r="CD23" s="235"/>
      <c r="CE23" s="235"/>
      <c r="CF23" s="235"/>
      <c r="CG23" s="235"/>
      <c r="CH23" s="235"/>
      <c r="CI23" s="235"/>
      <c r="CJ23" s="235"/>
      <c r="CK23" s="235"/>
      <c r="CL23" s="235"/>
      <c r="CM23" s="235"/>
      <c r="CN23" s="235"/>
      <c r="CO23" s="235"/>
      <c r="CP23" s="237"/>
      <c r="CQ23" s="237"/>
      <c r="CR23" s="237">
        <f t="shared" si="0"/>
        <v>0</v>
      </c>
    </row>
    <row r="24" spans="1:96" x14ac:dyDescent="0.3">
      <c r="A24" s="257" t="s">
        <v>206</v>
      </c>
      <c r="B24" s="235">
        <v>1863316754.4803405</v>
      </c>
      <c r="C24" s="235">
        <v>436153354.29127067</v>
      </c>
      <c r="D24" s="235">
        <v>148915837.92800376</v>
      </c>
      <c r="E24" s="235">
        <v>283020696.14503634</v>
      </c>
      <c r="F24" s="235">
        <v>390848399.16665512</v>
      </c>
      <c r="G24" s="235">
        <v>101714663.09172918</v>
      </c>
      <c r="H24" s="235">
        <v>133984624.49628858</v>
      </c>
      <c r="I24" s="235">
        <v>287619981.27093959</v>
      </c>
      <c r="J24" s="235">
        <v>101019700.74821164</v>
      </c>
      <c r="K24" s="235">
        <v>137253463.19381914</v>
      </c>
      <c r="L24" s="235">
        <v>295994183.3734619</v>
      </c>
      <c r="M24" s="235">
        <v>99982956.821556941</v>
      </c>
      <c r="N24" s="235">
        <v>192484232.19716519</v>
      </c>
      <c r="O24" s="235">
        <v>76879823.44772999</v>
      </c>
      <c r="P24" s="235">
        <v>161917222.97419718</v>
      </c>
      <c r="Q24" s="235">
        <v>49534012.279949978</v>
      </c>
      <c r="R24" s="235">
        <v>70761819.249002874</v>
      </c>
      <c r="S24" s="235">
        <v>134922893.09831896</v>
      </c>
      <c r="T24" s="235">
        <v>64222381.00310161</v>
      </c>
      <c r="U24" s="235">
        <v>26443285.528614923</v>
      </c>
      <c r="V24" s="235">
        <v>207746377.75042188</v>
      </c>
      <c r="W24" s="235">
        <v>148925145.72139066</v>
      </c>
      <c r="X24" s="235">
        <v>29055935.211754482</v>
      </c>
      <c r="Y24" s="235">
        <v>48688823.558586523</v>
      </c>
      <c r="Z24" s="235">
        <v>79155947.040448904</v>
      </c>
      <c r="AA24" s="235">
        <v>30090773.979122933</v>
      </c>
      <c r="AB24" s="235">
        <v>55901128.64916794</v>
      </c>
      <c r="AC24" s="235">
        <v>22210783.640844915</v>
      </c>
      <c r="AD24" s="235">
        <v>121407950.98488824</v>
      </c>
      <c r="AE24" s="235">
        <v>151875814.84198961</v>
      </c>
      <c r="AF24" s="235">
        <v>23962578.413147084</v>
      </c>
      <c r="AG24" s="235">
        <v>55789851.372513503</v>
      </c>
      <c r="AH24" s="235">
        <v>45895128.346066974</v>
      </c>
      <c r="AI24" s="235">
        <v>15163663.624719165</v>
      </c>
      <c r="AJ24" s="235">
        <v>22049390.503596529</v>
      </c>
      <c r="AK24" s="235">
        <v>22236356.924619634</v>
      </c>
      <c r="AL24" s="235">
        <v>42096366.952370152</v>
      </c>
      <c r="AM24" s="235">
        <v>52202966.010829173</v>
      </c>
      <c r="AN24" s="235">
        <v>42523336.263849713</v>
      </c>
      <c r="AO24" s="235">
        <v>79336695.001557201</v>
      </c>
      <c r="AP24" s="235">
        <v>87362690.863298327</v>
      </c>
      <c r="AQ24" s="235">
        <v>26971160.265683103</v>
      </c>
      <c r="AR24" s="235">
        <v>17343580.700484846</v>
      </c>
      <c r="AS24" s="235">
        <v>83893790.676187813</v>
      </c>
      <c r="AT24" s="235">
        <v>22522298.59340192</v>
      </c>
      <c r="AU24" s="235">
        <v>29281773.919211909</v>
      </c>
      <c r="AV24" s="235">
        <v>15980900.027292013</v>
      </c>
      <c r="AW24" s="235">
        <v>24977588.189077981</v>
      </c>
      <c r="AX24" s="235">
        <v>26746332.906102549</v>
      </c>
      <c r="AY24" s="235">
        <v>8255465.3017103756</v>
      </c>
      <c r="AZ24" s="235">
        <v>33556623.831891611</v>
      </c>
      <c r="BA24" s="235">
        <v>74071820.269278213</v>
      </c>
      <c r="BB24" s="235">
        <v>32657887.009015713</v>
      </c>
      <c r="BC24" s="235">
        <v>12214601.225309145</v>
      </c>
      <c r="BD24" s="235">
        <v>4863663.8366294587</v>
      </c>
      <c r="BE24" s="235">
        <v>27517073.626123361</v>
      </c>
      <c r="BF24" s="235">
        <v>33492614.759543281</v>
      </c>
      <c r="BG24" s="235">
        <v>51398396.231211282</v>
      </c>
      <c r="BH24" s="235">
        <v>8327603.1961108781</v>
      </c>
      <c r="BI24" s="235">
        <v>1356368</v>
      </c>
      <c r="BJ24" s="235">
        <v>24410564.329959411</v>
      </c>
      <c r="BK24" s="235">
        <v>18130138.872795627</v>
      </c>
      <c r="BL24" s="235">
        <v>135194.5</v>
      </c>
      <c r="BM24" s="235">
        <v>9827499.6528556012</v>
      </c>
      <c r="BN24" s="235">
        <v>8336538.1314313598</v>
      </c>
      <c r="BO24" s="235">
        <v>0</v>
      </c>
      <c r="BP24" s="235">
        <v>24726716.995143339</v>
      </c>
      <c r="BQ24" s="235">
        <v>35587285.799033627</v>
      </c>
      <c r="BR24" s="235">
        <v>10632529.089483263</v>
      </c>
      <c r="BS24" s="235">
        <v>0</v>
      </c>
      <c r="BT24" s="235">
        <v>0</v>
      </c>
      <c r="BU24" s="235">
        <v>21290680.102769561</v>
      </c>
      <c r="BV24" s="235">
        <v>3236842.0212789564</v>
      </c>
      <c r="BW24" s="235">
        <v>3442272.4027431766</v>
      </c>
      <c r="BX24" s="235">
        <v>5231303.0573923923</v>
      </c>
      <c r="BY24" s="235">
        <v>8959677.8683382366</v>
      </c>
      <c r="BZ24" s="235">
        <v>6369490.1139711207</v>
      </c>
      <c r="CA24" s="235">
        <v>0</v>
      </c>
      <c r="CB24" s="235">
        <v>0</v>
      </c>
      <c r="CC24" s="235">
        <v>4441060.6201685881</v>
      </c>
      <c r="CD24" s="235">
        <v>1967803.4686823108</v>
      </c>
      <c r="CE24" s="235">
        <v>13992525.916713284</v>
      </c>
      <c r="CF24" s="235">
        <v>7806177.2620376963</v>
      </c>
      <c r="CG24" s="235">
        <v>6166872.6249106331</v>
      </c>
      <c r="CH24" s="235"/>
      <c r="CI24" s="235">
        <v>2885487.4245952521</v>
      </c>
      <c r="CJ24" s="235">
        <v>2074329.3468847736</v>
      </c>
      <c r="CK24" s="235">
        <v>51368059.785062924</v>
      </c>
      <c r="CL24" s="235">
        <v>2072670.4379980641</v>
      </c>
      <c r="CM24" s="235"/>
      <c r="CN24" s="235">
        <v>14186.35</v>
      </c>
      <c r="CO24" s="235"/>
      <c r="CP24" s="237"/>
      <c r="CQ24" s="237"/>
      <c r="CR24" s="237"/>
    </row>
    <row r="25" spans="1:96" x14ac:dyDescent="0.3">
      <c r="A25" s="257" t="s">
        <v>207</v>
      </c>
      <c r="B25" s="235">
        <v>665617972.94472241</v>
      </c>
      <c r="C25" s="235">
        <v>2310120.4220679235</v>
      </c>
      <c r="D25" s="235">
        <v>63821115.783388354</v>
      </c>
      <c r="E25" s="235">
        <v>0</v>
      </c>
      <c r="F25" s="235">
        <v>334209552.50293362</v>
      </c>
      <c r="G25" s="235">
        <v>90531206.487108305</v>
      </c>
      <c r="H25" s="235">
        <v>4943010.0405177092</v>
      </c>
      <c r="I25" s="235">
        <v>106616980.41757579</v>
      </c>
      <c r="J25" s="235">
        <v>0</v>
      </c>
      <c r="K25" s="235">
        <v>7393954.0674472526</v>
      </c>
      <c r="L25" s="235">
        <v>0</v>
      </c>
      <c r="M25" s="235">
        <v>0</v>
      </c>
      <c r="N25" s="235">
        <v>0</v>
      </c>
      <c r="O25" s="235">
        <v>0</v>
      </c>
      <c r="P25" s="235">
        <v>0</v>
      </c>
      <c r="Q25" s="235">
        <v>0</v>
      </c>
      <c r="R25" s="235">
        <v>0</v>
      </c>
      <c r="S25" s="235">
        <v>0</v>
      </c>
      <c r="T25" s="235">
        <v>0</v>
      </c>
      <c r="U25" s="235">
        <v>30749028.469324533</v>
      </c>
      <c r="V25" s="235">
        <v>0</v>
      </c>
      <c r="W25" s="235">
        <v>0</v>
      </c>
      <c r="X25" s="235">
        <v>0</v>
      </c>
      <c r="Y25" s="235">
        <v>27105260.901328094</v>
      </c>
      <c r="Z25" s="235">
        <v>0</v>
      </c>
      <c r="AA25" s="235">
        <v>18183549.117979981</v>
      </c>
      <c r="AB25" s="235">
        <v>10575910.070333477</v>
      </c>
      <c r="AC25" s="235">
        <v>0</v>
      </c>
      <c r="AD25" s="235">
        <v>0</v>
      </c>
      <c r="AE25" s="235">
        <v>0</v>
      </c>
      <c r="AF25" s="235">
        <v>0</v>
      </c>
      <c r="AG25" s="235">
        <v>23351935.385893662</v>
      </c>
      <c r="AH25" s="235">
        <v>168397.73776994296</v>
      </c>
      <c r="AI25" s="235">
        <v>23268695.080811836</v>
      </c>
      <c r="AJ25" s="235">
        <v>0</v>
      </c>
      <c r="AK25" s="235">
        <v>0</v>
      </c>
      <c r="AL25" s="235">
        <v>24857586.607455324</v>
      </c>
      <c r="AM25" s="235">
        <v>0</v>
      </c>
      <c r="AN25" s="235">
        <v>0</v>
      </c>
      <c r="AO25" s="235">
        <v>39455046.369796537</v>
      </c>
      <c r="AP25" s="235">
        <v>0</v>
      </c>
      <c r="AQ25" s="235">
        <v>0</v>
      </c>
      <c r="AR25" s="235">
        <v>1345387.337434595</v>
      </c>
      <c r="AS25" s="235">
        <v>21532213.752660129</v>
      </c>
      <c r="AT25" s="235">
        <v>0</v>
      </c>
      <c r="AU25" s="235">
        <v>71550694.354775161</v>
      </c>
      <c r="AV25" s="235">
        <v>5326948.649048035</v>
      </c>
      <c r="AW25" s="235">
        <v>0</v>
      </c>
      <c r="AX25" s="235">
        <v>36413734.485448763</v>
      </c>
      <c r="AY25" s="235">
        <v>0</v>
      </c>
      <c r="AZ25" s="235">
        <v>0</v>
      </c>
      <c r="BA25" s="235">
        <v>0</v>
      </c>
      <c r="BB25" s="235">
        <v>0</v>
      </c>
      <c r="BC25" s="235">
        <v>11025764.618627889</v>
      </c>
      <c r="BD25" s="235">
        <v>0</v>
      </c>
      <c r="BE25" s="235">
        <v>0</v>
      </c>
      <c r="BF25" s="235">
        <v>9939659.0248234197</v>
      </c>
      <c r="BG25" s="235">
        <v>3058473.6859089131</v>
      </c>
      <c r="BH25" s="235">
        <v>4181104.7858805391</v>
      </c>
      <c r="BI25" s="235">
        <v>3390.55</v>
      </c>
      <c r="BJ25" s="235">
        <v>0</v>
      </c>
      <c r="BK25" s="235">
        <v>2914675.8613123302</v>
      </c>
      <c r="BL25" s="235">
        <v>66592.149999999994</v>
      </c>
      <c r="BM25" s="235">
        <v>0</v>
      </c>
      <c r="BN25" s="235">
        <v>0</v>
      </c>
      <c r="BO25" s="235">
        <v>0</v>
      </c>
      <c r="BP25" s="235">
        <v>0</v>
      </c>
      <c r="BQ25" s="235">
        <v>11662474.867020041</v>
      </c>
      <c r="BR25" s="235">
        <v>2817057.1883749007</v>
      </c>
      <c r="BS25" s="235">
        <v>0</v>
      </c>
      <c r="BT25" s="235">
        <v>0</v>
      </c>
      <c r="BU25" s="235">
        <v>0</v>
      </c>
      <c r="BV25" s="235">
        <v>6011210.5087027028</v>
      </c>
      <c r="BW25" s="235">
        <v>0</v>
      </c>
      <c r="BX25" s="235">
        <v>0</v>
      </c>
      <c r="BY25" s="235">
        <v>0</v>
      </c>
      <c r="BZ25" s="235">
        <v>5507707.0358030424</v>
      </c>
      <c r="CA25" s="235">
        <v>0</v>
      </c>
      <c r="CB25" s="235">
        <v>0</v>
      </c>
      <c r="CC25" s="235">
        <v>8496039.5869169757</v>
      </c>
      <c r="CD25" s="235">
        <v>2099064.8864585711</v>
      </c>
      <c r="CE25" s="235">
        <v>5484769.2569662826</v>
      </c>
      <c r="CF25" s="235">
        <v>437041.94643406715</v>
      </c>
      <c r="CG25" s="235">
        <v>4688446.4583009556</v>
      </c>
      <c r="CH25" s="235"/>
      <c r="CI25" s="235">
        <v>406420.03456352185</v>
      </c>
      <c r="CJ25" s="235">
        <v>0</v>
      </c>
      <c r="CK25" s="235">
        <v>0</v>
      </c>
      <c r="CL25" s="235">
        <v>1895559.5113200536</v>
      </c>
      <c r="CM25" s="235"/>
      <c r="CN25" s="235">
        <v>8196.6</v>
      </c>
      <c r="CO25" s="235"/>
      <c r="CP25" s="237"/>
      <c r="CQ25" s="237"/>
      <c r="CR25" s="237"/>
    </row>
    <row r="26" spans="1:96" x14ac:dyDescent="0.3">
      <c r="A26" s="257" t="s">
        <v>2</v>
      </c>
      <c r="B26" s="235">
        <v>95805056.484682068</v>
      </c>
      <c r="C26" s="235">
        <v>22536799.073601153</v>
      </c>
      <c r="D26" s="235">
        <v>6123110.5359938461</v>
      </c>
      <c r="E26" s="235">
        <v>24768152.432518963</v>
      </c>
      <c r="F26" s="235">
        <v>1058417.4466821314</v>
      </c>
      <c r="G26" s="235">
        <v>26307775.781169627</v>
      </c>
      <c r="H26" s="235">
        <v>2782824.3577656578</v>
      </c>
      <c r="I26" s="235">
        <v>2901926.3353098277</v>
      </c>
      <c r="J26" s="235">
        <v>1245057.188533172</v>
      </c>
      <c r="K26" s="235">
        <v>542853.09688253095</v>
      </c>
      <c r="L26" s="235">
        <v>19294898.421752706</v>
      </c>
      <c r="M26" s="235">
        <v>2521490.282767205</v>
      </c>
      <c r="N26" s="235">
        <v>11857195.305812277</v>
      </c>
      <c r="O26" s="235">
        <v>7229159.0779092694</v>
      </c>
      <c r="P26" s="235">
        <v>6738796.6100184182</v>
      </c>
      <c r="Q26" s="235">
        <v>0</v>
      </c>
      <c r="R26" s="235">
        <v>788591.20344553771</v>
      </c>
      <c r="S26" s="235">
        <v>4413290.887870389</v>
      </c>
      <c r="T26" s="235">
        <v>13925925.542935072</v>
      </c>
      <c r="U26" s="235">
        <v>18179593.049709689</v>
      </c>
      <c r="V26" s="235">
        <v>23361293.899358265</v>
      </c>
      <c r="W26" s="235">
        <v>0</v>
      </c>
      <c r="X26" s="235">
        <v>3707709.8266880587</v>
      </c>
      <c r="Y26" s="235">
        <v>2634080.7599774748</v>
      </c>
      <c r="Z26" s="235">
        <v>7135974.0306910286</v>
      </c>
      <c r="AA26" s="235">
        <v>5518457.3274834948</v>
      </c>
      <c r="AB26" s="235">
        <v>18129984.490445379</v>
      </c>
      <c r="AC26" s="235">
        <v>1223021.2788622575</v>
      </c>
      <c r="AD26" s="235">
        <v>2528193.4530297774</v>
      </c>
      <c r="AE26" s="235">
        <v>7551690.1076064538</v>
      </c>
      <c r="AF26" s="235">
        <v>11291386.332145778</v>
      </c>
      <c r="AG26" s="235">
        <v>14108368.120187132</v>
      </c>
      <c r="AH26" s="235">
        <v>3984548.4087915337</v>
      </c>
      <c r="AI26" s="235">
        <v>2608575.3963658293</v>
      </c>
      <c r="AJ26" s="235">
        <v>8819750.1705721673</v>
      </c>
      <c r="AK26" s="235">
        <v>1912542.9753817464</v>
      </c>
      <c r="AL26" s="235">
        <v>1342664.5865391849</v>
      </c>
      <c r="AM26" s="235">
        <v>0</v>
      </c>
      <c r="AN26" s="235">
        <v>1416228.0273797773</v>
      </c>
      <c r="AO26" s="235">
        <v>2169145.7618453689</v>
      </c>
      <c r="AP26" s="235">
        <v>7069283.0504873572</v>
      </c>
      <c r="AQ26" s="235">
        <v>14448827.896022215</v>
      </c>
      <c r="AR26" s="235">
        <v>366283.46359475894</v>
      </c>
      <c r="AS26" s="235">
        <v>632404.06205577729</v>
      </c>
      <c r="AT26" s="235">
        <v>1736880.9984978472</v>
      </c>
      <c r="AU26" s="235">
        <v>394231.50774749951</v>
      </c>
      <c r="AV26" s="235">
        <v>3551335.1527972948</v>
      </c>
      <c r="AW26" s="235">
        <v>43212057.248622879</v>
      </c>
      <c r="AX26" s="235">
        <v>322280.60791384469</v>
      </c>
      <c r="AY26" s="235">
        <v>0</v>
      </c>
      <c r="AZ26" s="235">
        <v>343833.29712057771</v>
      </c>
      <c r="BA26" s="235">
        <v>4068120.4045587401</v>
      </c>
      <c r="BB26" s="235">
        <v>0</v>
      </c>
      <c r="BC26" s="235">
        <v>13471956.366331022</v>
      </c>
      <c r="BD26" s="235">
        <v>494541.99378384434</v>
      </c>
      <c r="BE26" s="235">
        <v>362745.32061133097</v>
      </c>
      <c r="BF26" s="235">
        <v>2388957.170708708</v>
      </c>
      <c r="BG26" s="235">
        <v>8090584.067598708</v>
      </c>
      <c r="BH26" s="235">
        <v>1671603.6976409652</v>
      </c>
      <c r="BI26" s="235">
        <v>113596.3</v>
      </c>
      <c r="BJ26" s="235">
        <v>3839719.2770271343</v>
      </c>
      <c r="BK26" s="235">
        <v>10021318.995543424</v>
      </c>
      <c r="BL26" s="235">
        <v>7789.05</v>
      </c>
      <c r="BM26" s="235">
        <v>859903.9657352505</v>
      </c>
      <c r="BN26" s="235">
        <v>40584.638487791432</v>
      </c>
      <c r="BO26" s="235">
        <v>0</v>
      </c>
      <c r="BP26" s="235">
        <v>0</v>
      </c>
      <c r="BQ26" s="235">
        <v>5426441.7247983152</v>
      </c>
      <c r="BR26" s="235">
        <v>4193238.5938140196</v>
      </c>
      <c r="BS26" s="235">
        <v>0</v>
      </c>
      <c r="BT26" s="235">
        <v>0</v>
      </c>
      <c r="BU26" s="235">
        <v>766942.18411062018</v>
      </c>
      <c r="BV26" s="235">
        <v>2858511.8833619682</v>
      </c>
      <c r="BW26" s="235">
        <v>3042.7283608682737</v>
      </c>
      <c r="BX26" s="235">
        <v>2031150.8782201915</v>
      </c>
      <c r="BY26" s="235">
        <v>53224.117396660047</v>
      </c>
      <c r="BZ26" s="235">
        <v>261202.7904310734</v>
      </c>
      <c r="CA26" s="235">
        <v>0</v>
      </c>
      <c r="CB26" s="235">
        <v>0</v>
      </c>
      <c r="CC26" s="235">
        <v>476183.98893434094</v>
      </c>
      <c r="CD26" s="235">
        <v>4591594.6553997537</v>
      </c>
      <c r="CE26" s="235">
        <v>0</v>
      </c>
      <c r="CF26" s="235">
        <v>650108.5990238036</v>
      </c>
      <c r="CG26" s="235">
        <v>10372754.805560881</v>
      </c>
      <c r="CH26" s="235"/>
      <c r="CI26" s="235">
        <v>203187.44089943878</v>
      </c>
      <c r="CJ26" s="235">
        <v>0</v>
      </c>
      <c r="CK26" s="235">
        <v>0</v>
      </c>
      <c r="CL26" s="235">
        <v>1224248.3368848499</v>
      </c>
      <c r="CM26" s="235"/>
      <c r="CN26" s="235">
        <v>18442.349999999999</v>
      </c>
      <c r="CO26" s="235"/>
      <c r="CP26" s="237"/>
      <c r="CQ26" s="237"/>
      <c r="CR26" s="237"/>
    </row>
    <row r="27" spans="1:96" x14ac:dyDescent="0.3">
      <c r="A27" s="257" t="s">
        <v>208</v>
      </c>
      <c r="B27" s="235">
        <v>9243180.9495127238</v>
      </c>
      <c r="C27" s="235">
        <v>3659404.470633225</v>
      </c>
      <c r="D27" s="235">
        <v>4082113.2506235149</v>
      </c>
      <c r="E27" s="235">
        <v>4299515.9447677396</v>
      </c>
      <c r="F27" s="235">
        <v>1081974.356727334</v>
      </c>
      <c r="G27" s="235">
        <v>19231490.216047857</v>
      </c>
      <c r="H27" s="235">
        <v>3593210.3924139845</v>
      </c>
      <c r="I27" s="235">
        <v>3270725.1200823998</v>
      </c>
      <c r="J27" s="235">
        <v>7402445.6876495387</v>
      </c>
      <c r="K27" s="235">
        <v>18619721.943766117</v>
      </c>
      <c r="L27" s="235">
        <v>18507958.539430667</v>
      </c>
      <c r="M27" s="235">
        <v>1477745.3274578499</v>
      </c>
      <c r="N27" s="235">
        <v>16407629.337721212</v>
      </c>
      <c r="O27" s="235">
        <v>3576334.8189096553</v>
      </c>
      <c r="P27" s="235">
        <v>3449173.8843452525</v>
      </c>
      <c r="Q27" s="235">
        <v>0</v>
      </c>
      <c r="R27" s="235">
        <v>4242884.6878791209</v>
      </c>
      <c r="S27" s="235">
        <v>11337171.051549662</v>
      </c>
      <c r="T27" s="235">
        <v>0</v>
      </c>
      <c r="U27" s="235">
        <v>3318954.9330592998</v>
      </c>
      <c r="V27" s="235">
        <v>8853443.0064348001</v>
      </c>
      <c r="W27" s="235">
        <v>5529174.8122540945</v>
      </c>
      <c r="X27" s="235">
        <v>1935236.978421028</v>
      </c>
      <c r="Y27" s="235">
        <v>1423604.8627749369</v>
      </c>
      <c r="Z27" s="235">
        <v>6408124.1212943504</v>
      </c>
      <c r="AA27" s="235">
        <v>1979047.0578577006</v>
      </c>
      <c r="AB27" s="235">
        <v>27194976.735668071</v>
      </c>
      <c r="AC27" s="235">
        <v>1960218.5862569266</v>
      </c>
      <c r="AD27" s="235">
        <v>3792388.6754716192</v>
      </c>
      <c r="AE27" s="235">
        <v>3249104.4474405027</v>
      </c>
      <c r="AF27" s="235">
        <v>11643771.498783691</v>
      </c>
      <c r="AG27" s="235">
        <v>6046416.3893693555</v>
      </c>
      <c r="AH27" s="235">
        <v>3422580.2539624372</v>
      </c>
      <c r="AI27" s="235">
        <v>667639.70990765083</v>
      </c>
      <c r="AJ27" s="235">
        <v>4409890.1624521976</v>
      </c>
      <c r="AK27" s="235">
        <v>3941439.0424021515</v>
      </c>
      <c r="AL27" s="235">
        <v>534351.03998871765</v>
      </c>
      <c r="AM27" s="235">
        <v>14023896.901617702</v>
      </c>
      <c r="AN27" s="235">
        <v>0</v>
      </c>
      <c r="AO27" s="235">
        <v>612128.40370325558</v>
      </c>
      <c r="AP27" s="235">
        <v>5159905.2578132581</v>
      </c>
      <c r="AQ27" s="235">
        <v>0</v>
      </c>
      <c r="AR27" s="235">
        <v>2376146.5715249744</v>
      </c>
      <c r="AS27" s="235">
        <v>3317018.6019820473</v>
      </c>
      <c r="AT27" s="235">
        <v>0</v>
      </c>
      <c r="AU27" s="235">
        <v>1446615.1978851759</v>
      </c>
      <c r="AV27" s="235">
        <v>3196190.8214879842</v>
      </c>
      <c r="AW27" s="235">
        <v>4278795.4321748978</v>
      </c>
      <c r="AX27" s="235">
        <v>241687.35007017601</v>
      </c>
      <c r="AY27" s="235">
        <v>758042.47680143407</v>
      </c>
      <c r="AZ27" s="235">
        <v>2086552.4073543383</v>
      </c>
      <c r="BA27" s="235">
        <v>1880173.82376991</v>
      </c>
      <c r="BB27" s="235">
        <v>10367596.524723848</v>
      </c>
      <c r="BC27" s="235">
        <v>7915434.9570989711</v>
      </c>
      <c r="BD27" s="235">
        <v>370606.09134813858</v>
      </c>
      <c r="BE27" s="235">
        <v>3108595.5538911847</v>
      </c>
      <c r="BF27" s="235">
        <v>1654031.7830023549</v>
      </c>
      <c r="BG27" s="235">
        <v>6135200.3778211027</v>
      </c>
      <c r="BH27" s="235">
        <v>3027439.1856294149</v>
      </c>
      <c r="BI27" s="235">
        <v>169546.5</v>
      </c>
      <c r="BJ27" s="235">
        <v>1815825.4845995831</v>
      </c>
      <c r="BK27" s="235">
        <v>2371621.4788236027</v>
      </c>
      <c r="BL27" s="235">
        <v>0</v>
      </c>
      <c r="BM27" s="235">
        <v>1228439.190368192</v>
      </c>
      <c r="BN27" s="235">
        <v>79035.883274074164</v>
      </c>
      <c r="BO27" s="235">
        <v>0</v>
      </c>
      <c r="BP27" s="235">
        <v>4239707.5808172459</v>
      </c>
      <c r="BQ27" s="235">
        <v>4640117.2535951287</v>
      </c>
      <c r="BR27" s="235">
        <v>3612292.8613817561</v>
      </c>
      <c r="BS27" s="235">
        <v>0</v>
      </c>
      <c r="BT27" s="235">
        <v>0</v>
      </c>
      <c r="BU27" s="235">
        <v>1051426.3719121288</v>
      </c>
      <c r="BV27" s="235">
        <v>1287520.015376806</v>
      </c>
      <c r="BW27" s="235">
        <v>59989.080039162945</v>
      </c>
      <c r="BX27" s="235">
        <v>2296644.326103155</v>
      </c>
      <c r="BY27" s="235">
        <v>287307.71557779732</v>
      </c>
      <c r="BZ27" s="235">
        <v>184550.96745637493</v>
      </c>
      <c r="CA27" s="235">
        <v>0</v>
      </c>
      <c r="CB27" s="235">
        <v>0</v>
      </c>
      <c r="CC27" s="235">
        <v>1642155.5671781763</v>
      </c>
      <c r="CD27" s="235">
        <v>2361428.0365880067</v>
      </c>
      <c r="CE27" s="235">
        <v>2461781.854185564</v>
      </c>
      <c r="CF27" s="235">
        <v>454449.35269139853</v>
      </c>
      <c r="CG27" s="235">
        <v>5727267.0954110967</v>
      </c>
      <c r="CH27" s="235"/>
      <c r="CI27" s="235">
        <v>81274.976359775508</v>
      </c>
      <c r="CJ27" s="235">
        <v>401705.85496107803</v>
      </c>
      <c r="CK27" s="235">
        <v>508068.99548806041</v>
      </c>
      <c r="CL27" s="235">
        <v>1235500.6193929827</v>
      </c>
      <c r="CM27" s="235"/>
      <c r="CN27" s="235">
        <v>22541.599999999999</v>
      </c>
      <c r="CO27" s="235"/>
      <c r="CP27" s="237"/>
      <c r="CQ27" s="237"/>
      <c r="CR27" s="237"/>
    </row>
    <row r="28" spans="1:96" x14ac:dyDescent="0.3">
      <c r="A28" s="257" t="s">
        <v>209</v>
      </c>
      <c r="B28" s="235">
        <v>469994180.25592041</v>
      </c>
      <c r="C28" s="235">
        <v>66513457.263683841</v>
      </c>
      <c r="D28" s="235">
        <v>30615552.679969233</v>
      </c>
      <c r="E28" s="235">
        <v>150757706.423614</v>
      </c>
      <c r="F28" s="235">
        <v>31946457.031998869</v>
      </c>
      <c r="G28" s="235">
        <v>33112866.165529106</v>
      </c>
      <c r="H28" s="235">
        <v>53359047.765901133</v>
      </c>
      <c r="I28" s="235">
        <v>0</v>
      </c>
      <c r="J28" s="235">
        <v>24248754.378854953</v>
      </c>
      <c r="K28" s="235">
        <v>21520285.505043972</v>
      </c>
      <c r="L28" s="235">
        <v>11021840.059594961</v>
      </c>
      <c r="M28" s="235">
        <v>173849.85890934194</v>
      </c>
      <c r="N28" s="235">
        <v>47467571.80843915</v>
      </c>
      <c r="O28" s="235">
        <v>6463622.2261788873</v>
      </c>
      <c r="P28" s="235">
        <v>33667847.669721894</v>
      </c>
      <c r="Q28" s="235">
        <v>0</v>
      </c>
      <c r="R28" s="235">
        <v>8442302.3142502718</v>
      </c>
      <c r="S28" s="235">
        <v>6657582.1668193797</v>
      </c>
      <c r="T28" s="235">
        <v>15342602.533825509</v>
      </c>
      <c r="U28" s="235">
        <v>22729984.780913197</v>
      </c>
      <c r="V28" s="235">
        <v>29018033.308148798</v>
      </c>
      <c r="W28" s="235">
        <v>78500591.636667728</v>
      </c>
      <c r="X28" s="235">
        <v>3707672.7758958545</v>
      </c>
      <c r="Y28" s="235">
        <v>24883383.199958958</v>
      </c>
      <c r="Z28" s="235">
        <v>25547510.37673464</v>
      </c>
      <c r="AA28" s="235">
        <v>4347012.4526024312</v>
      </c>
      <c r="AB28" s="235">
        <v>31727730.211000431</v>
      </c>
      <c r="AC28" s="235">
        <v>5451750.4387060897</v>
      </c>
      <c r="AD28" s="235">
        <v>4479397.7659688415</v>
      </c>
      <c r="AE28" s="235">
        <v>26125561.795271304</v>
      </c>
      <c r="AF28" s="235">
        <v>7863143.8626664821</v>
      </c>
      <c r="AG28" s="235">
        <v>7358785.2401473382</v>
      </c>
      <c r="AH28" s="235">
        <v>1812869.8363182372</v>
      </c>
      <c r="AI28" s="235">
        <v>2606895.1916282396</v>
      </c>
      <c r="AJ28" s="235">
        <v>8378743.0617276086</v>
      </c>
      <c r="AK28" s="235">
        <v>3882648.2645756798</v>
      </c>
      <c r="AL28" s="235">
        <v>47807367.844442889</v>
      </c>
      <c r="AM28" s="235">
        <v>57446382.381459393</v>
      </c>
      <c r="AN28" s="235">
        <v>3620218.9057022324</v>
      </c>
      <c r="AO28" s="235">
        <v>5141698.8177141882</v>
      </c>
      <c r="AP28" s="235">
        <v>14498818.069843732</v>
      </c>
      <c r="AQ28" s="235">
        <v>3853035.6320475638</v>
      </c>
      <c r="AR28" s="235">
        <v>255708.70805844042</v>
      </c>
      <c r="AS28" s="235">
        <v>30417311.55605695</v>
      </c>
      <c r="AT28" s="235">
        <v>2624937.6998804696</v>
      </c>
      <c r="AU28" s="235">
        <v>5036236.2828831384</v>
      </c>
      <c r="AV28" s="235">
        <v>7102616.2254466834</v>
      </c>
      <c r="AW28" s="235">
        <v>2765409.3802941982</v>
      </c>
      <c r="AX28" s="235">
        <v>14259368.807218727</v>
      </c>
      <c r="AY28" s="235">
        <v>0</v>
      </c>
      <c r="AZ28" s="235">
        <v>320806.00984206685</v>
      </c>
      <c r="BA28" s="235">
        <v>2998939.0281160576</v>
      </c>
      <c r="BB28" s="235">
        <v>0</v>
      </c>
      <c r="BC28" s="235">
        <v>14315683.760815864</v>
      </c>
      <c r="BD28" s="235">
        <v>0</v>
      </c>
      <c r="BE28" s="235">
        <v>0</v>
      </c>
      <c r="BF28" s="235">
        <v>4759837.9827623768</v>
      </c>
      <c r="BG28" s="235">
        <v>13288066.683678182</v>
      </c>
      <c r="BH28" s="235">
        <v>938004.41497081309</v>
      </c>
      <c r="BI28" s="235">
        <v>50863.95</v>
      </c>
      <c r="BJ28" s="235">
        <v>2184001.4008593932</v>
      </c>
      <c r="BK28" s="235">
        <v>15031903.754203867</v>
      </c>
      <c r="BL28" s="235">
        <v>52540.7</v>
      </c>
      <c r="BM28" s="235">
        <v>356246.32495003054</v>
      </c>
      <c r="BN28" s="235">
        <v>20253.864655232159</v>
      </c>
      <c r="BO28" s="235">
        <v>0</v>
      </c>
      <c r="BP28" s="235">
        <v>4391432.273449501</v>
      </c>
      <c r="BQ28" s="235">
        <v>3084508.8915190618</v>
      </c>
      <c r="BR28" s="235">
        <v>3406933.0263155196</v>
      </c>
      <c r="BS28" s="235">
        <v>0</v>
      </c>
      <c r="BT28" s="235">
        <v>0</v>
      </c>
      <c r="BU28" s="235">
        <v>4387853.0427050432</v>
      </c>
      <c r="BV28" s="235">
        <v>2522174.6574628376</v>
      </c>
      <c r="BW28" s="235">
        <v>1825.6370165209644</v>
      </c>
      <c r="BX28" s="235">
        <v>1166925.9752845825</v>
      </c>
      <c r="BY28" s="235">
        <v>1127958.301746553</v>
      </c>
      <c r="BZ28" s="235">
        <v>534306.6365263568</v>
      </c>
      <c r="CA28" s="235">
        <v>0</v>
      </c>
      <c r="CB28" s="235">
        <v>0</v>
      </c>
      <c r="CC28" s="235">
        <v>0</v>
      </c>
      <c r="CD28" s="235">
        <v>1836701.7363291357</v>
      </c>
      <c r="CE28" s="235">
        <v>0</v>
      </c>
      <c r="CF28" s="235">
        <v>0</v>
      </c>
      <c r="CG28" s="235">
        <v>7305873.7418990005</v>
      </c>
      <c r="CH28" s="235"/>
      <c r="CI28" s="235">
        <v>406420.03456352185</v>
      </c>
      <c r="CJ28" s="235">
        <v>27434.162491437859</v>
      </c>
      <c r="CK28" s="235">
        <v>54272.796572290477</v>
      </c>
      <c r="CL28" s="235">
        <v>1173838.111248415</v>
      </c>
      <c r="CM28" s="235"/>
      <c r="CN28" s="235">
        <v>12294.9</v>
      </c>
      <c r="CO28" s="235"/>
      <c r="CP28" s="237"/>
      <c r="CQ28" s="237"/>
      <c r="CR28" s="237"/>
    </row>
    <row r="29" spans="1:96" x14ac:dyDescent="0.3">
      <c r="A29" s="257" t="s">
        <v>210</v>
      </c>
      <c r="B29" s="235">
        <v>30289336.975540075</v>
      </c>
      <c r="C29" s="235">
        <v>0</v>
      </c>
      <c r="D29" s="235">
        <v>20410388.233293299</v>
      </c>
      <c r="E29" s="235">
        <v>1000837.2321994688</v>
      </c>
      <c r="F29" s="235">
        <v>0</v>
      </c>
      <c r="G29" s="235">
        <v>0</v>
      </c>
      <c r="H29" s="235">
        <v>18155501.354950979</v>
      </c>
      <c r="I29" s="235">
        <v>41066025.420680411</v>
      </c>
      <c r="J29" s="235">
        <v>0</v>
      </c>
      <c r="K29" s="235">
        <v>0</v>
      </c>
      <c r="L29" s="235">
        <v>20363429.215596803</v>
      </c>
      <c r="M29" s="235">
        <v>0</v>
      </c>
      <c r="N29" s="235">
        <v>0</v>
      </c>
      <c r="O29" s="235">
        <v>0</v>
      </c>
      <c r="P29" s="235">
        <v>1270049.5054144866</v>
      </c>
      <c r="Q29" s="235">
        <v>0</v>
      </c>
      <c r="R29" s="235">
        <v>0</v>
      </c>
      <c r="S29" s="235">
        <v>0</v>
      </c>
      <c r="T29" s="235">
        <v>0</v>
      </c>
      <c r="U29" s="235">
        <v>147944.79703890035</v>
      </c>
      <c r="V29" s="235">
        <v>2200584.0093944669</v>
      </c>
      <c r="W29" s="235">
        <v>0</v>
      </c>
      <c r="X29" s="235">
        <v>1935236.978421028</v>
      </c>
      <c r="Y29" s="235">
        <v>2217814.9647765658</v>
      </c>
      <c r="Z29" s="235">
        <v>8138152.5222603921</v>
      </c>
      <c r="AA29" s="235">
        <v>3744.3270788501391</v>
      </c>
      <c r="AB29" s="235">
        <v>7554074.4201119011</v>
      </c>
      <c r="AC29" s="235">
        <v>3891.8736001981142</v>
      </c>
      <c r="AD29" s="235">
        <v>2986298.0092882118</v>
      </c>
      <c r="AE29" s="235">
        <v>0</v>
      </c>
      <c r="AF29" s="235">
        <v>7843332.3139529657</v>
      </c>
      <c r="AG29" s="235">
        <v>0</v>
      </c>
      <c r="AH29" s="235">
        <v>26460.383971773608</v>
      </c>
      <c r="AI29" s="235">
        <v>0</v>
      </c>
      <c r="AJ29" s="235">
        <v>0</v>
      </c>
      <c r="AK29" s="235">
        <v>49138.560571379065</v>
      </c>
      <c r="AL29" s="235">
        <v>18791013.83375442</v>
      </c>
      <c r="AM29" s="235">
        <v>0</v>
      </c>
      <c r="AN29" s="235">
        <v>0</v>
      </c>
      <c r="AO29" s="235">
        <v>0</v>
      </c>
      <c r="AP29" s="235">
        <v>0</v>
      </c>
      <c r="AQ29" s="235">
        <v>0</v>
      </c>
      <c r="AR29" s="235">
        <v>2554372.2392076007</v>
      </c>
      <c r="AS29" s="235">
        <v>0</v>
      </c>
      <c r="AT29" s="235">
        <v>0</v>
      </c>
      <c r="AU29" s="235">
        <v>0</v>
      </c>
      <c r="AV29" s="235">
        <v>0</v>
      </c>
      <c r="AW29" s="235">
        <v>0</v>
      </c>
      <c r="AX29" s="235">
        <v>0</v>
      </c>
      <c r="AY29" s="235">
        <v>0</v>
      </c>
      <c r="AZ29" s="235">
        <v>26179.311392679585</v>
      </c>
      <c r="BA29" s="235">
        <v>87293.211584094126</v>
      </c>
      <c r="BB29" s="235">
        <v>0</v>
      </c>
      <c r="BC29" s="235">
        <v>11717126.925063137</v>
      </c>
      <c r="BD29" s="235">
        <v>0</v>
      </c>
      <c r="BE29" s="235">
        <v>0</v>
      </c>
      <c r="BF29" s="235">
        <v>0</v>
      </c>
      <c r="BG29" s="235">
        <v>0</v>
      </c>
      <c r="BH29" s="235">
        <v>0</v>
      </c>
      <c r="BI29" s="235">
        <v>0</v>
      </c>
      <c r="BJ29" s="235">
        <v>0</v>
      </c>
      <c r="BK29" s="235">
        <v>1227664.6417230712</v>
      </c>
      <c r="BL29" s="235">
        <v>0</v>
      </c>
      <c r="BM29" s="235">
        <v>0</v>
      </c>
      <c r="BN29" s="235">
        <v>0</v>
      </c>
      <c r="BO29" s="235">
        <v>0</v>
      </c>
      <c r="BP29" s="235">
        <v>0</v>
      </c>
      <c r="BQ29" s="235">
        <v>12798295.086728415</v>
      </c>
      <c r="BR29" s="235">
        <v>0</v>
      </c>
      <c r="BS29" s="235">
        <v>0</v>
      </c>
      <c r="BT29" s="235">
        <v>0</v>
      </c>
      <c r="BU29" s="235">
        <v>0</v>
      </c>
      <c r="BV29" s="235">
        <v>0</v>
      </c>
      <c r="BW29" s="235">
        <v>0</v>
      </c>
      <c r="BX29" s="235">
        <v>0</v>
      </c>
      <c r="BY29" s="235">
        <v>0</v>
      </c>
      <c r="BZ29" s="235">
        <v>0</v>
      </c>
      <c r="CA29" s="235">
        <v>0</v>
      </c>
      <c r="CB29" s="235">
        <v>0</v>
      </c>
      <c r="CC29" s="235">
        <v>0</v>
      </c>
      <c r="CD29" s="235">
        <v>0</v>
      </c>
      <c r="CE29" s="235">
        <v>0</v>
      </c>
      <c r="CF29" s="235">
        <v>0</v>
      </c>
      <c r="CG29" s="235">
        <v>0</v>
      </c>
      <c r="CH29" s="235"/>
      <c r="CI29" s="235">
        <v>70754.382197649014</v>
      </c>
      <c r="CJ29" s="235">
        <v>0</v>
      </c>
      <c r="CK29" s="235">
        <v>0</v>
      </c>
      <c r="CL29" s="235">
        <v>0</v>
      </c>
      <c r="CM29" s="235"/>
      <c r="CN29" s="235">
        <v>0</v>
      </c>
      <c r="CO29" s="235"/>
      <c r="CP29" s="237"/>
      <c r="CQ29" s="237"/>
      <c r="CR29" s="237"/>
    </row>
    <row r="30" spans="1:96" x14ac:dyDescent="0.3">
      <c r="A30" s="257" t="s">
        <v>211</v>
      </c>
      <c r="B30" s="235">
        <v>265679353.88800129</v>
      </c>
      <c r="C30" s="235">
        <v>28205184.408932932</v>
      </c>
      <c r="D30" s="235">
        <v>36125444.261259861</v>
      </c>
      <c r="E30" s="235">
        <v>35523002.651526667</v>
      </c>
      <c r="F30" s="235">
        <v>528113.05310640507</v>
      </c>
      <c r="G30" s="235">
        <v>612849.97327712039</v>
      </c>
      <c r="H30" s="235">
        <v>225192.09105419577</v>
      </c>
      <c r="I30" s="235">
        <v>3874825.2128478908</v>
      </c>
      <c r="J30" s="235">
        <v>596566.21453613788</v>
      </c>
      <c r="K30" s="235">
        <v>3277242.0394561859</v>
      </c>
      <c r="L30" s="235">
        <v>16145830.768425699</v>
      </c>
      <c r="M30" s="235">
        <v>183709.10053644428</v>
      </c>
      <c r="N30" s="235">
        <v>2202280.58182718</v>
      </c>
      <c r="O30" s="235">
        <v>19991.55820533009</v>
      </c>
      <c r="P30" s="235">
        <v>15069623.184150651</v>
      </c>
      <c r="Q30" s="235">
        <v>0</v>
      </c>
      <c r="R30" s="235">
        <v>397744.42466047365</v>
      </c>
      <c r="S30" s="235">
        <v>206126.37532144651</v>
      </c>
      <c r="T30" s="235">
        <v>0</v>
      </c>
      <c r="U30" s="235">
        <v>1403581.2722915905</v>
      </c>
      <c r="V30" s="235">
        <v>3054387.4763382855</v>
      </c>
      <c r="W30" s="235">
        <v>427588.64540459786</v>
      </c>
      <c r="X30" s="235">
        <v>0</v>
      </c>
      <c r="Y30" s="235">
        <v>191387.83461756381</v>
      </c>
      <c r="Z30" s="235">
        <v>268896.33302075049</v>
      </c>
      <c r="AA30" s="235">
        <v>17019668.540227905</v>
      </c>
      <c r="AB30" s="235">
        <v>0</v>
      </c>
      <c r="AC30" s="235">
        <v>389187.36001981143</v>
      </c>
      <c r="AD30" s="235">
        <v>9538444.0620561279</v>
      </c>
      <c r="AE30" s="235">
        <v>2931333.8099668282</v>
      </c>
      <c r="AF30" s="235">
        <v>0</v>
      </c>
      <c r="AG30" s="235">
        <v>25416206.916150682</v>
      </c>
      <c r="AH30" s="235">
        <v>26079932.568616427</v>
      </c>
      <c r="AI30" s="235">
        <v>0</v>
      </c>
      <c r="AJ30" s="235">
        <v>440946.80018009961</v>
      </c>
      <c r="AK30" s="235">
        <v>4913.8560571379066</v>
      </c>
      <c r="AL30" s="235">
        <v>5195189.912951027</v>
      </c>
      <c r="AM30" s="235">
        <v>3828824.3302759738</v>
      </c>
      <c r="AN30" s="235">
        <v>300613.18713555374</v>
      </c>
      <c r="AO30" s="235">
        <v>746778.67517865601</v>
      </c>
      <c r="AP30" s="235">
        <v>1381177.6690060606</v>
      </c>
      <c r="AQ30" s="235">
        <v>959659.12752470642</v>
      </c>
      <c r="AR30" s="235">
        <v>112262.35963541288</v>
      </c>
      <c r="AS30" s="235">
        <v>9037751.8148873933</v>
      </c>
      <c r="AT30" s="235">
        <v>0</v>
      </c>
      <c r="AU30" s="235">
        <v>1865814.2012735882</v>
      </c>
      <c r="AV30" s="235">
        <v>355144.33130931109</v>
      </c>
      <c r="AW30" s="235">
        <v>345504.95288389194</v>
      </c>
      <c r="AX30" s="235">
        <v>161094.09222650738</v>
      </c>
      <c r="AY30" s="235">
        <v>0</v>
      </c>
      <c r="AZ30" s="235">
        <v>1267113.6938958494</v>
      </c>
      <c r="BA30" s="235">
        <v>1462482.2249585183</v>
      </c>
      <c r="BB30" s="235">
        <v>0</v>
      </c>
      <c r="BC30" s="235">
        <v>2131509.7978349407</v>
      </c>
      <c r="BD30" s="235">
        <v>87471.479680539167</v>
      </c>
      <c r="BE30" s="235">
        <v>155878.97984456038</v>
      </c>
      <c r="BF30" s="235">
        <v>10547060.648485765</v>
      </c>
      <c r="BG30" s="235">
        <v>3574668.6956815561</v>
      </c>
      <c r="BH30" s="235">
        <v>286350.79459577077</v>
      </c>
      <c r="BI30" s="235">
        <v>1694.8</v>
      </c>
      <c r="BJ30" s="235">
        <v>441906.54368967516</v>
      </c>
      <c r="BK30" s="235">
        <v>409196.6342039337</v>
      </c>
      <c r="BL30" s="235">
        <v>1102.95</v>
      </c>
      <c r="BM30" s="235">
        <v>12281.964637943196</v>
      </c>
      <c r="BN30" s="235">
        <v>5677.9036131061921</v>
      </c>
      <c r="BO30" s="235">
        <v>0</v>
      </c>
      <c r="BP30" s="235">
        <v>197737.02296670675</v>
      </c>
      <c r="BQ30" s="235">
        <v>22713455.06295646</v>
      </c>
      <c r="BR30" s="235">
        <v>114070.69080016375</v>
      </c>
      <c r="BS30" s="235">
        <v>0</v>
      </c>
      <c r="BT30" s="235">
        <v>0</v>
      </c>
      <c r="BU30" s="235">
        <v>926466.93515426479</v>
      </c>
      <c r="BV30" s="235">
        <v>504466.44587306876</v>
      </c>
      <c r="BW30" s="235">
        <v>4868.3653773892383</v>
      </c>
      <c r="BX30" s="235">
        <v>0</v>
      </c>
      <c r="BY30" s="235">
        <v>212811.03761650107</v>
      </c>
      <c r="BZ30" s="235">
        <v>6486.3573525315151</v>
      </c>
      <c r="CA30" s="235">
        <v>0</v>
      </c>
      <c r="CB30" s="235">
        <v>0</v>
      </c>
      <c r="CC30" s="235">
        <v>1441388.1224848437</v>
      </c>
      <c r="CD30" s="235">
        <v>262363.15012943576</v>
      </c>
      <c r="CE30" s="235">
        <v>0</v>
      </c>
      <c r="CF30" s="235">
        <v>1769172.7226201154</v>
      </c>
      <c r="CG30" s="235">
        <v>2588561.7215992343</v>
      </c>
      <c r="CH30" s="235"/>
      <c r="CI30" s="235">
        <v>40637.488179887754</v>
      </c>
      <c r="CJ30" s="235">
        <v>0</v>
      </c>
      <c r="CK30" s="235">
        <v>0</v>
      </c>
      <c r="CL30" s="235">
        <v>2003581.4233981282</v>
      </c>
      <c r="CM30" s="235"/>
      <c r="CN30" s="235">
        <v>3152.1</v>
      </c>
      <c r="CO30" s="235"/>
      <c r="CP30" s="237"/>
      <c r="CQ30" s="237"/>
      <c r="CR30" s="237"/>
    </row>
    <row r="31" spans="1:96" x14ac:dyDescent="0.3">
      <c r="A31" s="257" t="s">
        <v>212</v>
      </c>
      <c r="B31" s="235">
        <v>503021980.46934456</v>
      </c>
      <c r="C31" s="235">
        <v>0</v>
      </c>
      <c r="D31" s="235">
        <v>5572969.9390271846</v>
      </c>
      <c r="E31" s="235">
        <v>59200290.808142394</v>
      </c>
      <c r="F31" s="235">
        <v>0</v>
      </c>
      <c r="G31" s="235">
        <v>0</v>
      </c>
      <c r="H31" s="235">
        <v>0</v>
      </c>
      <c r="I31" s="235">
        <v>0</v>
      </c>
      <c r="J31" s="235">
        <v>0</v>
      </c>
      <c r="K31" s="235">
        <v>349446.97274328012</v>
      </c>
      <c r="L31" s="235">
        <v>11990884.577852411</v>
      </c>
      <c r="M31" s="235">
        <v>0</v>
      </c>
      <c r="N31" s="235">
        <v>0</v>
      </c>
      <c r="O31" s="235">
        <v>0</v>
      </c>
      <c r="P31" s="235">
        <v>85044.434881367706</v>
      </c>
      <c r="Q31" s="235">
        <v>0</v>
      </c>
      <c r="R31" s="235">
        <v>5589.4716576595183</v>
      </c>
      <c r="S31" s="235">
        <v>0</v>
      </c>
      <c r="T31" s="235">
        <v>119989.23214701824</v>
      </c>
      <c r="U31" s="235">
        <v>67649179.170720652</v>
      </c>
      <c r="V31" s="235">
        <v>419860.53612026997</v>
      </c>
      <c r="W31" s="235">
        <v>0</v>
      </c>
      <c r="X31" s="235">
        <v>4720122.7236737115</v>
      </c>
      <c r="Y31" s="235">
        <v>0</v>
      </c>
      <c r="Z31" s="235">
        <v>16713243.716438869</v>
      </c>
      <c r="AA31" s="235">
        <v>0</v>
      </c>
      <c r="AB31" s="235">
        <v>0</v>
      </c>
      <c r="AC31" s="235">
        <v>0</v>
      </c>
      <c r="AD31" s="235">
        <v>0</v>
      </c>
      <c r="AE31" s="235">
        <v>0</v>
      </c>
      <c r="AF31" s="235">
        <v>0</v>
      </c>
      <c r="AG31" s="235">
        <v>5366859.4531995831</v>
      </c>
      <c r="AH31" s="235">
        <v>1634540.1897185529</v>
      </c>
      <c r="AI31" s="235">
        <v>0</v>
      </c>
      <c r="AJ31" s="235">
        <v>0</v>
      </c>
      <c r="AK31" s="235">
        <v>0</v>
      </c>
      <c r="AL31" s="235">
        <v>0</v>
      </c>
      <c r="AM31" s="235">
        <v>0</v>
      </c>
      <c r="AN31" s="235">
        <v>0</v>
      </c>
      <c r="AO31" s="235">
        <v>17279099.456781823</v>
      </c>
      <c r="AP31" s="235">
        <v>6931726.5226916904</v>
      </c>
      <c r="AQ31" s="235">
        <v>1930061.8723548178</v>
      </c>
      <c r="AR31" s="235">
        <v>469374.06182204979</v>
      </c>
      <c r="AS31" s="235">
        <v>932471.92926758958</v>
      </c>
      <c r="AT31" s="235">
        <v>0</v>
      </c>
      <c r="AU31" s="235">
        <v>0</v>
      </c>
      <c r="AV31" s="235">
        <v>0</v>
      </c>
      <c r="AW31" s="235">
        <v>0</v>
      </c>
      <c r="AX31" s="235">
        <v>2416873.5007017604</v>
      </c>
      <c r="AY31" s="235">
        <v>0</v>
      </c>
      <c r="AZ31" s="235">
        <v>0</v>
      </c>
      <c r="BA31" s="235">
        <v>0</v>
      </c>
      <c r="BB31" s="235">
        <v>7775697.3935428867</v>
      </c>
      <c r="BC31" s="235">
        <v>0</v>
      </c>
      <c r="BD31" s="235">
        <v>0</v>
      </c>
      <c r="BE31" s="235">
        <v>0</v>
      </c>
      <c r="BF31" s="235">
        <v>0</v>
      </c>
      <c r="BG31" s="235">
        <v>3890080.6394181647</v>
      </c>
      <c r="BH31" s="235">
        <v>0</v>
      </c>
      <c r="BI31" s="235">
        <v>0</v>
      </c>
      <c r="BJ31" s="235">
        <v>0</v>
      </c>
      <c r="BK31" s="235">
        <v>0</v>
      </c>
      <c r="BL31" s="235">
        <v>0</v>
      </c>
      <c r="BM31" s="235">
        <v>0</v>
      </c>
      <c r="BN31" s="235">
        <v>0</v>
      </c>
      <c r="BO31" s="235">
        <v>0</v>
      </c>
      <c r="BP31" s="235">
        <v>0</v>
      </c>
      <c r="BQ31" s="235">
        <v>0</v>
      </c>
      <c r="BR31" s="235">
        <v>0</v>
      </c>
      <c r="BS31" s="235">
        <v>0</v>
      </c>
      <c r="BT31" s="235">
        <v>0</v>
      </c>
      <c r="BU31" s="235">
        <v>91850.526163900067</v>
      </c>
      <c r="BV31" s="235">
        <v>0</v>
      </c>
      <c r="BW31" s="235">
        <v>0</v>
      </c>
      <c r="BX31" s="235">
        <v>3024490.6851792852</v>
      </c>
      <c r="BY31" s="235">
        <v>0</v>
      </c>
      <c r="BZ31" s="235">
        <v>0</v>
      </c>
      <c r="CA31" s="235">
        <v>0</v>
      </c>
      <c r="CB31" s="235">
        <v>0</v>
      </c>
      <c r="CC31" s="235">
        <v>2001941.7948812491</v>
      </c>
      <c r="CD31" s="235">
        <v>0</v>
      </c>
      <c r="CE31" s="235">
        <v>0</v>
      </c>
      <c r="CF31" s="235">
        <v>0</v>
      </c>
      <c r="CG31" s="235">
        <v>0</v>
      </c>
      <c r="CH31" s="235"/>
      <c r="CI31" s="235">
        <v>0</v>
      </c>
      <c r="CJ31" s="235">
        <v>0</v>
      </c>
      <c r="CK31" s="235">
        <v>95390.938532719549</v>
      </c>
      <c r="CL31" s="235">
        <v>0</v>
      </c>
      <c r="CM31" s="235"/>
      <c r="CN31" s="235">
        <v>0</v>
      </c>
      <c r="CO31" s="235"/>
      <c r="CP31" s="237"/>
      <c r="CQ31" s="237"/>
      <c r="CR31" s="237"/>
    </row>
    <row r="32" spans="1:96" x14ac:dyDescent="0.3">
      <c r="A32" s="257" t="s">
        <v>80</v>
      </c>
      <c r="B32" s="235">
        <v>85627373.139498442</v>
      </c>
      <c r="C32" s="235">
        <v>0</v>
      </c>
      <c r="D32" s="235">
        <v>0</v>
      </c>
      <c r="E32" s="235">
        <v>26999066.491129451</v>
      </c>
      <c r="F32" s="235">
        <v>0</v>
      </c>
      <c r="G32" s="235">
        <v>0</v>
      </c>
      <c r="H32" s="235">
        <v>0</v>
      </c>
      <c r="I32" s="235">
        <v>0</v>
      </c>
      <c r="J32" s="235">
        <v>0</v>
      </c>
      <c r="K32" s="235">
        <v>0</v>
      </c>
      <c r="L32" s="235">
        <v>54046.177394820617</v>
      </c>
      <c r="M32" s="235">
        <v>0</v>
      </c>
      <c r="N32" s="235">
        <v>0</v>
      </c>
      <c r="O32" s="235">
        <v>0</v>
      </c>
      <c r="P32" s="235">
        <v>0</v>
      </c>
      <c r="Q32" s="235">
        <v>0</v>
      </c>
      <c r="R32" s="235">
        <v>0</v>
      </c>
      <c r="S32" s="235">
        <v>0</v>
      </c>
      <c r="T32" s="235">
        <v>0</v>
      </c>
      <c r="U32" s="235">
        <v>0</v>
      </c>
      <c r="V32" s="235">
        <v>0</v>
      </c>
      <c r="W32" s="235">
        <v>0</v>
      </c>
      <c r="X32" s="235">
        <v>0</v>
      </c>
      <c r="Y32" s="235">
        <v>0</v>
      </c>
      <c r="Z32" s="235">
        <v>1548262.4852638163</v>
      </c>
      <c r="AA32" s="235">
        <v>0</v>
      </c>
      <c r="AB32" s="235">
        <v>0</v>
      </c>
      <c r="AC32" s="235">
        <v>44066294.820186034</v>
      </c>
      <c r="AD32" s="235">
        <v>0</v>
      </c>
      <c r="AE32" s="235">
        <v>0</v>
      </c>
      <c r="AF32" s="235">
        <v>0</v>
      </c>
      <c r="AG32" s="235">
        <v>0</v>
      </c>
      <c r="AH32" s="235">
        <v>0</v>
      </c>
      <c r="AI32" s="235">
        <v>0</v>
      </c>
      <c r="AJ32" s="235">
        <v>0</v>
      </c>
      <c r="AK32" s="235">
        <v>0</v>
      </c>
      <c r="AL32" s="235">
        <v>0</v>
      </c>
      <c r="AM32" s="235">
        <v>0</v>
      </c>
      <c r="AN32" s="235">
        <v>0</v>
      </c>
      <c r="AO32" s="235">
        <v>0</v>
      </c>
      <c r="AP32" s="235">
        <v>0</v>
      </c>
      <c r="AQ32" s="235">
        <v>0</v>
      </c>
      <c r="AR32" s="235">
        <v>0</v>
      </c>
      <c r="AS32" s="235">
        <v>0</v>
      </c>
      <c r="AT32" s="235">
        <v>0</v>
      </c>
      <c r="AU32" s="235">
        <v>0</v>
      </c>
      <c r="AV32" s="235">
        <v>0</v>
      </c>
      <c r="AW32" s="235">
        <v>0</v>
      </c>
      <c r="AX32" s="235">
        <v>0</v>
      </c>
      <c r="AY32" s="235">
        <v>0</v>
      </c>
      <c r="AZ32" s="235">
        <v>0</v>
      </c>
      <c r="BA32" s="235">
        <v>5455.8257240058829</v>
      </c>
      <c r="BB32" s="235">
        <v>0</v>
      </c>
      <c r="BC32" s="235">
        <v>0</v>
      </c>
      <c r="BD32" s="235">
        <v>0</v>
      </c>
      <c r="BE32" s="235">
        <v>0</v>
      </c>
      <c r="BF32" s="235">
        <v>7041775.9156626463</v>
      </c>
      <c r="BG32" s="235">
        <v>2069769.1940648009</v>
      </c>
      <c r="BH32" s="235">
        <v>0</v>
      </c>
      <c r="BI32" s="235">
        <v>0</v>
      </c>
      <c r="BJ32" s="235">
        <v>0</v>
      </c>
      <c r="BK32" s="235">
        <v>0</v>
      </c>
      <c r="BL32" s="235">
        <v>0</v>
      </c>
      <c r="BM32" s="235">
        <v>0</v>
      </c>
      <c r="BN32" s="235">
        <v>0</v>
      </c>
      <c r="BO32" s="235">
        <v>0</v>
      </c>
      <c r="BP32" s="235">
        <v>0</v>
      </c>
      <c r="BQ32" s="235">
        <v>2969976.5294913421</v>
      </c>
      <c r="BR32" s="235">
        <v>0</v>
      </c>
      <c r="BS32" s="235">
        <v>0</v>
      </c>
      <c r="BT32" s="235">
        <v>0</v>
      </c>
      <c r="BU32" s="235">
        <v>0</v>
      </c>
      <c r="BV32" s="235">
        <v>0</v>
      </c>
      <c r="BW32" s="235">
        <v>0</v>
      </c>
      <c r="BX32" s="235">
        <v>0</v>
      </c>
      <c r="BY32" s="235">
        <v>0</v>
      </c>
      <c r="BZ32" s="235">
        <v>0</v>
      </c>
      <c r="CA32" s="235">
        <v>0</v>
      </c>
      <c r="CB32" s="235">
        <v>0</v>
      </c>
      <c r="CC32" s="235">
        <v>2001941.7948812491</v>
      </c>
      <c r="CD32" s="235">
        <v>0</v>
      </c>
      <c r="CE32" s="235">
        <v>0</v>
      </c>
      <c r="CF32" s="235">
        <v>0</v>
      </c>
      <c r="CG32" s="235">
        <v>0</v>
      </c>
      <c r="CH32" s="235"/>
      <c r="CI32" s="235">
        <v>0</v>
      </c>
      <c r="CJ32" s="235">
        <v>0</v>
      </c>
      <c r="CK32" s="235">
        <v>0</v>
      </c>
      <c r="CL32" s="235">
        <v>0</v>
      </c>
      <c r="CM32" s="235"/>
      <c r="CN32" s="235">
        <v>0</v>
      </c>
      <c r="CO32" s="235"/>
      <c r="CP32" s="237"/>
      <c r="CQ32" s="237"/>
      <c r="CR32" s="237"/>
    </row>
    <row r="33" spans="1:96" x14ac:dyDescent="0.3">
      <c r="A33" s="258" t="s">
        <v>213</v>
      </c>
      <c r="B33" s="235"/>
      <c r="C33" s="235"/>
      <c r="D33" s="235"/>
      <c r="E33" s="235"/>
      <c r="F33" s="235"/>
      <c r="G33" s="235"/>
      <c r="H33" s="235"/>
      <c r="I33" s="235"/>
      <c r="J33" s="235"/>
      <c r="K33" s="235"/>
      <c r="L33" s="235"/>
      <c r="M33" s="235"/>
      <c r="N33" s="235"/>
      <c r="O33" s="235"/>
      <c r="P33" s="235"/>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35"/>
      <c r="AQ33" s="235"/>
      <c r="AR33" s="235"/>
      <c r="AS33" s="235"/>
      <c r="AT33" s="235"/>
      <c r="AU33" s="235"/>
      <c r="AV33" s="235"/>
      <c r="AW33" s="235"/>
      <c r="AX33" s="235"/>
      <c r="AY33" s="235"/>
      <c r="AZ33" s="235"/>
      <c r="BA33" s="235"/>
      <c r="BB33" s="235"/>
      <c r="BC33" s="235"/>
      <c r="BD33" s="235"/>
      <c r="BE33" s="235"/>
      <c r="BF33" s="235"/>
      <c r="BG33" s="235"/>
      <c r="BH33" s="235"/>
      <c r="BI33" s="235"/>
      <c r="BJ33" s="235"/>
      <c r="BK33" s="235"/>
      <c r="BL33" s="235"/>
      <c r="BM33" s="235"/>
      <c r="BN33" s="235"/>
      <c r="BO33" s="235"/>
      <c r="BP33" s="235"/>
      <c r="BQ33" s="235"/>
      <c r="BR33" s="235"/>
      <c r="BS33" s="235"/>
      <c r="BT33" s="235"/>
      <c r="BU33" s="235"/>
      <c r="BV33" s="235"/>
      <c r="BW33" s="235"/>
      <c r="BX33" s="235"/>
      <c r="BY33" s="235"/>
      <c r="BZ33" s="235"/>
      <c r="CA33" s="235"/>
      <c r="CB33" s="235"/>
      <c r="CC33" s="235"/>
      <c r="CD33" s="235"/>
      <c r="CE33" s="235"/>
      <c r="CF33" s="235"/>
      <c r="CG33" s="235"/>
      <c r="CH33" s="235"/>
      <c r="CI33" s="235"/>
      <c r="CJ33" s="235"/>
      <c r="CK33" s="235"/>
      <c r="CL33" s="235"/>
      <c r="CM33" s="235"/>
      <c r="CN33" s="235"/>
      <c r="CO33" s="235"/>
      <c r="CP33" s="242"/>
      <c r="CQ33" s="242"/>
      <c r="CR33" s="237"/>
    </row>
    <row r="34" spans="1:96" x14ac:dyDescent="0.3">
      <c r="A34" s="245" t="s">
        <v>206</v>
      </c>
      <c r="B34" s="235">
        <v>652160864.06811917</v>
      </c>
      <c r="C34" s="235">
        <v>65423003.143690601</v>
      </c>
      <c r="D34" s="235">
        <v>29783167.585600752</v>
      </c>
      <c r="E34" s="235">
        <v>35377587.018129542</v>
      </c>
      <c r="F34" s="235">
        <v>58627259.874998264</v>
      </c>
      <c r="G34" s="235">
        <v>10171466.309172919</v>
      </c>
      <c r="H34" s="235">
        <v>32156309.87910926</v>
      </c>
      <c r="I34" s="235">
        <v>158190989.69901678</v>
      </c>
      <c r="J34" s="235"/>
      <c r="K34" s="235">
        <v>20588019.479072869</v>
      </c>
      <c r="L34" s="235"/>
      <c r="M34" s="235"/>
      <c r="N34" s="235">
        <v>28872634.829574779</v>
      </c>
      <c r="O34" s="235"/>
      <c r="P34" s="235"/>
      <c r="Q34" s="235">
        <v>14860203.683984993</v>
      </c>
      <c r="R34" s="235">
        <v>10614272.887350431</v>
      </c>
      <c r="S34" s="235"/>
      <c r="T34" s="235"/>
      <c r="U34" s="235"/>
      <c r="V34" s="235"/>
      <c r="W34" s="235">
        <v>7446257.2860695338</v>
      </c>
      <c r="X34" s="235"/>
      <c r="Y34" s="235">
        <v>1460664.7067575955</v>
      </c>
      <c r="Z34" s="235">
        <v>11873392.056067334</v>
      </c>
      <c r="AA34" s="235">
        <v>4513616.0968684396</v>
      </c>
      <c r="AB34" s="235">
        <v>8385169.297375191</v>
      </c>
      <c r="AC34" s="235"/>
      <c r="AD34" s="235"/>
      <c r="AE34" s="235"/>
      <c r="AF34" s="235"/>
      <c r="AG34" s="235">
        <v>8368477.7058770247</v>
      </c>
      <c r="AH34" s="235"/>
      <c r="AI34" s="235"/>
      <c r="AJ34" s="235"/>
      <c r="AK34" s="235"/>
      <c r="AL34" s="235">
        <v>6314455.0428555226</v>
      </c>
      <c r="AM34" s="235"/>
      <c r="AN34" s="235">
        <v>6378500.4395774566</v>
      </c>
      <c r="AO34" s="235">
        <v>11900504.250233579</v>
      </c>
      <c r="AP34" s="235"/>
      <c r="AQ34" s="235"/>
      <c r="AR34" s="235"/>
      <c r="AS34" s="235">
        <v>12584068.601428172</v>
      </c>
      <c r="AT34" s="235"/>
      <c r="AU34" s="235"/>
      <c r="AV34" s="235"/>
      <c r="AW34" s="235"/>
      <c r="AX34" s="235"/>
      <c r="AY34" s="235"/>
      <c r="AZ34" s="235"/>
      <c r="BA34" s="235">
        <v>11110773.040391732</v>
      </c>
      <c r="BB34" s="235"/>
      <c r="BC34" s="235">
        <v>1832190.1837963716</v>
      </c>
      <c r="BD34" s="235"/>
      <c r="BE34" s="235"/>
      <c r="BF34" s="235"/>
      <c r="BG34" s="235"/>
      <c r="BH34" s="235"/>
      <c r="BI34" s="235"/>
      <c r="BJ34" s="235"/>
      <c r="BK34" s="235"/>
      <c r="BL34" s="235"/>
      <c r="BM34" s="235"/>
      <c r="BN34" s="235"/>
      <c r="BO34" s="235"/>
      <c r="BP34" s="235"/>
      <c r="BQ34" s="235"/>
      <c r="BR34" s="235"/>
      <c r="BS34" s="235"/>
      <c r="BT34" s="235"/>
      <c r="BU34" s="235"/>
      <c r="BV34" s="235"/>
      <c r="BW34" s="235"/>
      <c r="BX34" s="235"/>
      <c r="BY34" s="235"/>
      <c r="BZ34" s="235"/>
      <c r="CA34" s="235"/>
      <c r="CB34" s="235"/>
      <c r="CC34" s="235"/>
      <c r="CD34" s="235"/>
      <c r="CE34" s="235"/>
      <c r="CF34" s="235"/>
      <c r="CG34" s="235"/>
      <c r="CH34" s="235"/>
      <c r="CI34" s="235"/>
      <c r="CJ34" s="235"/>
      <c r="CK34" s="235"/>
      <c r="CL34" s="235"/>
      <c r="CM34" s="235"/>
      <c r="CN34" s="235"/>
      <c r="CO34" s="235"/>
      <c r="CP34" s="237"/>
      <c r="CQ34" s="237"/>
      <c r="CR34" s="237"/>
    </row>
    <row r="35" spans="1:96" x14ac:dyDescent="0.3">
      <c r="A35" s="245" t="s">
        <v>207</v>
      </c>
      <c r="B35" s="235">
        <v>232966290.53065282</v>
      </c>
      <c r="C35" s="235">
        <v>346518.06331018853</v>
      </c>
      <c r="D35" s="235">
        <v>12764223.156677671</v>
      </c>
      <c r="E35" s="235">
        <v>0</v>
      </c>
      <c r="F35" s="235">
        <v>50131432.875440039</v>
      </c>
      <c r="G35" s="235">
        <v>9053120.6487108301</v>
      </c>
      <c r="H35" s="235">
        <v>1186322.4097242502</v>
      </c>
      <c r="I35" s="235">
        <v>58639339.229666688</v>
      </c>
      <c r="J35" s="235"/>
      <c r="K35" s="235">
        <v>1109093.1101170878</v>
      </c>
      <c r="L35" s="235"/>
      <c r="M35" s="235"/>
      <c r="N35" s="235">
        <v>0</v>
      </c>
      <c r="O35" s="235"/>
      <c r="P35" s="235"/>
      <c r="Q35" s="235">
        <v>0</v>
      </c>
      <c r="R35" s="235">
        <v>0</v>
      </c>
      <c r="S35" s="235"/>
      <c r="T35" s="235"/>
      <c r="U35" s="235"/>
      <c r="V35" s="235"/>
      <c r="W35" s="235">
        <v>0</v>
      </c>
      <c r="X35" s="235"/>
      <c r="Y35" s="235">
        <v>813157.82703984284</v>
      </c>
      <c r="Z35" s="235">
        <v>0</v>
      </c>
      <c r="AA35" s="235">
        <v>2727532.3676969972</v>
      </c>
      <c r="AB35" s="235">
        <v>1586386.5105500214</v>
      </c>
      <c r="AC35" s="235"/>
      <c r="AD35" s="235"/>
      <c r="AE35" s="235"/>
      <c r="AF35" s="235"/>
      <c r="AG35" s="235">
        <v>3502790.3078840491</v>
      </c>
      <c r="AH35" s="235"/>
      <c r="AI35" s="235"/>
      <c r="AJ35" s="235"/>
      <c r="AK35" s="235"/>
      <c r="AL35" s="235">
        <v>3728637.9911182984</v>
      </c>
      <c r="AM35" s="235"/>
      <c r="AN35" s="235">
        <v>0</v>
      </c>
      <c r="AO35" s="235">
        <v>5918256.9554694807</v>
      </c>
      <c r="AP35" s="235"/>
      <c r="AQ35" s="235"/>
      <c r="AR35" s="235"/>
      <c r="AS35" s="235">
        <v>3229832.0628990191</v>
      </c>
      <c r="AT35" s="235"/>
      <c r="AU35" s="235"/>
      <c r="AV35" s="235"/>
      <c r="AW35" s="235"/>
      <c r="AX35" s="235"/>
      <c r="AY35" s="235"/>
      <c r="AZ35" s="235"/>
      <c r="BA35" s="235">
        <v>0</v>
      </c>
      <c r="BB35" s="235"/>
      <c r="BC35" s="235">
        <v>1653864.6927941833</v>
      </c>
      <c r="BD35" s="235"/>
      <c r="BE35" s="235"/>
      <c r="BF35" s="235"/>
      <c r="BG35" s="235"/>
      <c r="BH35" s="235"/>
      <c r="BI35" s="235"/>
      <c r="BJ35" s="235"/>
      <c r="BK35" s="235"/>
      <c r="BL35" s="235"/>
      <c r="BM35" s="235"/>
      <c r="BN35" s="235"/>
      <c r="BO35" s="235"/>
      <c r="BP35" s="235"/>
      <c r="BQ35" s="235"/>
      <c r="BR35" s="235"/>
      <c r="BS35" s="235"/>
      <c r="BT35" s="235"/>
      <c r="BU35" s="235"/>
      <c r="BV35" s="235"/>
      <c r="BW35" s="235"/>
      <c r="BX35" s="235"/>
      <c r="BY35" s="235"/>
      <c r="BZ35" s="235"/>
      <c r="CA35" s="235"/>
      <c r="CB35" s="235"/>
      <c r="CC35" s="235"/>
      <c r="CD35" s="235"/>
      <c r="CE35" s="235"/>
      <c r="CF35" s="235"/>
      <c r="CG35" s="235"/>
      <c r="CH35" s="235"/>
      <c r="CI35" s="235"/>
      <c r="CJ35" s="235"/>
      <c r="CK35" s="235"/>
      <c r="CL35" s="235"/>
      <c r="CM35" s="235"/>
      <c r="CN35" s="235"/>
      <c r="CO35" s="235"/>
      <c r="CP35" s="237"/>
      <c r="CQ35" s="237"/>
      <c r="CR35" s="237"/>
    </row>
    <row r="36" spans="1:96" x14ac:dyDescent="0.3">
      <c r="A36" s="245" t="s">
        <v>2</v>
      </c>
      <c r="B36" s="235">
        <v>33531769.769638721</v>
      </c>
      <c r="C36" s="235">
        <v>3380519.8610401726</v>
      </c>
      <c r="D36" s="235">
        <v>1224622.1071987692</v>
      </c>
      <c r="E36" s="235">
        <v>3096019.0540648703</v>
      </c>
      <c r="F36" s="235">
        <v>158762.61700231969</v>
      </c>
      <c r="G36" s="235">
        <v>2630777.5781169627</v>
      </c>
      <c r="H36" s="235">
        <v>667877.84586375789</v>
      </c>
      <c r="I36" s="235">
        <v>1596059.4844204055</v>
      </c>
      <c r="J36" s="235"/>
      <c r="K36" s="235">
        <v>81427.964532379643</v>
      </c>
      <c r="L36" s="235"/>
      <c r="M36" s="235"/>
      <c r="N36" s="235">
        <v>1778579.2958718415</v>
      </c>
      <c r="O36" s="235"/>
      <c r="P36" s="235"/>
      <c r="Q36" s="235">
        <v>0</v>
      </c>
      <c r="R36" s="235">
        <v>118288.68051683065</v>
      </c>
      <c r="S36" s="235"/>
      <c r="T36" s="235"/>
      <c r="U36" s="235"/>
      <c r="V36" s="235"/>
      <c r="W36" s="235">
        <v>0</v>
      </c>
      <c r="X36" s="235"/>
      <c r="Y36" s="235">
        <v>79022.422799324238</v>
      </c>
      <c r="Z36" s="235">
        <v>1070396.1046036542</v>
      </c>
      <c r="AA36" s="235">
        <v>827768.59912252415</v>
      </c>
      <c r="AB36" s="235">
        <v>2719497.6735668066</v>
      </c>
      <c r="AC36" s="235"/>
      <c r="AD36" s="235"/>
      <c r="AE36" s="235"/>
      <c r="AF36" s="235"/>
      <c r="AG36" s="235">
        <v>2116255.2180280695</v>
      </c>
      <c r="AH36" s="235"/>
      <c r="AI36" s="235"/>
      <c r="AJ36" s="235"/>
      <c r="AK36" s="235"/>
      <c r="AL36" s="235">
        <v>201399.68798087773</v>
      </c>
      <c r="AM36" s="235"/>
      <c r="AN36" s="235">
        <v>212434.20410696659</v>
      </c>
      <c r="AO36" s="235">
        <v>325371.86427680531</v>
      </c>
      <c r="AP36" s="235"/>
      <c r="AQ36" s="235"/>
      <c r="AR36" s="235"/>
      <c r="AS36" s="235">
        <v>94860.609308366591</v>
      </c>
      <c r="AT36" s="235"/>
      <c r="AU36" s="235"/>
      <c r="AV36" s="235"/>
      <c r="AW36" s="235"/>
      <c r="AX36" s="235"/>
      <c r="AY36" s="235"/>
      <c r="AZ36" s="235"/>
      <c r="BA36" s="235">
        <v>610218.06068381097</v>
      </c>
      <c r="BB36" s="235"/>
      <c r="BC36" s="235">
        <v>2020793.4549496532</v>
      </c>
      <c r="BD36" s="235"/>
      <c r="BE36" s="235"/>
      <c r="BF36" s="235"/>
      <c r="BG36" s="235"/>
      <c r="BH36" s="235"/>
      <c r="BI36" s="235"/>
      <c r="BJ36" s="235"/>
      <c r="BK36" s="235"/>
      <c r="BL36" s="235"/>
      <c r="BM36" s="235"/>
      <c r="BN36" s="235"/>
      <c r="BO36" s="235"/>
      <c r="BP36" s="235"/>
      <c r="BQ36" s="235"/>
      <c r="BR36" s="235"/>
      <c r="BS36" s="235"/>
      <c r="BT36" s="235"/>
      <c r="BU36" s="235"/>
      <c r="BV36" s="235"/>
      <c r="BW36" s="235"/>
      <c r="BX36" s="235"/>
      <c r="BY36" s="235"/>
      <c r="BZ36" s="235"/>
      <c r="CA36" s="235"/>
      <c r="CB36" s="235"/>
      <c r="CC36" s="235"/>
      <c r="CD36" s="235"/>
      <c r="CE36" s="235"/>
      <c r="CF36" s="235"/>
      <c r="CG36" s="235"/>
      <c r="CH36" s="235"/>
      <c r="CI36" s="235"/>
      <c r="CJ36" s="235"/>
      <c r="CK36" s="235"/>
      <c r="CL36" s="235"/>
      <c r="CM36" s="235"/>
      <c r="CN36" s="235"/>
      <c r="CO36" s="235"/>
      <c r="CP36" s="237"/>
      <c r="CQ36" s="237"/>
      <c r="CR36" s="237"/>
    </row>
    <row r="37" spans="1:96" x14ac:dyDescent="0.3">
      <c r="A37" s="245" t="s">
        <v>208</v>
      </c>
      <c r="B37" s="235">
        <v>3235113.332329453</v>
      </c>
      <c r="C37" s="235">
        <v>548910.67059498373</v>
      </c>
      <c r="D37" s="235">
        <v>816422.65012470307</v>
      </c>
      <c r="E37" s="235">
        <v>537439.49309596745</v>
      </c>
      <c r="F37" s="235">
        <v>162296.15350910008</v>
      </c>
      <c r="G37" s="235">
        <v>1923149.0216047857</v>
      </c>
      <c r="H37" s="235">
        <v>862370.49417935626</v>
      </c>
      <c r="I37" s="235">
        <v>1798898.8160453201</v>
      </c>
      <c r="J37" s="235"/>
      <c r="K37" s="235">
        <v>2792958.2915649177</v>
      </c>
      <c r="L37" s="235"/>
      <c r="M37" s="235"/>
      <c r="N37" s="235">
        <v>2461144.4006581819</v>
      </c>
      <c r="O37" s="235"/>
      <c r="P37" s="235"/>
      <c r="Q37" s="235">
        <v>0</v>
      </c>
      <c r="R37" s="235">
        <v>636432.70318186807</v>
      </c>
      <c r="S37" s="235"/>
      <c r="T37" s="235"/>
      <c r="U37" s="235"/>
      <c r="V37" s="235"/>
      <c r="W37" s="235">
        <v>276458.74061270471</v>
      </c>
      <c r="X37" s="235"/>
      <c r="Y37" s="235">
        <v>42708.145883248108</v>
      </c>
      <c r="Z37" s="235">
        <v>961218.61819415248</v>
      </c>
      <c r="AA37" s="235">
        <v>296857.05867865507</v>
      </c>
      <c r="AB37" s="235">
        <v>4079246.5103502106</v>
      </c>
      <c r="AC37" s="235"/>
      <c r="AD37" s="235"/>
      <c r="AE37" s="235"/>
      <c r="AF37" s="235"/>
      <c r="AG37" s="235">
        <v>906962.4584054033</v>
      </c>
      <c r="AH37" s="235"/>
      <c r="AI37" s="235"/>
      <c r="AJ37" s="235"/>
      <c r="AK37" s="235"/>
      <c r="AL37" s="235">
        <v>80152.655998307644</v>
      </c>
      <c r="AM37" s="235"/>
      <c r="AN37" s="235">
        <v>0</v>
      </c>
      <c r="AO37" s="235">
        <v>91819.260555488334</v>
      </c>
      <c r="AP37" s="235"/>
      <c r="AQ37" s="235"/>
      <c r="AR37" s="235"/>
      <c r="AS37" s="235">
        <v>497552.79029730707</v>
      </c>
      <c r="AT37" s="235"/>
      <c r="AU37" s="235"/>
      <c r="AV37" s="235"/>
      <c r="AW37" s="235"/>
      <c r="AX37" s="235"/>
      <c r="AY37" s="235"/>
      <c r="AZ37" s="235"/>
      <c r="BA37" s="235">
        <v>282026.07356548647</v>
      </c>
      <c r="BB37" s="235"/>
      <c r="BC37" s="235">
        <v>1187315.2435648455</v>
      </c>
      <c r="BD37" s="235"/>
      <c r="BE37" s="235"/>
      <c r="BF37" s="235"/>
      <c r="BG37" s="235"/>
      <c r="BH37" s="235"/>
      <c r="BI37" s="235"/>
      <c r="BJ37" s="235"/>
      <c r="BK37" s="235"/>
      <c r="BL37" s="235"/>
      <c r="BM37" s="235"/>
      <c r="BN37" s="235"/>
      <c r="BO37" s="235"/>
      <c r="BP37" s="235"/>
      <c r="BQ37" s="235"/>
      <c r="BR37" s="235"/>
      <c r="BS37" s="235"/>
      <c r="BT37" s="235"/>
      <c r="BU37" s="235"/>
      <c r="BV37" s="235"/>
      <c r="BW37" s="235"/>
      <c r="BX37" s="235"/>
      <c r="BY37" s="235"/>
      <c r="BZ37" s="235"/>
      <c r="CA37" s="235"/>
      <c r="CB37" s="235"/>
      <c r="CC37" s="235"/>
      <c r="CD37" s="235"/>
      <c r="CE37" s="235"/>
      <c r="CF37" s="235"/>
      <c r="CG37" s="235"/>
      <c r="CH37" s="235"/>
      <c r="CI37" s="235"/>
      <c r="CJ37" s="235"/>
      <c r="CK37" s="235"/>
      <c r="CL37" s="235"/>
      <c r="CM37" s="235"/>
      <c r="CN37" s="235"/>
      <c r="CO37" s="235"/>
      <c r="CP37" s="237"/>
      <c r="CQ37" s="237"/>
      <c r="CR37" s="237"/>
    </row>
    <row r="38" spans="1:96" x14ac:dyDescent="0.3">
      <c r="A38" s="245" t="s">
        <v>209</v>
      </c>
      <c r="B38" s="235">
        <v>164497963.08957213</v>
      </c>
      <c r="C38" s="235">
        <v>9977018.5895525757</v>
      </c>
      <c r="D38" s="235">
        <v>6123110.5359938471</v>
      </c>
      <c r="E38" s="235">
        <v>18844713.302951749</v>
      </c>
      <c r="F38" s="235">
        <v>4791968.5547998305</v>
      </c>
      <c r="G38" s="235">
        <v>3311286.6165529108</v>
      </c>
      <c r="H38" s="235">
        <v>12806171.463816272</v>
      </c>
      <c r="I38" s="235">
        <v>0</v>
      </c>
      <c r="J38" s="235"/>
      <c r="K38" s="235">
        <v>3228042.8257565959</v>
      </c>
      <c r="L38" s="235"/>
      <c r="M38" s="235"/>
      <c r="N38" s="235">
        <v>7120135.7712658728</v>
      </c>
      <c r="O38" s="235"/>
      <c r="P38" s="235"/>
      <c r="Q38" s="235">
        <v>0</v>
      </c>
      <c r="R38" s="235">
        <v>1266345.3471375408</v>
      </c>
      <c r="S38" s="235"/>
      <c r="T38" s="235"/>
      <c r="U38" s="235"/>
      <c r="V38" s="235"/>
      <c r="W38" s="235">
        <v>3925029.5818333868</v>
      </c>
      <c r="X38" s="235"/>
      <c r="Y38" s="235">
        <v>746501.49599876872</v>
      </c>
      <c r="Z38" s="235">
        <v>3832126.5565101961</v>
      </c>
      <c r="AA38" s="235">
        <v>652051.86789036461</v>
      </c>
      <c r="AB38" s="235">
        <v>4759159.5316500645</v>
      </c>
      <c r="AC38" s="235"/>
      <c r="AD38" s="235"/>
      <c r="AE38" s="235"/>
      <c r="AF38" s="235"/>
      <c r="AG38" s="235">
        <v>1103817.7860221006</v>
      </c>
      <c r="AH38" s="235"/>
      <c r="AI38" s="235"/>
      <c r="AJ38" s="235"/>
      <c r="AK38" s="235"/>
      <c r="AL38" s="235">
        <v>7171105.176666433</v>
      </c>
      <c r="AM38" s="235"/>
      <c r="AN38" s="235">
        <v>543032.83585533488</v>
      </c>
      <c r="AO38" s="235">
        <v>771254.82265712821</v>
      </c>
      <c r="AP38" s="235"/>
      <c r="AQ38" s="235"/>
      <c r="AR38" s="235"/>
      <c r="AS38" s="235">
        <v>4562596.7334085423</v>
      </c>
      <c r="AT38" s="235"/>
      <c r="AU38" s="235"/>
      <c r="AV38" s="235"/>
      <c r="AW38" s="235"/>
      <c r="AX38" s="235"/>
      <c r="AY38" s="235"/>
      <c r="AZ38" s="235"/>
      <c r="BA38" s="235">
        <v>449840.85421740863</v>
      </c>
      <c r="BB38" s="235"/>
      <c r="BC38" s="235">
        <v>2147352.5641223798</v>
      </c>
      <c r="BD38" s="235"/>
      <c r="BE38" s="235"/>
      <c r="BF38" s="235"/>
      <c r="BG38" s="235"/>
      <c r="BH38" s="235"/>
      <c r="BI38" s="235"/>
      <c r="BJ38" s="235"/>
      <c r="BK38" s="235"/>
      <c r="BL38" s="235"/>
      <c r="BM38" s="235"/>
      <c r="BN38" s="235"/>
      <c r="BO38" s="235"/>
      <c r="BP38" s="235"/>
      <c r="BQ38" s="235"/>
      <c r="BR38" s="235"/>
      <c r="BS38" s="235"/>
      <c r="BT38" s="235"/>
      <c r="BU38" s="235"/>
      <c r="BV38" s="235"/>
      <c r="BW38" s="235"/>
      <c r="BX38" s="235"/>
      <c r="BY38" s="235"/>
      <c r="BZ38" s="235"/>
      <c r="CA38" s="235"/>
      <c r="CB38" s="235"/>
      <c r="CC38" s="235"/>
      <c r="CD38" s="235"/>
      <c r="CE38" s="235"/>
      <c r="CF38" s="235"/>
      <c r="CG38" s="235"/>
      <c r="CH38" s="235"/>
      <c r="CI38" s="235"/>
      <c r="CJ38" s="235"/>
      <c r="CK38" s="235"/>
      <c r="CL38" s="235"/>
      <c r="CM38" s="235"/>
      <c r="CN38" s="235"/>
      <c r="CO38" s="235"/>
      <c r="CP38" s="237"/>
      <c r="CQ38" s="237"/>
      <c r="CR38" s="237"/>
    </row>
    <row r="39" spans="1:96" x14ac:dyDescent="0.3">
      <c r="A39" s="245" t="s">
        <v>210</v>
      </c>
      <c r="B39" s="235">
        <v>10601267.941439025</v>
      </c>
      <c r="C39" s="235">
        <v>0</v>
      </c>
      <c r="D39" s="235">
        <v>4082077.6466586599</v>
      </c>
      <c r="E39" s="235">
        <v>125104.6540249336</v>
      </c>
      <c r="F39" s="235">
        <v>0</v>
      </c>
      <c r="G39" s="235">
        <v>0</v>
      </c>
      <c r="H39" s="235">
        <v>4357320.3251882344</v>
      </c>
      <c r="I39" s="235">
        <v>22586313.981374227</v>
      </c>
      <c r="J39" s="235"/>
      <c r="K39" s="235">
        <v>0</v>
      </c>
      <c r="L39" s="235"/>
      <c r="M39" s="235"/>
      <c r="N39" s="235">
        <v>0</v>
      </c>
      <c r="O39" s="235"/>
      <c r="P39" s="235"/>
      <c r="Q39" s="235">
        <v>0</v>
      </c>
      <c r="R39" s="235">
        <v>0</v>
      </c>
      <c r="S39" s="235"/>
      <c r="T39" s="235"/>
      <c r="U39" s="235"/>
      <c r="V39" s="235"/>
      <c r="W39" s="235">
        <v>0</v>
      </c>
      <c r="X39" s="235"/>
      <c r="Y39" s="235">
        <v>66534.448943296971</v>
      </c>
      <c r="Z39" s="235">
        <v>1220722.8783390587</v>
      </c>
      <c r="AA39" s="235">
        <v>561.64906182752088</v>
      </c>
      <c r="AB39" s="235">
        <v>1133111.1630167852</v>
      </c>
      <c r="AC39" s="235"/>
      <c r="AD39" s="235"/>
      <c r="AE39" s="235"/>
      <c r="AF39" s="235"/>
      <c r="AG39" s="235">
        <v>0</v>
      </c>
      <c r="AH39" s="235"/>
      <c r="AI39" s="235"/>
      <c r="AJ39" s="235"/>
      <c r="AK39" s="235"/>
      <c r="AL39" s="235">
        <v>2818652.0750631629</v>
      </c>
      <c r="AM39" s="235"/>
      <c r="AN39" s="235">
        <v>0</v>
      </c>
      <c r="AO39" s="235">
        <v>0</v>
      </c>
      <c r="AP39" s="235"/>
      <c r="AQ39" s="235"/>
      <c r="AR39" s="235"/>
      <c r="AS39" s="235">
        <v>0</v>
      </c>
      <c r="AT39" s="235"/>
      <c r="AU39" s="235"/>
      <c r="AV39" s="235"/>
      <c r="AW39" s="235"/>
      <c r="AX39" s="235"/>
      <c r="AY39" s="235"/>
      <c r="AZ39" s="235"/>
      <c r="BA39" s="235">
        <v>13093.981737614118</v>
      </c>
      <c r="BB39" s="235"/>
      <c r="BC39" s="235">
        <v>1757569.0387594705</v>
      </c>
      <c r="BD39" s="235"/>
      <c r="BE39" s="235"/>
      <c r="BF39" s="235"/>
      <c r="BG39" s="235"/>
      <c r="BH39" s="235"/>
      <c r="BI39" s="235"/>
      <c r="BJ39" s="235"/>
      <c r="BK39" s="235"/>
      <c r="BL39" s="235"/>
      <c r="BM39" s="235"/>
      <c r="BN39" s="235"/>
      <c r="BO39" s="235"/>
      <c r="BP39" s="235"/>
      <c r="BQ39" s="235"/>
      <c r="BR39" s="235"/>
      <c r="BS39" s="235"/>
      <c r="BT39" s="235"/>
      <c r="BU39" s="235"/>
      <c r="BV39" s="235"/>
      <c r="BW39" s="235"/>
      <c r="BX39" s="235"/>
      <c r="BY39" s="235"/>
      <c r="BZ39" s="235"/>
      <c r="CA39" s="235"/>
      <c r="CB39" s="235"/>
      <c r="CC39" s="235"/>
      <c r="CD39" s="235"/>
      <c r="CE39" s="235"/>
      <c r="CF39" s="235"/>
      <c r="CG39" s="235"/>
      <c r="CH39" s="235"/>
      <c r="CI39" s="235"/>
      <c r="CJ39" s="235"/>
      <c r="CK39" s="235"/>
      <c r="CL39" s="235"/>
      <c r="CM39" s="235"/>
      <c r="CN39" s="235"/>
      <c r="CO39" s="235"/>
      <c r="CP39" s="237"/>
      <c r="CQ39" s="237"/>
      <c r="CR39" s="237"/>
    </row>
    <row r="40" spans="1:96" s="245" customFormat="1" x14ac:dyDescent="0.3">
      <c r="B40" s="235"/>
      <c r="C40" s="235"/>
      <c r="D40" s="235"/>
      <c r="E40" s="235"/>
      <c r="F40" s="235"/>
      <c r="G40" s="235"/>
      <c r="H40" s="235"/>
      <c r="I40" s="235"/>
      <c r="J40" s="235"/>
      <c r="K40" s="235"/>
      <c r="L40" s="235"/>
      <c r="M40" s="235"/>
      <c r="N40" s="235"/>
      <c r="O40" s="235"/>
      <c r="P40" s="235"/>
      <c r="Q40" s="235"/>
      <c r="R40" s="235"/>
      <c r="S40" s="235"/>
      <c r="T40" s="235"/>
      <c r="U40" s="235"/>
      <c r="V40" s="235"/>
      <c r="W40" s="235"/>
      <c r="X40" s="235"/>
      <c r="Y40" s="235"/>
      <c r="Z40" s="235"/>
      <c r="AA40" s="235"/>
      <c r="AB40" s="235"/>
      <c r="AC40" s="235"/>
      <c r="AD40" s="235"/>
      <c r="AE40" s="235"/>
      <c r="AF40" s="235"/>
      <c r="AG40" s="235"/>
      <c r="AH40" s="235"/>
      <c r="AI40" s="235"/>
      <c r="AJ40" s="235"/>
      <c r="AK40" s="235"/>
      <c r="AL40" s="235"/>
      <c r="AM40" s="235"/>
      <c r="AN40" s="235"/>
      <c r="AO40" s="235"/>
      <c r="AP40" s="235"/>
      <c r="AQ40" s="235"/>
      <c r="AR40" s="235"/>
      <c r="AS40" s="235"/>
      <c r="AT40" s="235"/>
      <c r="AU40" s="235"/>
      <c r="AV40" s="235"/>
      <c r="AW40" s="235"/>
      <c r="AX40" s="235"/>
      <c r="AY40" s="235"/>
      <c r="AZ40" s="235"/>
      <c r="BA40" s="235"/>
      <c r="BB40" s="235"/>
      <c r="BC40" s="235"/>
      <c r="BD40" s="235"/>
      <c r="BE40" s="235"/>
      <c r="BF40" s="235"/>
      <c r="BG40" s="235"/>
      <c r="BH40" s="235"/>
      <c r="BI40" s="235"/>
      <c r="BJ40" s="235"/>
      <c r="BK40" s="235"/>
      <c r="BL40" s="235"/>
      <c r="BM40" s="235"/>
      <c r="BN40" s="235"/>
      <c r="BO40" s="235"/>
      <c r="BP40" s="235"/>
      <c r="BQ40" s="235"/>
      <c r="BR40" s="235"/>
      <c r="BS40" s="235"/>
      <c r="BT40" s="235"/>
      <c r="BU40" s="235"/>
      <c r="BV40" s="235"/>
      <c r="BW40" s="235"/>
      <c r="BX40" s="235"/>
      <c r="BY40" s="235"/>
      <c r="BZ40" s="235"/>
      <c r="CA40" s="235"/>
      <c r="CB40" s="235"/>
      <c r="CC40" s="235"/>
      <c r="CD40" s="235"/>
      <c r="CE40" s="235"/>
      <c r="CF40" s="235"/>
      <c r="CG40" s="235"/>
      <c r="CH40" s="235"/>
      <c r="CI40" s="235"/>
      <c r="CJ40" s="235"/>
      <c r="CK40" s="235"/>
      <c r="CL40" s="235"/>
      <c r="CM40" s="235"/>
      <c r="CN40" s="235"/>
      <c r="CO40" s="235"/>
      <c r="CP40" s="242"/>
      <c r="CQ40" s="242"/>
      <c r="CR40" s="237"/>
    </row>
    <row r="41" spans="1:96" s="267" customFormat="1" ht="15" thickBot="1" x14ac:dyDescent="0.35">
      <c r="A41" s="266" t="s">
        <v>3</v>
      </c>
      <c r="B41" s="268">
        <f>B14-B11</f>
        <v>85436550.50999999</v>
      </c>
      <c r="C41" s="268">
        <f t="shared" ref="C41:BN41" si="5">C14-C11</f>
        <v>5606287</v>
      </c>
      <c r="D41" s="268">
        <f t="shared" si="5"/>
        <v>5841564.9000000004</v>
      </c>
      <c r="E41" s="268">
        <f t="shared" si="5"/>
        <v>4392232</v>
      </c>
      <c r="F41" s="268">
        <f t="shared" si="5"/>
        <v>3502181</v>
      </c>
      <c r="G41" s="268">
        <f t="shared" si="5"/>
        <v>1310139</v>
      </c>
      <c r="H41" s="268">
        <f t="shared" si="5"/>
        <v>4564152</v>
      </c>
      <c r="I41" s="268">
        <f t="shared" si="5"/>
        <v>5190056.25</v>
      </c>
      <c r="J41" s="268">
        <f t="shared" si="5"/>
        <v>2790965</v>
      </c>
      <c r="K41" s="268">
        <f t="shared" si="5"/>
        <v>3968239</v>
      </c>
      <c r="L41" s="268">
        <f t="shared" si="5"/>
        <v>4604381</v>
      </c>
      <c r="M41" s="268">
        <f t="shared" si="5"/>
        <v>1695768</v>
      </c>
      <c r="N41" s="268">
        <f t="shared" si="5"/>
        <v>2903121</v>
      </c>
      <c r="O41" s="268">
        <f t="shared" si="5"/>
        <v>3588563</v>
      </c>
      <c r="P41" s="268">
        <f t="shared" si="5"/>
        <v>1596797</v>
      </c>
      <c r="Q41" s="268">
        <f t="shared" si="5"/>
        <v>1709340</v>
      </c>
      <c r="R41" s="268">
        <f t="shared" si="5"/>
        <v>2074660</v>
      </c>
      <c r="S41" s="268">
        <f t="shared" si="5"/>
        <v>2332581</v>
      </c>
      <c r="T41" s="268">
        <f t="shared" si="5"/>
        <v>747341</v>
      </c>
      <c r="U41" s="268">
        <f t="shared" si="5"/>
        <v>3371618</v>
      </c>
      <c r="V41" s="268">
        <f t="shared" si="5"/>
        <v>2573337</v>
      </c>
      <c r="W41" s="268">
        <f t="shared" si="5"/>
        <v>1219078</v>
      </c>
      <c r="X41" s="268">
        <f t="shared" si="5"/>
        <v>1395726</v>
      </c>
      <c r="Y41" s="268">
        <f t="shared" si="5"/>
        <v>755519</v>
      </c>
      <c r="Z41" s="268">
        <f t="shared" si="5"/>
        <v>1246056</v>
      </c>
      <c r="AA41" s="268">
        <f t="shared" si="5"/>
        <v>2353311</v>
      </c>
      <c r="AB41" s="268">
        <f t="shared" si="5"/>
        <v>2084833</v>
      </c>
      <c r="AC41" s="268">
        <f t="shared" si="5"/>
        <v>2388909</v>
      </c>
      <c r="AD41" s="268">
        <f t="shared" si="5"/>
        <v>2460954</v>
      </c>
      <c r="AE41" s="268">
        <f t="shared" si="5"/>
        <v>648477</v>
      </c>
      <c r="AF41" s="268">
        <f t="shared" si="5"/>
        <v>935690</v>
      </c>
      <c r="AG41" s="268">
        <f t="shared" si="5"/>
        <v>1548498</v>
      </c>
      <c r="AH41" s="268">
        <f t="shared" si="5"/>
        <v>1428105</v>
      </c>
      <c r="AI41" s="268">
        <f t="shared" si="5"/>
        <v>916142</v>
      </c>
      <c r="AJ41" s="268">
        <f t="shared" si="5"/>
        <v>2061052</v>
      </c>
      <c r="AK41" s="268">
        <f t="shared" si="5"/>
        <v>1927045</v>
      </c>
      <c r="AL41" s="268">
        <f t="shared" si="5"/>
        <v>380204</v>
      </c>
      <c r="AM41" s="268">
        <f t="shared" si="5"/>
        <v>1105814</v>
      </c>
      <c r="AN41" s="268">
        <f t="shared" si="5"/>
        <v>640835</v>
      </c>
      <c r="AO41" s="268">
        <f t="shared" si="5"/>
        <v>1158951</v>
      </c>
      <c r="AP41" s="268">
        <f t="shared" si="5"/>
        <v>577042</v>
      </c>
      <c r="AQ41" s="268">
        <f t="shared" si="5"/>
        <v>628805</v>
      </c>
      <c r="AR41" s="268">
        <f t="shared" si="5"/>
        <v>1233781</v>
      </c>
      <c r="AS41" s="268">
        <f t="shared" si="5"/>
        <v>566948</v>
      </c>
      <c r="AT41" s="268">
        <f t="shared" si="5"/>
        <v>408629</v>
      </c>
      <c r="AU41" s="268">
        <f t="shared" si="5"/>
        <v>578446</v>
      </c>
      <c r="AV41" s="268">
        <f t="shared" si="5"/>
        <v>463611</v>
      </c>
      <c r="AW41" s="268">
        <f t="shared" si="5"/>
        <v>549696.89999999991</v>
      </c>
      <c r="AX41" s="268">
        <f t="shared" si="5"/>
        <v>386688</v>
      </c>
      <c r="AY41" s="268">
        <f t="shared" si="5"/>
        <v>350016</v>
      </c>
      <c r="AZ41" s="268">
        <f t="shared" si="5"/>
        <v>532612</v>
      </c>
      <c r="BA41" s="268">
        <f t="shared" si="5"/>
        <v>306225</v>
      </c>
      <c r="BB41" s="268">
        <f t="shared" si="5"/>
        <v>571823</v>
      </c>
      <c r="BC41" s="268">
        <f t="shared" si="5"/>
        <v>308268</v>
      </c>
      <c r="BD41" s="268">
        <f t="shared" si="5"/>
        <v>1329519</v>
      </c>
      <c r="BE41" s="268">
        <f t="shared" si="5"/>
        <v>407158</v>
      </c>
      <c r="BF41" s="268">
        <f t="shared" si="5"/>
        <v>542122</v>
      </c>
      <c r="BG41" s="268">
        <f t="shared" si="5"/>
        <v>409591.59000000008</v>
      </c>
      <c r="BH41" s="268">
        <f t="shared" si="5"/>
        <v>605638</v>
      </c>
      <c r="BI41" s="268">
        <f t="shared" si="5"/>
        <v>1186482</v>
      </c>
      <c r="BJ41" s="268">
        <f t="shared" si="5"/>
        <v>229751</v>
      </c>
      <c r="BK41" s="268">
        <f t="shared" si="5"/>
        <v>465696</v>
      </c>
      <c r="BL41" s="268">
        <f t="shared" si="5"/>
        <v>1124893</v>
      </c>
      <c r="BM41" s="268">
        <f t="shared" si="5"/>
        <v>1699232</v>
      </c>
      <c r="BN41" s="268">
        <f t="shared" si="5"/>
        <v>491001</v>
      </c>
      <c r="BO41" s="268">
        <f t="shared" ref="BO41:CP41" si="6">BO14-BO11</f>
        <v>204515</v>
      </c>
      <c r="BP41" s="268">
        <f t="shared" si="6"/>
        <v>289226</v>
      </c>
      <c r="BQ41" s="268">
        <f t="shared" si="6"/>
        <v>327770</v>
      </c>
      <c r="BR41" s="268">
        <f t="shared" si="6"/>
        <v>229826</v>
      </c>
      <c r="BS41" s="268">
        <f t="shared" si="6"/>
        <v>252223</v>
      </c>
      <c r="BT41" s="268">
        <f t="shared" si="6"/>
        <v>102698.5</v>
      </c>
      <c r="BU41" s="268">
        <f t="shared" si="6"/>
        <v>202057</v>
      </c>
      <c r="BV41" s="268">
        <f t="shared" si="6"/>
        <v>112186</v>
      </c>
      <c r="BW41" s="268">
        <f t="shared" si="6"/>
        <v>184442</v>
      </c>
      <c r="BX41" s="268">
        <f t="shared" si="6"/>
        <v>119154</v>
      </c>
      <c r="BY41" s="268">
        <f t="shared" si="6"/>
        <v>37871</v>
      </c>
      <c r="BZ41" s="268">
        <f t="shared" si="6"/>
        <v>88082</v>
      </c>
      <c r="CA41" s="268">
        <f t="shared" si="6"/>
        <v>71565</v>
      </c>
      <c r="CB41" s="268">
        <f t="shared" si="6"/>
        <v>120907</v>
      </c>
      <c r="CC41" s="268">
        <f t="shared" si="6"/>
        <v>127208</v>
      </c>
      <c r="CD41" s="268">
        <f t="shared" si="6"/>
        <v>32798</v>
      </c>
      <c r="CE41" s="268">
        <f t="shared" si="6"/>
        <v>71079</v>
      </c>
      <c r="CF41" s="268">
        <f t="shared" si="6"/>
        <v>55858</v>
      </c>
      <c r="CG41" s="268">
        <f t="shared" si="6"/>
        <v>115886</v>
      </c>
      <c r="CH41" s="268">
        <f t="shared" si="6"/>
        <v>14325.5</v>
      </c>
      <c r="CI41" s="268">
        <f t="shared" si="6"/>
        <v>48763</v>
      </c>
      <c r="CJ41" s="268">
        <f t="shared" si="6"/>
        <v>90791</v>
      </c>
      <c r="CK41" s="268">
        <f t="shared" si="6"/>
        <v>171450</v>
      </c>
      <c r="CL41" s="268">
        <f t="shared" si="6"/>
        <v>14748</v>
      </c>
      <c r="CM41" s="268">
        <f t="shared" si="6"/>
        <v>3078</v>
      </c>
      <c r="CN41" s="268">
        <f t="shared" si="6"/>
        <v>20203.929999999993</v>
      </c>
      <c r="CO41" s="268">
        <f t="shared" si="6"/>
        <v>19345.940000000002</v>
      </c>
      <c r="CP41" s="268">
        <f t="shared" si="6"/>
        <v>0</v>
      </c>
      <c r="CQ41" s="268"/>
      <c r="CR41" s="269">
        <f t="shared" si="0"/>
        <v>195536804.02000001</v>
      </c>
    </row>
    <row r="42" spans="1:96" x14ac:dyDescent="0.3">
      <c r="B42" s="237"/>
      <c r="C42" s="237"/>
      <c r="D42" s="237"/>
      <c r="E42" s="237"/>
      <c r="F42" s="237"/>
      <c r="G42" s="237"/>
      <c r="H42" s="237"/>
      <c r="I42" s="237"/>
      <c r="J42" s="237"/>
      <c r="K42" s="237"/>
      <c r="L42" s="237"/>
      <c r="M42" s="237"/>
      <c r="N42" s="237"/>
      <c r="O42" s="237"/>
      <c r="P42" s="234"/>
      <c r="Q42" s="237"/>
      <c r="R42" s="237"/>
      <c r="S42" s="237"/>
      <c r="T42" s="237"/>
      <c r="U42" s="237"/>
      <c r="V42" s="237"/>
      <c r="W42" s="234"/>
      <c r="X42" s="237"/>
      <c r="Y42" s="237"/>
      <c r="Z42" s="237"/>
      <c r="AA42" s="237"/>
      <c r="AB42" s="237"/>
      <c r="AC42" s="234"/>
      <c r="AD42" s="237"/>
      <c r="AE42" s="237"/>
      <c r="AF42" s="234"/>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f t="shared" si="0"/>
        <v>0</v>
      </c>
    </row>
    <row r="43" spans="1:96" x14ac:dyDescent="0.3">
      <c r="B43" s="237"/>
      <c r="C43" s="237"/>
      <c r="D43" s="237"/>
      <c r="E43" s="237"/>
      <c r="F43" s="237"/>
      <c r="G43" s="237"/>
      <c r="H43" s="237"/>
      <c r="I43" s="237"/>
      <c r="J43" s="237"/>
      <c r="K43" s="237"/>
      <c r="L43" s="237"/>
      <c r="M43" s="237"/>
      <c r="N43" s="237"/>
      <c r="O43" s="237"/>
      <c r="P43" s="234"/>
      <c r="Q43" s="237"/>
      <c r="R43" s="237"/>
      <c r="S43" s="237"/>
      <c r="T43" s="237"/>
      <c r="U43" s="237"/>
      <c r="V43" s="237"/>
      <c r="W43" s="234"/>
      <c r="X43" s="237"/>
      <c r="Y43" s="237"/>
      <c r="Z43" s="237"/>
      <c r="AA43" s="237"/>
      <c r="AB43" s="237"/>
      <c r="AC43" s="234"/>
      <c r="AD43" s="237"/>
      <c r="AE43" s="237"/>
      <c r="AF43" s="234"/>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f t="shared" si="0"/>
        <v>0</v>
      </c>
    </row>
    <row r="44" spans="1:96" x14ac:dyDescent="0.3">
      <c r="A44" s="157" t="s">
        <v>466</v>
      </c>
      <c r="B44" s="237"/>
      <c r="C44" s="237"/>
      <c r="D44" s="237"/>
      <c r="E44" s="237"/>
      <c r="F44" s="237"/>
      <c r="G44" s="237"/>
      <c r="H44" s="237"/>
      <c r="I44" s="237"/>
      <c r="J44" s="237"/>
      <c r="K44" s="237"/>
      <c r="L44" s="237"/>
      <c r="M44" s="237"/>
      <c r="N44" s="237"/>
      <c r="O44" s="237"/>
      <c r="P44" s="234"/>
      <c r="Q44" s="237"/>
      <c r="R44" s="237"/>
      <c r="S44" s="237"/>
      <c r="T44" s="237"/>
      <c r="U44" s="237"/>
      <c r="V44" s="237"/>
      <c r="W44" s="234"/>
      <c r="X44" s="237"/>
      <c r="Y44" s="237"/>
      <c r="Z44" s="237"/>
      <c r="AA44" s="237"/>
      <c r="AB44" s="237"/>
      <c r="AC44" s="234"/>
      <c r="AD44" s="237"/>
      <c r="AE44" s="237"/>
      <c r="AF44" s="234"/>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c r="BM44" s="237"/>
      <c r="BN44" s="237"/>
      <c r="BO44" s="237"/>
      <c r="BP44" s="237"/>
      <c r="BQ44" s="237"/>
      <c r="BR44" s="237"/>
      <c r="BS44" s="237"/>
      <c r="BT44" s="237"/>
      <c r="BU44" s="237"/>
      <c r="BV44" s="237"/>
      <c r="BW44" s="237"/>
      <c r="BX44" s="237"/>
      <c r="BY44" s="237"/>
      <c r="BZ44" s="237"/>
      <c r="CA44" s="237"/>
      <c r="CB44" s="237"/>
      <c r="CC44" s="237"/>
      <c r="CD44" s="237"/>
      <c r="CE44" s="237"/>
      <c r="CF44" s="237"/>
      <c r="CG44" s="237"/>
      <c r="CH44" s="237"/>
      <c r="CI44" s="237"/>
      <c r="CJ44" s="237"/>
      <c r="CK44" s="237"/>
      <c r="CL44" s="237"/>
      <c r="CM44" s="237"/>
      <c r="CN44" s="237"/>
      <c r="CO44" s="237"/>
      <c r="CP44" s="237"/>
      <c r="CQ44" s="237"/>
      <c r="CR44" s="237">
        <f t="shared" si="0"/>
        <v>0</v>
      </c>
    </row>
    <row r="45" spans="1:96" x14ac:dyDescent="0.3">
      <c r="A45" s="257" t="s">
        <v>206</v>
      </c>
      <c r="B45" s="237">
        <f>B24/$B$20</f>
        <v>44557644.55104062</v>
      </c>
      <c r="C45" s="237">
        <f>C24/$C$20</f>
        <v>7240147.1542327767</v>
      </c>
      <c r="D45" s="237">
        <f>D24/$D$20</f>
        <v>2580196.7867276482</v>
      </c>
      <c r="E45" s="237">
        <f>E24/$E$20</f>
        <v>3542995.1245316472</v>
      </c>
      <c r="F45" s="237">
        <f>F24/$F$20</f>
        <v>4354924.6480627013</v>
      </c>
      <c r="G45" s="237">
        <f>G24/$G$20</f>
        <v>1341824.581752257</v>
      </c>
      <c r="H45" s="237">
        <f>H24/$H$20</f>
        <v>2929920.8510552067</v>
      </c>
      <c r="I45" s="237">
        <f>I24/$I$20</f>
        <v>5159493.9322162736</v>
      </c>
      <c r="J45" s="237">
        <f>J24/$J$20</f>
        <v>2532833.5222926554</v>
      </c>
      <c r="K45" s="237">
        <f>K24/$K$20</f>
        <v>3065715.2824999327</v>
      </c>
      <c r="L45" s="237">
        <f>L24/$L$20</f>
        <v>4269552.3984956574</v>
      </c>
      <c r="M45" s="237">
        <f>M24/$M$20</f>
        <v>3374110.8628834495</v>
      </c>
      <c r="N45" s="237">
        <f>N24/$N$20</f>
        <v>3279280.579438007</v>
      </c>
      <c r="O45" s="237">
        <f>O24/$O$20</f>
        <v>2137441.7331910012</v>
      </c>
      <c r="P45" s="237">
        <f>P24/$P$20</f>
        <v>1828085.0888330627</v>
      </c>
      <c r="Q45" s="237">
        <f>Q24/$Q$20</f>
        <v>844795.85494042514</v>
      </c>
      <c r="R45" s="237">
        <f>R24/$R$20</f>
        <v>1263052.0989904129</v>
      </c>
      <c r="S45" s="237">
        <f>S24/$S$20</f>
        <v>3536031.4655711404</v>
      </c>
      <c r="T45" s="237">
        <f>T24/$T$20</f>
        <v>874904.74302813597</v>
      </c>
      <c r="U45" s="237">
        <f>U24/$U$20</f>
        <v>537676.23229111149</v>
      </c>
      <c r="V45" s="237">
        <f>V24/$V$20</f>
        <v>2681495.260949804</v>
      </c>
      <c r="W45" s="237">
        <f>W24/$W$20</f>
        <v>1798315.9958431334</v>
      </c>
      <c r="X45" s="237">
        <f>X24/$X$20</f>
        <v>851739.2616179639</v>
      </c>
      <c r="Y45" s="237">
        <f>Y24/$Y$20</f>
        <v>499701.48556251655</v>
      </c>
      <c r="Z45" s="237">
        <f>Z24/$Z$20</f>
        <v>1089838.7366768732</v>
      </c>
      <c r="AA45" s="237">
        <f>AA24/$AA$20</f>
        <v>480027.83548673516</v>
      </c>
      <c r="AB45" s="237">
        <f>AB24/$AB$20</f>
        <v>1283447.6770532934</v>
      </c>
      <c r="AC45" s="237">
        <f>AC24/$AC$20</f>
        <v>365030.0682609448</v>
      </c>
      <c r="AD45" s="237">
        <f>AD24/$AD$20</f>
        <v>1818127.0336736473</v>
      </c>
      <c r="AE45" s="237">
        <f>AE24/$AE$20</f>
        <v>2157037.5645051803</v>
      </c>
      <c r="AF45" s="237">
        <f>AF24/$AF$20</f>
        <v>683147.04588347184</v>
      </c>
      <c r="AG45" s="237">
        <f>AG24/$AG$20</f>
        <v>661791.56843198196</v>
      </c>
      <c r="AH45" s="237">
        <f>AH24/$AH$20</f>
        <v>609171.21962853358</v>
      </c>
      <c r="AI45" s="237">
        <f>AI24/$AI$20</f>
        <v>564803.96486248414</v>
      </c>
      <c r="AJ45" s="237">
        <f>AJ24/$AJ$20</f>
        <v>724337.99059102836</v>
      </c>
      <c r="AK45" s="237">
        <f>AK24/$AK$20</f>
        <v>943521.7484859908</v>
      </c>
      <c r="AL45" s="237">
        <f>AL24/$AL$20</f>
        <v>234898.34499811067</v>
      </c>
      <c r="AM45" s="237">
        <f>AM24/$AM$20</f>
        <v>708915.41637707886</v>
      </c>
      <c r="AN45" s="237">
        <f>AN24/$AN$20</f>
        <v>1003238.277734127</v>
      </c>
      <c r="AO45" s="237">
        <f>AO24/$AO$20</f>
        <v>1206872.0555861925</v>
      </c>
      <c r="AP45" s="237">
        <f>AP24/$AP$20</f>
        <v>917727.3435100636</v>
      </c>
      <c r="AQ45" s="237">
        <f>AQ24/$AQ$20</f>
        <v>677815.62257088453</v>
      </c>
      <c r="AR45" s="237">
        <f>AR24/$AR$20</f>
        <v>416167.14549125213</v>
      </c>
      <c r="AS45" s="237">
        <f>AS24/$AS$20</f>
        <v>933916.71477622713</v>
      </c>
      <c r="AT45" s="237">
        <f>AT24/$AT$20</f>
        <v>598142.69302899798</v>
      </c>
      <c r="AU45" s="237">
        <f>AU24/$AU$20</f>
        <v>284693.78640098427</v>
      </c>
      <c r="AV45" s="237">
        <f>AV24/$AV$20</f>
        <v>325388.92977358698</v>
      </c>
      <c r="AW45" s="237">
        <f>AW24/$AW$20</f>
        <v>396082.26164331194</v>
      </c>
      <c r="AX45" s="237">
        <f>AX24/$AX$20</f>
        <v>329106.09686745325</v>
      </c>
      <c r="AY45" s="237">
        <f>AY24/$AY$20</f>
        <v>298312.05971092213</v>
      </c>
      <c r="AZ45" s="237">
        <f>AZ24/$AZ$20</f>
        <v>414235.38377137319</v>
      </c>
      <c r="BA45" s="237">
        <f>BA24/$BA$20</f>
        <v>372957.28694484069</v>
      </c>
      <c r="BB45" s="237">
        <f>BB24/$BB$20</f>
        <v>610541.64195758535</v>
      </c>
      <c r="BC45" s="237">
        <f>BC24/$BC$20</f>
        <v>110754.52666415236</v>
      </c>
      <c r="BD45" s="237">
        <f>BD24/$BD$20</f>
        <v>217964.4755078798</v>
      </c>
      <c r="BE45" s="237">
        <f>BE24/$BE$20</f>
        <v>421639.6935451242</v>
      </c>
      <c r="BF45" s="237">
        <f>BF24/$BF$20</f>
        <v>450665.15998310165</v>
      </c>
      <c r="BG45" s="237">
        <f>BG24/$BG$20</f>
        <v>447029.78786367609</v>
      </c>
      <c r="BH45" s="237">
        <f>BH24/$BH$20</f>
        <v>230119.19498985453</v>
      </c>
      <c r="BI45" s="237">
        <f>BI24/$BI$20</f>
        <v>47224.27263621625</v>
      </c>
      <c r="BJ45" s="237">
        <f>BJ24/$BJ$20</f>
        <v>225561.65064593824</v>
      </c>
      <c r="BK45" s="237">
        <f>BK24/$BK$20</f>
        <v>281470.14305531321</v>
      </c>
      <c r="BL45" s="237">
        <f>BL24/$BL$20</f>
        <v>2523.4256153990045</v>
      </c>
      <c r="BM45" s="237">
        <f>BM24/$BM$20</f>
        <v>1531547.6323114557</v>
      </c>
      <c r="BN45" s="237">
        <f>BN24/$BN$20</f>
        <v>318425.30822383426</v>
      </c>
      <c r="BO45" s="237">
        <f t="shared" ref="BO45:BT45" si="7">BO24/BO20</f>
        <v>0</v>
      </c>
      <c r="BP45" s="237">
        <f>BP24/$BP$20</f>
        <v>221442.23560672754</v>
      </c>
      <c r="BQ45" s="237">
        <f>BQ24/$BQ$20</f>
        <v>217675.33828675965</v>
      </c>
      <c r="BR45" s="237">
        <f>BR24/$BR$20</f>
        <v>212311.37375871319</v>
      </c>
      <c r="BS45" s="237">
        <f t="shared" si="7"/>
        <v>0</v>
      </c>
      <c r="BT45" s="237">
        <f t="shared" si="7"/>
        <v>0</v>
      </c>
      <c r="BU45" s="237">
        <f>BU24/$BU$20</f>
        <v>257663.40769796516</v>
      </c>
      <c r="BV45" s="237">
        <f>BV24/$BV$20</f>
        <v>27494.567345447049</v>
      </c>
      <c r="BW45" s="237">
        <f>BW24/$BW$20</f>
        <v>546449.26014917158</v>
      </c>
      <c r="BX45" s="237">
        <f>BX24/$BX$20</f>
        <v>84015.004959034064</v>
      </c>
      <c r="BY45" s="237">
        <f>BY24/$BY$20</f>
        <v>156112.2325478704</v>
      </c>
      <c r="BZ45" s="237">
        <f>BZ24/$BZ$20</f>
        <v>113400.86879351771</v>
      </c>
      <c r="CA45" s="237">
        <f>CA24/$CA$20</f>
        <v>0</v>
      </c>
      <c r="CB45" s="237">
        <f>CB24/$CB$20</f>
        <v>0</v>
      </c>
      <c r="CC45" s="237">
        <f>CC24/$CC$20</f>
        <v>51503.404465163912</v>
      </c>
      <c r="CD45" s="237">
        <f>CD24/$CD$20</f>
        <v>12489.796616152395</v>
      </c>
      <c r="CE45" s="237">
        <f>CE24/$CE$20</f>
        <v>255443.86019013141</v>
      </c>
      <c r="CF45" s="237">
        <f>CF24/$CF$20</f>
        <v>70102.133138472782</v>
      </c>
      <c r="CG45" s="237">
        <f>CG24/$CG$20</f>
        <v>51926.721323183832</v>
      </c>
      <c r="CH45" s="237">
        <f>CH24/$CH$20</f>
        <v>0</v>
      </c>
      <c r="CI45" s="237">
        <f>CI24/$CI$20</f>
        <v>60357.149789355273</v>
      </c>
      <c r="CJ45" s="237">
        <f>CJ24/$CJ$20</f>
        <v>236101.09174788938</v>
      </c>
      <c r="CK45" s="237">
        <f>CK24/$CK$20</f>
        <v>681790.14538043889</v>
      </c>
      <c r="CL45" s="237">
        <f>CL24/$CL$20</f>
        <v>8777.1416522187337</v>
      </c>
      <c r="CM45" s="237">
        <f>CM24/$CM$20</f>
        <v>0</v>
      </c>
      <c r="CN45" s="237">
        <f>CN24/$CN$20</f>
        <v>55.051332675488744</v>
      </c>
      <c r="CO45" s="237"/>
      <c r="CP45" s="237"/>
      <c r="CQ45" s="237"/>
      <c r="CR45" s="237">
        <f t="shared" si="0"/>
        <v>133741209.0665535</v>
      </c>
    </row>
    <row r="46" spans="1:96" x14ac:dyDescent="0.3">
      <c r="A46" s="257" t="s">
        <v>207</v>
      </c>
      <c r="B46" s="237">
        <f t="shared" ref="B46:B53" si="8">B25/$B$20</f>
        <v>15916976.527979817</v>
      </c>
      <c r="C46" s="237">
        <f t="shared" ref="C46:C53" si="9">C25/$C$20</f>
        <v>38348.006808175196</v>
      </c>
      <c r="D46" s="237">
        <f t="shared" ref="D46:D53" si="10">D25/$D$20</f>
        <v>1105799.3572804877</v>
      </c>
      <c r="E46" s="237">
        <f t="shared" ref="E46:E53" si="11">E25/$E$20</f>
        <v>0</v>
      </c>
      <c r="F46" s="237">
        <f t="shared" ref="F46:F53" si="12">F25/$F$20</f>
        <v>3723841.3178006494</v>
      </c>
      <c r="G46" s="237">
        <f t="shared" ref="G46:G53" si="13">G25/$G$20</f>
        <v>1194291.900377627</v>
      </c>
      <c r="H46" s="237">
        <f t="shared" ref="H46:H53" si="14">H25/$H$20</f>
        <v>108091.71753203109</v>
      </c>
      <c r="I46" s="237">
        <f t="shared" ref="I46:I53" si="15">I25/$I$20</f>
        <v>1912557.1912805184</v>
      </c>
      <c r="J46" s="237">
        <f t="shared" ref="J46:J53" si="16">J25/$J$20</f>
        <v>0</v>
      </c>
      <c r="K46" s="237">
        <f t="shared" ref="K46:K53" si="17">K25/$K$20</f>
        <v>165152.53936190926</v>
      </c>
      <c r="L46" s="237">
        <f t="shared" ref="L46:L53" si="18">L25/$L$20</f>
        <v>0</v>
      </c>
      <c r="M46" s="237">
        <f t="shared" ref="M46:M53" si="19">M25/$M$20</f>
        <v>0</v>
      </c>
      <c r="N46" s="237">
        <f t="shared" ref="N46:N53" si="20">N25/$N$20</f>
        <v>0</v>
      </c>
      <c r="O46" s="237">
        <f t="shared" ref="O46:O53" si="21">O25/$O$20</f>
        <v>0</v>
      </c>
      <c r="P46" s="237">
        <f t="shared" ref="P46:P53" si="22">P25/$P$20</f>
        <v>0</v>
      </c>
      <c r="Q46" s="237">
        <f t="shared" ref="Q46:Q53" si="23">Q25/$Q$20</f>
        <v>0</v>
      </c>
      <c r="R46" s="237">
        <f t="shared" ref="R46:R53" si="24">R25/$R$20</f>
        <v>0</v>
      </c>
      <c r="S46" s="237">
        <f t="shared" ref="S46:S53" si="25">S25/$S$20</f>
        <v>0</v>
      </c>
      <c r="T46" s="237">
        <f t="shared" ref="T46:T53" si="26">T25/$T$20</f>
        <v>0</v>
      </c>
      <c r="U46" s="237">
        <f t="shared" ref="U46:U53" si="27">U25/$U$20</f>
        <v>625225.70261202042</v>
      </c>
      <c r="V46" s="237">
        <f t="shared" ref="V46:V53" si="28">V25/$V$20</f>
        <v>0</v>
      </c>
      <c r="W46" s="237">
        <f t="shared" ref="W46:W53" si="29">W25/$W$20</f>
        <v>0</v>
      </c>
      <c r="X46" s="237">
        <f t="shared" ref="X46:X53" si="30">X25/$X$20</f>
        <v>0</v>
      </c>
      <c r="Y46" s="237">
        <f t="shared" ref="Y46:Y53" si="31">Y25/$Y$20</f>
        <v>278185.79602062691</v>
      </c>
      <c r="Z46" s="237">
        <f t="shared" ref="Z46:Z53" si="32">Z25/$Z$20</f>
        <v>0</v>
      </c>
      <c r="AA46" s="237">
        <f t="shared" ref="AA46:AA53" si="33">AA25/$AA$20</f>
        <v>290075.9458904778</v>
      </c>
      <c r="AB46" s="237">
        <f t="shared" ref="AB46:AB53" si="34">AB25/$AB$20</f>
        <v>242814.9044660849</v>
      </c>
      <c r="AC46" s="237">
        <f t="shared" ref="AC46:AC53" si="35">AC25/$AC$20</f>
        <v>0</v>
      </c>
      <c r="AD46" s="237">
        <f t="shared" ref="AD46:AD53" si="36">AD25/$AD$20</f>
        <v>0</v>
      </c>
      <c r="AE46" s="237">
        <f t="shared" ref="AE46:AE53" si="37">AE25/$AE$20</f>
        <v>0</v>
      </c>
      <c r="AF46" s="237">
        <f t="shared" ref="AF46:AF53" si="38">AF25/$AF$20</f>
        <v>0</v>
      </c>
      <c r="AG46" s="237">
        <f t="shared" ref="AG46:AG53" si="39">AG25/$AG$20</f>
        <v>277005.82748938433</v>
      </c>
      <c r="AH46" s="237">
        <f t="shared" ref="AH46:AH53" si="40">AH25/$AH$20</f>
        <v>2235.1621838049196</v>
      </c>
      <c r="AI46" s="237">
        <f t="shared" ref="AI46:AI53" si="41">AI25/$AI$20</f>
        <v>866693.66744556127</v>
      </c>
      <c r="AJ46" s="237">
        <f t="shared" ref="AJ46:AJ53" si="42">AJ25/$AJ$20</f>
        <v>0</v>
      </c>
      <c r="AK46" s="237">
        <f t="shared" ref="AK46:AK53" si="43">AK25/$AK$20</f>
        <v>0</v>
      </c>
      <c r="AL46" s="237">
        <f t="shared" ref="AL46:AL53" si="44">AL25/$AL$20</f>
        <v>138705.69784192985</v>
      </c>
      <c r="AM46" s="237">
        <f t="shared" ref="AM46:AM53" si="45">AM25/$AM$20</f>
        <v>0</v>
      </c>
      <c r="AN46" s="237">
        <f t="shared" ref="AN46:AN53" si="46">AN25/$AN$20</f>
        <v>0</v>
      </c>
      <c r="AO46" s="237">
        <f t="shared" ref="AO46:AO53" si="47">AO25/$AO$20</f>
        <v>600191.28493605985</v>
      </c>
      <c r="AP46" s="237">
        <f t="shared" ref="AP46:AP53" si="48">AP25/$AP$20</f>
        <v>0</v>
      </c>
      <c r="AQ46" s="237">
        <f t="shared" ref="AQ46:AQ53" si="49">AQ25/$AQ$20</f>
        <v>0</v>
      </c>
      <c r="AR46" s="237">
        <f t="shared" ref="AR46:AR53" si="50">AR25/$AR$20</f>
        <v>32283.184047719686</v>
      </c>
      <c r="AS46" s="237">
        <f t="shared" ref="AS46:AS53" si="51">AS25/$AS$20</f>
        <v>239699.43624745059</v>
      </c>
      <c r="AT46" s="237">
        <f t="shared" ref="AT46:AT53" si="52">AT25/$AT$20</f>
        <v>0</v>
      </c>
      <c r="AU46" s="237">
        <f t="shared" ref="AU46:AU53" si="53">AU25/$AU$20</f>
        <v>695655.87630316312</v>
      </c>
      <c r="AV46" s="237">
        <f t="shared" ref="AV46:AV53" si="54">AV25/$AV$20</f>
        <v>108462.60954717394</v>
      </c>
      <c r="AW46" s="237">
        <f t="shared" ref="AW46:AW53" si="55">AW25/$AW$20</f>
        <v>0</v>
      </c>
      <c r="AX46" s="237">
        <f t="shared" ref="AX46:AX53" si="56">AX25/$AX$20</f>
        <v>448060.75176532002</v>
      </c>
      <c r="AY46" s="237">
        <f t="shared" ref="AY46:AY53" si="57">AY25/$AY$20</f>
        <v>0</v>
      </c>
      <c r="AZ46" s="237">
        <f t="shared" ref="AZ46:AZ53" si="58">AZ25/$AZ$20</f>
        <v>0</v>
      </c>
      <c r="BA46" s="237">
        <f t="shared" ref="BA46:BA53" si="59">BA25/$BA$20</f>
        <v>0</v>
      </c>
      <c r="BB46" s="237">
        <f t="shared" ref="BB46:BB53" si="60">BB25/$BB$20</f>
        <v>0</v>
      </c>
      <c r="BC46" s="237">
        <f t="shared" ref="BC46:BC53" si="61">BC25/$BC$20</f>
        <v>99974.884068766114</v>
      </c>
      <c r="BD46" s="237">
        <f t="shared" ref="BD46:BD53" si="62">BD25/$BD$20</f>
        <v>0</v>
      </c>
      <c r="BE46" s="237">
        <f t="shared" ref="BE46:BE53" si="63">BE25/$BE$20</f>
        <v>0</v>
      </c>
      <c r="BF46" s="237">
        <f t="shared" ref="BF46:BF53" si="64">BF25/$BF$20</f>
        <v>133744.64958198473</v>
      </c>
      <c r="BG46" s="237">
        <f t="shared" ref="BG46:BG53" si="65">BG25/$BG$20</f>
        <v>26600.612922787222</v>
      </c>
      <c r="BH46" s="237">
        <f t="shared" ref="BH46:BH53" si="66">BH25/$BH$20</f>
        <v>115537.74175316111</v>
      </c>
      <c r="BI46" s="237">
        <f t="shared" ref="BI46:BI53" si="67">BI25/$BI$20</f>
        <v>118.04779940747866</v>
      </c>
      <c r="BJ46" s="237">
        <f t="shared" ref="BJ46:BJ53" si="68">BJ25/$BJ$20</f>
        <v>0</v>
      </c>
      <c r="BK46" s="237">
        <f t="shared" ref="BK46:BK53" si="69">BK25/$BK$20</f>
        <v>45250.300474777716</v>
      </c>
      <c r="BL46" s="237">
        <f t="shared" ref="BL46:BL53" si="70">BL25/$BL$20</f>
        <v>1242.9524654811607</v>
      </c>
      <c r="BM46" s="237">
        <f t="shared" ref="BM46:BM53" si="71">BM25/$BM$20</f>
        <v>0</v>
      </c>
      <c r="BN46" s="237">
        <f t="shared" ref="BN46:BN53" si="72">BN25/$BN$20</f>
        <v>0</v>
      </c>
      <c r="BO46" s="237"/>
      <c r="BP46" s="237">
        <f t="shared" ref="BP46:BP53" si="73">BP25/$BP$20</f>
        <v>0</v>
      </c>
      <c r="BQ46" s="237">
        <f t="shared" ref="BQ46:BQ53" si="74">BQ25/$BQ$20</f>
        <v>71335.397036892202</v>
      </c>
      <c r="BR46" s="237">
        <f t="shared" ref="BR46:BR53" si="75">BR25/$BR$20</f>
        <v>56251.271601251778</v>
      </c>
      <c r="BS46" s="237"/>
      <c r="BT46" s="237"/>
      <c r="BU46" s="237">
        <f t="shared" ref="BU46:BU53" si="76">BU25/$BU$20</f>
        <v>0</v>
      </c>
      <c r="BV46" s="237">
        <f t="shared" ref="BV46:BV53" si="77">BV25/$BV$20</f>
        <v>51060.765731742751</v>
      </c>
      <c r="BW46" s="237">
        <f t="shared" ref="BW46:BW53" si="78">BW25/$BW$20</f>
        <v>0</v>
      </c>
      <c r="BX46" s="237">
        <f t="shared" ref="BX46:BX53" si="79">BX25/$BX$20</f>
        <v>0</v>
      </c>
      <c r="BY46" s="237">
        <f t="shared" ref="BY46:BY53" si="80">BY25/$BY$20</f>
        <v>0</v>
      </c>
      <c r="BZ46" s="237">
        <f t="shared" ref="BZ46:BZ53" si="81">BZ25/$BZ$20</f>
        <v>98057.890309030641</v>
      </c>
      <c r="CA46" s="237">
        <f t="shared" ref="CA46:CA53" si="82">CA25/$CA$20</f>
        <v>0</v>
      </c>
      <c r="CB46" s="237">
        <f t="shared" ref="CB46:CB53" si="83">CB25/$CB$20</f>
        <v>0</v>
      </c>
      <c r="CC46" s="237">
        <f t="shared" ref="CC46:CC53" si="84">CC25/$CC$20</f>
        <v>98529.383095972735</v>
      </c>
      <c r="CD46" s="237">
        <f t="shared" ref="CD46:CD53" si="85">CD25/$CD$20</f>
        <v>13322.922707078082</v>
      </c>
      <c r="CE46" s="237">
        <f t="shared" ref="CE46:CE53" si="86">CE25/$CE$20</f>
        <v>100128.5</v>
      </c>
      <c r="CF46" s="237">
        <f t="shared" ref="CF46:CF53" si="87">CF25/$CF$20</f>
        <v>3924.7856777493607</v>
      </c>
      <c r="CG46" s="237">
        <f t="shared" ref="CG46:CG53" si="88">CG25/$CG$20</f>
        <v>39477.976518509648</v>
      </c>
      <c r="CH46" s="237">
        <f t="shared" ref="CH46:CH53" si="89">CH25/$CH$20</f>
        <v>0</v>
      </c>
      <c r="CI46" s="237">
        <f t="shared" ref="CI46:CI53" si="90">CI25/$CI$20</f>
        <v>8501.2863665438817</v>
      </c>
      <c r="CJ46" s="237">
        <f t="shared" ref="CJ46:CJ53" si="91">CJ25/$CJ$20</f>
        <v>0</v>
      </c>
      <c r="CK46" s="237">
        <f t="shared" ref="CK46:CK53" si="92">CK25/$CK$20</f>
        <v>0</v>
      </c>
      <c r="CL46" s="237">
        <f t="shared" ref="CL46:CL53" si="93">CL25/$CL$20</f>
        <v>8027.1296565296843</v>
      </c>
      <c r="CM46" s="237">
        <f t="shared" ref="CM46:CM53" si="94">CM25/$CM$20</f>
        <v>0</v>
      </c>
      <c r="CN46" s="237">
        <f t="shared" ref="CN46:CN53" si="95">CN25/$CN$20</f>
        <v>31.80760050385836</v>
      </c>
      <c r="CO46" s="237"/>
      <c r="CP46" s="237"/>
      <c r="CQ46" s="237"/>
      <c r="CR46" s="237">
        <f t="shared" si="0"/>
        <v>29981472.710586168</v>
      </c>
    </row>
    <row r="47" spans="1:96" x14ac:dyDescent="0.3">
      <c r="A47" s="257" t="s">
        <v>2</v>
      </c>
      <c r="B47" s="237">
        <f t="shared" si="8"/>
        <v>2290994.0796552165</v>
      </c>
      <c r="C47" s="237">
        <f t="shared" si="9"/>
        <v>374110.94073412014</v>
      </c>
      <c r="D47" s="237">
        <f t="shared" si="10"/>
        <v>106092.34282647478</v>
      </c>
      <c r="E47" s="237">
        <f t="shared" si="11"/>
        <v>310060.16346981691</v>
      </c>
      <c r="F47" s="237">
        <f t="shared" si="12"/>
        <v>11793.135743483545</v>
      </c>
      <c r="G47" s="237">
        <f t="shared" si="13"/>
        <v>347053.40568807832</v>
      </c>
      <c r="H47" s="237">
        <f t="shared" si="14"/>
        <v>60853.662435481681</v>
      </c>
      <c r="I47" s="237">
        <f t="shared" si="15"/>
        <v>52056.436595987092</v>
      </c>
      <c r="J47" s="237">
        <f t="shared" si="16"/>
        <v>31216.906810566772</v>
      </c>
      <c r="K47" s="237">
        <f t="shared" si="17"/>
        <v>12125.253502092588</v>
      </c>
      <c r="L47" s="237">
        <f t="shared" si="18"/>
        <v>278318.23888033326</v>
      </c>
      <c r="M47" s="237">
        <f t="shared" si="19"/>
        <v>85092.37998356091</v>
      </c>
      <c r="N47" s="237">
        <f t="shared" si="20"/>
        <v>202006.52203617929</v>
      </c>
      <c r="O47" s="237">
        <f t="shared" si="21"/>
        <v>200987.79648610251</v>
      </c>
      <c r="P47" s="237">
        <f t="shared" si="22"/>
        <v>76082.663555912193</v>
      </c>
      <c r="Q47" s="237">
        <f t="shared" si="23"/>
        <v>0</v>
      </c>
      <c r="R47" s="237">
        <f t="shared" si="24"/>
        <v>14075.836168829104</v>
      </c>
      <c r="S47" s="237">
        <f t="shared" si="25"/>
        <v>115662.62098201719</v>
      </c>
      <c r="T47" s="237">
        <f t="shared" si="26"/>
        <v>189713.58766630196</v>
      </c>
      <c r="U47" s="237">
        <f t="shared" si="27"/>
        <v>369649.03944996186</v>
      </c>
      <c r="V47" s="237">
        <f t="shared" si="28"/>
        <v>301536.9007109321</v>
      </c>
      <c r="W47" s="237">
        <f t="shared" si="29"/>
        <v>0</v>
      </c>
      <c r="X47" s="237">
        <f t="shared" si="30"/>
        <v>108686.98622370952</v>
      </c>
      <c r="Y47" s="237">
        <f t="shared" si="31"/>
        <v>27034.008477706557</v>
      </c>
      <c r="Z47" s="237">
        <f t="shared" si="32"/>
        <v>98249.862623628083</v>
      </c>
      <c r="AA47" s="237">
        <f t="shared" si="33"/>
        <v>88034.064127951919</v>
      </c>
      <c r="AB47" s="237">
        <f t="shared" si="34"/>
        <v>416250.74558527191</v>
      </c>
      <c r="AC47" s="237">
        <f t="shared" si="35"/>
        <v>20100.12560235335</v>
      </c>
      <c r="AD47" s="237">
        <f t="shared" si="36"/>
        <v>37860.591715960225</v>
      </c>
      <c r="AE47" s="237">
        <f t="shared" si="37"/>
        <v>107253.93805825189</v>
      </c>
      <c r="AF47" s="237">
        <f t="shared" si="38"/>
        <v>321905.14241582132</v>
      </c>
      <c r="AG47" s="237">
        <f t="shared" si="39"/>
        <v>167356.58612767808</v>
      </c>
      <c r="AH47" s="237">
        <f t="shared" si="40"/>
        <v>52887.360844704526</v>
      </c>
      <c r="AI47" s="237">
        <f t="shared" si="41"/>
        <v>97162.121435375288</v>
      </c>
      <c r="AJ47" s="237">
        <f t="shared" si="42"/>
        <v>289734.99811820569</v>
      </c>
      <c r="AK47" s="237">
        <f t="shared" si="43"/>
        <v>81152.047446623372</v>
      </c>
      <c r="AL47" s="237">
        <f t="shared" si="44"/>
        <v>7492.0880849996884</v>
      </c>
      <c r="AM47" s="237">
        <f t="shared" si="45"/>
        <v>0</v>
      </c>
      <c r="AN47" s="237">
        <f t="shared" si="46"/>
        <v>33412.57511525882</v>
      </c>
      <c r="AO47" s="237">
        <f t="shared" si="47"/>
        <v>32997.106879899839</v>
      </c>
      <c r="AP47" s="237">
        <f t="shared" si="48"/>
        <v>74261.384240054336</v>
      </c>
      <c r="AQ47" s="237">
        <f t="shared" si="49"/>
        <v>363115.31203286245</v>
      </c>
      <c r="AR47" s="237">
        <f t="shared" si="50"/>
        <v>8789.1391124681886</v>
      </c>
      <c r="AS47" s="237">
        <f t="shared" si="51"/>
        <v>7040.0052171430934</v>
      </c>
      <c r="AT47" s="237">
        <f t="shared" si="52"/>
        <v>46127.737522170661</v>
      </c>
      <c r="AU47" s="237">
        <f t="shared" si="53"/>
        <v>3832.9392532317352</v>
      </c>
      <c r="AV47" s="237">
        <f t="shared" si="54"/>
        <v>72309.140452826046</v>
      </c>
      <c r="AW47" s="237">
        <f t="shared" si="55"/>
        <v>685235.46932281379</v>
      </c>
      <c r="AX47" s="237">
        <f t="shared" si="56"/>
        <v>3965.5721529733669</v>
      </c>
      <c r="AY47" s="237">
        <f t="shared" si="57"/>
        <v>0</v>
      </c>
      <c r="AZ47" s="237">
        <f t="shared" si="58"/>
        <v>4244.4054711713325</v>
      </c>
      <c r="BA47" s="237">
        <f t="shared" si="59"/>
        <v>20483.297744452204</v>
      </c>
      <c r="BB47" s="237">
        <f t="shared" si="60"/>
        <v>0</v>
      </c>
      <c r="BC47" s="237">
        <f t="shared" si="61"/>
        <v>122155.45338487648</v>
      </c>
      <c r="BD47" s="237">
        <f t="shared" si="62"/>
        <v>22162.836477287776</v>
      </c>
      <c r="BE47" s="237">
        <f t="shared" si="63"/>
        <v>5558.288206645937</v>
      </c>
      <c r="BF47" s="237">
        <f t="shared" si="64"/>
        <v>32144.989970466522</v>
      </c>
      <c r="BG47" s="237">
        <f t="shared" si="65"/>
        <v>70366.632903531237</v>
      </c>
      <c r="BH47" s="237">
        <f t="shared" si="66"/>
        <v>46191.934003633745</v>
      </c>
      <c r="BI47" s="237">
        <f t="shared" si="67"/>
        <v>3955.0495453043809</v>
      </c>
      <c r="BJ47" s="237">
        <f t="shared" si="68"/>
        <v>35480.27019925553</v>
      </c>
      <c r="BK47" s="237">
        <f t="shared" si="69"/>
        <v>155580.83206472368</v>
      </c>
      <c r="BL47" s="237">
        <f t="shared" si="70"/>
        <v>145.38378624591692</v>
      </c>
      <c r="BM47" s="237">
        <f t="shared" si="71"/>
        <v>134010.06657419467</v>
      </c>
      <c r="BN47" s="237">
        <f t="shared" si="72"/>
        <v>1550.184958778447</v>
      </c>
      <c r="BO47" s="237"/>
      <c r="BP47" s="237">
        <f t="shared" si="73"/>
        <v>0</v>
      </c>
      <c r="BQ47" s="237">
        <f t="shared" si="74"/>
        <v>33191.700676732595</v>
      </c>
      <c r="BR47" s="237">
        <f t="shared" si="75"/>
        <v>83730.99559457459</v>
      </c>
      <c r="BS47" s="237"/>
      <c r="BT47" s="237"/>
      <c r="BU47" s="237">
        <f t="shared" si="76"/>
        <v>9281.6638882078951</v>
      </c>
      <c r="BV47" s="237">
        <f t="shared" si="77"/>
        <v>24280.93399930654</v>
      </c>
      <c r="BW47" s="237">
        <f t="shared" si="78"/>
        <v>483.0229764228863</v>
      </c>
      <c r="BX47" s="237">
        <f t="shared" si="79"/>
        <v>32620.390987494611</v>
      </c>
      <c r="BY47" s="237">
        <f t="shared" si="80"/>
        <v>927.36992493276068</v>
      </c>
      <c r="BZ47" s="237">
        <f t="shared" si="81"/>
        <v>4650.3916068891731</v>
      </c>
      <c r="CA47" s="237">
        <f t="shared" si="82"/>
        <v>0</v>
      </c>
      <c r="CB47" s="237">
        <f t="shared" si="83"/>
        <v>0</v>
      </c>
      <c r="CC47" s="237">
        <f t="shared" si="84"/>
        <v>5522.3512308169065</v>
      </c>
      <c r="CD47" s="237">
        <f t="shared" si="85"/>
        <v>29143.196616152396</v>
      </c>
      <c r="CE47" s="237">
        <f t="shared" si="86"/>
        <v>0</v>
      </c>
      <c r="CF47" s="237">
        <f t="shared" si="87"/>
        <v>5838.1968578735841</v>
      </c>
      <c r="CG47" s="237">
        <f t="shared" si="88"/>
        <v>87341.37721060538</v>
      </c>
      <c r="CH47" s="237">
        <f t="shared" si="89"/>
        <v>0</v>
      </c>
      <c r="CI47" s="237">
        <f t="shared" si="90"/>
        <v>4250.1709420561574</v>
      </c>
      <c r="CJ47" s="237">
        <f t="shared" si="91"/>
        <v>0</v>
      </c>
      <c r="CK47" s="237">
        <f t="shared" si="92"/>
        <v>0</v>
      </c>
      <c r="CL47" s="237">
        <f t="shared" si="93"/>
        <v>5184.3268825265914</v>
      </c>
      <c r="CM47" s="237">
        <f t="shared" si="94"/>
        <v>0</v>
      </c>
      <c r="CN47" s="237">
        <f t="shared" si="95"/>
        <v>71.567101133681305</v>
      </c>
      <c r="CO47" s="237"/>
      <c r="CP47" s="237"/>
      <c r="CQ47" s="237"/>
      <c r="CR47" s="237">
        <f t="shared" si="0"/>
        <v>9662276.2433576919</v>
      </c>
    </row>
    <row r="48" spans="1:96" x14ac:dyDescent="0.3">
      <c r="A48" s="257" t="s">
        <v>208</v>
      </c>
      <c r="B48" s="237">
        <f t="shared" si="8"/>
        <v>221032.93510297444</v>
      </c>
      <c r="C48" s="237">
        <f t="shared" si="9"/>
        <v>60746.126571224944</v>
      </c>
      <c r="D48" s="237">
        <f t="shared" si="10"/>
        <v>70728.913988378888</v>
      </c>
      <c r="E48" s="237">
        <f t="shared" si="11"/>
        <v>53823.498555567887</v>
      </c>
      <c r="F48" s="237">
        <f t="shared" si="12"/>
        <v>12055.612367173911</v>
      </c>
      <c r="G48" s="237">
        <f t="shared" si="13"/>
        <v>253702.71631681162</v>
      </c>
      <c r="H48" s="237">
        <f t="shared" si="14"/>
        <v>78574.85208128205</v>
      </c>
      <c r="I48" s="237">
        <f t="shared" si="15"/>
        <v>58672.162957676686</v>
      </c>
      <c r="J48" s="237">
        <f t="shared" si="16"/>
        <v>185599.07073335277</v>
      </c>
      <c r="K48" s="237">
        <f t="shared" si="17"/>
        <v>415893.08415697387</v>
      </c>
      <c r="L48" s="237">
        <f t="shared" si="18"/>
        <v>266967.06628718565</v>
      </c>
      <c r="M48" s="237">
        <f t="shared" si="19"/>
        <v>49869.264927317716</v>
      </c>
      <c r="N48" s="237">
        <f t="shared" si="20"/>
        <v>279530.53415145591</v>
      </c>
      <c r="O48" s="237">
        <f t="shared" si="21"/>
        <v>99430.604168840437</v>
      </c>
      <c r="P48" s="237">
        <f t="shared" si="22"/>
        <v>38942.017599750856</v>
      </c>
      <c r="Q48" s="237">
        <f t="shared" si="23"/>
        <v>0</v>
      </c>
      <c r="R48" s="237">
        <f t="shared" si="24"/>
        <v>75732.711053433261</v>
      </c>
      <c r="S48" s="237">
        <f t="shared" si="25"/>
        <v>297122.24996264424</v>
      </c>
      <c r="T48" s="237">
        <f t="shared" si="26"/>
        <v>0</v>
      </c>
      <c r="U48" s="237">
        <f t="shared" si="27"/>
        <v>67484.926622308209</v>
      </c>
      <c r="V48" s="237">
        <f t="shared" si="28"/>
        <v>114276.1944728824</v>
      </c>
      <c r="W48" s="237">
        <f t="shared" si="29"/>
        <v>66766.451431185764</v>
      </c>
      <c r="X48" s="237">
        <f t="shared" si="30"/>
        <v>56729.108976994292</v>
      </c>
      <c r="Y48" s="237">
        <f t="shared" si="31"/>
        <v>14610.693230791843</v>
      </c>
      <c r="Z48" s="237">
        <f t="shared" si="32"/>
        <v>88228.644314637291</v>
      </c>
      <c r="AA48" s="237">
        <f t="shared" si="33"/>
        <v>31571.061487781426</v>
      </c>
      <c r="AB48" s="237">
        <f t="shared" si="34"/>
        <v>624376.1183779079</v>
      </c>
      <c r="AC48" s="237">
        <f t="shared" si="35"/>
        <v>32215.82524589029</v>
      </c>
      <c r="AD48" s="237">
        <f t="shared" si="36"/>
        <v>56792.362585305302</v>
      </c>
      <c r="AE48" s="237">
        <f t="shared" si="37"/>
        <v>46145.861679303824</v>
      </c>
      <c r="AF48" s="237">
        <f t="shared" si="38"/>
        <v>331951.2602188107</v>
      </c>
      <c r="AG48" s="237">
        <f t="shared" si="39"/>
        <v>71723.929841566613</v>
      </c>
      <c r="AH48" s="237">
        <f t="shared" si="40"/>
        <v>45428.294085193571</v>
      </c>
      <c r="AI48" s="237">
        <f t="shared" si="41"/>
        <v>24867.707737909128</v>
      </c>
      <c r="AJ48" s="237">
        <f t="shared" si="42"/>
        <v>144867.99435461703</v>
      </c>
      <c r="AK48" s="237">
        <f t="shared" si="43"/>
        <v>167241.12989573448</v>
      </c>
      <c r="AL48" s="237">
        <f t="shared" si="44"/>
        <v>2981.6866401650836</v>
      </c>
      <c r="AM48" s="237">
        <f t="shared" si="45"/>
        <v>190444.28834134032</v>
      </c>
      <c r="AN48" s="237">
        <f t="shared" si="46"/>
        <v>0</v>
      </c>
      <c r="AO48" s="237">
        <f t="shared" si="47"/>
        <v>9311.7146466151971</v>
      </c>
      <c r="AP48" s="237">
        <f t="shared" si="48"/>
        <v>54203.757899654389</v>
      </c>
      <c r="AQ48" s="237">
        <f t="shared" si="49"/>
        <v>0</v>
      </c>
      <c r="AR48" s="237">
        <f t="shared" si="50"/>
        <v>57016.722960370556</v>
      </c>
      <c r="AS48" s="237">
        <f t="shared" si="51"/>
        <v>36925.487460348886</v>
      </c>
      <c r="AT48" s="237">
        <f t="shared" si="52"/>
        <v>0</v>
      </c>
      <c r="AU48" s="237">
        <f t="shared" si="53"/>
        <v>14064.802197005152</v>
      </c>
      <c r="AV48" s="237">
        <f t="shared" si="54"/>
        <v>65078.006181130419</v>
      </c>
      <c r="AW48" s="237">
        <f t="shared" si="55"/>
        <v>67851.025449525827</v>
      </c>
      <c r="AX48" s="237">
        <f t="shared" si="56"/>
        <v>2973.8948035633362</v>
      </c>
      <c r="AY48" s="237">
        <f t="shared" si="57"/>
        <v>27391.940289077855</v>
      </c>
      <c r="AZ48" s="237">
        <f t="shared" si="58"/>
        <v>25757.175142216456</v>
      </c>
      <c r="BA48" s="237">
        <f t="shared" si="59"/>
        <v>9466.8191729152131</v>
      </c>
      <c r="BB48" s="237">
        <f t="shared" si="60"/>
        <v>193822.99300659596</v>
      </c>
      <c r="BC48" s="237">
        <f t="shared" si="61"/>
        <v>71772.318706392616</v>
      </c>
      <c r="BD48" s="237">
        <f t="shared" si="62"/>
        <v>16608.664791418356</v>
      </c>
      <c r="BE48" s="237">
        <f t="shared" si="63"/>
        <v>47632.509710410974</v>
      </c>
      <c r="BF48" s="237">
        <f t="shared" si="64"/>
        <v>22256.085511851386</v>
      </c>
      <c r="BG48" s="237">
        <f t="shared" si="65"/>
        <v>53359.978608302947</v>
      </c>
      <c r="BH48" s="237">
        <f t="shared" si="66"/>
        <v>83658.14891410034</v>
      </c>
      <c r="BI48" s="237">
        <f t="shared" si="67"/>
        <v>5903.0514878825206</v>
      </c>
      <c r="BJ48" s="237">
        <f t="shared" si="68"/>
        <v>16778.825268228597</v>
      </c>
      <c r="BK48" s="237">
        <f t="shared" si="69"/>
        <v>36819.389062660812</v>
      </c>
      <c r="BL48" s="237">
        <f t="shared" si="70"/>
        <v>0</v>
      </c>
      <c r="BM48" s="237">
        <f t="shared" si="71"/>
        <v>191443.72423359173</v>
      </c>
      <c r="BN48" s="237">
        <f t="shared" si="72"/>
        <v>3018.8820701728077</v>
      </c>
      <c r="BO48" s="237"/>
      <c r="BP48" s="237">
        <f t="shared" si="73"/>
        <v>37969.06500767426</v>
      </c>
      <c r="BQ48" s="237">
        <f t="shared" si="74"/>
        <v>28382.020999589055</v>
      </c>
      <c r="BR48" s="237">
        <f t="shared" si="75"/>
        <v>72130.614773237001</v>
      </c>
      <c r="BS48" s="237"/>
      <c r="BT48" s="237"/>
      <c r="BU48" s="237">
        <f t="shared" si="76"/>
        <v>12724.539593037509</v>
      </c>
      <c r="BV48" s="237">
        <f t="shared" si="77"/>
        <v>10936.5256440292</v>
      </c>
      <c r="BW48" s="237">
        <f t="shared" si="78"/>
        <v>9523.0663262752169</v>
      </c>
      <c r="BX48" s="237">
        <f t="shared" si="79"/>
        <v>36884.229862009488</v>
      </c>
      <c r="BY48" s="237">
        <f t="shared" si="80"/>
        <v>5006.0113283288511</v>
      </c>
      <c r="BZ48" s="237">
        <f t="shared" si="81"/>
        <v>3285.7010014557063</v>
      </c>
      <c r="CA48" s="237">
        <f t="shared" si="82"/>
        <v>0</v>
      </c>
      <c r="CB48" s="237">
        <f t="shared" si="83"/>
        <v>0</v>
      </c>
      <c r="CC48" s="237">
        <f t="shared" si="84"/>
        <v>19044.235061102954</v>
      </c>
      <c r="CD48" s="237">
        <f t="shared" si="85"/>
        <v>14988.161353539039</v>
      </c>
      <c r="CE48" s="237">
        <f t="shared" si="86"/>
        <v>44941.63980986859</v>
      </c>
      <c r="CF48" s="237">
        <f t="shared" si="87"/>
        <v>4081.1101205699665</v>
      </c>
      <c r="CG48" s="237">
        <f t="shared" si="88"/>
        <v>48225.124872132772</v>
      </c>
      <c r="CH48" s="237">
        <f t="shared" si="89"/>
        <v>0</v>
      </c>
      <c r="CI48" s="237">
        <f t="shared" si="90"/>
        <v>1700.0683768224628</v>
      </c>
      <c r="CJ48" s="237">
        <f t="shared" si="91"/>
        <v>45722.339637273741</v>
      </c>
      <c r="CK48" s="237">
        <f t="shared" si="92"/>
        <v>6743.4206342717507</v>
      </c>
      <c r="CL48" s="237">
        <f t="shared" si="93"/>
        <v>5231.976945785108</v>
      </c>
      <c r="CM48" s="237">
        <f t="shared" si="94"/>
        <v>0</v>
      </c>
      <c r="CN48" s="237">
        <f t="shared" si="95"/>
        <v>87.474587941069899</v>
      </c>
      <c r="CO48" s="237"/>
      <c r="CP48" s="237"/>
      <c r="CQ48" s="237"/>
      <c r="CR48" s="237">
        <f t="shared" si="0"/>
        <v>6217850.2040313454</v>
      </c>
    </row>
    <row r="49" spans="1:96" x14ac:dyDescent="0.3">
      <c r="A49" s="257" t="s">
        <v>209</v>
      </c>
      <c r="B49" s="237">
        <f t="shared" si="8"/>
        <v>11239008.920274252</v>
      </c>
      <c r="C49" s="237">
        <f t="shared" si="9"/>
        <v>1104123.6152095373</v>
      </c>
      <c r="D49" s="237">
        <f t="shared" si="10"/>
        <v>530461.71413237392</v>
      </c>
      <c r="E49" s="237">
        <f t="shared" si="11"/>
        <v>1887260.6354226351</v>
      </c>
      <c r="F49" s="237">
        <f t="shared" si="12"/>
        <v>355954.92636930611</v>
      </c>
      <c r="G49" s="237">
        <f t="shared" si="13"/>
        <v>436826.4755801218</v>
      </c>
      <c r="H49" s="237">
        <f t="shared" si="14"/>
        <v>1166833.7858132005</v>
      </c>
      <c r="I49" s="237">
        <f t="shared" si="15"/>
        <v>0</v>
      </c>
      <c r="J49" s="237">
        <f t="shared" si="16"/>
        <v>607980.99291233486</v>
      </c>
      <c r="K49" s="237">
        <f t="shared" si="17"/>
        <v>480680.53527662175</v>
      </c>
      <c r="L49" s="237">
        <f t="shared" si="18"/>
        <v>158983.94733961625</v>
      </c>
      <c r="M49" s="237">
        <f t="shared" si="19"/>
        <v>5866.8868785674231</v>
      </c>
      <c r="N49" s="237">
        <f t="shared" si="20"/>
        <v>808686.94857586373</v>
      </c>
      <c r="O49" s="237">
        <f t="shared" si="21"/>
        <v>179704.05334253676</v>
      </c>
      <c r="P49" s="237">
        <f t="shared" si="22"/>
        <v>380118.24293657561</v>
      </c>
      <c r="Q49" s="237">
        <f t="shared" si="23"/>
        <v>0</v>
      </c>
      <c r="R49" s="237">
        <f t="shared" si="24"/>
        <v>150689.56354560773</v>
      </c>
      <c r="S49" s="237">
        <f t="shared" si="25"/>
        <v>174480.54578361192</v>
      </c>
      <c r="T49" s="237">
        <f t="shared" si="26"/>
        <v>209013.0499302285</v>
      </c>
      <c r="U49" s="237">
        <f t="shared" si="27"/>
        <v>462172.99903261522</v>
      </c>
      <c r="V49" s="237">
        <f t="shared" si="28"/>
        <v>374551.50669998408</v>
      </c>
      <c r="W49" s="237">
        <f t="shared" si="29"/>
        <v>947918.29102835443</v>
      </c>
      <c r="X49" s="237">
        <f t="shared" si="30"/>
        <v>108685.90012497739</v>
      </c>
      <c r="Y49" s="237">
        <f t="shared" si="31"/>
        <v>255382.29601869301</v>
      </c>
      <c r="Z49" s="237">
        <f t="shared" si="32"/>
        <v>351744.46741180558</v>
      </c>
      <c r="AA49" s="237">
        <f t="shared" si="33"/>
        <v>69346.40431330807</v>
      </c>
      <c r="AB49" s="237">
        <f t="shared" si="34"/>
        <v>728444.71339825471</v>
      </c>
      <c r="AC49" s="237">
        <f t="shared" si="35"/>
        <v>89598.497151756354</v>
      </c>
      <c r="AD49" s="237">
        <f t="shared" si="36"/>
        <v>67080.566855946672</v>
      </c>
      <c r="AE49" s="237">
        <f t="shared" si="37"/>
        <v>371051.95613160438</v>
      </c>
      <c r="AF49" s="237">
        <f t="shared" si="38"/>
        <v>224169.67859310922</v>
      </c>
      <c r="AG49" s="237">
        <f t="shared" si="39"/>
        <v>87291.539698034845</v>
      </c>
      <c r="AH49" s="237">
        <f t="shared" si="40"/>
        <v>24062.425991938613</v>
      </c>
      <c r="AI49" s="237">
        <f t="shared" si="41"/>
        <v>97099.538518670088</v>
      </c>
      <c r="AJ49" s="237">
        <f t="shared" si="42"/>
        <v>275247.60432812694</v>
      </c>
      <c r="AK49" s="237">
        <f t="shared" si="43"/>
        <v>164746.54961544278</v>
      </c>
      <c r="AL49" s="237">
        <f t="shared" si="44"/>
        <v>266765.81373593456</v>
      </c>
      <c r="AM49" s="237">
        <f t="shared" si="45"/>
        <v>780120.92410345247</v>
      </c>
      <c r="AN49" s="237">
        <f t="shared" si="46"/>
        <v>85410.565093991696</v>
      </c>
      <c r="AO49" s="237">
        <f t="shared" si="47"/>
        <v>78215.668313609756</v>
      </c>
      <c r="AP49" s="237">
        <f t="shared" si="48"/>
        <v>152307.14232571016</v>
      </c>
      <c r="AQ49" s="237">
        <f t="shared" si="49"/>
        <v>96831.123318304715</v>
      </c>
      <c r="AR49" s="237">
        <f t="shared" si="50"/>
        <v>6135.8473170976822</v>
      </c>
      <c r="AS49" s="237">
        <f t="shared" si="51"/>
        <v>338609.5139079311</v>
      </c>
      <c r="AT49" s="237">
        <f t="shared" si="52"/>
        <v>69712.569448831331</v>
      </c>
      <c r="AU49" s="237">
        <f t="shared" si="53"/>
        <v>48965.106435826485</v>
      </c>
      <c r="AV49" s="237">
        <f t="shared" si="54"/>
        <v>144617.17977358698</v>
      </c>
      <c r="AW49" s="237">
        <f t="shared" si="55"/>
        <v>43852.496623173312</v>
      </c>
      <c r="AX49" s="237">
        <f t="shared" si="56"/>
        <v>175457.51892090336</v>
      </c>
      <c r="AY49" s="237">
        <f t="shared" si="57"/>
        <v>0</v>
      </c>
      <c r="AZ49" s="237">
        <f t="shared" si="58"/>
        <v>3960.1481146859587</v>
      </c>
      <c r="BA49" s="237">
        <f t="shared" si="59"/>
        <v>15099.887643817736</v>
      </c>
      <c r="BB49" s="237">
        <f t="shared" si="60"/>
        <v>0</v>
      </c>
      <c r="BC49" s="237">
        <f t="shared" si="61"/>
        <v>129805.8569048966</v>
      </c>
      <c r="BD49" s="237">
        <f t="shared" si="62"/>
        <v>0</v>
      </c>
      <c r="BE49" s="237">
        <f t="shared" si="63"/>
        <v>0</v>
      </c>
      <c r="BF49" s="237">
        <f t="shared" si="64"/>
        <v>64046.750646246102</v>
      </c>
      <c r="BG49" s="237">
        <f t="shared" si="65"/>
        <v>115570.95291459544</v>
      </c>
      <c r="BH49" s="237">
        <f t="shared" si="66"/>
        <v>25920.161634360727</v>
      </c>
      <c r="BI49" s="237">
        <f t="shared" si="67"/>
        <v>1770.9154463647562</v>
      </c>
      <c r="BJ49" s="237">
        <f t="shared" si="68"/>
        <v>20180.891942193997</v>
      </c>
      <c r="BK49" s="237">
        <f t="shared" si="69"/>
        <v>233370.08777346704</v>
      </c>
      <c r="BL49" s="237">
        <f t="shared" si="70"/>
        <v>980.68004416595693</v>
      </c>
      <c r="BM49" s="237">
        <f t="shared" si="71"/>
        <v>55518.517910945746</v>
      </c>
      <c r="BN49" s="237">
        <f t="shared" si="72"/>
        <v>773.62365455393046</v>
      </c>
      <c r="BO49" s="237"/>
      <c r="BP49" s="237">
        <f t="shared" si="73"/>
        <v>39327.848510548072</v>
      </c>
      <c r="BQ49" s="237">
        <f t="shared" si="74"/>
        <v>18866.893086523676</v>
      </c>
      <c r="BR49" s="237">
        <f t="shared" si="75"/>
        <v>68029.969636897717</v>
      </c>
      <c r="BS49" s="237"/>
      <c r="BT49" s="237"/>
      <c r="BU49" s="237">
        <f t="shared" si="76"/>
        <v>53102.538857563115</v>
      </c>
      <c r="BV49" s="237">
        <f t="shared" si="77"/>
        <v>21423.999231569378</v>
      </c>
      <c r="BW49" s="237">
        <f t="shared" si="78"/>
        <v>289.81378585373182</v>
      </c>
      <c r="BX49" s="237">
        <f t="shared" si="79"/>
        <v>18740.893143596379</v>
      </c>
      <c r="BY49" s="237">
        <f t="shared" si="80"/>
        <v>19653.395054393641</v>
      </c>
      <c r="BZ49" s="237">
        <f t="shared" si="81"/>
        <v>9512.6667441289428</v>
      </c>
      <c r="CA49" s="237">
        <f t="shared" si="82"/>
        <v>0</v>
      </c>
      <c r="CB49" s="237">
        <f t="shared" si="83"/>
        <v>0</v>
      </c>
      <c r="CC49" s="237">
        <f t="shared" si="84"/>
        <v>0</v>
      </c>
      <c r="CD49" s="237">
        <f t="shared" si="85"/>
        <v>11657.684060617126</v>
      </c>
      <c r="CE49" s="237">
        <f t="shared" si="86"/>
        <v>0</v>
      </c>
      <c r="CF49" s="237">
        <f t="shared" si="87"/>
        <v>0</v>
      </c>
      <c r="CG49" s="237">
        <f t="shared" si="88"/>
        <v>61517.416183612724</v>
      </c>
      <c r="CH49" s="237">
        <f t="shared" si="89"/>
        <v>0</v>
      </c>
      <c r="CI49" s="237">
        <f t="shared" si="90"/>
        <v>8501.2863665438817</v>
      </c>
      <c r="CJ49" s="237">
        <f t="shared" si="91"/>
        <v>3122.5686148368791</v>
      </c>
      <c r="CK49" s="237">
        <f t="shared" si="92"/>
        <v>720.34369256019158</v>
      </c>
      <c r="CL49" s="237">
        <f t="shared" si="93"/>
        <v>4970.8545991284382</v>
      </c>
      <c r="CM49" s="237">
        <f t="shared" si="94"/>
        <v>0</v>
      </c>
      <c r="CN49" s="237">
        <f t="shared" si="95"/>
        <v>47.711400755787537</v>
      </c>
      <c r="CO49" s="237"/>
      <c r="CP49" s="237"/>
      <c r="CQ49" s="237"/>
      <c r="CR49" s="237">
        <f t="shared" si="0"/>
        <v>27868755.601153404</v>
      </c>
    </row>
    <row r="50" spans="1:96" x14ac:dyDescent="0.3">
      <c r="A50" s="257" t="s">
        <v>210</v>
      </c>
      <c r="B50" s="237">
        <f t="shared" si="8"/>
        <v>724311.36971083679</v>
      </c>
      <c r="C50" s="237">
        <f t="shared" si="9"/>
        <v>0</v>
      </c>
      <c r="D50" s="237">
        <f t="shared" si="10"/>
        <v>353641.48547361384</v>
      </c>
      <c r="E50" s="237">
        <f t="shared" si="11"/>
        <v>12528.982800308386</v>
      </c>
      <c r="F50" s="237">
        <f t="shared" si="12"/>
        <v>0</v>
      </c>
      <c r="G50" s="237">
        <f t="shared" si="13"/>
        <v>0</v>
      </c>
      <c r="H50" s="237">
        <f t="shared" si="14"/>
        <v>397017.06207868224</v>
      </c>
      <c r="I50" s="237">
        <f t="shared" si="15"/>
        <v>736666.16638378741</v>
      </c>
      <c r="J50" s="237">
        <f t="shared" si="16"/>
        <v>0</v>
      </c>
      <c r="K50" s="237">
        <f t="shared" si="17"/>
        <v>0</v>
      </c>
      <c r="L50" s="237">
        <f t="shared" si="18"/>
        <v>293731.20464110764</v>
      </c>
      <c r="M50" s="237">
        <f t="shared" si="19"/>
        <v>0</v>
      </c>
      <c r="N50" s="237">
        <f t="shared" si="20"/>
        <v>0</v>
      </c>
      <c r="O50" s="237">
        <f t="shared" si="21"/>
        <v>0</v>
      </c>
      <c r="P50" s="237">
        <f t="shared" si="22"/>
        <v>14339.169856550838</v>
      </c>
      <c r="Q50" s="237">
        <f t="shared" si="23"/>
        <v>0</v>
      </c>
      <c r="R50" s="237">
        <f t="shared" si="24"/>
        <v>0</v>
      </c>
      <c r="S50" s="237">
        <f t="shared" si="25"/>
        <v>0</v>
      </c>
      <c r="T50" s="237">
        <f t="shared" si="26"/>
        <v>0</v>
      </c>
      <c r="U50" s="237">
        <f t="shared" si="27"/>
        <v>3008.189015425864</v>
      </c>
      <c r="V50" s="237">
        <f t="shared" si="28"/>
        <v>28404.132271332459</v>
      </c>
      <c r="W50" s="237">
        <f t="shared" si="29"/>
        <v>0</v>
      </c>
      <c r="X50" s="237">
        <f t="shared" si="30"/>
        <v>56729.108976994292</v>
      </c>
      <c r="Y50" s="237">
        <f t="shared" si="31"/>
        <v>22761.803461282965</v>
      </c>
      <c r="Z50" s="237">
        <f t="shared" si="32"/>
        <v>112048.1049795507</v>
      </c>
      <c r="AA50" s="237">
        <f t="shared" si="33"/>
        <v>59.73197047911863</v>
      </c>
      <c r="AB50" s="237">
        <f t="shared" si="34"/>
        <v>173435.84111918701</v>
      </c>
      <c r="AC50" s="237">
        <f t="shared" si="35"/>
        <v>63.962213531752901</v>
      </c>
      <c r="AD50" s="237">
        <f t="shared" si="36"/>
        <v>44720.869574419434</v>
      </c>
      <c r="AE50" s="237">
        <f t="shared" si="37"/>
        <v>0</v>
      </c>
      <c r="AF50" s="237">
        <f t="shared" si="38"/>
        <v>223604.87288878695</v>
      </c>
      <c r="AG50" s="237">
        <f t="shared" si="39"/>
        <v>0</v>
      </c>
      <c r="AH50" s="237">
        <f t="shared" si="40"/>
        <v>351.21166356441739</v>
      </c>
      <c r="AI50" s="237">
        <f t="shared" si="41"/>
        <v>0</v>
      </c>
      <c r="AJ50" s="237">
        <f t="shared" si="42"/>
        <v>0</v>
      </c>
      <c r="AK50" s="237">
        <f t="shared" si="43"/>
        <v>2085.0223238258895</v>
      </c>
      <c r="AL50" s="237">
        <f t="shared" si="44"/>
        <v>104854.13278964673</v>
      </c>
      <c r="AM50" s="237">
        <f t="shared" si="45"/>
        <v>0</v>
      </c>
      <c r="AN50" s="237">
        <f t="shared" si="46"/>
        <v>0</v>
      </c>
      <c r="AO50" s="237">
        <f t="shared" si="47"/>
        <v>0</v>
      </c>
      <c r="AP50" s="237">
        <f t="shared" si="48"/>
        <v>0</v>
      </c>
      <c r="AQ50" s="237">
        <f t="shared" si="49"/>
        <v>0</v>
      </c>
      <c r="AR50" s="237">
        <f t="shared" si="50"/>
        <v>61293.329311369205</v>
      </c>
      <c r="AS50" s="237">
        <f t="shared" si="51"/>
        <v>0</v>
      </c>
      <c r="AT50" s="237">
        <f t="shared" si="52"/>
        <v>0</v>
      </c>
      <c r="AU50" s="237">
        <f t="shared" si="53"/>
        <v>0</v>
      </c>
      <c r="AV50" s="237">
        <f t="shared" si="54"/>
        <v>0</v>
      </c>
      <c r="AW50" s="237">
        <f t="shared" si="55"/>
        <v>0</v>
      </c>
      <c r="AX50" s="237">
        <f t="shared" si="56"/>
        <v>0</v>
      </c>
      <c r="AY50" s="237">
        <f t="shared" si="57"/>
        <v>0</v>
      </c>
      <c r="AZ50" s="237">
        <f t="shared" si="58"/>
        <v>323.16710870390335</v>
      </c>
      <c r="BA50" s="237">
        <f t="shared" si="59"/>
        <v>439.52800461431042</v>
      </c>
      <c r="BB50" s="237">
        <f t="shared" si="60"/>
        <v>0</v>
      </c>
      <c r="BC50" s="237">
        <f t="shared" si="61"/>
        <v>106243.73424162425</v>
      </c>
      <c r="BD50" s="237">
        <f t="shared" si="62"/>
        <v>0</v>
      </c>
      <c r="BE50" s="237">
        <f t="shared" si="63"/>
        <v>0</v>
      </c>
      <c r="BF50" s="237">
        <f t="shared" si="64"/>
        <v>0</v>
      </c>
      <c r="BG50" s="237">
        <f t="shared" si="65"/>
        <v>0</v>
      </c>
      <c r="BH50" s="237">
        <f t="shared" si="66"/>
        <v>0</v>
      </c>
      <c r="BI50" s="237">
        <f t="shared" si="67"/>
        <v>0</v>
      </c>
      <c r="BJ50" s="237">
        <f t="shared" si="68"/>
        <v>0</v>
      </c>
      <c r="BK50" s="237">
        <f t="shared" si="69"/>
        <v>19059.475757697797</v>
      </c>
      <c r="BL50" s="237">
        <f t="shared" si="70"/>
        <v>0</v>
      </c>
      <c r="BM50" s="237">
        <f t="shared" si="71"/>
        <v>0</v>
      </c>
      <c r="BN50" s="237">
        <f t="shared" si="72"/>
        <v>0</v>
      </c>
      <c r="BO50" s="237"/>
      <c r="BP50" s="237">
        <f t="shared" si="73"/>
        <v>0</v>
      </c>
      <c r="BQ50" s="237">
        <f t="shared" si="74"/>
        <v>78282.823484476918</v>
      </c>
      <c r="BR50" s="237">
        <f t="shared" si="75"/>
        <v>0</v>
      </c>
      <c r="BS50" s="237"/>
      <c r="BT50" s="237"/>
      <c r="BU50" s="237">
        <f t="shared" si="76"/>
        <v>0</v>
      </c>
      <c r="BV50" s="237">
        <f t="shared" si="77"/>
        <v>0</v>
      </c>
      <c r="BW50" s="237">
        <f t="shared" si="78"/>
        <v>0</v>
      </c>
      <c r="BX50" s="237">
        <f t="shared" si="79"/>
        <v>0</v>
      </c>
      <c r="BY50" s="237">
        <f t="shared" si="80"/>
        <v>0</v>
      </c>
      <c r="BZ50" s="237">
        <f t="shared" si="81"/>
        <v>0</v>
      </c>
      <c r="CA50" s="237">
        <f t="shared" si="82"/>
        <v>0</v>
      </c>
      <c r="CB50" s="237">
        <f t="shared" si="83"/>
        <v>0</v>
      </c>
      <c r="CC50" s="237">
        <f t="shared" si="84"/>
        <v>0</v>
      </c>
      <c r="CD50" s="237">
        <f t="shared" si="85"/>
        <v>0</v>
      </c>
      <c r="CE50" s="237">
        <f t="shared" si="86"/>
        <v>0</v>
      </c>
      <c r="CF50" s="237">
        <f t="shared" si="87"/>
        <v>0</v>
      </c>
      <c r="CG50" s="237">
        <f t="shared" si="88"/>
        <v>0</v>
      </c>
      <c r="CH50" s="237">
        <f t="shared" si="89"/>
        <v>0</v>
      </c>
      <c r="CI50" s="237">
        <f t="shared" si="90"/>
        <v>1480.0039702671108</v>
      </c>
      <c r="CJ50" s="237">
        <f t="shared" si="91"/>
        <v>0</v>
      </c>
      <c r="CK50" s="237">
        <f t="shared" si="92"/>
        <v>0</v>
      </c>
      <c r="CL50" s="237">
        <f t="shared" si="93"/>
        <v>0</v>
      </c>
      <c r="CM50" s="237">
        <f t="shared" si="94"/>
        <v>0</v>
      </c>
      <c r="CN50" s="237">
        <f t="shared" si="95"/>
        <v>0</v>
      </c>
      <c r="CO50" s="237"/>
      <c r="CP50" s="237"/>
      <c r="CQ50" s="237"/>
      <c r="CR50" s="237">
        <f t="shared" si="0"/>
        <v>3571484.4860716667</v>
      </c>
    </row>
    <row r="51" spans="1:96" x14ac:dyDescent="0.3">
      <c r="A51" s="257" t="s">
        <v>211</v>
      </c>
      <c r="B51" s="237">
        <f t="shared" si="8"/>
        <v>6353211.9198880922</v>
      </c>
      <c r="C51" s="237">
        <f t="shared" si="9"/>
        <v>468206.15644416597</v>
      </c>
      <c r="D51" s="237">
        <f t="shared" si="10"/>
        <v>625929.09188796964</v>
      </c>
      <c r="E51" s="237">
        <f t="shared" si="11"/>
        <v>444694.77645050688</v>
      </c>
      <c r="F51" s="237">
        <f t="shared" si="12"/>
        <v>5884.3596566864053</v>
      </c>
      <c r="G51" s="237">
        <f t="shared" si="13"/>
        <v>8084.7454444974846</v>
      </c>
      <c r="H51" s="237">
        <f t="shared" si="14"/>
        <v>4924.4083457552806</v>
      </c>
      <c r="I51" s="237">
        <f t="shared" si="15"/>
        <v>69508.860565756797</v>
      </c>
      <c r="J51" s="237">
        <f t="shared" si="16"/>
        <v>14957.507251090443</v>
      </c>
      <c r="K51" s="237">
        <f t="shared" si="17"/>
        <v>73201.001789108384</v>
      </c>
      <c r="L51" s="237">
        <f t="shared" si="18"/>
        <v>232894.67954192747</v>
      </c>
      <c r="M51" s="237">
        <f t="shared" si="19"/>
        <v>6199.6053271043074</v>
      </c>
      <c r="N51" s="237">
        <f t="shared" si="20"/>
        <v>37519.415798493996</v>
      </c>
      <c r="O51" s="237">
        <f t="shared" si="21"/>
        <v>555.81281151929113</v>
      </c>
      <c r="P51" s="237">
        <f t="shared" si="22"/>
        <v>170139.73517609618</v>
      </c>
      <c r="Q51" s="237">
        <f t="shared" si="23"/>
        <v>0</v>
      </c>
      <c r="R51" s="237">
        <f t="shared" si="24"/>
        <v>7099.4773136252361</v>
      </c>
      <c r="S51" s="237">
        <f t="shared" si="25"/>
        <v>5402.1177005864438</v>
      </c>
      <c r="T51" s="237">
        <f t="shared" si="26"/>
        <v>0</v>
      </c>
      <c r="U51" s="237">
        <f t="shared" si="27"/>
        <v>28539.278501661895</v>
      </c>
      <c r="V51" s="237">
        <f t="shared" si="28"/>
        <v>39424.63705790852</v>
      </c>
      <c r="W51" s="237">
        <f t="shared" si="29"/>
        <v>5163.2616973262448</v>
      </c>
      <c r="X51" s="237">
        <f t="shared" si="30"/>
        <v>0</v>
      </c>
      <c r="Y51" s="237">
        <f t="shared" si="31"/>
        <v>1964.2451447181011</v>
      </c>
      <c r="Z51" s="237">
        <f t="shared" si="32"/>
        <v>3702.2314915470251</v>
      </c>
      <c r="AA51" s="237">
        <f t="shared" si="33"/>
        <v>271508.95672326651</v>
      </c>
      <c r="AB51" s="237">
        <f t="shared" si="34"/>
        <v>0</v>
      </c>
      <c r="AC51" s="237">
        <f t="shared" si="35"/>
        <v>6396.2213531752905</v>
      </c>
      <c r="AD51" s="237">
        <f t="shared" si="36"/>
        <v>142841.57559472122</v>
      </c>
      <c r="AE51" s="237">
        <f t="shared" si="37"/>
        <v>41632.679625659519</v>
      </c>
      <c r="AF51" s="237">
        <f t="shared" si="38"/>
        <v>0</v>
      </c>
      <c r="AG51" s="237">
        <f t="shared" si="39"/>
        <v>301492.67339540046</v>
      </c>
      <c r="AH51" s="237">
        <f t="shared" si="40"/>
        <v>346161.88914123492</v>
      </c>
      <c r="AI51" s="237">
        <f t="shared" si="41"/>
        <v>0</v>
      </c>
      <c r="AJ51" s="237">
        <f t="shared" si="42"/>
        <v>14485.41260802197</v>
      </c>
      <c r="AK51" s="237">
        <f t="shared" si="43"/>
        <v>208.50223238258897</v>
      </c>
      <c r="AL51" s="237">
        <f t="shared" si="44"/>
        <v>28989.235909213443</v>
      </c>
      <c r="AM51" s="237">
        <f t="shared" si="45"/>
        <v>51995.371178128371</v>
      </c>
      <c r="AN51" s="237">
        <f t="shared" si="46"/>
        <v>7092.2623346095979</v>
      </c>
      <c r="AO51" s="237">
        <f t="shared" si="47"/>
        <v>11360.018397074751</v>
      </c>
      <c r="AP51" s="237">
        <f t="shared" si="48"/>
        <v>14508.9912016991</v>
      </c>
      <c r="AQ51" s="237">
        <f t="shared" si="49"/>
        <v>24117.314293171959</v>
      </c>
      <c r="AR51" s="237">
        <f t="shared" si="50"/>
        <v>2693.786627018495</v>
      </c>
      <c r="AS51" s="237">
        <f t="shared" si="51"/>
        <v>100609.44219937663</v>
      </c>
      <c r="AT51" s="237">
        <f t="shared" si="52"/>
        <v>0</v>
      </c>
      <c r="AU51" s="237">
        <f t="shared" si="53"/>
        <v>18140.489409789225</v>
      </c>
      <c r="AV51" s="237">
        <f t="shared" si="54"/>
        <v>7231.1342716956315</v>
      </c>
      <c r="AW51" s="237">
        <f t="shared" si="55"/>
        <v>5478.8469611752962</v>
      </c>
      <c r="AX51" s="237">
        <f t="shared" si="56"/>
        <v>1982.2174541533059</v>
      </c>
      <c r="AY51" s="237">
        <f t="shared" si="57"/>
        <v>0</v>
      </c>
      <c r="AZ51" s="237">
        <f t="shared" si="58"/>
        <v>15641.720391849129</v>
      </c>
      <c r="BA51" s="237">
        <f t="shared" si="59"/>
        <v>7363.7099890713707</v>
      </c>
      <c r="BB51" s="237">
        <f t="shared" si="60"/>
        <v>0</v>
      </c>
      <c r="BC51" s="237">
        <f t="shared" si="61"/>
        <v>19327.226029291596</v>
      </c>
      <c r="BD51" s="237">
        <f t="shared" si="62"/>
        <v>3920.0232234141176</v>
      </c>
      <c r="BE51" s="237">
        <f t="shared" si="63"/>
        <v>2388.5085378189037</v>
      </c>
      <c r="BF51" s="237">
        <f t="shared" si="64"/>
        <v>141917.63792186315</v>
      </c>
      <c r="BG51" s="237">
        <f t="shared" si="65"/>
        <v>31090.141052749161</v>
      </c>
      <c r="BH51" s="237">
        <f t="shared" si="66"/>
        <v>7912.8187048895261</v>
      </c>
      <c r="BI51" s="237">
        <f t="shared" si="67"/>
        <v>59.007361766024637</v>
      </c>
      <c r="BJ51" s="237">
        <f t="shared" si="68"/>
        <v>4083.3619443836219</v>
      </c>
      <c r="BK51" s="237">
        <f t="shared" si="69"/>
        <v>6352.7718113597612</v>
      </c>
      <c r="BL51" s="237">
        <f t="shared" si="70"/>
        <v>20.586727141298883</v>
      </c>
      <c r="BM51" s="237">
        <f t="shared" si="71"/>
        <v>1914.058969812239</v>
      </c>
      <c r="BN51" s="237">
        <f t="shared" si="72"/>
        <v>216.87518002849163</v>
      </c>
      <c r="BO51" s="237"/>
      <c r="BP51" s="237">
        <f t="shared" si="73"/>
        <v>1770.8508750501246</v>
      </c>
      <c r="BQ51" s="237">
        <f t="shared" si="74"/>
        <v>138930.48889455962</v>
      </c>
      <c r="BR51" s="237">
        <f t="shared" si="75"/>
        <v>2277.7746353257503</v>
      </c>
      <c r="BS51" s="237"/>
      <c r="BT51" s="237"/>
      <c r="BU51" s="237">
        <f t="shared" si="76"/>
        <v>11212.259377298358</v>
      </c>
      <c r="BV51" s="237">
        <f t="shared" si="77"/>
        <v>4285.0675375547034</v>
      </c>
      <c r="BW51" s="237">
        <f t="shared" si="78"/>
        <v>772.83676227661817</v>
      </c>
      <c r="BX51" s="237">
        <f t="shared" si="79"/>
        <v>0</v>
      </c>
      <c r="BY51" s="237">
        <f t="shared" si="80"/>
        <v>3707.9911444743284</v>
      </c>
      <c r="BZ51" s="237">
        <f t="shared" si="81"/>
        <v>115.48154497781364</v>
      </c>
      <c r="CA51" s="237">
        <f t="shared" si="82"/>
        <v>0</v>
      </c>
      <c r="CB51" s="237">
        <f t="shared" si="83"/>
        <v>0</v>
      </c>
      <c r="CC51" s="237">
        <f t="shared" si="84"/>
        <v>16715.915816704619</v>
      </c>
      <c r="CD51" s="237">
        <f t="shared" si="85"/>
        <v>1665.2386464609581</v>
      </c>
      <c r="CE51" s="237">
        <f t="shared" si="86"/>
        <v>0</v>
      </c>
      <c r="CF51" s="237">
        <f t="shared" si="87"/>
        <v>15887.774205334308</v>
      </c>
      <c r="CG51" s="237">
        <f t="shared" si="88"/>
        <v>21796.383891955655</v>
      </c>
      <c r="CH51" s="237">
        <f t="shared" si="89"/>
        <v>0</v>
      </c>
      <c r="CI51" s="237">
        <f t="shared" si="90"/>
        <v>850.03418841123141</v>
      </c>
      <c r="CJ51" s="237">
        <f t="shared" si="91"/>
        <v>0</v>
      </c>
      <c r="CK51" s="237">
        <f t="shared" si="92"/>
        <v>0</v>
      </c>
      <c r="CL51" s="237">
        <f t="shared" si="93"/>
        <v>8484.5702638114417</v>
      </c>
      <c r="CM51" s="237">
        <f t="shared" si="94"/>
        <v>0</v>
      </c>
      <c r="CN51" s="237">
        <f t="shared" si="95"/>
        <v>12.231991014348868</v>
      </c>
      <c r="CO51" s="237"/>
      <c r="CP51" s="237"/>
      <c r="CQ51" s="237"/>
      <c r="CR51" s="237">
        <f t="shared" si="0"/>
        <v>10476827.693817761</v>
      </c>
    </row>
    <row r="52" spans="1:96" x14ac:dyDescent="0.3">
      <c r="A52" s="257" t="s">
        <v>212</v>
      </c>
      <c r="B52" s="237">
        <f t="shared" si="8"/>
        <v>12028805.383314677</v>
      </c>
      <c r="C52" s="237">
        <f t="shared" si="9"/>
        <v>0</v>
      </c>
      <c r="D52" s="237">
        <f t="shared" si="10"/>
        <v>96560.30768305315</v>
      </c>
      <c r="E52" s="237">
        <f t="shared" si="11"/>
        <v>741098.95340169012</v>
      </c>
      <c r="F52" s="237">
        <f t="shared" si="12"/>
        <v>0</v>
      </c>
      <c r="G52" s="237">
        <f t="shared" si="13"/>
        <v>0</v>
      </c>
      <c r="H52" s="237">
        <f t="shared" si="14"/>
        <v>0</v>
      </c>
      <c r="I52" s="237">
        <f t="shared" si="15"/>
        <v>0</v>
      </c>
      <c r="J52" s="237">
        <f t="shared" si="16"/>
        <v>0</v>
      </c>
      <c r="K52" s="237">
        <f t="shared" si="17"/>
        <v>7805.3034133615565</v>
      </c>
      <c r="L52" s="237">
        <f t="shared" si="18"/>
        <v>172961.87859495767</v>
      </c>
      <c r="M52" s="237">
        <f t="shared" si="19"/>
        <v>0</v>
      </c>
      <c r="N52" s="237">
        <f t="shared" si="20"/>
        <v>0</v>
      </c>
      <c r="O52" s="237">
        <f t="shared" si="21"/>
        <v>0</v>
      </c>
      <c r="P52" s="237">
        <f t="shared" si="22"/>
        <v>960.17249085131505</v>
      </c>
      <c r="Q52" s="237">
        <f t="shared" si="23"/>
        <v>0</v>
      </c>
      <c r="R52" s="237">
        <f t="shared" si="24"/>
        <v>99.768405962142637</v>
      </c>
      <c r="S52" s="237">
        <f t="shared" si="25"/>
        <v>0</v>
      </c>
      <c r="T52" s="237">
        <f t="shared" si="26"/>
        <v>1634.6193753336611</v>
      </c>
      <c r="U52" s="237">
        <f t="shared" si="27"/>
        <v>1375523.3151621392</v>
      </c>
      <c r="V52" s="237">
        <f t="shared" si="28"/>
        <v>5419.3678371562446</v>
      </c>
      <c r="W52" s="237">
        <f t="shared" si="29"/>
        <v>0</v>
      </c>
      <c r="X52" s="237">
        <f t="shared" si="30"/>
        <v>138364.63407936067</v>
      </c>
      <c r="Y52" s="237">
        <f t="shared" si="31"/>
        <v>0</v>
      </c>
      <c r="Z52" s="237">
        <f t="shared" si="32"/>
        <v>230112.09010472256</v>
      </c>
      <c r="AA52" s="237">
        <f t="shared" si="33"/>
        <v>0</v>
      </c>
      <c r="AB52" s="237">
        <f t="shared" si="34"/>
        <v>0</v>
      </c>
      <c r="AC52" s="237">
        <f t="shared" si="35"/>
        <v>0</v>
      </c>
      <c r="AD52" s="237">
        <f t="shared" si="36"/>
        <v>0</v>
      </c>
      <c r="AE52" s="237">
        <f t="shared" si="37"/>
        <v>0</v>
      </c>
      <c r="AF52" s="237">
        <f t="shared" si="38"/>
        <v>0</v>
      </c>
      <c r="AG52" s="237">
        <f t="shared" si="39"/>
        <v>63662.875015953723</v>
      </c>
      <c r="AH52" s="237">
        <f t="shared" si="40"/>
        <v>21695.436461025482</v>
      </c>
      <c r="AI52" s="237">
        <f t="shared" si="41"/>
        <v>0</v>
      </c>
      <c r="AJ52" s="237">
        <f t="shared" si="42"/>
        <v>0</v>
      </c>
      <c r="AK52" s="237">
        <f t="shared" si="43"/>
        <v>0</v>
      </c>
      <c r="AL52" s="237">
        <f t="shared" si="44"/>
        <v>0</v>
      </c>
      <c r="AM52" s="237">
        <f t="shared" si="45"/>
        <v>0</v>
      </c>
      <c r="AN52" s="237">
        <f t="shared" si="46"/>
        <v>0</v>
      </c>
      <c r="AO52" s="237">
        <f t="shared" si="47"/>
        <v>262850.15124054806</v>
      </c>
      <c r="AP52" s="237">
        <f t="shared" si="48"/>
        <v>72816.380822818479</v>
      </c>
      <c r="AQ52" s="237">
        <f t="shared" si="49"/>
        <v>48504.627784776327</v>
      </c>
      <c r="AR52" s="237">
        <f t="shared" si="50"/>
        <v>11262.845132704126</v>
      </c>
      <c r="AS52" s="237">
        <f t="shared" si="51"/>
        <v>10380.400191522373</v>
      </c>
      <c r="AT52" s="237">
        <f t="shared" si="52"/>
        <v>0</v>
      </c>
      <c r="AU52" s="237">
        <f t="shared" si="53"/>
        <v>0</v>
      </c>
      <c r="AV52" s="237">
        <f t="shared" si="54"/>
        <v>0</v>
      </c>
      <c r="AW52" s="237">
        <f t="shared" si="55"/>
        <v>0</v>
      </c>
      <c r="AX52" s="237">
        <f t="shared" si="56"/>
        <v>29738.948035633366</v>
      </c>
      <c r="AY52" s="237">
        <f t="shared" si="57"/>
        <v>0</v>
      </c>
      <c r="AZ52" s="237">
        <f t="shared" si="58"/>
        <v>0</v>
      </c>
      <c r="BA52" s="237">
        <f t="shared" si="59"/>
        <v>0</v>
      </c>
      <c r="BB52" s="237">
        <f t="shared" si="60"/>
        <v>145367.24475494699</v>
      </c>
      <c r="BC52" s="237">
        <f t="shared" si="61"/>
        <v>0</v>
      </c>
      <c r="BD52" s="237">
        <f t="shared" si="62"/>
        <v>0</v>
      </c>
      <c r="BE52" s="237">
        <f t="shared" si="63"/>
        <v>0</v>
      </c>
      <c r="BF52" s="237">
        <f t="shared" si="64"/>
        <v>0</v>
      </c>
      <c r="BG52" s="237">
        <f t="shared" si="65"/>
        <v>33833.388792697624</v>
      </c>
      <c r="BH52" s="237">
        <f t="shared" si="66"/>
        <v>0</v>
      </c>
      <c r="BI52" s="237">
        <f t="shared" si="67"/>
        <v>0</v>
      </c>
      <c r="BJ52" s="237">
        <f t="shared" si="68"/>
        <v>0</v>
      </c>
      <c r="BK52" s="237">
        <f t="shared" si="69"/>
        <v>0</v>
      </c>
      <c r="BL52" s="237">
        <f t="shared" si="70"/>
        <v>0</v>
      </c>
      <c r="BM52" s="237">
        <f t="shared" si="71"/>
        <v>0</v>
      </c>
      <c r="BN52" s="237">
        <f t="shared" si="72"/>
        <v>0</v>
      </c>
      <c r="BO52" s="237"/>
      <c r="BP52" s="237">
        <f t="shared" si="73"/>
        <v>0</v>
      </c>
      <c r="BQ52" s="237">
        <f t="shared" si="74"/>
        <v>0</v>
      </c>
      <c r="BR52" s="237">
        <f t="shared" si="75"/>
        <v>0</v>
      </c>
      <c r="BS52" s="237"/>
      <c r="BT52" s="237"/>
      <c r="BU52" s="237">
        <f t="shared" si="76"/>
        <v>1111.5905859279235</v>
      </c>
      <c r="BV52" s="237">
        <f t="shared" si="77"/>
        <v>0</v>
      </c>
      <c r="BW52" s="237">
        <f t="shared" si="78"/>
        <v>0</v>
      </c>
      <c r="BX52" s="237">
        <f t="shared" si="79"/>
        <v>48573.481047865462</v>
      </c>
      <c r="BY52" s="237">
        <f t="shared" si="80"/>
        <v>0</v>
      </c>
      <c r="BZ52" s="237">
        <f t="shared" si="81"/>
        <v>0</v>
      </c>
      <c r="CA52" s="237">
        <f t="shared" si="82"/>
        <v>0</v>
      </c>
      <c r="CB52" s="237">
        <f t="shared" si="83"/>
        <v>0</v>
      </c>
      <c r="CC52" s="237">
        <f t="shared" si="84"/>
        <v>23216.710330238886</v>
      </c>
      <c r="CD52" s="237">
        <f t="shared" si="85"/>
        <v>0</v>
      </c>
      <c r="CE52" s="237">
        <f t="shared" si="86"/>
        <v>0</v>
      </c>
      <c r="CF52" s="237">
        <f t="shared" si="87"/>
        <v>0</v>
      </c>
      <c r="CG52" s="237">
        <f t="shared" si="88"/>
        <v>0</v>
      </c>
      <c r="CH52" s="237">
        <f t="shared" si="89"/>
        <v>0</v>
      </c>
      <c r="CI52" s="237">
        <f t="shared" si="90"/>
        <v>0</v>
      </c>
      <c r="CJ52" s="237">
        <f t="shared" si="91"/>
        <v>0</v>
      </c>
      <c r="CK52" s="237">
        <f t="shared" si="92"/>
        <v>1266.0902927291611</v>
      </c>
      <c r="CL52" s="237">
        <f t="shared" si="93"/>
        <v>0</v>
      </c>
      <c r="CM52" s="237">
        <f t="shared" si="94"/>
        <v>0</v>
      </c>
      <c r="CN52" s="237">
        <f t="shared" si="95"/>
        <v>0</v>
      </c>
      <c r="CO52" s="237"/>
      <c r="CP52" s="237"/>
      <c r="CQ52" s="237"/>
      <c r="CR52" s="237">
        <f t="shared" si="0"/>
        <v>15573625.964352656</v>
      </c>
    </row>
    <row r="53" spans="1:96" x14ac:dyDescent="0.3">
      <c r="A53" s="257" t="s">
        <v>80</v>
      </c>
      <c r="B53" s="237">
        <f t="shared" si="8"/>
        <v>2047614.3130335116</v>
      </c>
      <c r="C53" s="237">
        <f t="shared" si="9"/>
        <v>0</v>
      </c>
      <c r="D53" s="237">
        <f t="shared" si="10"/>
        <v>0</v>
      </c>
      <c r="E53" s="237">
        <f t="shared" si="11"/>
        <v>337987.8653678277</v>
      </c>
      <c r="F53" s="237">
        <f t="shared" si="12"/>
        <v>0</v>
      </c>
      <c r="G53" s="237">
        <f t="shared" si="13"/>
        <v>0</v>
      </c>
      <c r="H53" s="237">
        <f t="shared" si="14"/>
        <v>0</v>
      </c>
      <c r="I53" s="237">
        <f t="shared" si="15"/>
        <v>0</v>
      </c>
      <c r="J53" s="237">
        <f t="shared" si="16"/>
        <v>0</v>
      </c>
      <c r="K53" s="237">
        <f t="shared" si="17"/>
        <v>0</v>
      </c>
      <c r="L53" s="237">
        <f t="shared" si="18"/>
        <v>779.5862192144242</v>
      </c>
      <c r="M53" s="237">
        <f t="shared" si="19"/>
        <v>0</v>
      </c>
      <c r="N53" s="237">
        <f t="shared" si="20"/>
        <v>0</v>
      </c>
      <c r="O53" s="237">
        <f t="shared" si="21"/>
        <v>0</v>
      </c>
      <c r="P53" s="237">
        <f t="shared" si="22"/>
        <v>0</v>
      </c>
      <c r="Q53" s="237">
        <f t="shared" si="23"/>
        <v>0</v>
      </c>
      <c r="R53" s="237">
        <f t="shared" si="24"/>
        <v>0</v>
      </c>
      <c r="S53" s="237">
        <f t="shared" si="25"/>
        <v>0</v>
      </c>
      <c r="T53" s="237">
        <f t="shared" si="26"/>
        <v>0</v>
      </c>
      <c r="U53" s="237">
        <f t="shared" si="27"/>
        <v>0</v>
      </c>
      <c r="V53" s="237">
        <f t="shared" si="28"/>
        <v>0</v>
      </c>
      <c r="W53" s="237">
        <f t="shared" si="29"/>
        <v>0</v>
      </c>
      <c r="X53" s="237">
        <f t="shared" si="30"/>
        <v>0</v>
      </c>
      <c r="Y53" s="237">
        <f t="shared" si="31"/>
        <v>0</v>
      </c>
      <c r="Z53" s="237">
        <f t="shared" si="32"/>
        <v>21316.862397235545</v>
      </c>
      <c r="AA53" s="237">
        <f t="shared" si="33"/>
        <v>0</v>
      </c>
      <c r="AB53" s="237">
        <f t="shared" si="34"/>
        <v>0</v>
      </c>
      <c r="AC53" s="237">
        <f t="shared" si="35"/>
        <v>724221.30017234816</v>
      </c>
      <c r="AD53" s="237">
        <f t="shared" si="36"/>
        <v>0</v>
      </c>
      <c r="AE53" s="237">
        <f t="shared" si="37"/>
        <v>0</v>
      </c>
      <c r="AF53" s="237">
        <f t="shared" si="38"/>
        <v>0</v>
      </c>
      <c r="AG53" s="237">
        <f t="shared" si="39"/>
        <v>0</v>
      </c>
      <c r="AH53" s="237">
        <f t="shared" si="40"/>
        <v>0</v>
      </c>
      <c r="AI53" s="237">
        <f t="shared" si="41"/>
        <v>0</v>
      </c>
      <c r="AJ53" s="237">
        <f t="shared" si="42"/>
        <v>0</v>
      </c>
      <c r="AK53" s="237">
        <f t="shared" si="43"/>
        <v>0</v>
      </c>
      <c r="AL53" s="237">
        <f t="shared" si="44"/>
        <v>0</v>
      </c>
      <c r="AM53" s="237">
        <f t="shared" si="45"/>
        <v>0</v>
      </c>
      <c r="AN53" s="237">
        <f t="shared" si="46"/>
        <v>0</v>
      </c>
      <c r="AO53" s="237">
        <f t="shared" si="47"/>
        <v>0</v>
      </c>
      <c r="AP53" s="237">
        <f t="shared" si="48"/>
        <v>0</v>
      </c>
      <c r="AQ53" s="237">
        <f t="shared" si="49"/>
        <v>0</v>
      </c>
      <c r="AR53" s="237">
        <f t="shared" si="50"/>
        <v>0</v>
      </c>
      <c r="AS53" s="237">
        <f t="shared" si="51"/>
        <v>0</v>
      </c>
      <c r="AT53" s="237">
        <f t="shared" si="52"/>
        <v>0</v>
      </c>
      <c r="AU53" s="237">
        <f t="shared" si="53"/>
        <v>0</v>
      </c>
      <c r="AV53" s="237">
        <f t="shared" si="54"/>
        <v>0</v>
      </c>
      <c r="AW53" s="237">
        <f t="shared" si="55"/>
        <v>0</v>
      </c>
      <c r="AX53" s="237">
        <f t="shared" si="56"/>
        <v>0</v>
      </c>
      <c r="AY53" s="237">
        <f t="shared" si="57"/>
        <v>0</v>
      </c>
      <c r="AZ53" s="237">
        <f t="shared" si="58"/>
        <v>0</v>
      </c>
      <c r="BA53" s="237">
        <f t="shared" si="59"/>
        <v>27.470500288394401</v>
      </c>
      <c r="BB53" s="237">
        <f t="shared" si="60"/>
        <v>0</v>
      </c>
      <c r="BC53" s="237">
        <f t="shared" si="61"/>
        <v>0</v>
      </c>
      <c r="BD53" s="237">
        <f t="shared" si="62"/>
        <v>0</v>
      </c>
      <c r="BE53" s="237">
        <f t="shared" si="63"/>
        <v>0</v>
      </c>
      <c r="BF53" s="237">
        <f t="shared" si="64"/>
        <v>94751.726384486479</v>
      </c>
      <c r="BG53" s="237">
        <f t="shared" si="65"/>
        <v>18001.504941660216</v>
      </c>
      <c r="BH53" s="237">
        <f t="shared" si="66"/>
        <v>0</v>
      </c>
      <c r="BI53" s="237">
        <f t="shared" si="67"/>
        <v>0</v>
      </c>
      <c r="BJ53" s="237">
        <f t="shared" si="68"/>
        <v>0</v>
      </c>
      <c r="BK53" s="237">
        <f t="shared" si="69"/>
        <v>0</v>
      </c>
      <c r="BL53" s="237">
        <f t="shared" si="70"/>
        <v>0</v>
      </c>
      <c r="BM53" s="237">
        <f t="shared" si="71"/>
        <v>0</v>
      </c>
      <c r="BN53" s="237">
        <f t="shared" si="72"/>
        <v>0</v>
      </c>
      <c r="BO53" s="237"/>
      <c r="BP53" s="237">
        <f t="shared" si="73"/>
        <v>0</v>
      </c>
      <c r="BQ53" s="237">
        <f t="shared" si="74"/>
        <v>18166.337534466304</v>
      </c>
      <c r="BR53" s="237">
        <f t="shared" si="75"/>
        <v>0</v>
      </c>
      <c r="BS53" s="237"/>
      <c r="BT53" s="237"/>
      <c r="BU53" s="237">
        <f t="shared" si="76"/>
        <v>0</v>
      </c>
      <c r="BV53" s="237">
        <f t="shared" si="77"/>
        <v>0</v>
      </c>
      <c r="BW53" s="237">
        <f t="shared" si="78"/>
        <v>0</v>
      </c>
      <c r="BX53" s="237">
        <f t="shared" si="79"/>
        <v>0</v>
      </c>
      <c r="BY53" s="237">
        <f t="shared" si="80"/>
        <v>0</v>
      </c>
      <c r="BZ53" s="237">
        <f t="shared" si="81"/>
        <v>0</v>
      </c>
      <c r="CA53" s="237">
        <f t="shared" si="82"/>
        <v>0</v>
      </c>
      <c r="CB53" s="237">
        <f t="shared" si="83"/>
        <v>0</v>
      </c>
      <c r="CC53" s="237">
        <f t="shared" si="84"/>
        <v>23216.710330238886</v>
      </c>
      <c r="CD53" s="237">
        <f t="shared" si="85"/>
        <v>0</v>
      </c>
      <c r="CE53" s="237">
        <f t="shared" si="86"/>
        <v>0</v>
      </c>
      <c r="CF53" s="237">
        <f t="shared" si="87"/>
        <v>0</v>
      </c>
      <c r="CG53" s="237">
        <f t="shared" si="88"/>
        <v>0</v>
      </c>
      <c r="CH53" s="237">
        <f t="shared" si="89"/>
        <v>0</v>
      </c>
      <c r="CI53" s="237">
        <f t="shared" si="90"/>
        <v>0</v>
      </c>
      <c r="CJ53" s="237">
        <f t="shared" si="91"/>
        <v>0</v>
      </c>
      <c r="CK53" s="237">
        <f t="shared" si="92"/>
        <v>0</v>
      </c>
      <c r="CL53" s="237">
        <f t="shared" si="93"/>
        <v>0</v>
      </c>
      <c r="CM53" s="237">
        <f t="shared" si="94"/>
        <v>0</v>
      </c>
      <c r="CN53" s="237">
        <f t="shared" si="95"/>
        <v>0</v>
      </c>
      <c r="CO53" s="237"/>
      <c r="CP53" s="237"/>
      <c r="CQ53" s="237"/>
      <c r="CR53" s="237">
        <f t="shared" si="0"/>
        <v>3286083.6768812779</v>
      </c>
    </row>
    <row r="54" spans="1:96" x14ac:dyDescent="0.3">
      <c r="A54" s="157" t="s">
        <v>421</v>
      </c>
      <c r="B54" s="247">
        <f>SUM(B45:B53)</f>
        <v>95379599.999999985</v>
      </c>
      <c r="C54" s="247">
        <f t="shared" ref="C54:BN54" si="96">SUM(C45:C53)</f>
        <v>9285682</v>
      </c>
      <c r="D54" s="247">
        <f t="shared" si="96"/>
        <v>5469410.0000000009</v>
      </c>
      <c r="E54" s="247">
        <f t="shared" si="96"/>
        <v>7330450.0000000019</v>
      </c>
      <c r="F54" s="247">
        <f t="shared" si="96"/>
        <v>8464454</v>
      </c>
      <c r="G54" s="247">
        <f t="shared" si="96"/>
        <v>3581783.8251593933</v>
      </c>
      <c r="H54" s="247">
        <f t="shared" si="96"/>
        <v>4746216.3393416405</v>
      </c>
      <c r="I54" s="247">
        <f t="shared" si="96"/>
        <v>7988954.75</v>
      </c>
      <c r="J54" s="247">
        <f t="shared" si="96"/>
        <v>3372588</v>
      </c>
      <c r="K54" s="247">
        <f t="shared" si="96"/>
        <v>4220573</v>
      </c>
      <c r="L54" s="247">
        <f t="shared" si="96"/>
        <v>5674189</v>
      </c>
      <c r="M54" s="247">
        <f t="shared" si="96"/>
        <v>3521139</v>
      </c>
      <c r="N54" s="247">
        <f t="shared" si="96"/>
        <v>4607024</v>
      </c>
      <c r="O54" s="247">
        <f t="shared" si="96"/>
        <v>2618120</v>
      </c>
      <c r="P54" s="247">
        <f t="shared" si="96"/>
        <v>2508667.0904487995</v>
      </c>
      <c r="Q54" s="247">
        <f t="shared" si="96"/>
        <v>844795.85494042514</v>
      </c>
      <c r="R54" s="247">
        <f t="shared" si="96"/>
        <v>1510749.4554778703</v>
      </c>
      <c r="S54" s="247">
        <f t="shared" si="96"/>
        <v>4128699.0000000005</v>
      </c>
      <c r="T54" s="247">
        <f t="shared" si="96"/>
        <v>1275266</v>
      </c>
      <c r="U54" s="247">
        <f t="shared" si="96"/>
        <v>3469279.6826872444</v>
      </c>
      <c r="V54" s="247">
        <f t="shared" si="96"/>
        <v>3545107.9999999995</v>
      </c>
      <c r="W54" s="247">
        <f t="shared" si="96"/>
        <v>2818164</v>
      </c>
      <c r="X54" s="247">
        <f t="shared" si="96"/>
        <v>1320935.0000000002</v>
      </c>
      <c r="Y54" s="247">
        <f t="shared" si="96"/>
        <v>1099640.327916336</v>
      </c>
      <c r="Z54" s="247">
        <f t="shared" si="96"/>
        <v>1995241</v>
      </c>
      <c r="AA54" s="247">
        <f t="shared" si="96"/>
        <v>1230624</v>
      </c>
      <c r="AB54" s="247">
        <f t="shared" si="96"/>
        <v>3468770</v>
      </c>
      <c r="AC54" s="247">
        <f t="shared" si="96"/>
        <v>1237626</v>
      </c>
      <c r="AD54" s="247">
        <f t="shared" si="96"/>
        <v>2167423</v>
      </c>
      <c r="AE54" s="247">
        <f t="shared" si="96"/>
        <v>2723122.0000000005</v>
      </c>
      <c r="AF54" s="247">
        <f t="shared" si="96"/>
        <v>1784778</v>
      </c>
      <c r="AG54" s="247">
        <f t="shared" si="96"/>
        <v>1630325</v>
      </c>
      <c r="AH54" s="247">
        <f t="shared" si="96"/>
        <v>1101993</v>
      </c>
      <c r="AI54" s="247">
        <f t="shared" si="96"/>
        <v>1650626.9999999998</v>
      </c>
      <c r="AJ54" s="247">
        <f t="shared" si="96"/>
        <v>1448673.9999999998</v>
      </c>
      <c r="AK54" s="247">
        <f t="shared" si="96"/>
        <v>1358954.9999999998</v>
      </c>
      <c r="AL54" s="247">
        <f t="shared" si="96"/>
        <v>784687.00000000012</v>
      </c>
      <c r="AM54" s="247">
        <f t="shared" si="96"/>
        <v>1731476</v>
      </c>
      <c r="AN54" s="247">
        <f t="shared" si="96"/>
        <v>1129153.6802779872</v>
      </c>
      <c r="AO54" s="247">
        <f t="shared" si="96"/>
        <v>2201797.9999999995</v>
      </c>
      <c r="AP54" s="247">
        <f t="shared" si="96"/>
        <v>1285825</v>
      </c>
      <c r="AQ54" s="247">
        <f t="shared" si="96"/>
        <v>1210384</v>
      </c>
      <c r="AR54" s="247">
        <f t="shared" si="96"/>
        <v>595642</v>
      </c>
      <c r="AS54" s="247">
        <f t="shared" si="96"/>
        <v>1667181</v>
      </c>
      <c r="AT54" s="247">
        <f t="shared" si="96"/>
        <v>713983</v>
      </c>
      <c r="AU54" s="247">
        <f t="shared" si="96"/>
        <v>1065353</v>
      </c>
      <c r="AV54" s="247">
        <f t="shared" si="96"/>
        <v>723087.00000000012</v>
      </c>
      <c r="AW54" s="247">
        <f t="shared" si="96"/>
        <v>1198500.1000000001</v>
      </c>
      <c r="AX54" s="247">
        <f t="shared" si="96"/>
        <v>991285</v>
      </c>
      <c r="AY54" s="247">
        <f t="shared" si="96"/>
        <v>325704</v>
      </c>
      <c r="AZ54" s="247">
        <f t="shared" si="96"/>
        <v>464161.99999999994</v>
      </c>
      <c r="BA54" s="247">
        <f t="shared" si="96"/>
        <v>425837.99999999988</v>
      </c>
      <c r="BB54" s="247">
        <f t="shared" si="96"/>
        <v>949731.87971912837</v>
      </c>
      <c r="BC54" s="247">
        <f t="shared" si="96"/>
        <v>660034</v>
      </c>
      <c r="BD54" s="247">
        <f t="shared" si="96"/>
        <v>260656.00000000006</v>
      </c>
      <c r="BE54" s="247">
        <f t="shared" si="96"/>
        <v>477219</v>
      </c>
      <c r="BF54" s="247">
        <f t="shared" si="96"/>
        <v>939527</v>
      </c>
      <c r="BG54" s="247">
        <f t="shared" si="96"/>
        <v>795852.99999999977</v>
      </c>
      <c r="BH54" s="247">
        <f t="shared" si="96"/>
        <v>509339.99999999994</v>
      </c>
      <c r="BI54" s="247">
        <f t="shared" si="96"/>
        <v>59030.34427694141</v>
      </c>
      <c r="BJ54" s="247">
        <f t="shared" si="96"/>
        <v>302085</v>
      </c>
      <c r="BK54" s="247">
        <f t="shared" si="96"/>
        <v>777903</v>
      </c>
      <c r="BL54" s="247">
        <f t="shared" si="96"/>
        <v>4913.0286384333376</v>
      </c>
      <c r="BM54" s="247">
        <f t="shared" si="96"/>
        <v>1914434</v>
      </c>
      <c r="BN54" s="247">
        <f t="shared" si="96"/>
        <v>323984.87408736796</v>
      </c>
      <c r="BO54" s="247">
        <f t="shared" ref="BO54:CO54" si="97">SUM(BO45:BO53)</f>
        <v>0</v>
      </c>
      <c r="BP54" s="247">
        <f t="shared" si="97"/>
        <v>300510</v>
      </c>
      <c r="BQ54" s="247">
        <f t="shared" si="97"/>
        <v>604831</v>
      </c>
      <c r="BR54" s="247">
        <f t="shared" si="97"/>
        <v>494732.00000000006</v>
      </c>
      <c r="BS54" s="247">
        <f t="shared" si="97"/>
        <v>0</v>
      </c>
      <c r="BT54" s="247">
        <f t="shared" si="97"/>
        <v>0</v>
      </c>
      <c r="BU54" s="247">
        <f t="shared" si="97"/>
        <v>345095.99999999994</v>
      </c>
      <c r="BV54" s="247">
        <f t="shared" si="97"/>
        <v>139481.85948964962</v>
      </c>
      <c r="BW54" s="247">
        <f t="shared" si="97"/>
        <v>557518</v>
      </c>
      <c r="BX54" s="247">
        <f t="shared" si="97"/>
        <v>220834.00000000003</v>
      </c>
      <c r="BY54" s="247">
        <f t="shared" si="97"/>
        <v>185406.99999999997</v>
      </c>
      <c r="BZ54" s="247">
        <f t="shared" si="97"/>
        <v>229023</v>
      </c>
      <c r="CA54" s="247">
        <f t="shared" si="97"/>
        <v>0</v>
      </c>
      <c r="CB54" s="247">
        <f t="shared" si="97"/>
        <v>0</v>
      </c>
      <c r="CC54" s="247">
        <f t="shared" si="97"/>
        <v>237748.71033023892</v>
      </c>
      <c r="CD54" s="247">
        <f t="shared" si="97"/>
        <v>83267</v>
      </c>
      <c r="CE54" s="247">
        <f t="shared" si="97"/>
        <v>400514</v>
      </c>
      <c r="CF54" s="247">
        <f t="shared" si="97"/>
        <v>99834</v>
      </c>
      <c r="CG54" s="247">
        <f t="shared" si="97"/>
        <v>310285</v>
      </c>
      <c r="CH54" s="247">
        <f t="shared" si="97"/>
        <v>0</v>
      </c>
      <c r="CI54" s="247">
        <f t="shared" si="97"/>
        <v>85639.999999999985</v>
      </c>
      <c r="CJ54" s="247">
        <f t="shared" si="97"/>
        <v>284946</v>
      </c>
      <c r="CK54" s="247">
        <f t="shared" si="97"/>
        <v>690520</v>
      </c>
      <c r="CL54" s="247">
        <f t="shared" si="97"/>
        <v>40676</v>
      </c>
      <c r="CM54" s="247">
        <f t="shared" si="97"/>
        <v>0</v>
      </c>
      <c r="CN54" s="247">
        <f t="shared" si="97"/>
        <v>305.84401402423475</v>
      </c>
      <c r="CO54" s="247">
        <f t="shared" si="97"/>
        <v>0</v>
      </c>
      <c r="CP54" s="237"/>
      <c r="CQ54" s="237"/>
      <c r="CR54" s="212">
        <f t="shared" si="0"/>
        <v>240379585.64680541</v>
      </c>
    </row>
    <row r="55" spans="1:96" x14ac:dyDescent="0.3">
      <c r="A55" s="157" t="s">
        <v>463</v>
      </c>
      <c r="B55" s="237">
        <f>B11</f>
        <v>95379600</v>
      </c>
      <c r="C55" s="237">
        <f t="shared" ref="C55:BN55" si="98">C11</f>
        <v>9285682</v>
      </c>
      <c r="D55" s="237">
        <f t="shared" si="98"/>
        <v>5469410</v>
      </c>
      <c r="E55" s="237">
        <f t="shared" si="98"/>
        <v>7330450</v>
      </c>
      <c r="F55" s="237">
        <f t="shared" si="98"/>
        <v>8464454</v>
      </c>
      <c r="G55" s="237">
        <f t="shared" si="98"/>
        <v>6492661</v>
      </c>
      <c r="H55" s="237">
        <f t="shared" si="98"/>
        <v>9577143</v>
      </c>
      <c r="I55" s="237">
        <f t="shared" si="98"/>
        <v>7988954.75</v>
      </c>
      <c r="J55" s="237">
        <f t="shared" si="98"/>
        <v>3372588</v>
      </c>
      <c r="K55" s="237">
        <f t="shared" si="98"/>
        <v>4220573</v>
      </c>
      <c r="L55" s="237">
        <f t="shared" si="98"/>
        <v>5674189</v>
      </c>
      <c r="M55" s="237">
        <f t="shared" si="98"/>
        <v>3521139</v>
      </c>
      <c r="N55" s="237">
        <f t="shared" si="98"/>
        <v>4607024</v>
      </c>
      <c r="O55" s="237">
        <f t="shared" si="98"/>
        <v>2618120</v>
      </c>
      <c r="P55" s="237">
        <f t="shared" si="98"/>
        <v>5313433</v>
      </c>
      <c r="Q55" s="237">
        <f t="shared" si="98"/>
        <v>2855783</v>
      </c>
      <c r="R55" s="237">
        <f t="shared" si="98"/>
        <v>1836073</v>
      </c>
      <c r="S55" s="237">
        <f t="shared" si="98"/>
        <v>4128699</v>
      </c>
      <c r="T55" s="237">
        <f t="shared" si="98"/>
        <v>1275266</v>
      </c>
      <c r="U55" s="237">
        <f t="shared" si="98"/>
        <v>4080087</v>
      </c>
      <c r="V55" s="237">
        <f t="shared" si="98"/>
        <v>3545108</v>
      </c>
      <c r="W55" s="237">
        <f t="shared" si="98"/>
        <v>2818164</v>
      </c>
      <c r="X55" s="237">
        <f t="shared" si="98"/>
        <v>1320935</v>
      </c>
      <c r="Y55" s="237">
        <f t="shared" si="98"/>
        <v>2330911</v>
      </c>
      <c r="Z55" s="237">
        <f t="shared" si="98"/>
        <v>1995241</v>
      </c>
      <c r="AA55" s="237">
        <f t="shared" si="98"/>
        <v>1230624</v>
      </c>
      <c r="AB55" s="237">
        <f t="shared" si="98"/>
        <v>3468770</v>
      </c>
      <c r="AC55" s="237">
        <f t="shared" si="98"/>
        <v>1237626</v>
      </c>
      <c r="AD55" s="237">
        <f t="shared" si="98"/>
        <v>2167423</v>
      </c>
      <c r="AE55" s="237">
        <f t="shared" si="98"/>
        <v>2723122</v>
      </c>
      <c r="AF55" s="237">
        <f t="shared" si="98"/>
        <v>1784778</v>
      </c>
      <c r="AG55" s="237">
        <f t="shared" si="98"/>
        <v>1630325</v>
      </c>
      <c r="AH55" s="237">
        <f t="shared" si="98"/>
        <v>1101993</v>
      </c>
      <c r="AI55" s="237">
        <f t="shared" si="98"/>
        <v>1650627</v>
      </c>
      <c r="AJ55" s="237">
        <f t="shared" si="98"/>
        <v>1448674</v>
      </c>
      <c r="AK55" s="237">
        <f t="shared" si="98"/>
        <v>1358955</v>
      </c>
      <c r="AL55" s="237">
        <f t="shared" si="98"/>
        <v>784687</v>
      </c>
      <c r="AM55" s="237">
        <f t="shared" si="98"/>
        <v>1731476</v>
      </c>
      <c r="AN55" s="237">
        <f t="shared" si="98"/>
        <v>1507078</v>
      </c>
      <c r="AO55" s="237">
        <f t="shared" si="98"/>
        <v>2201798</v>
      </c>
      <c r="AP55" s="237">
        <f t="shared" si="98"/>
        <v>1285825</v>
      </c>
      <c r="AQ55" s="237">
        <f t="shared" si="98"/>
        <v>1210384</v>
      </c>
      <c r="AR55" s="237">
        <f t="shared" si="98"/>
        <v>595642</v>
      </c>
      <c r="AS55" s="237">
        <f t="shared" si="98"/>
        <v>1667181</v>
      </c>
      <c r="AT55" s="237">
        <f t="shared" si="98"/>
        <v>713983</v>
      </c>
      <c r="AU55" s="237">
        <f t="shared" si="98"/>
        <v>1065353</v>
      </c>
      <c r="AV55" s="237">
        <f t="shared" si="98"/>
        <v>723087</v>
      </c>
      <c r="AW55" s="237">
        <f t="shared" si="98"/>
        <v>1198500.1000000001</v>
      </c>
      <c r="AX55" s="237">
        <f t="shared" si="98"/>
        <v>991285</v>
      </c>
      <c r="AY55" s="237">
        <f t="shared" si="98"/>
        <v>325704</v>
      </c>
      <c r="AZ55" s="237">
        <f t="shared" si="98"/>
        <v>464162</v>
      </c>
      <c r="BA55" s="237">
        <f t="shared" si="98"/>
        <v>425838</v>
      </c>
      <c r="BB55" s="237">
        <f t="shared" si="98"/>
        <v>969113</v>
      </c>
      <c r="BC55" s="237">
        <f t="shared" si="98"/>
        <v>660034</v>
      </c>
      <c r="BD55" s="237">
        <f t="shared" si="98"/>
        <v>260656</v>
      </c>
      <c r="BE55" s="237">
        <f t="shared" si="98"/>
        <v>477219</v>
      </c>
      <c r="BF55" s="237">
        <f t="shared" si="98"/>
        <v>939527</v>
      </c>
      <c r="BG55" s="237">
        <f t="shared" si="98"/>
        <v>795853</v>
      </c>
      <c r="BH55" s="237">
        <f t="shared" si="98"/>
        <v>509340</v>
      </c>
      <c r="BI55" s="237">
        <f t="shared" si="98"/>
        <v>650881</v>
      </c>
      <c r="BJ55" s="237">
        <f t="shared" si="98"/>
        <v>302085</v>
      </c>
      <c r="BK55" s="237">
        <f t="shared" si="98"/>
        <v>777903</v>
      </c>
      <c r="BL55" s="237">
        <f t="shared" si="98"/>
        <v>575807</v>
      </c>
      <c r="BM55" s="237">
        <f t="shared" si="98"/>
        <v>1914434</v>
      </c>
      <c r="BN55" s="237">
        <f t="shared" si="98"/>
        <v>391802</v>
      </c>
      <c r="BO55" s="237">
        <f t="shared" ref="BO55:CO55" si="99">BO11</f>
        <v>215970</v>
      </c>
      <c r="BP55" s="237">
        <f t="shared" si="99"/>
        <v>300510</v>
      </c>
      <c r="BQ55" s="237">
        <f t="shared" si="99"/>
        <v>604831</v>
      </c>
      <c r="BR55" s="237">
        <f t="shared" si="99"/>
        <v>494732</v>
      </c>
      <c r="BS55" s="237">
        <f t="shared" si="99"/>
        <v>280192</v>
      </c>
      <c r="BT55" s="237">
        <f t="shared" si="99"/>
        <v>184716</v>
      </c>
      <c r="BU55" s="237">
        <f t="shared" si="99"/>
        <v>345096</v>
      </c>
      <c r="BV55" s="237">
        <f t="shared" si="99"/>
        <v>142828</v>
      </c>
      <c r="BW55" s="237">
        <f t="shared" si="99"/>
        <v>557518</v>
      </c>
      <c r="BX55" s="237">
        <f t="shared" si="99"/>
        <v>220834</v>
      </c>
      <c r="BY55" s="237">
        <f t="shared" si="99"/>
        <v>185407</v>
      </c>
      <c r="BZ55" s="237">
        <f t="shared" si="99"/>
        <v>229023</v>
      </c>
      <c r="CA55" s="237">
        <f t="shared" si="99"/>
        <v>74265</v>
      </c>
      <c r="CB55" s="237">
        <f t="shared" si="99"/>
        <v>80159</v>
      </c>
      <c r="CC55" s="237">
        <f t="shared" si="99"/>
        <v>214532</v>
      </c>
      <c r="CD55" s="237">
        <f t="shared" si="99"/>
        <v>83267</v>
      </c>
      <c r="CE55" s="237">
        <f t="shared" si="99"/>
        <v>400514</v>
      </c>
      <c r="CF55" s="237">
        <f t="shared" si="99"/>
        <v>99834</v>
      </c>
      <c r="CG55" s="237">
        <f t="shared" si="99"/>
        <v>310285</v>
      </c>
      <c r="CH55" s="237">
        <f t="shared" si="99"/>
        <v>29694.5</v>
      </c>
      <c r="CI55" s="237">
        <f t="shared" si="99"/>
        <v>85640</v>
      </c>
      <c r="CJ55" s="237">
        <f t="shared" si="99"/>
        <v>284946</v>
      </c>
      <c r="CK55" s="237">
        <f t="shared" si="99"/>
        <v>690520</v>
      </c>
      <c r="CL55" s="237">
        <f t="shared" si="99"/>
        <v>40676</v>
      </c>
      <c r="CM55" s="237">
        <f t="shared" si="99"/>
        <v>93296</v>
      </c>
      <c r="CN55" s="237">
        <f t="shared" si="99"/>
        <v>311401.27</v>
      </c>
      <c r="CO55" s="237">
        <f t="shared" si="99"/>
        <v>13454.06</v>
      </c>
      <c r="CP55" s="237"/>
      <c r="CQ55" s="237"/>
      <c r="CR55" s="237">
        <f t="shared" si="0"/>
        <v>257995382.68000001</v>
      </c>
    </row>
    <row r="56" spans="1:96" x14ac:dyDescent="0.3">
      <c r="A56" s="157" t="s">
        <v>464</v>
      </c>
      <c r="B56" s="237">
        <f>B55-B54</f>
        <v>0</v>
      </c>
      <c r="C56" s="237">
        <f t="shared" ref="C56:BN56" si="100">C55-C54</f>
        <v>0</v>
      </c>
      <c r="D56" s="237">
        <f t="shared" si="100"/>
        <v>0</v>
      </c>
      <c r="E56" s="237">
        <f t="shared" si="100"/>
        <v>0</v>
      </c>
      <c r="F56" s="237">
        <f t="shared" si="100"/>
        <v>0</v>
      </c>
      <c r="G56" s="237">
        <f t="shared" si="100"/>
        <v>2910877.1748406067</v>
      </c>
      <c r="H56" s="237">
        <f t="shared" si="100"/>
        <v>4830926.6606583595</v>
      </c>
      <c r="I56" s="237">
        <f t="shared" si="100"/>
        <v>0</v>
      </c>
      <c r="J56" s="237">
        <f t="shared" si="100"/>
        <v>0</v>
      </c>
      <c r="K56" s="237">
        <f t="shared" si="100"/>
        <v>0</v>
      </c>
      <c r="L56" s="237">
        <f t="shared" si="100"/>
        <v>0</v>
      </c>
      <c r="M56" s="237">
        <f t="shared" si="100"/>
        <v>0</v>
      </c>
      <c r="N56" s="237">
        <f t="shared" si="100"/>
        <v>0</v>
      </c>
      <c r="O56" s="237">
        <f t="shared" si="100"/>
        <v>0</v>
      </c>
      <c r="P56" s="237">
        <f t="shared" si="100"/>
        <v>2804765.9095512005</v>
      </c>
      <c r="Q56" s="237">
        <f t="shared" si="100"/>
        <v>2010987.1450595749</v>
      </c>
      <c r="R56" s="237">
        <f t="shared" si="100"/>
        <v>325323.5445221297</v>
      </c>
      <c r="S56" s="237">
        <f t="shared" si="100"/>
        <v>0</v>
      </c>
      <c r="T56" s="237">
        <f t="shared" si="100"/>
        <v>0</v>
      </c>
      <c r="U56" s="237">
        <f t="shared" si="100"/>
        <v>610807.31731275562</v>
      </c>
      <c r="V56" s="237">
        <f t="shared" si="100"/>
        <v>0</v>
      </c>
      <c r="W56" s="237">
        <f t="shared" si="100"/>
        <v>0</v>
      </c>
      <c r="X56" s="237">
        <f t="shared" si="100"/>
        <v>0</v>
      </c>
      <c r="Y56" s="237">
        <f t="shared" si="100"/>
        <v>1231270.672083664</v>
      </c>
      <c r="Z56" s="237">
        <f t="shared" si="100"/>
        <v>0</v>
      </c>
      <c r="AA56" s="237">
        <f t="shared" si="100"/>
        <v>0</v>
      </c>
      <c r="AB56" s="237">
        <f t="shared" si="100"/>
        <v>0</v>
      </c>
      <c r="AC56" s="237">
        <f t="shared" si="100"/>
        <v>0</v>
      </c>
      <c r="AD56" s="237">
        <f t="shared" si="100"/>
        <v>0</v>
      </c>
      <c r="AE56" s="237">
        <f t="shared" si="100"/>
        <v>0</v>
      </c>
      <c r="AF56" s="237">
        <f t="shared" si="100"/>
        <v>0</v>
      </c>
      <c r="AG56" s="237">
        <f t="shared" si="100"/>
        <v>0</v>
      </c>
      <c r="AH56" s="237">
        <f t="shared" si="100"/>
        <v>0</v>
      </c>
      <c r="AI56" s="237">
        <f t="shared" si="100"/>
        <v>0</v>
      </c>
      <c r="AJ56" s="237">
        <f t="shared" si="100"/>
        <v>0</v>
      </c>
      <c r="AK56" s="237">
        <f t="shared" si="100"/>
        <v>0</v>
      </c>
      <c r="AL56" s="237">
        <f t="shared" si="100"/>
        <v>0</v>
      </c>
      <c r="AM56" s="237">
        <f t="shared" si="100"/>
        <v>0</v>
      </c>
      <c r="AN56" s="237">
        <f t="shared" si="100"/>
        <v>377924.31972201285</v>
      </c>
      <c r="AO56" s="237">
        <f t="shared" si="100"/>
        <v>0</v>
      </c>
      <c r="AP56" s="237">
        <f t="shared" si="100"/>
        <v>0</v>
      </c>
      <c r="AQ56" s="237">
        <f t="shared" si="100"/>
        <v>0</v>
      </c>
      <c r="AR56" s="237">
        <f t="shared" si="100"/>
        <v>0</v>
      </c>
      <c r="AS56" s="237">
        <f t="shared" si="100"/>
        <v>0</v>
      </c>
      <c r="AT56" s="237">
        <f t="shared" si="100"/>
        <v>0</v>
      </c>
      <c r="AU56" s="237">
        <f t="shared" si="100"/>
        <v>0</v>
      </c>
      <c r="AV56" s="237">
        <f t="shared" si="100"/>
        <v>0</v>
      </c>
      <c r="AW56" s="237">
        <f t="shared" si="100"/>
        <v>0</v>
      </c>
      <c r="AX56" s="237">
        <f t="shared" si="100"/>
        <v>0</v>
      </c>
      <c r="AY56" s="237">
        <f t="shared" si="100"/>
        <v>0</v>
      </c>
      <c r="AZ56" s="237">
        <f t="shared" si="100"/>
        <v>0</v>
      </c>
      <c r="BA56" s="237">
        <f t="shared" si="100"/>
        <v>0</v>
      </c>
      <c r="BB56" s="237">
        <f t="shared" si="100"/>
        <v>19381.120280871633</v>
      </c>
      <c r="BC56" s="237">
        <f t="shared" si="100"/>
        <v>0</v>
      </c>
      <c r="BD56" s="237">
        <f t="shared" si="100"/>
        <v>0</v>
      </c>
      <c r="BE56" s="237">
        <f t="shared" si="100"/>
        <v>0</v>
      </c>
      <c r="BF56" s="237">
        <f t="shared" si="100"/>
        <v>0</v>
      </c>
      <c r="BG56" s="237">
        <f t="shared" si="100"/>
        <v>0</v>
      </c>
      <c r="BH56" s="237">
        <f t="shared" si="100"/>
        <v>0</v>
      </c>
      <c r="BI56" s="237">
        <f t="shared" si="100"/>
        <v>591850.65572305862</v>
      </c>
      <c r="BJ56" s="237">
        <f t="shared" si="100"/>
        <v>0</v>
      </c>
      <c r="BK56" s="237">
        <f t="shared" si="100"/>
        <v>0</v>
      </c>
      <c r="BL56" s="237">
        <f t="shared" si="100"/>
        <v>570893.97136156668</v>
      </c>
      <c r="BM56" s="237">
        <f t="shared" si="100"/>
        <v>0</v>
      </c>
      <c r="BN56" s="237">
        <f t="shared" si="100"/>
        <v>67817.125912632036</v>
      </c>
      <c r="BO56" s="237">
        <f t="shared" ref="BO56:CO56" si="101">BO55-BO54</f>
        <v>215970</v>
      </c>
      <c r="BP56" s="237">
        <f t="shared" si="101"/>
        <v>0</v>
      </c>
      <c r="BQ56" s="237">
        <f t="shared" si="101"/>
        <v>0</v>
      </c>
      <c r="BR56" s="237">
        <f t="shared" si="101"/>
        <v>0</v>
      </c>
      <c r="BS56" s="237">
        <f t="shared" si="101"/>
        <v>280192</v>
      </c>
      <c r="BT56" s="237">
        <f t="shared" si="101"/>
        <v>184716</v>
      </c>
      <c r="BU56" s="237">
        <f t="shared" si="101"/>
        <v>0</v>
      </c>
      <c r="BV56" s="237">
        <f t="shared" si="101"/>
        <v>3346.1405103503785</v>
      </c>
      <c r="BW56" s="237">
        <f t="shared" si="101"/>
        <v>0</v>
      </c>
      <c r="BX56" s="237">
        <f t="shared" si="101"/>
        <v>0</v>
      </c>
      <c r="BY56" s="237">
        <f t="shared" si="101"/>
        <v>0</v>
      </c>
      <c r="BZ56" s="237">
        <f t="shared" si="101"/>
        <v>0</v>
      </c>
      <c r="CA56" s="237">
        <f t="shared" si="101"/>
        <v>74265</v>
      </c>
      <c r="CB56" s="237">
        <f t="shared" si="101"/>
        <v>80159</v>
      </c>
      <c r="CC56" s="237">
        <f t="shared" si="101"/>
        <v>-23216.710330238915</v>
      </c>
      <c r="CD56" s="237">
        <f t="shared" si="101"/>
        <v>0</v>
      </c>
      <c r="CE56" s="237">
        <f t="shared" si="101"/>
        <v>0</v>
      </c>
      <c r="CF56" s="237">
        <f t="shared" si="101"/>
        <v>0</v>
      </c>
      <c r="CG56" s="237">
        <f t="shared" si="101"/>
        <v>0</v>
      </c>
      <c r="CH56" s="237">
        <f t="shared" si="101"/>
        <v>29694.5</v>
      </c>
      <c r="CI56" s="237">
        <f t="shared" si="101"/>
        <v>0</v>
      </c>
      <c r="CJ56" s="237">
        <f t="shared" si="101"/>
        <v>0</v>
      </c>
      <c r="CK56" s="237">
        <f t="shared" si="101"/>
        <v>0</v>
      </c>
      <c r="CL56" s="237">
        <f t="shared" si="101"/>
        <v>0</v>
      </c>
      <c r="CM56" s="237">
        <f t="shared" si="101"/>
        <v>93296</v>
      </c>
      <c r="CN56" s="237">
        <f t="shared" si="101"/>
        <v>311095.42598597577</v>
      </c>
      <c r="CO56" s="237">
        <f t="shared" si="101"/>
        <v>13454.06</v>
      </c>
      <c r="CP56" s="237"/>
      <c r="CQ56" s="237"/>
      <c r="CR56" s="237">
        <f t="shared" si="0"/>
        <v>17615797.033194516</v>
      </c>
    </row>
    <row r="57" spans="1:96" x14ac:dyDescent="0.3">
      <c r="B57" s="237"/>
      <c r="C57" s="237"/>
      <c r="D57" s="237"/>
      <c r="E57" s="237"/>
      <c r="F57" s="237"/>
      <c r="G57" s="237"/>
      <c r="H57" s="237"/>
      <c r="I57" s="237"/>
      <c r="J57" s="237"/>
      <c r="K57" s="237"/>
      <c r="L57" s="237"/>
      <c r="M57" s="237"/>
      <c r="N57" s="237"/>
      <c r="O57" s="237"/>
      <c r="P57" s="234"/>
      <c r="Q57" s="237"/>
      <c r="R57" s="237"/>
      <c r="S57" s="237"/>
      <c r="T57" s="237"/>
      <c r="U57" s="237"/>
      <c r="V57" s="237"/>
      <c r="W57" s="234"/>
      <c r="X57" s="237"/>
      <c r="Y57" s="237"/>
      <c r="Z57" s="237"/>
      <c r="AA57" s="237"/>
      <c r="AB57" s="237"/>
      <c r="AC57" s="234"/>
      <c r="AD57" s="237"/>
      <c r="AE57" s="237"/>
      <c r="AF57" s="234"/>
      <c r="AG57" s="237"/>
      <c r="AH57" s="237"/>
      <c r="AI57" s="237"/>
      <c r="AJ57" s="237"/>
      <c r="AK57" s="237"/>
      <c r="AL57" s="237"/>
      <c r="AM57" s="237"/>
      <c r="AN57" s="237"/>
      <c r="AO57" s="237"/>
      <c r="AP57" s="237"/>
      <c r="AQ57" s="237"/>
      <c r="AR57" s="237"/>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37"/>
      <c r="BQ57" s="237"/>
      <c r="BR57" s="237"/>
      <c r="BS57" s="237"/>
      <c r="BT57" s="237"/>
      <c r="BU57" s="237"/>
      <c r="BV57" s="237"/>
      <c r="BW57" s="237"/>
      <c r="BX57" s="237"/>
      <c r="BY57" s="237"/>
      <c r="BZ57" s="237"/>
      <c r="CA57" s="237"/>
      <c r="CB57" s="237"/>
      <c r="CC57" s="237"/>
      <c r="CD57" s="237"/>
      <c r="CE57" s="237"/>
      <c r="CF57" s="237"/>
      <c r="CG57" s="237"/>
      <c r="CH57" s="237"/>
      <c r="CI57" s="237"/>
      <c r="CJ57" s="237"/>
      <c r="CK57" s="237"/>
      <c r="CL57" s="237"/>
      <c r="CM57" s="237"/>
      <c r="CN57" s="237"/>
      <c r="CO57" s="237"/>
      <c r="CP57" s="237"/>
      <c r="CQ57" s="237"/>
      <c r="CR57" s="237">
        <f t="shared" si="0"/>
        <v>0</v>
      </c>
    </row>
    <row r="58" spans="1:96" x14ac:dyDescent="0.3">
      <c r="A58" s="258" t="s">
        <v>467</v>
      </c>
      <c r="B58" s="237"/>
      <c r="C58" s="237"/>
      <c r="D58" s="237"/>
      <c r="E58" s="237"/>
      <c r="F58" s="237"/>
      <c r="G58" s="237"/>
      <c r="H58" s="237"/>
      <c r="I58" s="237"/>
      <c r="J58" s="237"/>
      <c r="K58" s="237"/>
      <c r="L58" s="237"/>
      <c r="M58" s="237"/>
      <c r="N58" s="237"/>
      <c r="O58" s="237"/>
      <c r="P58" s="234"/>
      <c r="Q58" s="237"/>
      <c r="R58" s="237"/>
      <c r="S58" s="237"/>
      <c r="T58" s="237"/>
      <c r="U58" s="237"/>
      <c r="V58" s="237"/>
      <c r="W58" s="234"/>
      <c r="X58" s="237"/>
      <c r="Y58" s="237"/>
      <c r="Z58" s="237"/>
      <c r="AA58" s="237"/>
      <c r="AB58" s="237"/>
      <c r="AC58" s="234"/>
      <c r="AD58" s="237"/>
      <c r="AE58" s="237"/>
      <c r="AF58" s="234"/>
      <c r="AG58" s="237"/>
      <c r="AH58" s="237"/>
      <c r="AI58" s="237"/>
      <c r="AJ58" s="237"/>
      <c r="AK58" s="237"/>
      <c r="AL58" s="237"/>
      <c r="AM58" s="237"/>
      <c r="AN58" s="237"/>
      <c r="AO58" s="237"/>
      <c r="AP58" s="237"/>
      <c r="AQ58" s="237"/>
      <c r="AR58" s="237"/>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f t="shared" si="0"/>
        <v>0</v>
      </c>
    </row>
    <row r="59" spans="1:96" x14ac:dyDescent="0.3">
      <c r="A59" s="245" t="s">
        <v>206</v>
      </c>
      <c r="B59" s="237">
        <f t="shared" ref="B59:B64" si="102">B34/$B$21</f>
        <v>14377671.896248801</v>
      </c>
      <c r="C59" s="237">
        <f t="shared" ref="C59:C64" si="103">C34/$C$21</f>
        <v>4807141.6543066511</v>
      </c>
      <c r="D59" s="237">
        <f t="shared" ref="D59:D64" si="104">D34/$D$21</f>
        <v>482414.18381140148</v>
      </c>
      <c r="E59" s="237">
        <f t="shared" ref="E59:E64" si="105">E34/$E$21</f>
        <v>1608120.979379392</v>
      </c>
      <c r="F59" s="237">
        <f t="shared" ref="F59:F64" si="106">F34/$F$21</f>
        <v>2071609.3785228548</v>
      </c>
      <c r="G59" s="237">
        <f t="shared" ref="G59:G64" si="107">G34/$G$21</f>
        <v>856409.69734640419</v>
      </c>
      <c r="H59" s="237">
        <f t="shared" ref="H59:H64" si="108">H34/$H$21</f>
        <v>1080730.5994473011</v>
      </c>
      <c r="I59" s="237">
        <f t="shared" ref="I59:I64" si="109">I34/$I$21</f>
        <v>2734360.3448207267</v>
      </c>
      <c r="J59" s="237"/>
      <c r="K59" s="237">
        <f t="shared" ref="K59:K64" si="110">K34/$K$21</f>
        <v>507619.0373039628</v>
      </c>
      <c r="L59" s="237"/>
      <c r="M59" s="237"/>
      <c r="N59" s="237">
        <f t="shared" ref="N59:N64" si="111">N34/$N$21</f>
        <v>1034516.921711385</v>
      </c>
      <c r="O59" s="237"/>
      <c r="P59" s="237"/>
      <c r="Q59" s="237">
        <f t="shared" ref="Q59:Q64" si="112">Q34/$Q$21</f>
        <v>80063.023697926081</v>
      </c>
      <c r="R59" s="237">
        <f t="shared" ref="R59:R64" si="113">R34/$R$21</f>
        <v>189457.81484856195</v>
      </c>
      <c r="S59" s="237"/>
      <c r="T59" s="237"/>
      <c r="U59" s="237"/>
      <c r="V59" s="237"/>
      <c r="W59" s="237">
        <f t="shared" ref="W59:W64" si="114">W34/$W$21</f>
        <v>374881.17711590405</v>
      </c>
      <c r="X59" s="237"/>
      <c r="Y59" s="237">
        <f t="shared" ref="Y59:Y64" si="115">Y34/$Y$21</f>
        <v>14991.044566875495</v>
      </c>
      <c r="Z59" s="237">
        <f t="shared" ref="Z59:Z64" si="116">Z34/$Z$21</f>
        <v>338588.63910019002</v>
      </c>
      <c r="AA59" s="237">
        <f t="shared" ref="AA59:AA64" si="117">AA34/$AA$21</f>
        <v>311631.3854398253</v>
      </c>
      <c r="AB59" s="237">
        <f t="shared" ref="AB59:AB64" si="118">AB34/$AB$21</f>
        <v>28684.359662524737</v>
      </c>
      <c r="AC59" s="237"/>
      <c r="AD59" s="237"/>
      <c r="AE59" s="237"/>
      <c r="AF59" s="237"/>
      <c r="AG59" s="237">
        <f t="shared" ref="AG59:AG64" si="119">AG34/$AG$21</f>
        <v>99268.735264797288</v>
      </c>
      <c r="AH59" s="237"/>
      <c r="AI59" s="237"/>
      <c r="AJ59" s="237"/>
      <c r="AK59" s="237"/>
      <c r="AL59" s="237">
        <f t="shared" ref="AL59:AL64" si="120">AL34/$AL$21</f>
        <v>35234.751749716597</v>
      </c>
      <c r="AM59" s="237"/>
      <c r="AN59" s="237">
        <f t="shared" ref="AN59:AN64" si="121">AN34/$AN$21</f>
        <v>153660.13623069032</v>
      </c>
      <c r="AO59" s="237">
        <f t="shared" ref="AO59:AO64" si="122">AO34/$AO$21</f>
        <v>181030.80833792887</v>
      </c>
      <c r="AP59" s="237"/>
      <c r="AQ59" s="237"/>
      <c r="AR59" s="237"/>
      <c r="AS59" s="237">
        <f t="shared" ref="AS59:AS64" si="123">AS34/$AS$21</f>
        <v>158144.25629520704</v>
      </c>
      <c r="AT59" s="237"/>
      <c r="AU59" s="237"/>
      <c r="AV59" s="237"/>
      <c r="AW59" s="237"/>
      <c r="AX59" s="237"/>
      <c r="AY59" s="237"/>
      <c r="AZ59" s="237"/>
      <c r="BA59" s="237">
        <f t="shared" ref="BA59:BA64" si="124">BA34/$BA$21</f>
        <v>55943.593041726104</v>
      </c>
      <c r="BB59" s="237"/>
      <c r="BC59" s="237">
        <f t="shared" ref="BC59:BC64" si="125">BC34/$BC$21</f>
        <v>16613.178999622851</v>
      </c>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f t="shared" si="0"/>
        <v>31598787.597250376</v>
      </c>
    </row>
    <row r="60" spans="1:96" x14ac:dyDescent="0.3">
      <c r="A60" s="245" t="s">
        <v>207</v>
      </c>
      <c r="B60" s="237">
        <f t="shared" si="102"/>
        <v>5136022.525549829</v>
      </c>
      <c r="C60" s="237">
        <f t="shared" si="103"/>
        <v>25461.402504704842</v>
      </c>
      <c r="D60" s="237">
        <f t="shared" si="104"/>
        <v>206749.07322793565</v>
      </c>
      <c r="E60" s="237">
        <f t="shared" si="105"/>
        <v>0</v>
      </c>
      <c r="F60" s="237">
        <f t="shared" si="106"/>
        <v>1771407.1359463076</v>
      </c>
      <c r="G60" s="237">
        <f t="shared" si="107"/>
        <v>762248.04557538417</v>
      </c>
      <c r="H60" s="237">
        <f t="shared" si="108"/>
        <v>39870.710719577444</v>
      </c>
      <c r="I60" s="237">
        <f t="shared" si="109"/>
        <v>1013591.7610804831</v>
      </c>
      <c r="J60" s="237"/>
      <c r="K60" s="237">
        <f t="shared" si="110"/>
        <v>27345.844383446605</v>
      </c>
      <c r="L60" s="237"/>
      <c r="M60" s="237"/>
      <c r="N60" s="237">
        <f t="shared" si="111"/>
        <v>0</v>
      </c>
      <c r="O60" s="237"/>
      <c r="P60" s="234"/>
      <c r="Q60" s="237">
        <f t="shared" si="112"/>
        <v>0</v>
      </c>
      <c r="R60" s="237">
        <f t="shared" si="113"/>
        <v>0</v>
      </c>
      <c r="S60" s="237"/>
      <c r="T60" s="237"/>
      <c r="U60" s="237"/>
      <c r="V60" s="237"/>
      <c r="W60" s="237">
        <f t="shared" si="114"/>
        <v>0</v>
      </c>
      <c r="X60" s="237"/>
      <c r="Y60" s="237">
        <f t="shared" si="115"/>
        <v>8345.5738806188074</v>
      </c>
      <c r="Z60" s="237">
        <f t="shared" si="116"/>
        <v>0</v>
      </c>
      <c r="AA60" s="237">
        <f t="shared" si="117"/>
        <v>188315.68133743235</v>
      </c>
      <c r="AB60" s="237">
        <f t="shared" si="118"/>
        <v>5426.7814540892659</v>
      </c>
      <c r="AC60" s="234"/>
      <c r="AD60" s="237"/>
      <c r="AE60" s="237"/>
      <c r="AF60" s="234"/>
      <c r="AG60" s="237">
        <f t="shared" si="119"/>
        <v>41550.874123407651</v>
      </c>
      <c r="AH60" s="237"/>
      <c r="AI60" s="237"/>
      <c r="AJ60" s="237"/>
      <c r="AK60" s="237"/>
      <c r="AL60" s="237">
        <f t="shared" si="120"/>
        <v>20805.854676289477</v>
      </c>
      <c r="AM60" s="237"/>
      <c r="AN60" s="237">
        <f t="shared" si="121"/>
        <v>0</v>
      </c>
      <c r="AO60" s="237">
        <f t="shared" si="122"/>
        <v>90028.69274040898</v>
      </c>
      <c r="AP60" s="237"/>
      <c r="AQ60" s="237"/>
      <c r="AR60" s="237"/>
      <c r="AS60" s="237">
        <f t="shared" si="123"/>
        <v>40589.367852588723</v>
      </c>
      <c r="AT60" s="237"/>
      <c r="AU60" s="237"/>
      <c r="AV60" s="237"/>
      <c r="AW60" s="237"/>
      <c r="AX60" s="237"/>
      <c r="AY60" s="237"/>
      <c r="AZ60" s="237"/>
      <c r="BA60" s="237">
        <f t="shared" si="124"/>
        <v>0</v>
      </c>
      <c r="BB60" s="237"/>
      <c r="BC60" s="237">
        <f t="shared" si="125"/>
        <v>14996.232610314915</v>
      </c>
      <c r="BD60" s="237"/>
      <c r="BE60" s="237"/>
      <c r="BF60" s="237"/>
      <c r="BG60" s="237"/>
      <c r="BH60" s="237"/>
      <c r="BI60" s="237"/>
      <c r="BJ60" s="237"/>
      <c r="BK60" s="237"/>
      <c r="BL60" s="237"/>
      <c r="BM60" s="237"/>
      <c r="BN60" s="237"/>
      <c r="BO60" s="237"/>
      <c r="BP60" s="237"/>
      <c r="BQ60" s="237"/>
      <c r="BR60" s="237"/>
      <c r="BS60" s="237"/>
      <c r="BT60" s="237"/>
      <c r="BU60" s="237"/>
      <c r="BV60" s="237"/>
      <c r="BW60" s="237"/>
      <c r="BX60" s="237"/>
      <c r="BY60" s="237"/>
      <c r="BZ60" s="237"/>
      <c r="CA60" s="237"/>
      <c r="CB60" s="237"/>
      <c r="CC60" s="237"/>
      <c r="CD60" s="237"/>
      <c r="CE60" s="237"/>
      <c r="CF60" s="237"/>
      <c r="CG60" s="237"/>
      <c r="CH60" s="237"/>
      <c r="CI60" s="237"/>
      <c r="CJ60" s="237"/>
      <c r="CK60" s="237"/>
      <c r="CL60" s="237"/>
      <c r="CM60" s="237"/>
      <c r="CN60" s="237"/>
      <c r="CO60" s="237"/>
      <c r="CP60" s="237"/>
      <c r="CQ60" s="237"/>
      <c r="CR60" s="237">
        <f t="shared" si="0"/>
        <v>9392755.5576628186</v>
      </c>
    </row>
    <row r="61" spans="1:96" x14ac:dyDescent="0.3">
      <c r="A61" s="245" t="s">
        <v>2</v>
      </c>
      <c r="B61" s="237">
        <f t="shared" si="102"/>
        <v>739248.25976380997</v>
      </c>
      <c r="C61" s="237">
        <f t="shared" si="103"/>
        <v>248393.33348127356</v>
      </c>
      <c r="D61" s="237">
        <f t="shared" si="104"/>
        <v>19835.871138411567</v>
      </c>
      <c r="E61" s="237">
        <f t="shared" si="105"/>
        <v>140732.41317585181</v>
      </c>
      <c r="F61" s="237">
        <f t="shared" si="106"/>
        <v>5609.9181002504129</v>
      </c>
      <c r="G61" s="237">
        <f t="shared" si="107"/>
        <v>221504.29062808902</v>
      </c>
      <c r="H61" s="237">
        <f t="shared" si="108"/>
        <v>22446.481808126711</v>
      </c>
      <c r="I61" s="237">
        <f t="shared" si="109"/>
        <v>27588.181668739486</v>
      </c>
      <c r="J61" s="237"/>
      <c r="K61" s="237">
        <f t="shared" si="110"/>
        <v>2007.6911724103913</v>
      </c>
      <c r="L61" s="237"/>
      <c r="M61" s="237"/>
      <c r="N61" s="237">
        <f t="shared" si="111"/>
        <v>63727.137791394918</v>
      </c>
      <c r="O61" s="237"/>
      <c r="P61" s="234"/>
      <c r="Q61" s="237">
        <f t="shared" si="112"/>
        <v>0</v>
      </c>
      <c r="R61" s="237">
        <f t="shared" si="113"/>
        <v>2111.3754253243656</v>
      </c>
      <c r="S61" s="237"/>
      <c r="T61" s="237"/>
      <c r="U61" s="237"/>
      <c r="V61" s="237"/>
      <c r="W61" s="237">
        <f t="shared" si="114"/>
        <v>0</v>
      </c>
      <c r="X61" s="237"/>
      <c r="Y61" s="237">
        <f t="shared" si="115"/>
        <v>811.02025433119661</v>
      </c>
      <c r="Z61" s="237">
        <f t="shared" si="116"/>
        <v>30524.045583982574</v>
      </c>
      <c r="AA61" s="237">
        <f t="shared" si="117"/>
        <v>57151.22195419058</v>
      </c>
      <c r="AB61" s="237">
        <f t="shared" si="118"/>
        <v>9302.9784615568969</v>
      </c>
      <c r="AC61" s="234"/>
      <c r="AD61" s="237"/>
      <c r="AE61" s="237"/>
      <c r="AF61" s="234"/>
      <c r="AG61" s="237">
        <f t="shared" si="119"/>
        <v>25103.48791915171</v>
      </c>
      <c r="AH61" s="237"/>
      <c r="AI61" s="237"/>
      <c r="AJ61" s="237"/>
      <c r="AK61" s="237"/>
      <c r="AL61" s="237">
        <f t="shared" si="120"/>
        <v>1123.8132127499532</v>
      </c>
      <c r="AM61" s="237"/>
      <c r="AN61" s="237">
        <f t="shared" si="121"/>
        <v>5117.6086060279667</v>
      </c>
      <c r="AO61" s="237">
        <f t="shared" si="122"/>
        <v>4949.5660319849749</v>
      </c>
      <c r="AP61" s="237"/>
      <c r="AQ61" s="237"/>
      <c r="AR61" s="237"/>
      <c r="AS61" s="237">
        <f t="shared" si="123"/>
        <v>1192.1152836912606</v>
      </c>
      <c r="AT61" s="237"/>
      <c r="AU61" s="237"/>
      <c r="AV61" s="237"/>
      <c r="AW61" s="237"/>
      <c r="AX61" s="237"/>
      <c r="AY61" s="237"/>
      <c r="AZ61" s="237"/>
      <c r="BA61" s="237">
        <f t="shared" si="124"/>
        <v>3072.4946616678303</v>
      </c>
      <c r="BB61" s="237"/>
      <c r="BC61" s="237">
        <f t="shared" si="125"/>
        <v>18323.318007731472</v>
      </c>
      <c r="BD61" s="237"/>
      <c r="BE61" s="237"/>
      <c r="BF61" s="237"/>
      <c r="BG61" s="237"/>
      <c r="BH61" s="237"/>
      <c r="BI61" s="237"/>
      <c r="BJ61" s="237"/>
      <c r="BK61" s="237"/>
      <c r="BL61" s="237"/>
      <c r="BM61" s="237"/>
      <c r="BN61" s="237"/>
      <c r="BO61" s="237"/>
      <c r="BP61" s="237"/>
      <c r="BQ61" s="237"/>
      <c r="BR61" s="237"/>
      <c r="BS61" s="237"/>
      <c r="BT61" s="237"/>
      <c r="BU61" s="237"/>
      <c r="BV61" s="237"/>
      <c r="BW61" s="237"/>
      <c r="BX61" s="237"/>
      <c r="BY61" s="237"/>
      <c r="BZ61" s="237"/>
      <c r="CA61" s="237"/>
      <c r="CB61" s="237"/>
      <c r="CC61" s="237"/>
      <c r="CD61" s="237"/>
      <c r="CE61" s="237"/>
      <c r="CF61" s="237"/>
      <c r="CG61" s="237"/>
      <c r="CH61" s="237"/>
      <c r="CI61" s="237"/>
      <c r="CJ61" s="237"/>
      <c r="CK61" s="237"/>
      <c r="CL61" s="237"/>
      <c r="CM61" s="237"/>
      <c r="CN61" s="237"/>
      <c r="CO61" s="237"/>
      <c r="CP61" s="237"/>
      <c r="CQ61" s="237"/>
      <c r="CR61" s="237">
        <f t="shared" si="0"/>
        <v>1649876.6241307489</v>
      </c>
    </row>
    <row r="62" spans="1:96" x14ac:dyDescent="0.3">
      <c r="A62" s="245" t="s">
        <v>208</v>
      </c>
      <c r="B62" s="237">
        <f t="shared" si="102"/>
        <v>71321.970701011873</v>
      </c>
      <c r="C62" s="237">
        <f t="shared" si="103"/>
        <v>40332.776276183817</v>
      </c>
      <c r="D62" s="237">
        <f t="shared" si="104"/>
        <v>13224.04224712036</v>
      </c>
      <c r="E62" s="237">
        <f t="shared" si="105"/>
        <v>24429.809855368312</v>
      </c>
      <c r="F62" s="237">
        <f t="shared" si="106"/>
        <v>5734.7765258771042</v>
      </c>
      <c r="G62" s="237">
        <f t="shared" si="107"/>
        <v>161923.89784148161</v>
      </c>
      <c r="H62" s="237">
        <f t="shared" si="108"/>
        <v>28983.11978656481</v>
      </c>
      <c r="I62" s="237">
        <f t="shared" si="109"/>
        <v>31094.296813605757</v>
      </c>
      <c r="J62" s="237"/>
      <c r="K62" s="237">
        <f t="shared" si="110"/>
        <v>68863.29210225468</v>
      </c>
      <c r="L62" s="237"/>
      <c r="M62" s="237"/>
      <c r="N62" s="237">
        <f t="shared" si="111"/>
        <v>88183.691730416671</v>
      </c>
      <c r="O62" s="237"/>
      <c r="P62" s="234"/>
      <c r="Q62" s="237">
        <f t="shared" si="112"/>
        <v>0</v>
      </c>
      <c r="R62" s="237">
        <f t="shared" si="113"/>
        <v>11359.906658014988</v>
      </c>
      <c r="S62" s="237"/>
      <c r="T62" s="237"/>
      <c r="U62" s="237"/>
      <c r="V62" s="237"/>
      <c r="W62" s="237">
        <f t="shared" si="114"/>
        <v>13918.2913137798</v>
      </c>
      <c r="X62" s="237"/>
      <c r="Y62" s="237">
        <f t="shared" si="115"/>
        <v>438.32079692375527</v>
      </c>
      <c r="Z62" s="237">
        <f t="shared" si="116"/>
        <v>27410.676096205672</v>
      </c>
      <c r="AA62" s="237">
        <f t="shared" si="117"/>
        <v>20495.756503926972</v>
      </c>
      <c r="AB62" s="237">
        <f t="shared" si="118"/>
        <v>13954.467692335347</v>
      </c>
      <c r="AC62" s="234"/>
      <c r="AD62" s="237"/>
      <c r="AE62" s="237"/>
      <c r="AF62" s="234"/>
      <c r="AG62" s="237">
        <f t="shared" si="119"/>
        <v>10758.589476234991</v>
      </c>
      <c r="AH62" s="237"/>
      <c r="AI62" s="237"/>
      <c r="AJ62" s="237"/>
      <c r="AK62" s="237"/>
      <c r="AL62" s="237">
        <f t="shared" si="120"/>
        <v>447.25299602476252</v>
      </c>
      <c r="AM62" s="237"/>
      <c r="AN62" s="237">
        <f t="shared" si="121"/>
        <v>0</v>
      </c>
      <c r="AO62" s="237">
        <f t="shared" si="122"/>
        <v>1396.7571969922794</v>
      </c>
      <c r="AP62" s="237"/>
      <c r="AQ62" s="237"/>
      <c r="AR62" s="237"/>
      <c r="AS62" s="237">
        <f t="shared" si="123"/>
        <v>6252.7564400151732</v>
      </c>
      <c r="AT62" s="237"/>
      <c r="AU62" s="237"/>
      <c r="AV62" s="237"/>
      <c r="AW62" s="237"/>
      <c r="AX62" s="237"/>
      <c r="AY62" s="237"/>
      <c r="AZ62" s="237"/>
      <c r="BA62" s="237">
        <f t="shared" si="124"/>
        <v>1420.0228759372817</v>
      </c>
      <c r="BB62" s="237"/>
      <c r="BC62" s="237">
        <f t="shared" si="125"/>
        <v>10765.847805958891</v>
      </c>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f t="shared" si="0"/>
        <v>652710.31973223493</v>
      </c>
    </row>
    <row r="63" spans="1:96" x14ac:dyDescent="0.3">
      <c r="A63" s="245" t="s">
        <v>209</v>
      </c>
      <c r="B63" s="237">
        <f t="shared" si="102"/>
        <v>3626555.7644012133</v>
      </c>
      <c r="C63" s="237">
        <f t="shared" si="103"/>
        <v>733089.88189202896</v>
      </c>
      <c r="D63" s="237">
        <f t="shared" si="104"/>
        <v>99179.355692057856</v>
      </c>
      <c r="E63" s="237">
        <f t="shared" si="105"/>
        <v>856603.89436217875</v>
      </c>
      <c r="F63" s="237">
        <f t="shared" si="106"/>
        <v>169325.44725569495</v>
      </c>
      <c r="G63" s="237">
        <f t="shared" si="107"/>
        <v>278801.29402305104</v>
      </c>
      <c r="H63" s="237">
        <f t="shared" si="108"/>
        <v>430398.3079758297</v>
      </c>
      <c r="I63" s="237">
        <f t="shared" si="109"/>
        <v>0</v>
      </c>
      <c r="J63" s="237"/>
      <c r="K63" s="237">
        <f t="shared" si="110"/>
        <v>79590.753897048387</v>
      </c>
      <c r="L63" s="237"/>
      <c r="M63" s="237"/>
      <c r="N63" s="237">
        <f t="shared" si="111"/>
        <v>255117.03326473202</v>
      </c>
      <c r="O63" s="237"/>
      <c r="P63" s="234"/>
      <c r="Q63" s="237">
        <f t="shared" si="112"/>
        <v>0</v>
      </c>
      <c r="R63" s="237">
        <f t="shared" si="113"/>
        <v>22603.434531841162</v>
      </c>
      <c r="S63" s="237"/>
      <c r="T63" s="237"/>
      <c r="U63" s="237"/>
      <c r="V63" s="237"/>
      <c r="W63" s="237">
        <f t="shared" si="114"/>
        <v>197605.27380717537</v>
      </c>
      <c r="X63" s="237"/>
      <c r="Y63" s="237">
        <f t="shared" si="115"/>
        <v>7661.4688805607902</v>
      </c>
      <c r="Z63" s="237">
        <f t="shared" si="116"/>
        <v>109279.17729840743</v>
      </c>
      <c r="AA63" s="237">
        <f t="shared" si="117"/>
        <v>45019.297744502663</v>
      </c>
      <c r="AB63" s="237">
        <f t="shared" si="118"/>
        <v>16280.344362267799</v>
      </c>
      <c r="AC63" s="234"/>
      <c r="AD63" s="237"/>
      <c r="AE63" s="237"/>
      <c r="AF63" s="234"/>
      <c r="AG63" s="237">
        <f t="shared" si="119"/>
        <v>13093.730954705225</v>
      </c>
      <c r="AH63" s="237"/>
      <c r="AI63" s="237"/>
      <c r="AJ63" s="237"/>
      <c r="AK63" s="237"/>
      <c r="AL63" s="237">
        <f t="shared" si="120"/>
        <v>40014.872060390182</v>
      </c>
      <c r="AM63" s="237"/>
      <c r="AN63" s="237">
        <f t="shared" si="121"/>
        <v>13081.83644819134</v>
      </c>
      <c r="AO63" s="237">
        <f t="shared" si="122"/>
        <v>11732.350247041462</v>
      </c>
      <c r="AP63" s="237"/>
      <c r="AQ63" s="237"/>
      <c r="AR63" s="237"/>
      <c r="AS63" s="237">
        <f t="shared" si="123"/>
        <v>57338.249657821012</v>
      </c>
      <c r="AT63" s="237"/>
      <c r="AU63" s="237"/>
      <c r="AV63" s="237"/>
      <c r="AW63" s="237"/>
      <c r="AX63" s="237"/>
      <c r="AY63" s="237"/>
      <c r="AZ63" s="237"/>
      <c r="BA63" s="237">
        <f t="shared" si="124"/>
        <v>2264.9831465726602</v>
      </c>
      <c r="BB63" s="237"/>
      <c r="BC63" s="237">
        <f t="shared" si="125"/>
        <v>19470.878535734493</v>
      </c>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f t="shared" si="0"/>
        <v>7084107.6304390468</v>
      </c>
    </row>
    <row r="64" spans="1:96" x14ac:dyDescent="0.3">
      <c r="A64" s="245" t="s">
        <v>210</v>
      </c>
      <c r="B64" s="237">
        <f t="shared" si="102"/>
        <v>233717.72294865976</v>
      </c>
      <c r="C64" s="237">
        <f t="shared" si="103"/>
        <v>0</v>
      </c>
      <c r="D64" s="237">
        <f t="shared" si="104"/>
        <v>66119.634538794897</v>
      </c>
      <c r="E64" s="237">
        <f t="shared" si="105"/>
        <v>5686.7479020657365</v>
      </c>
      <c r="F64" s="237">
        <f t="shared" si="106"/>
        <v>0</v>
      </c>
      <c r="G64" s="237">
        <f t="shared" si="107"/>
        <v>0</v>
      </c>
      <c r="H64" s="237">
        <f t="shared" si="108"/>
        <v>146443.71274963696</v>
      </c>
      <c r="I64" s="237">
        <f t="shared" si="109"/>
        <v>390408.5902986388</v>
      </c>
      <c r="J64" s="237"/>
      <c r="K64" s="237">
        <f t="shared" si="110"/>
        <v>0</v>
      </c>
      <c r="L64" s="237"/>
      <c r="M64" s="237"/>
      <c r="N64" s="237">
        <f t="shared" si="111"/>
        <v>0</v>
      </c>
      <c r="O64" s="237"/>
      <c r="P64" s="234"/>
      <c r="Q64" s="237">
        <f t="shared" si="112"/>
        <v>0</v>
      </c>
      <c r="R64" s="237">
        <f t="shared" si="113"/>
        <v>0</v>
      </c>
      <c r="S64" s="237"/>
      <c r="T64" s="237"/>
      <c r="U64" s="237"/>
      <c r="V64" s="237"/>
      <c r="W64" s="237">
        <f t="shared" si="114"/>
        <v>0</v>
      </c>
      <c r="X64" s="237"/>
      <c r="Y64" s="237">
        <f t="shared" si="115"/>
        <v>682.85410383848887</v>
      </c>
      <c r="Z64" s="237">
        <f t="shared" si="116"/>
        <v>34810.852378455711</v>
      </c>
      <c r="AA64" s="237">
        <f t="shared" si="117"/>
        <v>38.777661084141165</v>
      </c>
      <c r="AB64" s="237">
        <f t="shared" si="118"/>
        <v>3876.1970074676301</v>
      </c>
      <c r="AC64" s="234"/>
      <c r="AD64" s="237"/>
      <c r="AE64" s="237"/>
      <c r="AF64" s="234"/>
      <c r="AG64" s="237">
        <f t="shared" si="119"/>
        <v>0</v>
      </c>
      <c r="AH64" s="237"/>
      <c r="AI64" s="237"/>
      <c r="AJ64" s="237"/>
      <c r="AK64" s="237"/>
      <c r="AL64" s="237">
        <f t="shared" si="120"/>
        <v>15728.119918447008</v>
      </c>
      <c r="AM64" s="237"/>
      <c r="AN64" s="237">
        <f t="shared" si="121"/>
        <v>0</v>
      </c>
      <c r="AO64" s="237">
        <f t="shared" si="122"/>
        <v>0</v>
      </c>
      <c r="AP64" s="237"/>
      <c r="AQ64" s="237"/>
      <c r="AR64" s="237"/>
      <c r="AS64" s="237">
        <f t="shared" si="123"/>
        <v>0</v>
      </c>
      <c r="AT64" s="237"/>
      <c r="AU64" s="237"/>
      <c r="AV64" s="237"/>
      <c r="AW64" s="237"/>
      <c r="AX64" s="237"/>
      <c r="AY64" s="237"/>
      <c r="AZ64" s="237"/>
      <c r="BA64" s="237">
        <f t="shared" si="124"/>
        <v>65.929200692146551</v>
      </c>
      <c r="BB64" s="237"/>
      <c r="BC64" s="237">
        <f t="shared" si="125"/>
        <v>15936.560136243637</v>
      </c>
      <c r="BD64" s="237"/>
      <c r="BE64" s="237"/>
      <c r="BF64" s="237"/>
      <c r="BG64" s="237"/>
      <c r="BH64" s="237"/>
      <c r="BI64" s="237"/>
      <c r="BJ64" s="237"/>
      <c r="BK64" s="237"/>
      <c r="BL64" s="237"/>
      <c r="BM64" s="237"/>
      <c r="BN64" s="237"/>
      <c r="BO64" s="237"/>
      <c r="BP64" s="237"/>
      <c r="BQ64" s="237"/>
      <c r="BR64" s="237"/>
      <c r="BS64" s="237"/>
      <c r="BT64" s="237"/>
      <c r="BU64" s="237"/>
      <c r="BV64" s="237"/>
      <c r="BW64" s="237"/>
      <c r="BX64" s="237"/>
      <c r="BY64" s="237"/>
      <c r="BZ64" s="237"/>
      <c r="CA64" s="237"/>
      <c r="CB64" s="237"/>
      <c r="CC64" s="237"/>
      <c r="CD64" s="237"/>
      <c r="CE64" s="237"/>
      <c r="CF64" s="237"/>
      <c r="CG64" s="237"/>
      <c r="CH64" s="237"/>
      <c r="CI64" s="237"/>
      <c r="CJ64" s="237"/>
      <c r="CK64" s="237"/>
      <c r="CL64" s="237"/>
      <c r="CM64" s="237"/>
      <c r="CN64" s="237"/>
      <c r="CO64" s="237"/>
      <c r="CP64" s="237"/>
      <c r="CQ64" s="237"/>
      <c r="CR64" s="237">
        <f t="shared" si="0"/>
        <v>913515.6988440248</v>
      </c>
    </row>
    <row r="65" spans="1:96" s="260" customFormat="1" x14ac:dyDescent="0.3">
      <c r="A65" s="177" t="s">
        <v>1</v>
      </c>
      <c r="B65" s="247">
        <f>SUM(B59:B64)</f>
        <v>24184538.139613327</v>
      </c>
      <c r="C65" s="247">
        <f t="shared" ref="C65:BN65" si="126">SUM(C59:C64)</f>
        <v>5854419.048460843</v>
      </c>
      <c r="D65" s="247">
        <f t="shared" si="126"/>
        <v>887522.16065572191</v>
      </c>
      <c r="E65" s="247">
        <f t="shared" si="126"/>
        <v>2635573.8446748564</v>
      </c>
      <c r="F65" s="247">
        <f t="shared" si="126"/>
        <v>4023686.6563509847</v>
      </c>
      <c r="G65" s="247">
        <f t="shared" si="126"/>
        <v>2280887.2254144098</v>
      </c>
      <c r="H65" s="247">
        <f t="shared" si="126"/>
        <v>1748872.9324870368</v>
      </c>
      <c r="I65" s="247">
        <f t="shared" si="126"/>
        <v>4197043.1746821934</v>
      </c>
      <c r="J65" s="247">
        <f t="shared" si="126"/>
        <v>0</v>
      </c>
      <c r="K65" s="247">
        <f t="shared" si="126"/>
        <v>685426.61885912286</v>
      </c>
      <c r="L65" s="247">
        <f t="shared" si="126"/>
        <v>0</v>
      </c>
      <c r="M65" s="247">
        <f t="shared" si="126"/>
        <v>0</v>
      </c>
      <c r="N65" s="247">
        <f t="shared" si="126"/>
        <v>1441544.7844979286</v>
      </c>
      <c r="O65" s="247">
        <f t="shared" si="126"/>
        <v>0</v>
      </c>
      <c r="P65" s="247">
        <f t="shared" si="126"/>
        <v>0</v>
      </c>
      <c r="Q65" s="247">
        <f t="shared" si="126"/>
        <v>80063.023697926081</v>
      </c>
      <c r="R65" s="247">
        <f t="shared" si="126"/>
        <v>225532.53146374246</v>
      </c>
      <c r="S65" s="247">
        <f t="shared" si="126"/>
        <v>0</v>
      </c>
      <c r="T65" s="247">
        <f t="shared" si="126"/>
        <v>0</v>
      </c>
      <c r="U65" s="247">
        <f t="shared" si="126"/>
        <v>0</v>
      </c>
      <c r="V65" s="247">
        <f t="shared" si="126"/>
        <v>0</v>
      </c>
      <c r="W65" s="247">
        <f t="shared" si="126"/>
        <v>586404.74223685917</v>
      </c>
      <c r="X65" s="247">
        <f t="shared" si="126"/>
        <v>0</v>
      </c>
      <c r="Y65" s="247">
        <f t="shared" si="126"/>
        <v>32930.282483148534</v>
      </c>
      <c r="Z65" s="247">
        <f t="shared" si="126"/>
        <v>540613.39045724145</v>
      </c>
      <c r="AA65" s="247">
        <f t="shared" si="126"/>
        <v>622652.12064096204</v>
      </c>
      <c r="AB65" s="247">
        <f t="shared" si="126"/>
        <v>77525.128640241674</v>
      </c>
      <c r="AC65" s="247">
        <f t="shared" si="126"/>
        <v>0</v>
      </c>
      <c r="AD65" s="247">
        <f t="shared" si="126"/>
        <v>0</v>
      </c>
      <c r="AE65" s="247">
        <f t="shared" si="126"/>
        <v>0</v>
      </c>
      <c r="AF65" s="247">
        <f t="shared" si="126"/>
        <v>0</v>
      </c>
      <c r="AG65" s="247">
        <f t="shared" si="126"/>
        <v>189775.41773829685</v>
      </c>
      <c r="AH65" s="247">
        <f t="shared" si="126"/>
        <v>0</v>
      </c>
      <c r="AI65" s="247">
        <f t="shared" si="126"/>
        <v>0</v>
      </c>
      <c r="AJ65" s="247">
        <f t="shared" si="126"/>
        <v>0</v>
      </c>
      <c r="AK65" s="247">
        <f t="shared" si="126"/>
        <v>0</v>
      </c>
      <c r="AL65" s="247">
        <f t="shared" si="126"/>
        <v>113354.66461361798</v>
      </c>
      <c r="AM65" s="247">
        <f t="shared" si="126"/>
        <v>0</v>
      </c>
      <c r="AN65" s="247">
        <f t="shared" si="126"/>
        <v>171859.58128490963</v>
      </c>
      <c r="AO65" s="247">
        <f t="shared" si="126"/>
        <v>289138.17455435655</v>
      </c>
      <c r="AP65" s="247">
        <f t="shared" si="126"/>
        <v>0</v>
      </c>
      <c r="AQ65" s="247">
        <f t="shared" si="126"/>
        <v>0</v>
      </c>
      <c r="AR65" s="247">
        <f t="shared" si="126"/>
        <v>0</v>
      </c>
      <c r="AS65" s="247">
        <f t="shared" si="126"/>
        <v>263516.74552932323</v>
      </c>
      <c r="AT65" s="247">
        <f t="shared" si="126"/>
        <v>0</v>
      </c>
      <c r="AU65" s="247">
        <f t="shared" si="126"/>
        <v>0</v>
      </c>
      <c r="AV65" s="247">
        <f t="shared" si="126"/>
        <v>0</v>
      </c>
      <c r="AW65" s="247">
        <f t="shared" si="126"/>
        <v>0</v>
      </c>
      <c r="AX65" s="247">
        <f t="shared" si="126"/>
        <v>0</v>
      </c>
      <c r="AY65" s="247">
        <f t="shared" si="126"/>
        <v>0</v>
      </c>
      <c r="AZ65" s="247">
        <f t="shared" si="126"/>
        <v>0</v>
      </c>
      <c r="BA65" s="247">
        <f t="shared" si="126"/>
        <v>62767.022926596022</v>
      </c>
      <c r="BB65" s="247">
        <f t="shared" si="126"/>
        <v>0</v>
      </c>
      <c r="BC65" s="247">
        <f t="shared" si="126"/>
        <v>96106.016095606261</v>
      </c>
      <c r="BD65" s="247">
        <f t="shared" si="126"/>
        <v>0</v>
      </c>
      <c r="BE65" s="247">
        <f t="shared" si="126"/>
        <v>0</v>
      </c>
      <c r="BF65" s="247">
        <f t="shared" si="126"/>
        <v>0</v>
      </c>
      <c r="BG65" s="247">
        <f t="shared" si="126"/>
        <v>0</v>
      </c>
      <c r="BH65" s="247">
        <f t="shared" si="126"/>
        <v>0</v>
      </c>
      <c r="BI65" s="247">
        <f t="shared" si="126"/>
        <v>0</v>
      </c>
      <c r="BJ65" s="247">
        <f t="shared" si="126"/>
        <v>0</v>
      </c>
      <c r="BK65" s="247">
        <f t="shared" si="126"/>
        <v>0</v>
      </c>
      <c r="BL65" s="247">
        <f t="shared" si="126"/>
        <v>0</v>
      </c>
      <c r="BM65" s="247">
        <f t="shared" si="126"/>
        <v>0</v>
      </c>
      <c r="BN65" s="247">
        <f t="shared" si="126"/>
        <v>0</v>
      </c>
      <c r="BO65" s="247">
        <f t="shared" ref="BO65:CQ65" si="127">SUM(BO59:BO64)</f>
        <v>0</v>
      </c>
      <c r="BP65" s="247">
        <f t="shared" si="127"/>
        <v>0</v>
      </c>
      <c r="BQ65" s="247">
        <f t="shared" si="127"/>
        <v>0</v>
      </c>
      <c r="BR65" s="247">
        <f t="shared" si="127"/>
        <v>0</v>
      </c>
      <c r="BS65" s="247">
        <f t="shared" si="127"/>
        <v>0</v>
      </c>
      <c r="BT65" s="247">
        <f t="shared" si="127"/>
        <v>0</v>
      </c>
      <c r="BU65" s="247">
        <f t="shared" si="127"/>
        <v>0</v>
      </c>
      <c r="BV65" s="247">
        <f t="shared" si="127"/>
        <v>0</v>
      </c>
      <c r="BW65" s="247">
        <f t="shared" si="127"/>
        <v>0</v>
      </c>
      <c r="BX65" s="247">
        <f t="shared" si="127"/>
        <v>0</v>
      </c>
      <c r="BY65" s="247">
        <f t="shared" si="127"/>
        <v>0</v>
      </c>
      <c r="BZ65" s="247">
        <f t="shared" si="127"/>
        <v>0</v>
      </c>
      <c r="CA65" s="247">
        <f t="shared" si="127"/>
        <v>0</v>
      </c>
      <c r="CB65" s="247">
        <f t="shared" si="127"/>
        <v>0</v>
      </c>
      <c r="CC65" s="247">
        <f t="shared" si="127"/>
        <v>0</v>
      </c>
      <c r="CD65" s="247">
        <f t="shared" si="127"/>
        <v>0</v>
      </c>
      <c r="CE65" s="247">
        <f t="shared" si="127"/>
        <v>0</v>
      </c>
      <c r="CF65" s="247">
        <f t="shared" si="127"/>
        <v>0</v>
      </c>
      <c r="CG65" s="247">
        <f t="shared" si="127"/>
        <v>0</v>
      </c>
      <c r="CH65" s="247">
        <f t="shared" si="127"/>
        <v>0</v>
      </c>
      <c r="CI65" s="247">
        <f t="shared" si="127"/>
        <v>0</v>
      </c>
      <c r="CJ65" s="247">
        <f t="shared" si="127"/>
        <v>0</v>
      </c>
      <c r="CK65" s="247">
        <f t="shared" si="127"/>
        <v>0</v>
      </c>
      <c r="CL65" s="247">
        <f t="shared" si="127"/>
        <v>0</v>
      </c>
      <c r="CM65" s="247">
        <f t="shared" si="127"/>
        <v>0</v>
      </c>
      <c r="CN65" s="247">
        <f t="shared" si="127"/>
        <v>0</v>
      </c>
      <c r="CO65" s="247">
        <f t="shared" si="127"/>
        <v>0</v>
      </c>
      <c r="CP65" s="247">
        <f t="shared" si="127"/>
        <v>0</v>
      </c>
      <c r="CQ65" s="247">
        <f t="shared" si="127"/>
        <v>0</v>
      </c>
      <c r="CR65" s="244">
        <f t="shared" si="0"/>
        <v>51291753.428059258</v>
      </c>
    </row>
  </sheetData>
  <conditionalFormatting sqref="B2:CO14">
    <cfRule type="expression" dxfId="7" priority="5">
      <formula>#REF!&gt;=35000</formula>
    </cfRule>
    <cfRule type="expression" dxfId="6" priority="6">
      <formula>#REF!&gt;=10000</formula>
    </cfRule>
    <cfRule type="expression" dxfId="5" priority="7">
      <formula>#REF!&gt;=5000</formula>
    </cfRule>
    <cfRule type="expression" dxfId="4" priority="8">
      <formula>#REF!&lt;5000</formula>
    </cfRule>
  </conditionalFormatting>
  <conditionalFormatting sqref="B16:CO17">
    <cfRule type="expression" dxfId="3" priority="1">
      <formula>#REF!&gt;=35000</formula>
    </cfRule>
    <cfRule type="expression" dxfId="2" priority="2">
      <formula>#REF!&gt;=10000</formula>
    </cfRule>
    <cfRule type="expression" dxfId="1" priority="3">
      <formula>#REF!&gt;=5000</formula>
    </cfRule>
    <cfRule type="expression" dxfId="0" priority="4">
      <formula>#REF!&lt;5000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9A8B-81E5-49C7-B918-8C17CAF9F003}">
  <dimension ref="A1:F45"/>
  <sheetViews>
    <sheetView workbookViewId="0"/>
  </sheetViews>
  <sheetFormatPr defaultRowHeight="14.4" x14ac:dyDescent="0.3"/>
  <cols>
    <col min="1" max="1" width="41.88671875" bestFit="1" customWidth="1"/>
    <col min="2" max="2" width="35.6640625" bestFit="1" customWidth="1"/>
    <col min="3" max="3" width="19.44140625" bestFit="1" customWidth="1"/>
    <col min="4" max="4" width="23.6640625" customWidth="1"/>
    <col min="5" max="5" width="100.21875" bestFit="1" customWidth="1"/>
    <col min="6" max="6" width="71" bestFit="1" customWidth="1"/>
  </cols>
  <sheetData>
    <row r="1" spans="1:6" x14ac:dyDescent="0.3">
      <c r="A1" s="11" t="s">
        <v>242</v>
      </c>
      <c r="B1" s="11" t="s">
        <v>35</v>
      </c>
      <c r="C1" s="11" t="s">
        <v>243</v>
      </c>
      <c r="D1" s="11" t="s">
        <v>244</v>
      </c>
      <c r="E1" s="11" t="s">
        <v>245</v>
      </c>
      <c r="F1" s="11" t="s">
        <v>246</v>
      </c>
    </row>
    <row r="2" spans="1:6" x14ac:dyDescent="0.3">
      <c r="A2" t="s">
        <v>247</v>
      </c>
    </row>
    <row r="3" spans="1:6" x14ac:dyDescent="0.3">
      <c r="A3" t="s">
        <v>248</v>
      </c>
      <c r="B3" t="s">
        <v>107</v>
      </c>
      <c r="C3" t="s">
        <v>249</v>
      </c>
      <c r="D3" s="6">
        <v>15000</v>
      </c>
      <c r="E3" s="6">
        <v>30000</v>
      </c>
      <c r="F3" s="6">
        <v>30000</v>
      </c>
    </row>
    <row r="4" spans="1:6" x14ac:dyDescent="0.3">
      <c r="A4" t="s">
        <v>250</v>
      </c>
      <c r="B4" t="s">
        <v>230</v>
      </c>
      <c r="C4" t="s">
        <v>251</v>
      </c>
      <c r="D4" s="6">
        <v>15000</v>
      </c>
      <c r="E4" s="6">
        <v>30000</v>
      </c>
      <c r="F4" s="6">
        <v>30000</v>
      </c>
    </row>
    <row r="5" spans="1:6" x14ac:dyDescent="0.3">
      <c r="A5" t="s">
        <v>252</v>
      </c>
      <c r="B5" t="s">
        <v>97</v>
      </c>
      <c r="C5" t="s">
        <v>251</v>
      </c>
      <c r="D5" s="6">
        <v>15000</v>
      </c>
      <c r="E5" s="6">
        <v>30000</v>
      </c>
      <c r="F5" s="6">
        <v>30000</v>
      </c>
    </row>
    <row r="6" spans="1:6" x14ac:dyDescent="0.3">
      <c r="A6" t="s">
        <v>253</v>
      </c>
      <c r="B6" t="s">
        <v>107</v>
      </c>
      <c r="C6" t="s">
        <v>251</v>
      </c>
      <c r="D6" s="6">
        <v>18000</v>
      </c>
      <c r="E6" s="6">
        <v>36000</v>
      </c>
      <c r="F6" s="6">
        <v>36000</v>
      </c>
    </row>
    <row r="7" spans="1:6" x14ac:dyDescent="0.3">
      <c r="A7" t="s">
        <v>254</v>
      </c>
      <c r="B7" t="s">
        <v>230</v>
      </c>
      <c r="C7" t="s">
        <v>251</v>
      </c>
      <c r="D7" s="6">
        <v>30000</v>
      </c>
      <c r="E7" s="6">
        <v>60000</v>
      </c>
      <c r="F7" s="6">
        <v>60000</v>
      </c>
    </row>
    <row r="8" spans="1:6" x14ac:dyDescent="0.3">
      <c r="A8" t="s">
        <v>255</v>
      </c>
      <c r="B8" t="s">
        <v>230</v>
      </c>
      <c r="C8" t="s">
        <v>251</v>
      </c>
      <c r="D8" s="6">
        <v>20000</v>
      </c>
      <c r="E8" s="6">
        <v>40000</v>
      </c>
      <c r="F8" s="6">
        <v>40000</v>
      </c>
    </row>
    <row r="9" spans="1:6" x14ac:dyDescent="0.3">
      <c r="A9" t="s">
        <v>256</v>
      </c>
      <c r="B9" t="s">
        <v>230</v>
      </c>
      <c r="C9" t="s">
        <v>251</v>
      </c>
      <c r="D9" s="6">
        <v>20000</v>
      </c>
      <c r="E9" s="6">
        <v>40000</v>
      </c>
      <c r="F9" s="6">
        <v>40000</v>
      </c>
    </row>
    <row r="10" spans="1:6" x14ac:dyDescent="0.3">
      <c r="A10" t="s">
        <v>257</v>
      </c>
      <c r="B10" t="s">
        <v>230</v>
      </c>
      <c r="C10" t="s">
        <v>251</v>
      </c>
      <c r="D10" s="6">
        <v>15000</v>
      </c>
      <c r="E10" s="6">
        <v>30000</v>
      </c>
      <c r="F10" s="6">
        <v>30000</v>
      </c>
    </row>
    <row r="11" spans="1:6" x14ac:dyDescent="0.3">
      <c r="A11" t="s">
        <v>258</v>
      </c>
      <c r="B11" t="s">
        <v>259</v>
      </c>
      <c r="C11" t="s">
        <v>251</v>
      </c>
      <c r="D11" s="6">
        <v>15000</v>
      </c>
      <c r="E11" s="6">
        <v>30000</v>
      </c>
      <c r="F11" s="6">
        <v>30000</v>
      </c>
    </row>
    <row r="12" spans="1:6" x14ac:dyDescent="0.3">
      <c r="A12" t="s">
        <v>260</v>
      </c>
      <c r="B12" t="s">
        <v>103</v>
      </c>
      <c r="C12" t="s">
        <v>249</v>
      </c>
      <c r="D12" s="6">
        <v>30000</v>
      </c>
      <c r="E12" s="6">
        <v>60000</v>
      </c>
      <c r="F12" s="6">
        <v>60000</v>
      </c>
    </row>
    <row r="13" spans="1:6" x14ac:dyDescent="0.3">
      <c r="A13" t="s">
        <v>261</v>
      </c>
      <c r="B13" t="s">
        <v>259</v>
      </c>
      <c r="C13" t="s">
        <v>262</v>
      </c>
      <c r="D13" s="6">
        <v>10000</v>
      </c>
      <c r="E13" s="6">
        <v>20000</v>
      </c>
      <c r="F13" s="6">
        <v>20000</v>
      </c>
    </row>
    <row r="14" spans="1:6" x14ac:dyDescent="0.3">
      <c r="A14" t="s">
        <v>263</v>
      </c>
      <c r="B14" t="s">
        <v>259</v>
      </c>
      <c r="C14" t="s">
        <v>262</v>
      </c>
      <c r="D14" s="6">
        <v>10000</v>
      </c>
      <c r="E14" s="6">
        <v>20000</v>
      </c>
      <c r="F14" s="6">
        <v>20000</v>
      </c>
    </row>
    <row r="15" spans="1:6" x14ac:dyDescent="0.3">
      <c r="A15" t="s">
        <v>264</v>
      </c>
      <c r="B15" t="s">
        <v>265</v>
      </c>
      <c r="C15" t="s">
        <v>266</v>
      </c>
      <c r="D15" s="6">
        <v>50000</v>
      </c>
      <c r="E15" s="6">
        <v>600000</v>
      </c>
      <c r="F15" s="6">
        <v>600000</v>
      </c>
    </row>
    <row r="16" spans="1:6" x14ac:dyDescent="0.3">
      <c r="A16" t="s">
        <v>267</v>
      </c>
      <c r="B16" t="s">
        <v>120</v>
      </c>
      <c r="C16" t="s">
        <v>251</v>
      </c>
      <c r="D16" s="6">
        <v>20000</v>
      </c>
      <c r="E16" s="6">
        <v>40000</v>
      </c>
      <c r="F16" s="6">
        <v>40000</v>
      </c>
    </row>
    <row r="17" spans="1:6" x14ac:dyDescent="0.3">
      <c r="A17" t="s">
        <v>268</v>
      </c>
      <c r="B17" t="s">
        <v>123</v>
      </c>
      <c r="C17" t="s">
        <v>251</v>
      </c>
      <c r="D17" s="6">
        <v>15000</v>
      </c>
      <c r="E17" s="6">
        <v>30000</v>
      </c>
      <c r="F17" s="6">
        <v>30000</v>
      </c>
    </row>
    <row r="18" spans="1:6" x14ac:dyDescent="0.3">
      <c r="A18" t="s">
        <v>269</v>
      </c>
      <c r="B18" t="s">
        <v>120</v>
      </c>
      <c r="C18" t="s">
        <v>251</v>
      </c>
      <c r="D18" s="6">
        <v>21000</v>
      </c>
      <c r="E18" s="6">
        <v>42000</v>
      </c>
      <c r="F18" s="6">
        <v>42000</v>
      </c>
    </row>
    <row r="19" spans="1:6" x14ac:dyDescent="0.3">
      <c r="A19" t="s">
        <v>270</v>
      </c>
      <c r="B19" t="s">
        <v>114</v>
      </c>
      <c r="C19" t="s">
        <v>271</v>
      </c>
      <c r="D19" s="6">
        <v>5000</v>
      </c>
      <c r="E19" s="6">
        <v>10000</v>
      </c>
      <c r="F19" s="6">
        <v>10000</v>
      </c>
    </row>
    <row r="20" spans="1:6" x14ac:dyDescent="0.3">
      <c r="D20" s="6"/>
    </row>
    <row r="22" spans="1:6" x14ac:dyDescent="0.3">
      <c r="A22" s="3" t="s">
        <v>272</v>
      </c>
      <c r="C22" t="s">
        <v>273</v>
      </c>
      <c r="D22" t="s">
        <v>274</v>
      </c>
      <c r="E22" t="s">
        <v>275</v>
      </c>
    </row>
    <row r="23" spans="1:6" x14ac:dyDescent="0.3">
      <c r="A23" t="s">
        <v>91</v>
      </c>
      <c r="B23" t="s">
        <v>276</v>
      </c>
      <c r="C23">
        <v>4</v>
      </c>
      <c r="D23" s="6">
        <v>11680</v>
      </c>
      <c r="E23" t="s">
        <v>277</v>
      </c>
    </row>
    <row r="24" spans="1:6" x14ac:dyDescent="0.3">
      <c r="A24" t="s">
        <v>91</v>
      </c>
      <c r="B24" t="s">
        <v>278</v>
      </c>
      <c r="C24">
        <v>5</v>
      </c>
      <c r="D24" s="6">
        <v>14600</v>
      </c>
      <c r="E24" t="s">
        <v>279</v>
      </c>
    </row>
    <row r="25" spans="1:6" x14ac:dyDescent="0.3">
      <c r="A25" t="s">
        <v>97</v>
      </c>
      <c r="B25" t="s">
        <v>280</v>
      </c>
      <c r="C25">
        <v>15</v>
      </c>
      <c r="D25" s="6">
        <v>43800</v>
      </c>
      <c r="E25" t="s">
        <v>281</v>
      </c>
    </row>
    <row r="26" spans="1:6" x14ac:dyDescent="0.3">
      <c r="A26" t="s">
        <v>97</v>
      </c>
      <c r="B26" t="s">
        <v>282</v>
      </c>
      <c r="C26">
        <v>10</v>
      </c>
      <c r="D26" s="6">
        <v>29200</v>
      </c>
      <c r="E26" t="s">
        <v>283</v>
      </c>
    </row>
    <row r="27" spans="1:6" x14ac:dyDescent="0.3">
      <c r="A27" t="s">
        <v>97</v>
      </c>
      <c r="B27" t="s">
        <v>284</v>
      </c>
      <c r="C27">
        <v>2.5</v>
      </c>
      <c r="D27" s="6">
        <v>7300</v>
      </c>
      <c r="E27" t="s">
        <v>285</v>
      </c>
    </row>
    <row r="28" spans="1:6" x14ac:dyDescent="0.3">
      <c r="A28" t="s">
        <v>55</v>
      </c>
      <c r="B28" t="s">
        <v>286</v>
      </c>
      <c r="C28">
        <v>4.3</v>
      </c>
      <c r="D28" s="6">
        <v>12556</v>
      </c>
      <c r="E28" t="s">
        <v>287</v>
      </c>
    </row>
    <row r="29" spans="1:6" x14ac:dyDescent="0.3">
      <c r="A29" t="s">
        <v>55</v>
      </c>
      <c r="B29" t="s">
        <v>288</v>
      </c>
      <c r="C29">
        <v>6</v>
      </c>
      <c r="D29" s="6">
        <v>17520</v>
      </c>
      <c r="E29" t="s">
        <v>289</v>
      </c>
    </row>
    <row r="30" spans="1:6" x14ac:dyDescent="0.3">
      <c r="A30" t="s">
        <v>104</v>
      </c>
      <c r="B30" t="s">
        <v>290</v>
      </c>
      <c r="C30">
        <v>2.2000000000000002</v>
      </c>
      <c r="D30" s="6">
        <v>6424</v>
      </c>
      <c r="E30" t="s">
        <v>291</v>
      </c>
    </row>
    <row r="31" spans="1:6" x14ac:dyDescent="0.3">
      <c r="A31" t="s">
        <v>104</v>
      </c>
      <c r="B31" t="s">
        <v>292</v>
      </c>
      <c r="C31">
        <v>3</v>
      </c>
      <c r="D31" s="6">
        <v>8760</v>
      </c>
      <c r="E31" t="s">
        <v>293</v>
      </c>
    </row>
    <row r="32" spans="1:6" x14ac:dyDescent="0.3">
      <c r="A32" t="s">
        <v>92</v>
      </c>
      <c r="B32" t="s">
        <v>294</v>
      </c>
      <c r="C32">
        <v>10</v>
      </c>
      <c r="D32" s="6">
        <v>29200</v>
      </c>
      <c r="E32" t="s">
        <v>295</v>
      </c>
    </row>
    <row r="33" spans="1:6" x14ac:dyDescent="0.3">
      <c r="A33" t="s">
        <v>108</v>
      </c>
      <c r="B33" t="s">
        <v>296</v>
      </c>
      <c r="C33">
        <v>1.5</v>
      </c>
      <c r="D33" s="6">
        <v>4380</v>
      </c>
      <c r="E33" t="s">
        <v>297</v>
      </c>
    </row>
    <row r="36" spans="1:6" x14ac:dyDescent="0.3">
      <c r="A36" s="3" t="s">
        <v>298</v>
      </c>
      <c r="D36" s="3" t="s">
        <v>299</v>
      </c>
      <c r="E36" s="3" t="s">
        <v>300</v>
      </c>
      <c r="F36" t="s">
        <v>275</v>
      </c>
    </row>
    <row r="37" spans="1:6" x14ac:dyDescent="0.3">
      <c r="A37" t="s">
        <v>52</v>
      </c>
      <c r="B37" t="s">
        <v>301</v>
      </c>
      <c r="D37" s="5">
        <v>12000000</v>
      </c>
      <c r="E37" s="5">
        <v>12775000</v>
      </c>
      <c r="F37" t="s">
        <v>302</v>
      </c>
    </row>
    <row r="38" spans="1:6" x14ac:dyDescent="0.3">
      <c r="A38" t="s">
        <v>52</v>
      </c>
      <c r="B38" t="s">
        <v>303</v>
      </c>
      <c r="D38" s="5">
        <v>3250000</v>
      </c>
      <c r="E38" s="5">
        <v>5110000</v>
      </c>
      <c r="F38" t="s">
        <v>304</v>
      </c>
    </row>
    <row r="39" spans="1:6" x14ac:dyDescent="0.3">
      <c r="A39" t="s">
        <v>106</v>
      </c>
      <c r="B39" t="s">
        <v>305</v>
      </c>
      <c r="D39" s="5">
        <v>2450000</v>
      </c>
      <c r="E39" s="5">
        <v>2920000</v>
      </c>
      <c r="F39" t="s">
        <v>306</v>
      </c>
    </row>
    <row r="40" spans="1:6" x14ac:dyDescent="0.3">
      <c r="A40" t="s">
        <v>108</v>
      </c>
      <c r="B40" t="s">
        <v>307</v>
      </c>
      <c r="D40" s="5">
        <v>1220000</v>
      </c>
      <c r="E40" s="5">
        <v>5730000</v>
      </c>
      <c r="F40" t="s">
        <v>308</v>
      </c>
    </row>
    <row r="41" spans="1:6" x14ac:dyDescent="0.3">
      <c r="A41" t="s">
        <v>103</v>
      </c>
      <c r="B41" t="s">
        <v>309</v>
      </c>
      <c r="D41" s="5">
        <v>500000</v>
      </c>
      <c r="E41" s="5"/>
      <c r="F41" t="s">
        <v>310</v>
      </c>
    </row>
    <row r="42" spans="1:6" x14ac:dyDescent="0.3">
      <c r="A42" t="s">
        <v>230</v>
      </c>
      <c r="B42" t="s">
        <v>311</v>
      </c>
      <c r="D42" s="5">
        <v>600000</v>
      </c>
      <c r="E42" s="5"/>
      <c r="F42" t="s">
        <v>312</v>
      </c>
    </row>
    <row r="43" spans="1:6" x14ac:dyDescent="0.3">
      <c r="A43" t="s">
        <v>85</v>
      </c>
      <c r="B43" t="s">
        <v>313</v>
      </c>
      <c r="D43" s="5">
        <v>6200000</v>
      </c>
      <c r="E43" s="5"/>
      <c r="F43" t="s">
        <v>314</v>
      </c>
    </row>
    <row r="44" spans="1:6" x14ac:dyDescent="0.3">
      <c r="A44" t="s">
        <v>85</v>
      </c>
      <c r="B44" t="s">
        <v>315</v>
      </c>
      <c r="D44" s="5"/>
      <c r="E44" s="5">
        <v>9125000</v>
      </c>
      <c r="F44" t="s">
        <v>316</v>
      </c>
    </row>
    <row r="45" spans="1:6" x14ac:dyDescent="0.3">
      <c r="A45" t="s">
        <v>89</v>
      </c>
      <c r="B45" t="s">
        <v>317</v>
      </c>
      <c r="D45" s="5">
        <v>15900000</v>
      </c>
      <c r="E45" s="5">
        <v>21535000</v>
      </c>
      <c r="F45" t="s">
        <v>318</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2107-6138-464B-A99B-7F188B5974F5}">
  <sheetPr>
    <tabColor theme="7" tint="0.79998168889431442"/>
  </sheetPr>
  <dimension ref="A1:P158"/>
  <sheetViews>
    <sheetView topLeftCell="A80" workbookViewId="0">
      <selection activeCell="G89" sqref="G89"/>
    </sheetView>
  </sheetViews>
  <sheetFormatPr defaultRowHeight="14.4" x14ac:dyDescent="0.3"/>
  <cols>
    <col min="1" max="1" width="41.33203125" bestFit="1" customWidth="1"/>
    <col min="2" max="2" width="15.5546875" style="6" customWidth="1"/>
    <col min="3" max="4" width="17.77734375" style="6" bestFit="1" customWidth="1"/>
    <col min="5" max="6" width="15.109375" style="6" bestFit="1" customWidth="1"/>
    <col min="7" max="7" width="14.109375" style="6" bestFit="1" customWidth="1"/>
    <col min="8" max="8" width="17.77734375" style="6" bestFit="1" customWidth="1"/>
    <col min="9" max="9" width="17.44140625" customWidth="1"/>
    <col min="10" max="10" width="19.88671875" bestFit="1" customWidth="1"/>
    <col min="11" max="11" width="15.109375" bestFit="1" customWidth="1"/>
    <col min="12" max="13" width="14.109375" bestFit="1" customWidth="1"/>
    <col min="14" max="14" width="17.77734375" bestFit="1" customWidth="1"/>
    <col min="15" max="15" width="21.44140625" bestFit="1" customWidth="1"/>
    <col min="16" max="16" width="15.109375" bestFit="1" customWidth="1"/>
    <col min="17" max="17" width="14.77734375" customWidth="1"/>
  </cols>
  <sheetData>
    <row r="1" spans="1:16" ht="18" x14ac:dyDescent="0.35">
      <c r="A1" s="2" t="s">
        <v>214</v>
      </c>
    </row>
    <row r="2" spans="1:16" x14ac:dyDescent="0.3">
      <c r="A2" t="s">
        <v>60</v>
      </c>
      <c r="B2" s="6" t="s">
        <v>61</v>
      </c>
      <c r="C2" s="6" t="s">
        <v>62</v>
      </c>
      <c r="D2" s="6" t="s">
        <v>63</v>
      </c>
      <c r="E2" s="6" t="s">
        <v>64</v>
      </c>
      <c r="F2" s="6" t="s">
        <v>65</v>
      </c>
      <c r="G2" s="6" t="s">
        <v>66</v>
      </c>
      <c r="H2" s="6" t="s">
        <v>67</v>
      </c>
      <c r="I2" t="s">
        <v>68</v>
      </c>
      <c r="J2" t="s">
        <v>69</v>
      </c>
      <c r="K2" t="s">
        <v>70</v>
      </c>
      <c r="L2" t="s">
        <v>71</v>
      </c>
      <c r="M2" t="s">
        <v>72</v>
      </c>
      <c r="N2" t="s">
        <v>73</v>
      </c>
      <c r="O2" t="s">
        <v>74</v>
      </c>
    </row>
    <row r="3" spans="1:16" x14ac:dyDescent="0.3">
      <c r="A3" t="s">
        <v>75</v>
      </c>
      <c r="B3" s="13">
        <v>26777.68</v>
      </c>
      <c r="C3" s="13">
        <v>52801.45</v>
      </c>
      <c r="D3" s="13">
        <v>136671.9</v>
      </c>
      <c r="E3" s="13">
        <v>20</v>
      </c>
      <c r="F3" s="13">
        <v>32530.89</v>
      </c>
      <c r="G3" s="13">
        <v>872.5</v>
      </c>
      <c r="H3" s="13">
        <v>97023.9</v>
      </c>
      <c r="I3" s="12">
        <v>127.09</v>
      </c>
      <c r="J3" s="12">
        <v>14481.92</v>
      </c>
      <c r="K3" s="12">
        <v>63873.26</v>
      </c>
      <c r="L3" s="12">
        <v>16337.2</v>
      </c>
      <c r="M3" s="12">
        <v>1264.3</v>
      </c>
      <c r="N3" s="12">
        <v>323823.49</v>
      </c>
      <c r="O3" s="13">
        <v>118958.6</v>
      </c>
      <c r="P3" s="6"/>
    </row>
    <row r="4" spans="1:16" x14ac:dyDescent="0.3">
      <c r="A4" t="s">
        <v>59</v>
      </c>
      <c r="B4" s="13">
        <v>7940.28</v>
      </c>
      <c r="C4" s="13">
        <v>69068.19</v>
      </c>
      <c r="D4" s="13">
        <v>439580.68</v>
      </c>
      <c r="E4" s="13">
        <v>6371.75</v>
      </c>
      <c r="F4" s="13">
        <v>5176.4399999999996</v>
      </c>
      <c r="G4" s="13">
        <v>14448.8</v>
      </c>
      <c r="H4" s="13">
        <v>5955.25</v>
      </c>
      <c r="I4" s="12">
        <v>4302.28</v>
      </c>
      <c r="J4" s="12">
        <v>23653.759999999998</v>
      </c>
      <c r="K4" s="12">
        <v>19809.79</v>
      </c>
      <c r="L4" s="12">
        <v>30962.74</v>
      </c>
      <c r="M4" s="12">
        <v>5153.42</v>
      </c>
      <c r="N4" s="12">
        <v>513269.15</v>
      </c>
      <c r="O4" s="13">
        <v>119154.23</v>
      </c>
      <c r="P4" s="6"/>
    </row>
    <row r="5" spans="1:16" x14ac:dyDescent="0.3">
      <c r="A5" t="s">
        <v>76</v>
      </c>
      <c r="B5" s="13">
        <v>68.400000000000006</v>
      </c>
      <c r="C5" s="13">
        <v>1786.5</v>
      </c>
      <c r="D5" s="13">
        <v>1095.02</v>
      </c>
      <c r="E5" s="13">
        <v>308.25</v>
      </c>
      <c r="F5" s="13">
        <v>1201.6500000000001</v>
      </c>
      <c r="G5" s="13">
        <v>186.6</v>
      </c>
      <c r="H5" s="13">
        <v>6.1</v>
      </c>
      <c r="I5" s="12">
        <v>45.6</v>
      </c>
      <c r="J5" s="12">
        <v>7319.6</v>
      </c>
      <c r="K5" s="12">
        <v>1595.12</v>
      </c>
      <c r="L5" s="12">
        <v>3691.35</v>
      </c>
      <c r="M5" s="12">
        <v>688.61</v>
      </c>
      <c r="N5" s="12">
        <v>13382.12</v>
      </c>
      <c r="O5" s="13">
        <v>4610.68</v>
      </c>
      <c r="P5" s="6"/>
    </row>
    <row r="6" spans="1:16" x14ac:dyDescent="0.3">
      <c r="A6" t="s">
        <v>319</v>
      </c>
      <c r="B6" s="13">
        <v>2565</v>
      </c>
      <c r="C6" s="13">
        <v>4294.5600000000004</v>
      </c>
      <c r="D6" s="13">
        <v>40834.76</v>
      </c>
      <c r="E6" s="13">
        <v>986.7</v>
      </c>
      <c r="F6" s="13">
        <v>471</v>
      </c>
      <c r="G6" s="13">
        <v>210.5</v>
      </c>
      <c r="H6" s="13">
        <v>539.51</v>
      </c>
      <c r="I6" s="12">
        <v>24.5</v>
      </c>
      <c r="J6" s="12">
        <v>5069.8999999999996</v>
      </c>
      <c r="K6" s="12">
        <v>3632.41</v>
      </c>
      <c r="L6" s="12">
        <v>46897.74</v>
      </c>
      <c r="M6" s="12">
        <v>3030.03</v>
      </c>
      <c r="N6" s="12">
        <v>96377.91</v>
      </c>
      <c r="O6" s="13">
        <v>12178.7</v>
      </c>
      <c r="P6" s="6"/>
    </row>
    <row r="7" spans="1:16" x14ac:dyDescent="0.3">
      <c r="A7" t="s">
        <v>77</v>
      </c>
      <c r="B7" s="13">
        <v>184302.35</v>
      </c>
      <c r="C7" s="13">
        <v>11057</v>
      </c>
      <c r="D7" s="13">
        <v>331038.40000000002</v>
      </c>
      <c r="E7" s="13">
        <v>104</v>
      </c>
      <c r="F7" s="13">
        <v>8834</v>
      </c>
      <c r="G7" s="13">
        <v>40</v>
      </c>
      <c r="H7" s="13">
        <v>8561.5</v>
      </c>
      <c r="I7" s="12">
        <v>515</v>
      </c>
      <c r="J7" s="12">
        <v>149159.01999999999</v>
      </c>
      <c r="K7" s="12">
        <v>172232.79</v>
      </c>
      <c r="L7" s="12">
        <v>34805.35</v>
      </c>
      <c r="M7" s="12">
        <v>16491.46</v>
      </c>
      <c r="N7" s="12">
        <v>716700.62</v>
      </c>
      <c r="O7" s="13">
        <v>200440.25</v>
      </c>
      <c r="P7" s="6"/>
    </row>
    <row r="8" spans="1:16" x14ac:dyDescent="0.3">
      <c r="A8" t="s">
        <v>78</v>
      </c>
      <c r="B8" s="13">
        <v>36780.69</v>
      </c>
      <c r="C8" s="13">
        <v>21929.5</v>
      </c>
      <c r="D8" s="13">
        <v>7325.22</v>
      </c>
      <c r="E8" s="13">
        <v>57.5</v>
      </c>
      <c r="F8" s="13">
        <v>50277</v>
      </c>
      <c r="G8" s="13">
        <v>165</v>
      </c>
      <c r="H8" s="13">
        <v>20488.37</v>
      </c>
      <c r="I8" s="12">
        <v>273</v>
      </c>
      <c r="J8" s="12">
        <v>17415.7</v>
      </c>
      <c r="K8" s="12">
        <v>2753.92</v>
      </c>
      <c r="L8" s="12">
        <v>3077.29</v>
      </c>
      <c r="M8" s="12">
        <v>493</v>
      </c>
      <c r="N8" s="12">
        <v>135364.26999999999</v>
      </c>
      <c r="O8" s="13">
        <v>25671.919999999998</v>
      </c>
      <c r="P8" s="6"/>
    </row>
    <row r="9" spans="1:16" x14ac:dyDescent="0.3">
      <c r="A9" t="s">
        <v>79</v>
      </c>
      <c r="B9" s="13">
        <v>72.73</v>
      </c>
      <c r="C9" s="13">
        <v>20</v>
      </c>
      <c r="D9" s="13">
        <v>80187778.599999994</v>
      </c>
      <c r="E9" s="13">
        <v>0</v>
      </c>
      <c r="F9" s="13">
        <v>288832</v>
      </c>
      <c r="G9" s="13">
        <v>0</v>
      </c>
      <c r="H9" s="13">
        <v>2643473.71</v>
      </c>
      <c r="I9" s="12">
        <v>10</v>
      </c>
      <c r="J9" s="12">
        <v>1658599.68</v>
      </c>
      <c r="K9" s="12">
        <v>322</v>
      </c>
      <c r="L9" s="12">
        <v>0</v>
      </c>
      <c r="M9" s="12">
        <v>70</v>
      </c>
      <c r="N9" s="12">
        <v>84678756.719999999</v>
      </c>
      <c r="O9" s="13">
        <v>422</v>
      </c>
      <c r="P9" s="6"/>
    </row>
    <row r="10" spans="1:16" x14ac:dyDescent="0.3">
      <c r="A10" t="s">
        <v>80</v>
      </c>
      <c r="B10" s="13">
        <v>819</v>
      </c>
      <c r="C10" s="13">
        <v>1222.7</v>
      </c>
      <c r="D10" s="13">
        <v>6382.8</v>
      </c>
      <c r="E10" s="13">
        <v>264.5</v>
      </c>
      <c r="F10" s="13">
        <v>11186.24</v>
      </c>
      <c r="G10" s="13">
        <v>114.9</v>
      </c>
      <c r="H10" s="13">
        <v>1309.1500000000001</v>
      </c>
      <c r="I10" s="12">
        <v>65</v>
      </c>
      <c r="J10" s="12">
        <v>15413.73</v>
      </c>
      <c r="K10" s="12">
        <v>7325.13</v>
      </c>
      <c r="L10" s="12">
        <v>2811.61</v>
      </c>
      <c r="M10" s="12">
        <v>554.20000000000005</v>
      </c>
      <c r="N10" s="12">
        <v>37922.53</v>
      </c>
      <c r="O10" s="13">
        <v>9546.43</v>
      </c>
      <c r="P10" s="6"/>
    </row>
    <row r="11" spans="1:16" x14ac:dyDescent="0.3">
      <c r="A11" t="s">
        <v>81</v>
      </c>
      <c r="B11" s="13">
        <v>259326.13</v>
      </c>
      <c r="C11" s="13">
        <v>162179.9</v>
      </c>
      <c r="D11" s="13">
        <v>80970707.379999995</v>
      </c>
      <c r="E11" s="13">
        <v>8112.71</v>
      </c>
      <c r="F11" s="13">
        <v>398509.22</v>
      </c>
      <c r="G11" s="13">
        <v>16038.3</v>
      </c>
      <c r="H11" s="13">
        <v>2777357.49</v>
      </c>
      <c r="I11" s="12">
        <v>5362.47</v>
      </c>
      <c r="J11" s="12">
        <v>1891113.31</v>
      </c>
      <c r="K11" s="12">
        <v>271544.42</v>
      </c>
      <c r="L11" s="12">
        <v>138583.32</v>
      </c>
      <c r="M11" s="12">
        <v>27744.959999999999</v>
      </c>
      <c r="N11" s="12">
        <v>86435596.849999994</v>
      </c>
      <c r="O11" s="13">
        <v>490982.76</v>
      </c>
      <c r="P11" s="6"/>
    </row>
    <row r="12" spans="1:16" x14ac:dyDescent="0.3">
      <c r="C12" s="6" t="s">
        <v>424</v>
      </c>
      <c r="N12" s="4">
        <f>N11*365</f>
        <v>31548992850.249996</v>
      </c>
      <c r="O12" s="4">
        <f>O11*365</f>
        <v>179208707.40000001</v>
      </c>
    </row>
    <row r="13" spans="1:16" x14ac:dyDescent="0.3">
      <c r="A13" t="s">
        <v>423</v>
      </c>
      <c r="B13" s="6">
        <f>SUM(B3:B10,D3:D10,F3:F10,H3:H10,J3:J10,L3:L10)</f>
        <v>86615596.810000002</v>
      </c>
      <c r="C13" s="6">
        <f>SUM(C3:C10,E3:E10,G3:G10,I3:I10,K3:K10,M3:M10)</f>
        <v>490982.81</v>
      </c>
      <c r="N13" s="4">
        <f>B14-N12</f>
        <v>65699985.400005341</v>
      </c>
      <c r="O13" s="4"/>
    </row>
    <row r="14" spans="1:16" x14ac:dyDescent="0.3">
      <c r="A14" t="s">
        <v>215</v>
      </c>
      <c r="B14" s="6">
        <f>B13*365</f>
        <v>31614692835.650002</v>
      </c>
      <c r="C14" s="6">
        <f>C13*365</f>
        <v>179208725.65000001</v>
      </c>
      <c r="N14" s="4">
        <f>SUM(N3:N8,N10)*365</f>
        <v>670446632.85000002</v>
      </c>
      <c r="O14" s="4"/>
    </row>
    <row r="15" spans="1:16" x14ac:dyDescent="0.3">
      <c r="A15" t="s">
        <v>427</v>
      </c>
      <c r="B15" s="6">
        <f>SUM(B3:B8,B10,D3:D8,D10,F3:F8,F10,H3:H8,H10,J3:J8,J10,L3:L8,L10)*365</f>
        <v>670446632.85000002</v>
      </c>
      <c r="N15" s="4"/>
      <c r="O15" s="4"/>
    </row>
    <row r="17" spans="1:16" ht="18" x14ac:dyDescent="0.35">
      <c r="A17" s="2" t="s">
        <v>240</v>
      </c>
    </row>
    <row r="18" spans="1:16" x14ac:dyDescent="0.3">
      <c r="A18" t="s">
        <v>60</v>
      </c>
      <c r="B18" s="6" t="s">
        <v>61</v>
      </c>
      <c r="C18" s="6" t="s">
        <v>62</v>
      </c>
      <c r="D18" s="6" t="s">
        <v>63</v>
      </c>
      <c r="E18" s="6" t="s">
        <v>64</v>
      </c>
      <c r="F18" s="6" t="s">
        <v>65</v>
      </c>
      <c r="G18" s="6" t="s">
        <v>66</v>
      </c>
      <c r="H18" s="6" t="s">
        <v>67</v>
      </c>
      <c r="I18" t="s">
        <v>68</v>
      </c>
      <c r="J18" t="s">
        <v>69</v>
      </c>
      <c r="K18" t="s">
        <v>70</v>
      </c>
      <c r="L18" t="s">
        <v>71</v>
      </c>
      <c r="M18" t="s">
        <v>72</v>
      </c>
      <c r="N18" t="s">
        <v>73</v>
      </c>
      <c r="O18" t="s">
        <v>74</v>
      </c>
    </row>
    <row r="19" spans="1:16" x14ac:dyDescent="0.3">
      <c r="A19" t="s">
        <v>75</v>
      </c>
      <c r="B19" s="13">
        <v>26777.68</v>
      </c>
      <c r="C19" s="13">
        <v>53379.7</v>
      </c>
      <c r="D19" s="13">
        <v>136671.9</v>
      </c>
      <c r="E19" s="13">
        <v>80</v>
      </c>
      <c r="F19" s="13">
        <v>32530.89</v>
      </c>
      <c r="G19" s="13">
        <v>872.5</v>
      </c>
      <c r="H19" s="13">
        <v>97023.9</v>
      </c>
      <c r="I19" s="12">
        <v>157.09</v>
      </c>
      <c r="J19" s="12">
        <v>14526.92</v>
      </c>
      <c r="K19" s="12">
        <v>63943.26</v>
      </c>
      <c r="L19" s="12">
        <v>16337.2</v>
      </c>
      <c r="M19" s="12">
        <v>1274.3</v>
      </c>
      <c r="N19" s="12">
        <v>323868.49</v>
      </c>
      <c r="O19" s="12">
        <v>119706.85</v>
      </c>
      <c r="P19" s="9"/>
    </row>
    <row r="20" spans="1:16" x14ac:dyDescent="0.3">
      <c r="A20" t="s">
        <v>59</v>
      </c>
      <c r="B20" s="13">
        <v>7986.98</v>
      </c>
      <c r="C20" s="13">
        <v>77032.44</v>
      </c>
      <c r="D20" s="13">
        <v>440163.95</v>
      </c>
      <c r="E20" s="13">
        <v>7722.75</v>
      </c>
      <c r="F20" s="13">
        <v>7692.44</v>
      </c>
      <c r="G20" s="13">
        <v>15442.3</v>
      </c>
      <c r="H20" s="13">
        <v>6101.6</v>
      </c>
      <c r="I20" s="12">
        <v>4789.28</v>
      </c>
      <c r="J20" s="12">
        <v>24685.64</v>
      </c>
      <c r="K20" s="12">
        <v>21254.29</v>
      </c>
      <c r="L20" s="12">
        <v>31740.39</v>
      </c>
      <c r="M20" s="12">
        <v>6051.87</v>
      </c>
      <c r="N20" s="12">
        <v>518371</v>
      </c>
      <c r="O20" s="12">
        <v>132292.93</v>
      </c>
      <c r="P20" s="9"/>
    </row>
    <row r="21" spans="1:16" x14ac:dyDescent="0.3">
      <c r="A21" t="s">
        <v>76</v>
      </c>
      <c r="B21" s="13">
        <v>68.400000000000006</v>
      </c>
      <c r="C21" s="13">
        <v>1923.5</v>
      </c>
      <c r="D21" s="13">
        <v>1112.26</v>
      </c>
      <c r="E21" s="13">
        <v>308.25</v>
      </c>
      <c r="F21" s="13">
        <v>1201.6500000000001</v>
      </c>
      <c r="G21" s="13">
        <v>219.6</v>
      </c>
      <c r="H21" s="13">
        <v>6.1</v>
      </c>
      <c r="I21" s="12">
        <v>65.599999999999994</v>
      </c>
      <c r="J21" s="12">
        <v>7321.9</v>
      </c>
      <c r="K21" s="12">
        <v>1764.62</v>
      </c>
      <c r="L21" s="12">
        <v>3848.39</v>
      </c>
      <c r="M21" s="12">
        <v>789.36</v>
      </c>
      <c r="N21" s="12">
        <v>13558.7</v>
      </c>
      <c r="O21" s="12">
        <v>5070.93</v>
      </c>
      <c r="P21" s="9"/>
    </row>
    <row r="22" spans="1:16" x14ac:dyDescent="0.3">
      <c r="A22" t="s">
        <v>319</v>
      </c>
      <c r="B22" s="13">
        <v>2610</v>
      </c>
      <c r="C22" s="13">
        <v>5164.5600000000004</v>
      </c>
      <c r="D22" s="13">
        <v>43368.49</v>
      </c>
      <c r="E22" s="13">
        <v>524</v>
      </c>
      <c r="F22" s="13">
        <v>471</v>
      </c>
      <c r="G22" s="13">
        <v>210.5</v>
      </c>
      <c r="H22" s="13">
        <v>4239.51</v>
      </c>
      <c r="I22" s="12">
        <v>24.5</v>
      </c>
      <c r="J22" s="12">
        <v>5209.3500000000004</v>
      </c>
      <c r="K22" s="12">
        <v>5639.41</v>
      </c>
      <c r="L22" s="12">
        <v>47087.74</v>
      </c>
      <c r="M22" s="12">
        <v>3605.03</v>
      </c>
      <c r="N22" s="12">
        <v>102986.09</v>
      </c>
      <c r="O22" s="12">
        <v>15168</v>
      </c>
      <c r="P22" s="9"/>
    </row>
    <row r="23" spans="1:16" x14ac:dyDescent="0.3">
      <c r="A23" t="s">
        <v>77</v>
      </c>
      <c r="B23" s="13">
        <v>185851.9</v>
      </c>
      <c r="C23" s="13">
        <v>11335</v>
      </c>
      <c r="D23" s="13">
        <v>335740.55</v>
      </c>
      <c r="E23" s="13">
        <v>104</v>
      </c>
      <c r="F23" s="13">
        <v>8834</v>
      </c>
      <c r="G23" s="13">
        <v>40</v>
      </c>
      <c r="H23" s="13">
        <v>8561.5</v>
      </c>
      <c r="I23" s="12">
        <v>515</v>
      </c>
      <c r="J23" s="12">
        <v>156531.51999999999</v>
      </c>
      <c r="K23" s="12">
        <v>181461.59</v>
      </c>
      <c r="L23" s="12">
        <v>35512.949999999997</v>
      </c>
      <c r="M23" s="12">
        <v>16591.46</v>
      </c>
      <c r="N23" s="12">
        <v>731032.42</v>
      </c>
      <c r="O23" s="12">
        <v>210047.05</v>
      </c>
      <c r="P23" s="9"/>
    </row>
    <row r="24" spans="1:16" x14ac:dyDescent="0.3">
      <c r="A24" t="s">
        <v>78</v>
      </c>
      <c r="B24" s="13">
        <v>36960.51</v>
      </c>
      <c r="C24" s="13">
        <v>23686.5</v>
      </c>
      <c r="D24" s="13">
        <v>7775.22</v>
      </c>
      <c r="E24" s="13">
        <v>77.5</v>
      </c>
      <c r="F24" s="13">
        <v>123317</v>
      </c>
      <c r="G24" s="13">
        <v>205</v>
      </c>
      <c r="H24" s="13">
        <v>23054.37</v>
      </c>
      <c r="I24" s="12">
        <v>273</v>
      </c>
      <c r="J24" s="12">
        <v>50.11</v>
      </c>
      <c r="K24" s="12">
        <v>2758.92</v>
      </c>
      <c r="L24" s="12">
        <v>3185.59</v>
      </c>
      <c r="M24" s="12">
        <v>493</v>
      </c>
      <c r="N24" s="12">
        <v>194342.8</v>
      </c>
      <c r="O24" s="12">
        <v>27493.919999999998</v>
      </c>
      <c r="P24" s="9"/>
    </row>
    <row r="25" spans="1:16" x14ac:dyDescent="0.3">
      <c r="A25" s="8" t="s">
        <v>79</v>
      </c>
      <c r="B25" s="27">
        <v>72.73</v>
      </c>
      <c r="C25" s="27">
        <v>20</v>
      </c>
      <c r="D25" s="27">
        <v>80196297</v>
      </c>
      <c r="E25" s="27">
        <v>0</v>
      </c>
      <c r="F25" s="27">
        <v>288832</v>
      </c>
      <c r="G25" s="27">
        <v>0</v>
      </c>
      <c r="H25" s="27">
        <v>2646473.71</v>
      </c>
      <c r="I25" s="14">
        <v>10</v>
      </c>
      <c r="J25" s="14">
        <v>1658599.68</v>
      </c>
      <c r="K25" s="14">
        <v>322</v>
      </c>
      <c r="L25" s="14">
        <v>0</v>
      </c>
      <c r="M25" s="14">
        <v>70</v>
      </c>
      <c r="N25" s="14">
        <v>84790275.120000005</v>
      </c>
      <c r="O25" s="14">
        <v>422</v>
      </c>
      <c r="P25" s="10"/>
    </row>
    <row r="26" spans="1:16" x14ac:dyDescent="0.3">
      <c r="A26" t="s">
        <v>80</v>
      </c>
      <c r="B26" s="13">
        <v>819</v>
      </c>
      <c r="C26" s="13">
        <v>1264.7</v>
      </c>
      <c r="D26" s="13">
        <v>6382.8</v>
      </c>
      <c r="E26" s="13">
        <v>335.5</v>
      </c>
      <c r="F26" s="13">
        <v>11386.24</v>
      </c>
      <c r="G26" s="13">
        <v>124.9</v>
      </c>
      <c r="H26" s="13">
        <v>1318.25</v>
      </c>
      <c r="I26" s="12">
        <v>65</v>
      </c>
      <c r="J26" s="12">
        <v>15558.23</v>
      </c>
      <c r="K26" s="12">
        <v>7585.13</v>
      </c>
      <c r="L26" s="12">
        <v>2811.61</v>
      </c>
      <c r="M26" s="12">
        <v>572.20000000000005</v>
      </c>
      <c r="N26" s="12">
        <v>38276.129999999997</v>
      </c>
      <c r="O26" s="12">
        <v>9947.43</v>
      </c>
      <c r="P26" s="9"/>
    </row>
    <row r="27" spans="1:16" x14ac:dyDescent="0.3">
      <c r="A27" t="s">
        <v>81</v>
      </c>
      <c r="B27" s="13">
        <v>261147.2</v>
      </c>
      <c r="C27" s="13">
        <v>173806.4</v>
      </c>
      <c r="D27" s="13">
        <v>81167512.170000002</v>
      </c>
      <c r="E27" s="13">
        <v>9152</v>
      </c>
      <c r="F27" s="13">
        <v>474265.22</v>
      </c>
      <c r="G27" s="13">
        <v>17114.8</v>
      </c>
      <c r="H27" s="13">
        <v>2786778.94</v>
      </c>
      <c r="I27" s="12">
        <v>5899.47</v>
      </c>
      <c r="J27" s="12">
        <v>1882483.35</v>
      </c>
      <c r="K27" s="12">
        <v>284729.21999999997</v>
      </c>
      <c r="L27" s="12">
        <v>140523.87</v>
      </c>
      <c r="M27" s="12">
        <v>29447.22</v>
      </c>
      <c r="N27" s="12">
        <v>86712710.75</v>
      </c>
      <c r="O27" s="12">
        <v>520149.11</v>
      </c>
      <c r="P27" s="9"/>
    </row>
    <row r="28" spans="1:16" x14ac:dyDescent="0.3">
      <c r="A28" t="s">
        <v>215</v>
      </c>
      <c r="B28" s="13">
        <f>B27*365</f>
        <v>95318728</v>
      </c>
      <c r="C28" s="13">
        <f t="shared" ref="C28:O28" si="0">C27*365</f>
        <v>63439336</v>
      </c>
      <c r="D28" s="13">
        <f t="shared" si="0"/>
        <v>29626141942.049999</v>
      </c>
      <c r="E28" s="13">
        <f t="shared" si="0"/>
        <v>3340480</v>
      </c>
      <c r="F28" s="13">
        <f t="shared" si="0"/>
        <v>173106805.29999998</v>
      </c>
      <c r="G28" s="13">
        <f t="shared" si="0"/>
        <v>6246902</v>
      </c>
      <c r="H28" s="13">
        <f t="shared" si="0"/>
        <v>1017174313.1</v>
      </c>
      <c r="I28" s="15">
        <f t="shared" si="0"/>
        <v>2153306.5500000003</v>
      </c>
      <c r="J28" s="15">
        <f t="shared" si="0"/>
        <v>687106422.75</v>
      </c>
      <c r="K28" s="15">
        <f t="shared" si="0"/>
        <v>103926165.3</v>
      </c>
      <c r="L28" s="15">
        <f t="shared" si="0"/>
        <v>51291212.549999997</v>
      </c>
      <c r="M28" s="15">
        <f t="shared" si="0"/>
        <v>10748235.300000001</v>
      </c>
      <c r="N28" s="15">
        <f t="shared" si="0"/>
        <v>31650139423.75</v>
      </c>
      <c r="O28" s="15">
        <f t="shared" si="0"/>
        <v>189854425.15000001</v>
      </c>
    </row>
    <row r="29" spans="1:16" s="6" customFormat="1" x14ac:dyDescent="0.3">
      <c r="A29" s="6" t="s">
        <v>216</v>
      </c>
      <c r="B29" s="13">
        <f>SUM(B19:B24,B26)*365</f>
        <v>95292181.549999997</v>
      </c>
      <c r="C29" s="13">
        <f t="shared" ref="C29:O29" si="1">SUM(C19:C24,C26)*365</f>
        <v>63432036.000000007</v>
      </c>
      <c r="D29" s="13">
        <f t="shared" si="1"/>
        <v>354493537.04999995</v>
      </c>
      <c r="E29" s="13">
        <f t="shared" si="1"/>
        <v>3340480</v>
      </c>
      <c r="F29" s="13">
        <f t="shared" si="1"/>
        <v>67683125.299999997</v>
      </c>
      <c r="G29" s="13">
        <f t="shared" si="1"/>
        <v>6246902</v>
      </c>
      <c r="H29" s="13">
        <f t="shared" si="1"/>
        <v>51211408.950000003</v>
      </c>
      <c r="I29" s="13">
        <f t="shared" si="1"/>
        <v>2149656.5500000003</v>
      </c>
      <c r="J29" s="13">
        <f t="shared" si="1"/>
        <v>81717539.549999997</v>
      </c>
      <c r="K29" s="13">
        <f t="shared" si="1"/>
        <v>103808635.3</v>
      </c>
      <c r="L29" s="13">
        <f t="shared" si="1"/>
        <v>51291212.54999999</v>
      </c>
      <c r="M29" s="13">
        <f t="shared" si="1"/>
        <v>10722685.299999999</v>
      </c>
      <c r="N29" s="13">
        <f t="shared" si="1"/>
        <v>701689004.94999993</v>
      </c>
      <c r="O29" s="13">
        <f t="shared" si="1"/>
        <v>189700395.14999998</v>
      </c>
    </row>
    <row r="31" spans="1:16" ht="18" x14ac:dyDescent="0.35">
      <c r="A31" s="2" t="s">
        <v>82</v>
      </c>
    </row>
    <row r="32" spans="1:16" x14ac:dyDescent="0.3">
      <c r="A32" t="s">
        <v>60</v>
      </c>
      <c r="B32" s="6" t="s">
        <v>61</v>
      </c>
      <c r="C32" s="6" t="s">
        <v>62</v>
      </c>
      <c r="D32" s="6" t="s">
        <v>63</v>
      </c>
      <c r="E32" s="6" t="s">
        <v>64</v>
      </c>
      <c r="F32" s="6" t="s">
        <v>65</v>
      </c>
      <c r="G32" s="6" t="s">
        <v>66</v>
      </c>
      <c r="H32" s="6" t="s">
        <v>67</v>
      </c>
      <c r="I32" t="s">
        <v>68</v>
      </c>
      <c r="J32" t="s">
        <v>69</v>
      </c>
      <c r="K32" t="s">
        <v>70</v>
      </c>
      <c r="L32" t="s">
        <v>71</v>
      </c>
      <c r="M32" t="s">
        <v>72</v>
      </c>
      <c r="N32" t="s">
        <v>73</v>
      </c>
      <c r="O32" t="s">
        <v>74</v>
      </c>
    </row>
    <row r="33" spans="1:15" x14ac:dyDescent="0.3">
      <c r="A33" t="s">
        <v>75</v>
      </c>
      <c r="B33" s="13">
        <v>30610.68</v>
      </c>
      <c r="C33" s="13">
        <v>53877.7</v>
      </c>
      <c r="D33" s="13">
        <v>229477.4</v>
      </c>
      <c r="E33" s="13">
        <v>80</v>
      </c>
      <c r="F33" s="13">
        <v>32630.89</v>
      </c>
      <c r="G33" s="13">
        <v>1387.5</v>
      </c>
      <c r="H33" s="13">
        <v>97103.9</v>
      </c>
      <c r="I33" s="12">
        <v>177.09</v>
      </c>
      <c r="J33" s="12">
        <v>14845.92</v>
      </c>
      <c r="K33" s="12">
        <v>64586.26</v>
      </c>
      <c r="L33" s="12">
        <v>16337.2</v>
      </c>
      <c r="M33" s="12">
        <v>1313.3</v>
      </c>
      <c r="N33" s="12">
        <v>421005.99</v>
      </c>
      <c r="O33" s="12">
        <v>121421.85</v>
      </c>
    </row>
    <row r="34" spans="1:15" x14ac:dyDescent="0.3">
      <c r="A34" t="s">
        <v>59</v>
      </c>
      <c r="B34" s="13">
        <v>8457.8799999999992</v>
      </c>
      <c r="C34" s="13">
        <v>89563.24</v>
      </c>
      <c r="D34" s="13">
        <v>442309.82</v>
      </c>
      <c r="E34" s="13">
        <v>9534.75</v>
      </c>
      <c r="F34" s="13">
        <v>7729.44</v>
      </c>
      <c r="G34" s="13">
        <v>16884.8</v>
      </c>
      <c r="H34" s="13">
        <v>6464.45</v>
      </c>
      <c r="I34" s="12">
        <v>5179.28</v>
      </c>
      <c r="J34" s="12">
        <v>25873.29</v>
      </c>
      <c r="K34" s="12">
        <v>23475.84</v>
      </c>
      <c r="L34" s="12">
        <v>39140.519999999997</v>
      </c>
      <c r="M34" s="12">
        <v>7479.17</v>
      </c>
      <c r="N34" s="12">
        <v>529975.4</v>
      </c>
      <c r="O34" s="12">
        <v>152117.07999999999</v>
      </c>
    </row>
    <row r="35" spans="1:15" x14ac:dyDescent="0.3">
      <c r="A35" t="s">
        <v>76</v>
      </c>
      <c r="B35" s="13">
        <v>68.400000000000006</v>
      </c>
      <c r="C35" s="13">
        <v>2143.5</v>
      </c>
      <c r="D35" s="13">
        <v>1136.76</v>
      </c>
      <c r="E35" s="13">
        <v>345.25</v>
      </c>
      <c r="F35" s="13">
        <v>1201.6500000000001</v>
      </c>
      <c r="G35" s="13">
        <v>229.6</v>
      </c>
      <c r="H35" s="13">
        <v>96.1</v>
      </c>
      <c r="I35" s="12">
        <v>80.599999999999994</v>
      </c>
      <c r="J35" s="12">
        <v>7331.9</v>
      </c>
      <c r="K35" s="12">
        <v>1909.86</v>
      </c>
      <c r="L35" s="12">
        <v>4216.6400000000003</v>
      </c>
      <c r="M35" s="12">
        <v>1011.91</v>
      </c>
      <c r="N35" s="12">
        <v>14051.45</v>
      </c>
      <c r="O35" s="12">
        <v>5720.72</v>
      </c>
    </row>
    <row r="36" spans="1:15" x14ac:dyDescent="0.3">
      <c r="A36" t="s">
        <v>319</v>
      </c>
      <c r="B36" s="13">
        <v>2656.08</v>
      </c>
      <c r="C36" s="13">
        <v>5990.76</v>
      </c>
      <c r="D36" s="13">
        <v>56943.17</v>
      </c>
      <c r="E36" s="13">
        <v>831</v>
      </c>
      <c r="F36" s="13">
        <v>1369.56</v>
      </c>
      <c r="G36" s="13">
        <v>215.5</v>
      </c>
      <c r="H36" s="13">
        <v>4539.51</v>
      </c>
      <c r="I36" s="12">
        <v>24.5</v>
      </c>
      <c r="J36" s="12">
        <v>5265.75</v>
      </c>
      <c r="K36" s="12">
        <v>6160.91</v>
      </c>
      <c r="L36" s="12">
        <v>51445.94</v>
      </c>
      <c r="M36" s="12">
        <v>4637.03</v>
      </c>
      <c r="N36" s="12">
        <v>122220.01</v>
      </c>
      <c r="O36" s="12">
        <v>17859.7</v>
      </c>
    </row>
    <row r="37" spans="1:15" x14ac:dyDescent="0.3">
      <c r="A37" t="s">
        <v>77</v>
      </c>
      <c r="B37" s="13">
        <v>187551.9</v>
      </c>
      <c r="C37" s="13">
        <v>12730</v>
      </c>
      <c r="D37" s="13">
        <v>344533.55</v>
      </c>
      <c r="E37" s="13">
        <v>134</v>
      </c>
      <c r="F37" s="13">
        <v>8934</v>
      </c>
      <c r="G37" s="13">
        <v>205</v>
      </c>
      <c r="H37" s="13">
        <v>8611.5</v>
      </c>
      <c r="I37" s="12">
        <v>621</v>
      </c>
      <c r="J37" s="12">
        <v>157716.51999999999</v>
      </c>
      <c r="K37" s="12">
        <v>183477.59</v>
      </c>
      <c r="L37" s="12">
        <v>35512.949999999997</v>
      </c>
      <c r="M37" s="12">
        <v>19282.509999999998</v>
      </c>
      <c r="N37" s="12">
        <v>742860.42</v>
      </c>
      <c r="O37" s="12">
        <v>216450.1</v>
      </c>
    </row>
    <row r="38" spans="1:15" x14ac:dyDescent="0.3">
      <c r="A38" t="s">
        <v>78</v>
      </c>
      <c r="B38" s="13">
        <v>36960.51</v>
      </c>
      <c r="C38" s="13">
        <v>24631.7</v>
      </c>
      <c r="D38" s="13">
        <v>7775.22</v>
      </c>
      <c r="E38" s="13">
        <v>100.5</v>
      </c>
      <c r="F38" s="13">
        <v>124027</v>
      </c>
      <c r="G38" s="13">
        <v>260</v>
      </c>
      <c r="H38" s="13">
        <v>23486.37</v>
      </c>
      <c r="I38" s="12">
        <v>278</v>
      </c>
      <c r="J38" s="12">
        <v>100.11</v>
      </c>
      <c r="K38" s="12">
        <v>2758.92</v>
      </c>
      <c r="L38" s="12">
        <v>3185.59</v>
      </c>
      <c r="M38" s="12">
        <v>493</v>
      </c>
      <c r="N38" s="12">
        <v>195534.8</v>
      </c>
      <c r="O38" s="12">
        <v>28522.12</v>
      </c>
    </row>
    <row r="39" spans="1:15" x14ac:dyDescent="0.3">
      <c r="A39" t="s">
        <v>79</v>
      </c>
      <c r="B39" s="13">
        <v>0</v>
      </c>
      <c r="C39" s="13">
        <v>12</v>
      </c>
      <c r="D39" s="13">
        <v>80196378.599999994</v>
      </c>
      <c r="E39" s="13">
        <v>0</v>
      </c>
      <c r="F39" s="13">
        <v>288832</v>
      </c>
      <c r="G39" s="13">
        <v>0</v>
      </c>
      <c r="H39" s="13">
        <v>2646473.71</v>
      </c>
      <c r="I39" s="12">
        <v>10</v>
      </c>
      <c r="J39" s="12">
        <v>1658599.68</v>
      </c>
      <c r="K39" s="12">
        <v>1322</v>
      </c>
      <c r="L39" s="12">
        <v>0</v>
      </c>
      <c r="M39" s="12">
        <v>70</v>
      </c>
      <c r="N39" s="12">
        <v>84790283.989999995</v>
      </c>
      <c r="O39" s="12">
        <v>1414</v>
      </c>
    </row>
    <row r="40" spans="1:15" x14ac:dyDescent="0.3">
      <c r="A40" t="s">
        <v>80</v>
      </c>
      <c r="B40" s="13">
        <v>819</v>
      </c>
      <c r="C40" s="13">
        <v>1378.7</v>
      </c>
      <c r="D40" s="13">
        <v>6432.8</v>
      </c>
      <c r="E40" s="13">
        <v>11446.24</v>
      </c>
      <c r="F40" s="13">
        <v>11446.24</v>
      </c>
      <c r="G40" s="13">
        <v>144.9</v>
      </c>
      <c r="H40" s="13">
        <v>1318.25</v>
      </c>
      <c r="I40" s="12">
        <v>65</v>
      </c>
      <c r="J40" s="12">
        <v>15558.23</v>
      </c>
      <c r="K40" s="12">
        <v>11604.23</v>
      </c>
      <c r="L40" s="12">
        <v>7761.61</v>
      </c>
      <c r="M40" s="12">
        <v>602.20000000000005</v>
      </c>
      <c r="N40" s="12">
        <v>43336.13</v>
      </c>
      <c r="O40" s="12">
        <v>25241.27</v>
      </c>
    </row>
    <row r="41" spans="1:15" x14ac:dyDescent="0.3">
      <c r="A41" t="s">
        <v>81</v>
      </c>
      <c r="B41" s="13">
        <v>267124.45</v>
      </c>
      <c r="C41" s="13">
        <v>190327.6</v>
      </c>
      <c r="D41" s="13">
        <v>81284987.319999993</v>
      </c>
      <c r="E41" s="13">
        <v>22471.74</v>
      </c>
      <c r="F41" s="13">
        <v>476170.78</v>
      </c>
      <c r="G41" s="13">
        <v>19327.3</v>
      </c>
      <c r="H41" s="13">
        <v>2788093.79</v>
      </c>
      <c r="I41" s="12">
        <v>6435.47</v>
      </c>
      <c r="J41" s="12">
        <v>1885291.4</v>
      </c>
      <c r="K41" s="12">
        <v>295295.61</v>
      </c>
      <c r="L41" s="12">
        <v>157600.45000000001</v>
      </c>
      <c r="M41" s="12">
        <v>34889.120000000003</v>
      </c>
      <c r="N41" s="12">
        <v>86859268.189999998</v>
      </c>
      <c r="O41" s="12">
        <v>568746.84</v>
      </c>
    </row>
    <row r="44" spans="1:15" ht="18" x14ac:dyDescent="0.35">
      <c r="A44" s="2" t="s">
        <v>83</v>
      </c>
    </row>
    <row r="45" spans="1:15" x14ac:dyDescent="0.3">
      <c r="A45" t="s">
        <v>60</v>
      </c>
      <c r="B45" s="6" t="s">
        <v>61</v>
      </c>
      <c r="C45" s="6" t="s">
        <v>62</v>
      </c>
      <c r="D45" s="6" t="s">
        <v>63</v>
      </c>
      <c r="E45" s="6" t="s">
        <v>64</v>
      </c>
      <c r="F45" s="6" t="s">
        <v>65</v>
      </c>
      <c r="G45" s="6" t="s">
        <v>66</v>
      </c>
      <c r="H45" s="6" t="s">
        <v>67</v>
      </c>
      <c r="I45" t="s">
        <v>68</v>
      </c>
      <c r="J45" t="s">
        <v>69</v>
      </c>
      <c r="K45" t="s">
        <v>70</v>
      </c>
      <c r="L45" t="s">
        <v>71</v>
      </c>
      <c r="M45" t="s">
        <v>72</v>
      </c>
      <c r="N45" t="s">
        <v>73</v>
      </c>
      <c r="O45" t="s">
        <v>74</v>
      </c>
    </row>
    <row r="46" spans="1:15" x14ac:dyDescent="0.3">
      <c r="A46" t="s">
        <v>75</v>
      </c>
      <c r="B46" s="13">
        <v>30910.68</v>
      </c>
      <c r="C46" s="13">
        <v>54890.7</v>
      </c>
      <c r="D46" s="13">
        <v>234487.4</v>
      </c>
      <c r="E46" s="13">
        <v>80</v>
      </c>
      <c r="F46" s="13">
        <v>33130.89</v>
      </c>
      <c r="G46" s="13">
        <v>1442.5</v>
      </c>
      <c r="H46" s="13">
        <v>97103.9</v>
      </c>
      <c r="I46" s="12">
        <v>177.09</v>
      </c>
      <c r="J46" s="12">
        <v>26537.919999999998</v>
      </c>
      <c r="K46" s="12">
        <v>66899.12</v>
      </c>
      <c r="L46" s="12">
        <v>16337.2</v>
      </c>
      <c r="M46" s="12">
        <v>1313.3</v>
      </c>
      <c r="N46" s="12">
        <v>438507.99</v>
      </c>
      <c r="O46" s="12">
        <v>124802.71</v>
      </c>
    </row>
    <row r="47" spans="1:15" x14ac:dyDescent="0.3">
      <c r="A47" t="s">
        <v>59</v>
      </c>
      <c r="B47" s="13">
        <v>8473.8799999999992</v>
      </c>
      <c r="C47" s="13">
        <v>106507.89</v>
      </c>
      <c r="D47" s="13">
        <v>462550.8</v>
      </c>
      <c r="E47" s="13">
        <v>11715.75</v>
      </c>
      <c r="F47" s="13">
        <v>8444.44</v>
      </c>
      <c r="G47" s="13">
        <v>17599.8</v>
      </c>
      <c r="H47" s="13">
        <v>6574.45</v>
      </c>
      <c r="I47" s="12">
        <v>5823.78</v>
      </c>
      <c r="J47" s="12">
        <v>27081.9</v>
      </c>
      <c r="K47" s="12">
        <v>26672.52</v>
      </c>
      <c r="L47" s="12">
        <v>40364.22</v>
      </c>
      <c r="M47" s="12">
        <v>9044.2099999999991</v>
      </c>
      <c r="N47" s="12">
        <v>553489.68999999994</v>
      </c>
      <c r="O47" s="12">
        <v>177363.95</v>
      </c>
    </row>
    <row r="48" spans="1:15" x14ac:dyDescent="0.3">
      <c r="A48" t="s">
        <v>76</v>
      </c>
      <c r="B48" s="13">
        <v>168.4</v>
      </c>
      <c r="C48" s="13">
        <v>2337.75</v>
      </c>
      <c r="D48" s="13">
        <v>1169.3599999999999</v>
      </c>
      <c r="E48" s="13">
        <v>387.25</v>
      </c>
      <c r="F48" s="13">
        <v>1421.65</v>
      </c>
      <c r="G48" s="13">
        <v>239.6</v>
      </c>
      <c r="H48" s="13">
        <v>96.1</v>
      </c>
      <c r="I48" s="12">
        <v>105.6</v>
      </c>
      <c r="J48" s="12">
        <v>7483.27</v>
      </c>
      <c r="K48" s="12">
        <v>1991.86</v>
      </c>
      <c r="L48" s="12">
        <v>5233.84</v>
      </c>
      <c r="M48" s="12">
        <v>1080.4100000000001</v>
      </c>
      <c r="N48" s="12">
        <v>15572.62</v>
      </c>
      <c r="O48" s="12">
        <v>6142.47</v>
      </c>
    </row>
    <row r="49" spans="1:15" x14ac:dyDescent="0.3">
      <c r="A49" t="s">
        <v>319</v>
      </c>
      <c r="B49" s="13">
        <v>2661.08</v>
      </c>
      <c r="C49" s="13">
        <v>7204.26</v>
      </c>
      <c r="D49" s="13">
        <v>59541.89</v>
      </c>
      <c r="E49" s="13">
        <v>1181</v>
      </c>
      <c r="F49" s="13">
        <v>1869.56</v>
      </c>
      <c r="G49" s="13">
        <v>229.5</v>
      </c>
      <c r="H49" s="13">
        <v>4539.51</v>
      </c>
      <c r="I49" s="12">
        <v>24.5</v>
      </c>
      <c r="J49" s="12">
        <v>5418.88</v>
      </c>
      <c r="K49" s="12">
        <v>6790.71</v>
      </c>
      <c r="L49" s="12">
        <v>51926.79</v>
      </c>
      <c r="M49" s="12">
        <v>5756.03</v>
      </c>
      <c r="N49" s="12">
        <v>125957.71</v>
      </c>
      <c r="O49" s="12">
        <v>21186</v>
      </c>
    </row>
    <row r="50" spans="1:15" x14ac:dyDescent="0.3">
      <c r="A50" t="s">
        <v>77</v>
      </c>
      <c r="B50" s="13">
        <v>190226.63</v>
      </c>
      <c r="C50" s="13">
        <v>13982.42</v>
      </c>
      <c r="D50" s="13">
        <v>367533.55</v>
      </c>
      <c r="E50" s="13">
        <v>149</v>
      </c>
      <c r="F50" s="13">
        <v>14484</v>
      </c>
      <c r="G50" s="13">
        <v>205</v>
      </c>
      <c r="H50" s="13">
        <v>8710.5</v>
      </c>
      <c r="I50" s="12">
        <v>621</v>
      </c>
      <c r="J50" s="12">
        <v>161497.42000000001</v>
      </c>
      <c r="K50" s="12">
        <v>193568.09</v>
      </c>
      <c r="L50" s="12">
        <v>36297.949999999997</v>
      </c>
      <c r="M50" s="12">
        <v>6128.73</v>
      </c>
      <c r="N50" s="12">
        <v>778750.05</v>
      </c>
      <c r="O50" s="12">
        <v>214654.24</v>
      </c>
    </row>
    <row r="51" spans="1:15" x14ac:dyDescent="0.3">
      <c r="A51" t="s">
        <v>78</v>
      </c>
      <c r="B51" s="13">
        <v>36960.51</v>
      </c>
      <c r="C51" s="13">
        <v>27881.7</v>
      </c>
      <c r="D51" s="13">
        <v>7825.22</v>
      </c>
      <c r="E51" s="13">
        <v>145.5</v>
      </c>
      <c r="F51" s="13">
        <v>131527</v>
      </c>
      <c r="G51" s="13">
        <v>260</v>
      </c>
      <c r="H51" s="13">
        <v>23715.37</v>
      </c>
      <c r="I51" s="12">
        <v>288</v>
      </c>
      <c r="J51" s="12">
        <v>100.11</v>
      </c>
      <c r="K51" s="12">
        <v>3268.92</v>
      </c>
      <c r="L51" s="12">
        <v>3185.59</v>
      </c>
      <c r="M51" s="12">
        <v>528</v>
      </c>
      <c r="N51" s="12">
        <v>203313.8</v>
      </c>
      <c r="O51" s="12">
        <v>32372.12</v>
      </c>
    </row>
    <row r="52" spans="1:15" x14ac:dyDescent="0.3">
      <c r="A52" t="s">
        <v>79</v>
      </c>
      <c r="B52" s="13">
        <v>0</v>
      </c>
      <c r="C52" s="13">
        <v>12</v>
      </c>
      <c r="D52" s="13">
        <v>80196378.599999994</v>
      </c>
      <c r="E52" s="13">
        <v>0</v>
      </c>
      <c r="F52" s="13">
        <v>288832</v>
      </c>
      <c r="G52" s="13">
        <v>0</v>
      </c>
      <c r="H52" s="13">
        <v>2646473.71</v>
      </c>
      <c r="I52" s="12">
        <v>10</v>
      </c>
      <c r="J52" s="12">
        <v>27242</v>
      </c>
      <c r="K52" s="12">
        <v>1322</v>
      </c>
      <c r="L52" s="12">
        <v>0</v>
      </c>
      <c r="M52" s="12">
        <v>70</v>
      </c>
      <c r="N52" s="12">
        <v>83158926.310000002</v>
      </c>
      <c r="O52" s="12">
        <v>1414</v>
      </c>
    </row>
    <row r="53" spans="1:15" x14ac:dyDescent="0.3">
      <c r="A53" t="s">
        <v>80</v>
      </c>
      <c r="B53" s="13">
        <v>838</v>
      </c>
      <c r="C53" s="13">
        <v>1614.7</v>
      </c>
      <c r="D53" s="13">
        <v>7232.8</v>
      </c>
      <c r="E53" s="13">
        <v>11551.24</v>
      </c>
      <c r="F53" s="13">
        <v>10</v>
      </c>
      <c r="G53" s="13">
        <v>155.9</v>
      </c>
      <c r="H53" s="13">
        <v>1615.25</v>
      </c>
      <c r="I53" s="12">
        <v>65</v>
      </c>
      <c r="J53" s="12">
        <v>15579.24</v>
      </c>
      <c r="K53" s="12">
        <v>11984.23</v>
      </c>
      <c r="L53" s="12">
        <v>7761.61</v>
      </c>
      <c r="M53" s="12">
        <v>602.20000000000005</v>
      </c>
      <c r="N53" s="12">
        <v>33036.9</v>
      </c>
      <c r="O53" s="12">
        <v>25973.27</v>
      </c>
    </row>
    <row r="54" spans="1:15" x14ac:dyDescent="0.3">
      <c r="A54" t="s">
        <v>81</v>
      </c>
      <c r="B54" s="13">
        <v>270239.18</v>
      </c>
      <c r="C54" s="13">
        <v>214431.42</v>
      </c>
      <c r="D54" s="13">
        <v>81336719.620000005</v>
      </c>
      <c r="E54" s="13">
        <v>25209.74</v>
      </c>
      <c r="F54" s="13">
        <v>479719.54</v>
      </c>
      <c r="G54" s="13">
        <v>20132.3</v>
      </c>
      <c r="H54" s="13">
        <v>2788828.79</v>
      </c>
      <c r="I54" s="12">
        <v>7114.97</v>
      </c>
      <c r="J54" s="12">
        <v>270940.74</v>
      </c>
      <c r="K54" s="12">
        <v>312497.45</v>
      </c>
      <c r="L54" s="12">
        <v>161107.20000000001</v>
      </c>
      <c r="M54" s="12">
        <v>24522.880000000001</v>
      </c>
      <c r="N54" s="12">
        <v>85307555.060000002</v>
      </c>
      <c r="O54" s="12">
        <v>603908.76</v>
      </c>
    </row>
    <row r="57" spans="1:15" x14ac:dyDescent="0.3">
      <c r="A57" t="s">
        <v>60</v>
      </c>
      <c r="B57" s="6" t="s">
        <v>61</v>
      </c>
      <c r="C57" s="6" t="s">
        <v>63</v>
      </c>
      <c r="D57" s="6" t="s">
        <v>65</v>
      </c>
      <c r="E57" s="6" t="s">
        <v>67</v>
      </c>
      <c r="F57" s="6" t="s">
        <v>69</v>
      </c>
      <c r="G57" s="6" t="s">
        <v>71</v>
      </c>
      <c r="H57" s="6" t="s">
        <v>73</v>
      </c>
      <c r="I57" t="s">
        <v>415</v>
      </c>
    </row>
    <row r="58" spans="1:15" x14ac:dyDescent="0.3">
      <c r="A58" t="s">
        <v>383</v>
      </c>
      <c r="B58" s="6">
        <f>SUM(B5:B7)*365</f>
        <v>68231548.75</v>
      </c>
      <c r="C58" s="6">
        <f>SUM(D5:D7)*365</f>
        <v>136133385.70000002</v>
      </c>
      <c r="D58" s="6">
        <f>SUM(F5:F7)*365</f>
        <v>3834927.25</v>
      </c>
      <c r="E58" s="6">
        <f>SUM(H5:H7)*365</f>
        <v>3324095.1500000004</v>
      </c>
      <c r="F58" s="6">
        <f>SUM(J5:J7)*365</f>
        <v>58965209.799999997</v>
      </c>
      <c r="G58" s="6">
        <f>SUM(L5:L7)*365</f>
        <v>31168970.600000001</v>
      </c>
      <c r="H58" s="6">
        <f>SUM(N5:N7)*365</f>
        <v>301658137.25</v>
      </c>
    </row>
    <row r="59" spans="1:15" x14ac:dyDescent="0.3">
      <c r="A59" t="s">
        <v>384</v>
      </c>
      <c r="B59" s="6">
        <f>SUM(C5:C7)*365</f>
        <v>6255391.9000000004</v>
      </c>
      <c r="C59" s="6">
        <f>SUM(E5:E7)*365</f>
        <v>510616.75</v>
      </c>
      <c r="D59" s="6">
        <f>SUM(G5:G7)*365</f>
        <v>159541.5</v>
      </c>
      <c r="E59" s="6">
        <f>SUM(I5:I7)*365</f>
        <v>213561.5</v>
      </c>
      <c r="F59" s="6">
        <f>SUM(K5:K7)*365</f>
        <v>64773016.800000004</v>
      </c>
      <c r="G59" s="6">
        <f>SUM(M5:M7)*365</f>
        <v>7376686.4999999991</v>
      </c>
      <c r="H59" s="6">
        <f>SUM(O5:O7)*365</f>
        <v>79288814.950000003</v>
      </c>
    </row>
    <row r="60" spans="1:15" x14ac:dyDescent="0.3">
      <c r="H60" s="28">
        <f>SUM(H58:H59)</f>
        <v>380946952.19999999</v>
      </c>
      <c r="I60" s="22">
        <f>H60/H82</f>
        <v>1.1995532804051171E-2</v>
      </c>
    </row>
    <row r="62" spans="1:15" x14ac:dyDescent="0.3">
      <c r="A62" t="s">
        <v>385</v>
      </c>
      <c r="B62" s="6">
        <f>B8*365</f>
        <v>13424951.850000001</v>
      </c>
      <c r="C62" s="6">
        <f>D8*365</f>
        <v>2673705.3000000003</v>
      </c>
      <c r="D62" s="6">
        <f>F8*365</f>
        <v>18351105</v>
      </c>
      <c r="E62" s="6">
        <f>H8*365</f>
        <v>7478255.0499999998</v>
      </c>
      <c r="F62" s="6">
        <f>J8*365</f>
        <v>6356730.5</v>
      </c>
      <c r="G62" s="6">
        <f>L8*365</f>
        <v>1123210.8500000001</v>
      </c>
      <c r="H62" s="6">
        <f>N8*365</f>
        <v>49407958.549999997</v>
      </c>
      <c r="J62" s="20">
        <f>H62/H64</f>
        <v>0.84058291493359349</v>
      </c>
    </row>
    <row r="63" spans="1:15" x14ac:dyDescent="0.3">
      <c r="A63" t="s">
        <v>386</v>
      </c>
      <c r="B63" s="6">
        <f>C8*365</f>
        <v>8004267.5</v>
      </c>
      <c r="C63" s="6">
        <f>E8*365</f>
        <v>20987.5</v>
      </c>
      <c r="D63" s="6">
        <f>G8*365</f>
        <v>60225</v>
      </c>
      <c r="E63" s="6">
        <f>I8*365</f>
        <v>99645</v>
      </c>
      <c r="F63" s="6">
        <f>K8*365</f>
        <v>1005180.8</v>
      </c>
      <c r="G63" s="6">
        <f>M8*365</f>
        <v>179945</v>
      </c>
      <c r="H63" s="6">
        <f>O8*365</f>
        <v>9370250.7999999989</v>
      </c>
      <c r="I63" s="4"/>
      <c r="J63" s="20">
        <f>H63/H64</f>
        <v>0.15941708506640651</v>
      </c>
    </row>
    <row r="64" spans="1:15" x14ac:dyDescent="0.3">
      <c r="H64" s="28">
        <f>SUM(H62:H63)</f>
        <v>58778209.349999994</v>
      </c>
      <c r="I64" s="21">
        <f>H64/H82</f>
        <v>1.8508507138577709E-3</v>
      </c>
      <c r="J64" s="19">
        <f>H64/J82</f>
        <v>0.12544586567337115</v>
      </c>
    </row>
    <row r="66" spans="1:10" x14ac:dyDescent="0.3">
      <c r="A66" t="s">
        <v>400</v>
      </c>
      <c r="B66" s="6">
        <f>B9*365</f>
        <v>26546.45</v>
      </c>
      <c r="C66" s="6">
        <f>D9*365</f>
        <v>29268539188.999996</v>
      </c>
      <c r="D66" s="6">
        <f>F9*365</f>
        <v>105423680</v>
      </c>
      <c r="E66" s="6">
        <f>H9*365</f>
        <v>964867904.14999998</v>
      </c>
      <c r="F66" s="6">
        <f>J9*365</f>
        <v>605388883.19999993</v>
      </c>
      <c r="G66" s="6">
        <f>L9*365</f>
        <v>0</v>
      </c>
      <c r="H66" s="6">
        <f>N9*365</f>
        <v>30907746202.799999</v>
      </c>
    </row>
    <row r="67" spans="1:10" x14ac:dyDescent="0.3">
      <c r="A67" t="s">
        <v>401</v>
      </c>
      <c r="B67" s="6">
        <f>C9*365</f>
        <v>7300</v>
      </c>
      <c r="C67" s="6">
        <f>E9*365</f>
        <v>0</v>
      </c>
      <c r="D67" s="6">
        <f>G9*365</f>
        <v>0</v>
      </c>
      <c r="E67" s="6">
        <f>I9*365</f>
        <v>3650</v>
      </c>
      <c r="F67" s="6">
        <f>K9*365</f>
        <v>117530</v>
      </c>
      <c r="G67" s="6">
        <f>M9*365</f>
        <v>25550</v>
      </c>
      <c r="H67" s="6">
        <f>O9*365</f>
        <v>154030</v>
      </c>
    </row>
    <row r="68" spans="1:10" x14ac:dyDescent="0.3">
      <c r="H68" s="28">
        <f>SUM(H66:H67)</f>
        <v>30907900232.799999</v>
      </c>
      <c r="I68" s="20">
        <f>H68/H82</f>
        <v>0.97325028853950024</v>
      </c>
      <c r="J68" s="20"/>
    </row>
    <row r="70" spans="1:10" x14ac:dyDescent="0.3">
      <c r="A70" t="s">
        <v>399</v>
      </c>
      <c r="B70" s="6">
        <f>B4*365</f>
        <v>2898202.1999999997</v>
      </c>
      <c r="C70" s="6">
        <f t="shared" ref="C70" si="2">D4*365</f>
        <v>160446948.19999999</v>
      </c>
      <c r="D70" s="6">
        <f>F4*365</f>
        <v>1889400.5999999999</v>
      </c>
      <c r="E70" s="6">
        <f>H4*365</f>
        <v>2173666.25</v>
      </c>
      <c r="F70" s="6">
        <f>J4*365</f>
        <v>8633622.3999999985</v>
      </c>
      <c r="G70" s="6">
        <f>L4*365</f>
        <v>11301400.100000001</v>
      </c>
      <c r="H70" s="6">
        <f>N4*365</f>
        <v>187343239.75</v>
      </c>
      <c r="J70" s="20">
        <f>H70/H72</f>
        <v>0.8115910420642577</v>
      </c>
    </row>
    <row r="71" spans="1:10" x14ac:dyDescent="0.3">
      <c r="A71" t="s">
        <v>402</v>
      </c>
      <c r="B71" s="6">
        <f>C4*365</f>
        <v>25209889.350000001</v>
      </c>
      <c r="C71" s="6">
        <f>E4*365</f>
        <v>2325688.75</v>
      </c>
      <c r="D71" s="6">
        <f>G4*365</f>
        <v>5273812</v>
      </c>
      <c r="E71" s="6">
        <f>I4*365</f>
        <v>1570332.2</v>
      </c>
      <c r="F71" s="6">
        <f>K4*365</f>
        <v>7230573.3500000006</v>
      </c>
      <c r="G71" s="6">
        <f>M4*365</f>
        <v>1880998.3</v>
      </c>
      <c r="H71" s="6">
        <f>O4*365</f>
        <v>43491293.949999996</v>
      </c>
      <c r="J71" s="20">
        <f>H71/H72</f>
        <v>0.18840895793574233</v>
      </c>
    </row>
    <row r="72" spans="1:10" x14ac:dyDescent="0.3">
      <c r="H72" s="28">
        <f>SUM(H70:H71)</f>
        <v>230834533.69999999</v>
      </c>
      <c r="I72" s="21">
        <f>H72/H82</f>
        <v>7.2686845381360827E-3</v>
      </c>
      <c r="J72" s="19">
        <f>H72/J82</f>
        <v>0.49265260421386875</v>
      </c>
    </row>
    <row r="74" spans="1:10" x14ac:dyDescent="0.3">
      <c r="A74" t="s">
        <v>403</v>
      </c>
      <c r="B74" s="6">
        <f>B3*365</f>
        <v>9773853.1999999993</v>
      </c>
      <c r="C74" s="6">
        <f>D3*365</f>
        <v>49885243.5</v>
      </c>
      <c r="D74" s="6">
        <f>F3*365</f>
        <v>11873774.85</v>
      </c>
      <c r="E74" s="6">
        <f>H3*365</f>
        <v>35413723.5</v>
      </c>
      <c r="F74" s="6">
        <f>J3*365</f>
        <v>5285900.8</v>
      </c>
      <c r="G74" s="6">
        <f>L3*365</f>
        <v>5963078</v>
      </c>
      <c r="H74" s="6">
        <f>N3*365</f>
        <v>118195573.84999999</v>
      </c>
      <c r="J74" s="20">
        <f>H74/H76</f>
        <v>0.73133827522246886</v>
      </c>
    </row>
    <row r="75" spans="1:10" x14ac:dyDescent="0.3">
      <c r="A75" t="s">
        <v>404</v>
      </c>
      <c r="B75" s="6">
        <f>C3*365</f>
        <v>19272529.25</v>
      </c>
      <c r="C75" s="6">
        <f>E3*365</f>
        <v>7300</v>
      </c>
      <c r="D75" s="6">
        <f>G3*365</f>
        <v>318462.5</v>
      </c>
      <c r="E75" s="6">
        <f>I3*365</f>
        <v>46387.85</v>
      </c>
      <c r="F75" s="6">
        <f>K3*365</f>
        <v>23313739.900000002</v>
      </c>
      <c r="G75" s="6">
        <f>M3*365</f>
        <v>461469.5</v>
      </c>
      <c r="H75" s="6">
        <f>O3*365</f>
        <v>43419889</v>
      </c>
      <c r="J75" s="20">
        <f>H75/H76</f>
        <v>0.26866172477753109</v>
      </c>
    </row>
    <row r="76" spans="1:10" x14ac:dyDescent="0.3">
      <c r="H76" s="28">
        <f>SUM(H74:H75)</f>
        <v>161615462.84999999</v>
      </c>
      <c r="I76" s="21">
        <f>H76/H82</f>
        <v>5.0890644355156183E-3</v>
      </c>
      <c r="J76" s="19">
        <f>H76/J82</f>
        <v>0.34492360123966259</v>
      </c>
    </row>
    <row r="78" spans="1:10" x14ac:dyDescent="0.3">
      <c r="A78" t="s">
        <v>408</v>
      </c>
      <c r="B78" s="6">
        <f>B10*365</f>
        <v>298935</v>
      </c>
      <c r="C78" s="6">
        <f>D10*365</f>
        <v>2329722</v>
      </c>
      <c r="D78" s="6">
        <f>F10*365</f>
        <v>4082977.6</v>
      </c>
      <c r="E78" s="6">
        <f>H10*365</f>
        <v>477839.75000000006</v>
      </c>
      <c r="F78" s="6">
        <f>J10*365</f>
        <v>5626011.4500000002</v>
      </c>
      <c r="G78" s="6">
        <f>L10*365</f>
        <v>1026237.65</v>
      </c>
      <c r="H78" s="6">
        <f>SUM(B78:G78)</f>
        <v>13841723.450000001</v>
      </c>
      <c r="J78" s="20">
        <f>H78/H80</f>
        <v>0.79889110694651833</v>
      </c>
    </row>
    <row r="79" spans="1:10" x14ac:dyDescent="0.3">
      <c r="A79" t="s">
        <v>409</v>
      </c>
      <c r="B79" s="6">
        <f>C10*365</f>
        <v>446285.5</v>
      </c>
      <c r="C79" s="6">
        <f>E10*365</f>
        <v>96542.5</v>
      </c>
      <c r="D79" s="6">
        <f>G10*365</f>
        <v>41938.5</v>
      </c>
      <c r="E79" s="6">
        <f>I10*365</f>
        <v>23725</v>
      </c>
      <c r="F79" s="6">
        <f>K10*365</f>
        <v>2673672.4500000002</v>
      </c>
      <c r="G79" s="6">
        <f>M10*365</f>
        <v>202283.00000000003</v>
      </c>
      <c r="H79" s="6">
        <f>SUM(C10,E10,G10,I10,K10,M10)*365</f>
        <v>3484446.95</v>
      </c>
      <c r="J79" s="20">
        <f>H79/H80</f>
        <v>0.20110889305348167</v>
      </c>
    </row>
    <row r="80" spans="1:10" x14ac:dyDescent="0.3">
      <c r="H80" s="28">
        <f>SUM(H78:H79)</f>
        <v>17326170.400000002</v>
      </c>
      <c r="I80" s="21">
        <f>H80/H82</f>
        <v>5.4557896893913098E-4</v>
      </c>
      <c r="J80" s="19">
        <f>H80/J82</f>
        <v>3.6977928873097594E-2</v>
      </c>
    </row>
    <row r="82" spans="7:11" x14ac:dyDescent="0.3">
      <c r="G82" s="6" t="s">
        <v>414</v>
      </c>
      <c r="H82" s="6">
        <f>SUM(H60,H64,H68,H72,H76,H80)</f>
        <v>31757401561.299999</v>
      </c>
      <c r="J82" s="4">
        <f>SUM(H64,H72,H76,H80)</f>
        <v>468554376.29999995</v>
      </c>
      <c r="K82" s="9">
        <f>H62+H70+H74+H78</f>
        <v>368788495.59999996</v>
      </c>
    </row>
    <row r="83" spans="7:11" x14ac:dyDescent="0.3">
      <c r="G83" s="6" t="s">
        <v>425</v>
      </c>
      <c r="H83" s="6">
        <f>SUM(H78,H74,H70,H66,H62,H58)</f>
        <v>31578192835.649998</v>
      </c>
    </row>
    <row r="84" spans="7:11" x14ac:dyDescent="0.3">
      <c r="G84" s="6" t="s">
        <v>426</v>
      </c>
      <c r="H84" s="6">
        <f>SUM(H79,H75,H71,H67,H63,H59)</f>
        <v>179208725.65000001</v>
      </c>
    </row>
    <row r="86" spans="7:11" x14ac:dyDescent="0.3">
      <c r="G86" s="6" t="s">
        <v>427</v>
      </c>
    </row>
    <row r="87" spans="7:11" x14ac:dyDescent="0.3">
      <c r="G87" s="6" t="s">
        <v>425</v>
      </c>
      <c r="H87" s="6">
        <f>SUM(H58,H62,H70,H74,H78)</f>
        <v>670446632.85000002</v>
      </c>
    </row>
    <row r="88" spans="7:11" x14ac:dyDescent="0.3">
      <c r="G88" s="6" t="s">
        <v>426</v>
      </c>
      <c r="H88" s="6">
        <f>SUM(H59,H63,H71,H75,H79)</f>
        <v>179054695.64999998</v>
      </c>
    </row>
    <row r="89" spans="7:11" x14ac:dyDescent="0.3">
      <c r="G89" s="29"/>
    </row>
    <row r="98" spans="1:16" x14ac:dyDescent="0.3">
      <c r="A98" s="3">
        <v>2022</v>
      </c>
      <c r="B98" s="6" t="str">
        <f>B18</f>
        <v>ABA_SW</v>
      </c>
      <c r="C98" s="6" t="str">
        <f>D18</f>
        <v>TBA_SW</v>
      </c>
      <c r="D98" s="6" t="str">
        <f>F18</f>
        <v>LVNBA_SW</v>
      </c>
      <c r="E98" s="6" t="str">
        <f>H18</f>
        <v>LVSBA_SW</v>
      </c>
      <c r="F98" s="6" t="str">
        <f>J18</f>
        <v>RVBA_SW</v>
      </c>
      <c r="G98" s="6" t="str">
        <f>L18</f>
        <v>ENNBA_SW</v>
      </c>
      <c r="H98" s="6" t="s">
        <v>1</v>
      </c>
    </row>
    <row r="99" spans="1:16" x14ac:dyDescent="0.3">
      <c r="A99" t="s">
        <v>437</v>
      </c>
      <c r="B99" s="6">
        <f>SUM(B21:B23)*365</f>
        <v>68813559.5</v>
      </c>
      <c r="C99" s="6">
        <f>SUM(D21:D23)*365</f>
        <v>138780774.5</v>
      </c>
      <c r="D99" s="6">
        <f>SUM(F21:F23)*365</f>
        <v>3834927.25</v>
      </c>
      <c r="E99" s="6">
        <f>SUM(H21:H23)*365</f>
        <v>4674595.1500000004</v>
      </c>
      <c r="F99" s="6">
        <f>SUM(J21:J23)*365</f>
        <v>61707911.049999997</v>
      </c>
      <c r="G99" s="6">
        <f>SUM(L21:L23)*365</f>
        <v>31553914.199999996</v>
      </c>
      <c r="H99" s="9">
        <f>SUM(B99:G99)</f>
        <v>309365681.64999998</v>
      </c>
      <c r="L99" t="s">
        <v>498</v>
      </c>
      <c r="M99" t="s">
        <v>525</v>
      </c>
      <c r="N99" t="s">
        <v>531</v>
      </c>
      <c r="O99" t="s">
        <v>532</v>
      </c>
      <c r="P99" t="s">
        <v>533</v>
      </c>
    </row>
    <row r="100" spans="1:16" x14ac:dyDescent="0.3">
      <c r="A100" t="s">
        <v>438</v>
      </c>
      <c r="B100" s="6">
        <f>SUM(C21:C23)*365</f>
        <v>6724416.9000000004</v>
      </c>
      <c r="C100" s="6">
        <f>SUM(E21:E23)*365</f>
        <v>341731.25</v>
      </c>
      <c r="D100" s="6">
        <f>SUM(G21:G23)*365</f>
        <v>171586.5</v>
      </c>
      <c r="E100" s="6">
        <f>SUM(I21:I23)*365</f>
        <v>220861.5</v>
      </c>
      <c r="F100" s="6">
        <f>SUM(K21:K23)*365</f>
        <v>68935951.299999997</v>
      </c>
      <c r="G100" s="6">
        <f>SUM(M21:M23)*365</f>
        <v>7659835.2499999991</v>
      </c>
      <c r="H100" s="9">
        <f>SUM(B100:G100)</f>
        <v>84054382.700000003</v>
      </c>
      <c r="J100" t="s">
        <v>530</v>
      </c>
      <c r="K100" s="6">
        <f>H105</f>
        <v>80970402.799999997</v>
      </c>
      <c r="L100" s="20">
        <f>K100/$K$104</f>
        <v>0.16260118241628094</v>
      </c>
      <c r="M100" s="6">
        <f>($K$104-$K$106)*L100</f>
        <v>6277737.4669033205</v>
      </c>
      <c r="N100" s="20">
        <f>H104/H105</f>
        <v>0.12393764206394686</v>
      </c>
      <c r="O100" s="4">
        <f>M100*N100</f>
        <v>778047.97914449219</v>
      </c>
      <c r="P100" s="4">
        <f>M100-O100</f>
        <v>5499689.4877588283</v>
      </c>
    </row>
    <row r="101" spans="1:16" x14ac:dyDescent="0.3">
      <c r="H101" s="133">
        <f>SUM(H99:H100)</f>
        <v>393420064.34999996</v>
      </c>
      <c r="J101" t="s">
        <v>59</v>
      </c>
      <c r="K101" s="6">
        <f>H114</f>
        <v>237492334.44999999</v>
      </c>
      <c r="L101" s="20">
        <f t="shared" ref="L101:L103" si="3">K101/$K$104</f>
        <v>0.47692160420341706</v>
      </c>
      <c r="M101" s="6">
        <f t="shared" ref="M101:M103" si="4">($K$104-$K$106)*L101</f>
        <v>18413080.267881528</v>
      </c>
      <c r="N101" s="20">
        <f>H113/H114</f>
        <v>0.20331990740596304</v>
      </c>
      <c r="O101" s="4">
        <f t="shared" ref="O101:O103" si="5">M101*N101</f>
        <v>3743745.7751242374</v>
      </c>
      <c r="P101" s="4">
        <f t="shared" ref="P101:P103" si="6">M101-O101</f>
        <v>14669334.492757291</v>
      </c>
    </row>
    <row r="102" spans="1:16" x14ac:dyDescent="0.3">
      <c r="F102"/>
      <c r="G102"/>
      <c r="H102"/>
      <c r="J102" t="s">
        <v>75</v>
      </c>
      <c r="K102" s="6">
        <f>H119</f>
        <v>161904999.09999999</v>
      </c>
      <c r="L102" s="20">
        <f t="shared" si="3"/>
        <v>0.32513045980261446</v>
      </c>
      <c r="M102" s="6">
        <f t="shared" si="4"/>
        <v>12552698.810694546</v>
      </c>
      <c r="N102" s="20">
        <f>H118/H119</f>
        <v>0.26986813559112643</v>
      </c>
      <c r="O102" s="4">
        <f t="shared" si="5"/>
        <v>3387573.424679087</v>
      </c>
      <c r="P102" s="4">
        <f t="shared" si="6"/>
        <v>9165125.386015458</v>
      </c>
    </row>
    <row r="103" spans="1:16" x14ac:dyDescent="0.3">
      <c r="A103" t="s">
        <v>439</v>
      </c>
      <c r="B103" s="6">
        <f>B24*365</f>
        <v>13490586.15</v>
      </c>
      <c r="C103" s="6">
        <f>D24*365</f>
        <v>2837955.3000000003</v>
      </c>
      <c r="D103" s="6">
        <f>F24*365</f>
        <v>45010705</v>
      </c>
      <c r="E103" s="6">
        <f>H24*365</f>
        <v>8414845.0499999989</v>
      </c>
      <c r="F103" s="6">
        <f>J24*365</f>
        <v>18290.150000000001</v>
      </c>
      <c r="G103" s="6">
        <f>L24*365</f>
        <v>1162740.3500000001</v>
      </c>
      <c r="H103" s="9">
        <f>SUM(B103:G103)</f>
        <v>70935122</v>
      </c>
      <c r="J103" t="s">
        <v>496</v>
      </c>
      <c r="K103" s="6">
        <f>H123</f>
        <v>17601599.400000002</v>
      </c>
      <c r="L103" s="20">
        <f t="shared" si="3"/>
        <v>3.5346753577687545E-2</v>
      </c>
      <c r="M103" s="6">
        <f t="shared" si="4"/>
        <v>1364674.2045206057</v>
      </c>
      <c r="N103" s="20">
        <f>H122/H123</f>
        <v>0.20627738806508683</v>
      </c>
      <c r="O103" s="4">
        <f t="shared" si="5"/>
        <v>281501.43046831066</v>
      </c>
      <c r="P103" s="4">
        <f t="shared" si="6"/>
        <v>1083172.7740522951</v>
      </c>
    </row>
    <row r="104" spans="1:16" x14ac:dyDescent="0.3">
      <c r="A104" t="s">
        <v>440</v>
      </c>
      <c r="B104" s="6">
        <f>C24*365</f>
        <v>8645572.5</v>
      </c>
      <c r="C104" s="6">
        <f>E24*365</f>
        <v>28287.5</v>
      </c>
      <c r="D104" s="6">
        <f>G24*365</f>
        <v>74825</v>
      </c>
      <c r="E104" s="6">
        <f>I24*365</f>
        <v>99645</v>
      </c>
      <c r="F104" s="6">
        <f>K24*365</f>
        <v>1007005.8</v>
      </c>
      <c r="G104" s="6">
        <f>M24*365</f>
        <v>179945</v>
      </c>
      <c r="H104" s="9">
        <f>SUM(B104:G104)</f>
        <v>10035280.800000001</v>
      </c>
      <c r="J104" t="s">
        <v>499</v>
      </c>
      <c r="K104" s="6">
        <f>SUM(H105,H114,H119,H123)</f>
        <v>497969335.75</v>
      </c>
      <c r="L104" s="6"/>
      <c r="M104" s="6"/>
    </row>
    <row r="105" spans="1:16" x14ac:dyDescent="0.3">
      <c r="H105" s="133">
        <f>SUM(H103:H104)</f>
        <v>80970402.799999997</v>
      </c>
      <c r="K105" s="6"/>
      <c r="L105" s="6"/>
      <c r="M105" s="6"/>
    </row>
    <row r="106" spans="1:16" x14ac:dyDescent="0.3">
      <c r="F106"/>
      <c r="G106"/>
      <c r="H106"/>
      <c r="J106" t="s">
        <v>497</v>
      </c>
      <c r="K106" s="6">
        <f>'WASREB 21-2022'!CQ4</f>
        <v>459361145</v>
      </c>
      <c r="L106" s="6"/>
      <c r="M106" s="6"/>
    </row>
    <row r="107" spans="1:16" x14ac:dyDescent="0.3">
      <c r="A107" t="s">
        <v>441</v>
      </c>
      <c r="B107" s="6">
        <f>B25*365</f>
        <v>26546.45</v>
      </c>
      <c r="C107" s="6">
        <f>D25*365</f>
        <v>29271648405</v>
      </c>
      <c r="D107" s="6">
        <f>F25*365</f>
        <v>105423680</v>
      </c>
      <c r="E107" s="6">
        <f>H25*365</f>
        <v>965962904.14999998</v>
      </c>
      <c r="F107" s="6">
        <f>J25*365</f>
        <v>605388883.19999993</v>
      </c>
      <c r="G107" s="6">
        <f>L25*365</f>
        <v>0</v>
      </c>
      <c r="H107" s="9">
        <f>SUM(B107:G107)</f>
        <v>30948450418.800003</v>
      </c>
    </row>
    <row r="108" spans="1:16" x14ac:dyDescent="0.3">
      <c r="A108" t="s">
        <v>442</v>
      </c>
      <c r="B108" s="6">
        <f>C25*365</f>
        <v>7300</v>
      </c>
      <c r="C108" s="6">
        <f>E25*365</f>
        <v>0</v>
      </c>
      <c r="D108" s="6">
        <f>G25*365</f>
        <v>0</v>
      </c>
      <c r="E108" s="6">
        <f>I25*365</f>
        <v>3650</v>
      </c>
      <c r="F108" s="6">
        <f>K25*365</f>
        <v>117530</v>
      </c>
      <c r="G108" s="6">
        <f>M25*365</f>
        <v>25550</v>
      </c>
      <c r="H108" s="9">
        <f>SUM(B108:G108)</f>
        <v>154030</v>
      </c>
    </row>
    <row r="109" spans="1:16" x14ac:dyDescent="0.3">
      <c r="H109" s="133">
        <f>SUM(H107:H108)</f>
        <v>30948604448.800003</v>
      </c>
    </row>
    <row r="110" spans="1:16" x14ac:dyDescent="0.3">
      <c r="F110"/>
      <c r="G110"/>
      <c r="H110"/>
    </row>
    <row r="111" spans="1:16" x14ac:dyDescent="0.3">
      <c r="F111"/>
      <c r="G111"/>
      <c r="H111"/>
    </row>
    <row r="112" spans="1:16" x14ac:dyDescent="0.3">
      <c r="A112" t="s">
        <v>443</v>
      </c>
      <c r="B112" s="6">
        <f>B20*365</f>
        <v>2915247.6999999997</v>
      </c>
      <c r="C112" s="6">
        <f>D20*365</f>
        <v>160659841.75</v>
      </c>
      <c r="D112" s="6">
        <f>F20*365</f>
        <v>2807740.5999999996</v>
      </c>
      <c r="E112" s="6">
        <f>H20*365</f>
        <v>2227084</v>
      </c>
      <c r="F112" s="6">
        <f>J20*365</f>
        <v>9010258.5999999996</v>
      </c>
      <c r="G112" s="6">
        <f>L20*365</f>
        <v>11585242.35</v>
      </c>
      <c r="H112" s="9">
        <f>SUM(B112:G112)</f>
        <v>189205414.99999997</v>
      </c>
    </row>
    <row r="113" spans="1:11" x14ac:dyDescent="0.3">
      <c r="A113" t="s">
        <v>444</v>
      </c>
      <c r="B113" s="6">
        <f>C20*365</f>
        <v>28116840.600000001</v>
      </c>
      <c r="C113" s="6">
        <f>E20*365</f>
        <v>2818803.75</v>
      </c>
      <c r="D113" s="6">
        <f>G20*365</f>
        <v>5636439.5</v>
      </c>
      <c r="E113" s="6">
        <f>I20*365</f>
        <v>1748087.2</v>
      </c>
      <c r="F113" s="6">
        <f>K20*365</f>
        <v>7757815.8500000006</v>
      </c>
      <c r="G113" s="6">
        <f>M20*365</f>
        <v>2208932.5499999998</v>
      </c>
      <c r="H113" s="9">
        <f>SUM(B113:G113)</f>
        <v>48286919.450000003</v>
      </c>
    </row>
    <row r="114" spans="1:11" x14ac:dyDescent="0.3">
      <c r="H114" s="133">
        <f>SUM(H112:H113)</f>
        <v>237492334.44999999</v>
      </c>
    </row>
    <row r="115" spans="1:11" x14ac:dyDescent="0.3">
      <c r="F115"/>
      <c r="G115"/>
      <c r="H115"/>
    </row>
    <row r="116" spans="1:11" x14ac:dyDescent="0.3">
      <c r="F116"/>
      <c r="G116"/>
      <c r="H116"/>
    </row>
    <row r="117" spans="1:11" x14ac:dyDescent="0.3">
      <c r="A117" t="s">
        <v>445</v>
      </c>
      <c r="B117" s="6">
        <f>B19*365</f>
        <v>9773853.1999999993</v>
      </c>
      <c r="C117" s="6">
        <f>D19*365</f>
        <v>49885243.5</v>
      </c>
      <c r="D117" s="6">
        <f>F19*365</f>
        <v>11873774.85</v>
      </c>
      <c r="E117" s="6">
        <f>H19*365</f>
        <v>35413723.5</v>
      </c>
      <c r="F117" s="6">
        <f>J19*365</f>
        <v>5302325.8</v>
      </c>
      <c r="G117" s="6">
        <f>L19*365</f>
        <v>5963078</v>
      </c>
      <c r="H117" s="9">
        <f>SUM(B117:G117)</f>
        <v>118211998.84999999</v>
      </c>
    </row>
    <row r="118" spans="1:11" x14ac:dyDescent="0.3">
      <c r="A118" t="s">
        <v>445</v>
      </c>
      <c r="B118" s="6">
        <f>C19*365</f>
        <v>19483590.5</v>
      </c>
      <c r="C118" s="6">
        <f>E19*365</f>
        <v>29200</v>
      </c>
      <c r="D118" s="6">
        <f>G19*365</f>
        <v>318462.5</v>
      </c>
      <c r="E118" s="6">
        <f>I19*365</f>
        <v>57337.85</v>
      </c>
      <c r="F118" s="6">
        <f>K19*365</f>
        <v>23339289.900000002</v>
      </c>
      <c r="G118" s="6">
        <f>M19*365</f>
        <v>465119.5</v>
      </c>
      <c r="H118" s="9">
        <f>SUM(B118:G118)</f>
        <v>43693000.25</v>
      </c>
    </row>
    <row r="119" spans="1:11" x14ac:dyDescent="0.3">
      <c r="H119" s="133">
        <f>SUM(H117:H118)</f>
        <v>161904999.09999999</v>
      </c>
    </row>
    <row r="120" spans="1:11" x14ac:dyDescent="0.3">
      <c r="F120"/>
      <c r="G120"/>
      <c r="H120"/>
    </row>
    <row r="121" spans="1:11" x14ac:dyDescent="0.3">
      <c r="A121" t="s">
        <v>446</v>
      </c>
      <c r="B121" s="6">
        <f>B26*365</f>
        <v>298935</v>
      </c>
      <c r="C121" s="6">
        <f>D26*365</f>
        <v>2329722</v>
      </c>
      <c r="D121" s="6">
        <f>F26*365</f>
        <v>4155977.6</v>
      </c>
      <c r="E121" s="6">
        <f>H26*365</f>
        <v>481161.25</v>
      </c>
      <c r="F121" s="6">
        <f>J26*365</f>
        <v>5678753.9500000002</v>
      </c>
      <c r="G121" s="6">
        <f>L26*365</f>
        <v>1026237.65</v>
      </c>
      <c r="H121" s="9">
        <f>SUM(B121:G121)</f>
        <v>13970787.450000001</v>
      </c>
    </row>
    <row r="122" spans="1:11" x14ac:dyDescent="0.3">
      <c r="A122" t="s">
        <v>447</v>
      </c>
      <c r="B122" s="6">
        <f>C26*365</f>
        <v>461615.5</v>
      </c>
      <c r="C122" s="6">
        <f>E26*365</f>
        <v>122457.5</v>
      </c>
      <c r="D122" s="6">
        <f>G26*365</f>
        <v>45588.5</v>
      </c>
      <c r="E122" s="6">
        <f>I26*365</f>
        <v>23725</v>
      </c>
      <c r="F122" s="6">
        <f>K26*365</f>
        <v>2768572.45</v>
      </c>
      <c r="G122" s="6">
        <f>M26*365</f>
        <v>208853.00000000003</v>
      </c>
      <c r="H122" s="9">
        <f>SUM(B122:G122)</f>
        <v>3630811.95</v>
      </c>
    </row>
    <row r="123" spans="1:11" x14ac:dyDescent="0.3">
      <c r="H123" s="28">
        <f>SUM(H121:H122)</f>
        <v>17601599.400000002</v>
      </c>
    </row>
    <row r="125" spans="1:11" x14ac:dyDescent="0.3">
      <c r="G125" s="6" t="s">
        <v>448</v>
      </c>
      <c r="H125" s="6">
        <f>SUM(H99,H103,H107,H112,H117,H121,)</f>
        <v>31650139423.750004</v>
      </c>
      <c r="J125" t="s">
        <v>449</v>
      </c>
      <c r="K125" s="9">
        <f>SUM(H99,H103,H112,H117,H121)</f>
        <v>701689004.95000005</v>
      </c>
    </row>
    <row r="126" spans="1:11" x14ac:dyDescent="0.3">
      <c r="G126" s="6" t="s">
        <v>450</v>
      </c>
      <c r="H126" s="6">
        <f>SUM(H100,H104,H108,H113,H118,H122)</f>
        <v>189854425.14999998</v>
      </c>
      <c r="J126" t="s">
        <v>451</v>
      </c>
      <c r="K126" s="9">
        <f>SUM(H100,H104,H113,H118,H122)</f>
        <v>189700395.14999998</v>
      </c>
    </row>
    <row r="129" spans="1:8" x14ac:dyDescent="0.3">
      <c r="A129">
        <v>2023</v>
      </c>
      <c r="B129" s="6" t="s">
        <v>61</v>
      </c>
      <c r="C129" s="6" t="s">
        <v>63</v>
      </c>
      <c r="D129" s="6" t="s">
        <v>65</v>
      </c>
      <c r="E129" s="6" t="s">
        <v>67</v>
      </c>
      <c r="F129" t="s">
        <v>69</v>
      </c>
      <c r="G129" t="s">
        <v>71</v>
      </c>
      <c r="H129" s="6" t="s">
        <v>1</v>
      </c>
    </row>
    <row r="130" spans="1:8" x14ac:dyDescent="0.3">
      <c r="A130" t="s">
        <v>452</v>
      </c>
      <c r="B130" s="6">
        <f>SUM(B35:B37)*365</f>
        <v>69450878.700000003</v>
      </c>
      <c r="C130" s="6">
        <f>SUM(D35:D37)*365</f>
        <v>146953920.19999999</v>
      </c>
      <c r="D130" s="6">
        <f>SUM(F35:F37)*365</f>
        <v>4199401.6499999994</v>
      </c>
      <c r="E130" s="6">
        <f>SUM(H35:H37)*365</f>
        <v>4835195.1500000004</v>
      </c>
      <c r="F130" s="6">
        <f>SUM(J35:J37)*365</f>
        <v>62164672.049999997</v>
      </c>
      <c r="G130" s="6">
        <f>SUM(L35:L37)*365</f>
        <v>33279068.449999999</v>
      </c>
      <c r="H130" s="9">
        <f>SUM(B130:G130)</f>
        <v>320883136.19999999</v>
      </c>
    </row>
    <row r="131" spans="1:8" x14ac:dyDescent="0.3">
      <c r="A131" t="s">
        <v>453</v>
      </c>
      <c r="B131" s="6">
        <f>SUM(C35:C37)*365</f>
        <v>7615454.9000000004</v>
      </c>
      <c r="C131" s="6">
        <f>SUM(E35:E37)*365</f>
        <v>478241.25</v>
      </c>
      <c r="D131" s="6">
        <f>SUM(G35:G37)*365</f>
        <v>237286.5</v>
      </c>
      <c r="E131" s="6">
        <f>SUM(I35:I37)*365</f>
        <v>265026.5</v>
      </c>
      <c r="F131" s="6">
        <f>SUM(K35:K37)*365</f>
        <v>69915151.399999991</v>
      </c>
      <c r="G131" s="6">
        <f>SUM(M35:M37)*365</f>
        <v>9099979.2499999981</v>
      </c>
      <c r="H131" s="9">
        <f t="shared" ref="H131:H153" si="7">SUM(B131:G131)</f>
        <v>87611139.799999997</v>
      </c>
    </row>
    <row r="132" spans="1:8" x14ac:dyDescent="0.3">
      <c r="F132"/>
      <c r="G132"/>
      <c r="H132" s="133">
        <f>SUM(H130:H131)</f>
        <v>408494276</v>
      </c>
    </row>
    <row r="133" spans="1:8" x14ac:dyDescent="0.3">
      <c r="F133"/>
      <c r="G133"/>
      <c r="H133" s="9"/>
    </row>
    <row r="134" spans="1:8" x14ac:dyDescent="0.3">
      <c r="A134" t="s">
        <v>454</v>
      </c>
      <c r="B134" s="6">
        <f>B38*365</f>
        <v>13490586.15</v>
      </c>
      <c r="C134" s="6">
        <f>D38*365</f>
        <v>2837955.3000000003</v>
      </c>
      <c r="D134" s="6">
        <f>F38*365</f>
        <v>45269855</v>
      </c>
      <c r="E134" s="6">
        <f>H38*365</f>
        <v>8572525.0499999989</v>
      </c>
      <c r="F134" s="6">
        <f>J38*365</f>
        <v>36540.15</v>
      </c>
      <c r="G134" s="6">
        <f>L38*365</f>
        <v>1162740.3500000001</v>
      </c>
      <c r="H134" s="9">
        <f t="shared" si="7"/>
        <v>71370202</v>
      </c>
    </row>
    <row r="135" spans="1:8" x14ac:dyDescent="0.3">
      <c r="A135" t="s">
        <v>455</v>
      </c>
      <c r="B135" s="6">
        <f>C38*365</f>
        <v>8990570.5</v>
      </c>
      <c r="C135" s="6">
        <f>E38*365</f>
        <v>36682.5</v>
      </c>
      <c r="D135" s="6">
        <f>G38*365</f>
        <v>94900</v>
      </c>
      <c r="E135" s="6">
        <f>I38*365</f>
        <v>101470</v>
      </c>
      <c r="F135" s="6">
        <f>K38*365</f>
        <v>1007005.8</v>
      </c>
      <c r="G135" s="6">
        <f>M3*365</f>
        <v>461469.5</v>
      </c>
      <c r="H135" s="9">
        <f t="shared" si="7"/>
        <v>10692098.300000001</v>
      </c>
    </row>
    <row r="136" spans="1:8" x14ac:dyDescent="0.3">
      <c r="F136"/>
      <c r="G136"/>
      <c r="H136" s="133">
        <f>SUM(H134:H135)</f>
        <v>82062300.299999997</v>
      </c>
    </row>
    <row r="137" spans="1:8" x14ac:dyDescent="0.3">
      <c r="F137"/>
      <c r="G137"/>
      <c r="H137" s="9"/>
    </row>
    <row r="138" spans="1:8" x14ac:dyDescent="0.3">
      <c r="A138" t="s">
        <v>456</v>
      </c>
      <c r="B138" s="6">
        <f>B39*365</f>
        <v>0</v>
      </c>
      <c r="C138" s="6">
        <f>D39*365</f>
        <v>29271678188.999996</v>
      </c>
      <c r="D138" s="6">
        <f>F39*365</f>
        <v>105423680</v>
      </c>
      <c r="E138" s="6">
        <f>H39*365</f>
        <v>965962904.14999998</v>
      </c>
      <c r="F138" s="6">
        <f>J39*365</f>
        <v>605388883.19999993</v>
      </c>
      <c r="G138" s="6">
        <f>L39*365</f>
        <v>0</v>
      </c>
      <c r="H138" s="9">
        <f t="shared" si="7"/>
        <v>30948453656.349998</v>
      </c>
    </row>
    <row r="139" spans="1:8" x14ac:dyDescent="0.3">
      <c r="A139" t="s">
        <v>457</v>
      </c>
      <c r="B139" s="6">
        <f>C39*365</f>
        <v>4380</v>
      </c>
      <c r="C139" s="6">
        <f>E39*365</f>
        <v>0</v>
      </c>
      <c r="D139" s="6">
        <f>G39*365</f>
        <v>0</v>
      </c>
      <c r="E139" s="6">
        <f>I39*365</f>
        <v>3650</v>
      </c>
      <c r="F139" s="6">
        <f>K39*365</f>
        <v>482530</v>
      </c>
      <c r="G139" s="6">
        <f>M39*365</f>
        <v>25550</v>
      </c>
      <c r="H139" s="9">
        <f t="shared" si="7"/>
        <v>516110</v>
      </c>
    </row>
    <row r="140" spans="1:8" x14ac:dyDescent="0.3">
      <c r="F140"/>
      <c r="G140"/>
      <c r="H140" s="133">
        <f>SUM(H138:H139)</f>
        <v>30948969766.349998</v>
      </c>
    </row>
    <row r="141" spans="1:8" x14ac:dyDescent="0.3">
      <c r="F141"/>
      <c r="G141"/>
      <c r="H141" s="9"/>
    </row>
    <row r="142" spans="1:8" x14ac:dyDescent="0.3">
      <c r="F142"/>
      <c r="G142"/>
      <c r="H142" s="9"/>
    </row>
    <row r="143" spans="1:8" x14ac:dyDescent="0.3">
      <c r="A143" t="s">
        <v>458</v>
      </c>
      <c r="B143" s="6">
        <f>B34*365</f>
        <v>3087126.1999999997</v>
      </c>
      <c r="C143" s="6">
        <f>D34*365</f>
        <v>161443084.30000001</v>
      </c>
      <c r="D143" s="6">
        <f>F34*365</f>
        <v>2821245.5999999996</v>
      </c>
      <c r="E143" s="6">
        <f>H34*365</f>
        <v>2359524.25</v>
      </c>
      <c r="F143" s="6">
        <f>J34*365</f>
        <v>9443750.8499999996</v>
      </c>
      <c r="G143" s="6">
        <f>L34*365</f>
        <v>14286289.799999999</v>
      </c>
      <c r="H143" s="9">
        <f t="shared" si="7"/>
        <v>193441021</v>
      </c>
    </row>
    <row r="144" spans="1:8" x14ac:dyDescent="0.3">
      <c r="A144" t="s">
        <v>459</v>
      </c>
      <c r="B144" s="6">
        <f>C34*365</f>
        <v>32690582.600000001</v>
      </c>
      <c r="C144" s="6">
        <f>E34*365</f>
        <v>3480183.75</v>
      </c>
      <c r="D144" s="6">
        <f>G34*365</f>
        <v>6162952</v>
      </c>
      <c r="E144" s="6">
        <f>I34*365</f>
        <v>1890437.2</v>
      </c>
      <c r="F144" s="6">
        <f>K34*365</f>
        <v>8568681.5999999996</v>
      </c>
      <c r="G144" s="6">
        <f>M34*365</f>
        <v>2729897.05</v>
      </c>
      <c r="H144" s="9">
        <f t="shared" si="7"/>
        <v>55522734.200000003</v>
      </c>
    </row>
    <row r="145" spans="1:11" x14ac:dyDescent="0.3">
      <c r="F145"/>
      <c r="G145"/>
      <c r="H145" s="133">
        <f>SUM(H143:H144)</f>
        <v>248963755.19999999</v>
      </c>
    </row>
    <row r="146" spans="1:11" x14ac:dyDescent="0.3">
      <c r="F146"/>
      <c r="G146"/>
      <c r="H146" s="9"/>
    </row>
    <row r="147" spans="1:11" x14ac:dyDescent="0.3">
      <c r="F147"/>
      <c r="G147"/>
      <c r="H147" s="9"/>
    </row>
    <row r="148" spans="1:11" x14ac:dyDescent="0.3">
      <c r="A148" t="s">
        <v>460</v>
      </c>
      <c r="B148" s="6">
        <f>B33*365</f>
        <v>11172898.199999999</v>
      </c>
      <c r="C148" s="6">
        <f>D33*365</f>
        <v>83759251</v>
      </c>
      <c r="D148" s="6">
        <f>F33*365</f>
        <v>11910274.85</v>
      </c>
      <c r="E148" s="6">
        <f>H33*365</f>
        <v>35442923.5</v>
      </c>
      <c r="F148" s="6">
        <f>J33*365</f>
        <v>5418760.7999999998</v>
      </c>
      <c r="G148" s="6">
        <f>L33*365</f>
        <v>5963078</v>
      </c>
      <c r="H148" s="9">
        <f t="shared" si="7"/>
        <v>153667186.35000002</v>
      </c>
    </row>
    <row r="149" spans="1:11" x14ac:dyDescent="0.3">
      <c r="A149" t="s">
        <v>460</v>
      </c>
      <c r="B149" s="6">
        <f>C33*365</f>
        <v>19665360.5</v>
      </c>
      <c r="C149" s="6">
        <f>E33*365</f>
        <v>29200</v>
      </c>
      <c r="D149" s="6">
        <f>G33*365</f>
        <v>506437.5</v>
      </c>
      <c r="E149" s="6">
        <f>I33*365</f>
        <v>64637.85</v>
      </c>
      <c r="F149" s="6">
        <f>K33*365</f>
        <v>23573984.900000002</v>
      </c>
      <c r="G149" s="6">
        <f>M33*365</f>
        <v>479354.5</v>
      </c>
      <c r="H149" s="9">
        <f t="shared" si="7"/>
        <v>44318975.25</v>
      </c>
    </row>
    <row r="150" spans="1:11" x14ac:dyDescent="0.3">
      <c r="F150"/>
      <c r="G150"/>
      <c r="H150" s="133">
        <f>SUM(H148:H149)</f>
        <v>197986161.60000002</v>
      </c>
    </row>
    <row r="151" spans="1:11" x14ac:dyDescent="0.3">
      <c r="F151"/>
      <c r="G151"/>
      <c r="H151" s="9"/>
    </row>
    <row r="152" spans="1:11" x14ac:dyDescent="0.3">
      <c r="A152" t="s">
        <v>461</v>
      </c>
      <c r="B152" s="6">
        <f>B40*365</f>
        <v>298935</v>
      </c>
      <c r="C152" s="6">
        <f>D40*365</f>
        <v>2347972</v>
      </c>
      <c r="D152" s="6">
        <f>F40*365</f>
        <v>4177877.6</v>
      </c>
      <c r="E152" s="6">
        <f>H40*365</f>
        <v>481161.25</v>
      </c>
      <c r="F152" s="6">
        <f>J40*365</f>
        <v>5678753.9500000002</v>
      </c>
      <c r="G152" s="6">
        <f>L40*365</f>
        <v>2832987.65</v>
      </c>
      <c r="H152" s="9">
        <f t="shared" si="7"/>
        <v>15817687.450000001</v>
      </c>
    </row>
    <row r="153" spans="1:11" x14ac:dyDescent="0.3">
      <c r="A153" t="s">
        <v>462</v>
      </c>
      <c r="B153" s="6">
        <f>C40*365</f>
        <v>503225.5</v>
      </c>
      <c r="C153" s="6">
        <f>E40*365</f>
        <v>4177877.6</v>
      </c>
      <c r="D153" s="6">
        <f>G40*365</f>
        <v>52888.5</v>
      </c>
      <c r="E153" s="6">
        <f>I40*365</f>
        <v>23725</v>
      </c>
      <c r="F153" s="6">
        <f>K40*365</f>
        <v>4235543.95</v>
      </c>
      <c r="G153" s="6">
        <f>M40*365</f>
        <v>219803.00000000003</v>
      </c>
      <c r="H153" s="9">
        <f t="shared" si="7"/>
        <v>9213063.5500000007</v>
      </c>
    </row>
    <row r="154" spans="1:11" x14ac:dyDescent="0.3">
      <c r="H154" s="28">
        <f>SUM(H152:H153)</f>
        <v>25030751</v>
      </c>
    </row>
    <row r="157" spans="1:11" x14ac:dyDescent="0.3">
      <c r="G157" s="6" t="s">
        <v>448</v>
      </c>
      <c r="H157" s="6">
        <f>SUM(H130,H134,H138,H143,H148,H152)</f>
        <v>31703632889.349998</v>
      </c>
      <c r="J157" t="s">
        <v>449</v>
      </c>
      <c r="K157" s="9">
        <f>SUM(H130,H134,H143,H148,H152)</f>
        <v>755179233.00000012</v>
      </c>
    </row>
    <row r="158" spans="1:11" x14ac:dyDescent="0.3">
      <c r="G158" s="6" t="s">
        <v>450</v>
      </c>
      <c r="H158" s="6">
        <f>SUM(H131,H135,H139,H144,H149,H153)</f>
        <v>207874121.10000002</v>
      </c>
      <c r="J158" t="s">
        <v>451</v>
      </c>
      <c r="K158" s="9">
        <f>SUM(H131,H135,H144,H149,H153)</f>
        <v>207358011.10000002</v>
      </c>
    </row>
  </sheetData>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ABF19-07BA-4608-8C2B-2BE932F724D7}">
  <sheetPr>
    <tabColor theme="3" tint="9.9978637043366805E-2"/>
  </sheetPr>
  <dimension ref="B2:V26"/>
  <sheetViews>
    <sheetView topLeftCell="F1" workbookViewId="0">
      <selection activeCell="S14" sqref="S14"/>
    </sheetView>
  </sheetViews>
  <sheetFormatPr defaultRowHeight="14.4" x14ac:dyDescent="0.3"/>
  <cols>
    <col min="1" max="1" width="3.44140625" style="39" customWidth="1"/>
    <col min="2" max="2" width="62.6640625" style="39" bestFit="1" customWidth="1"/>
    <col min="3" max="3" width="12.6640625" style="39" bestFit="1" customWidth="1"/>
    <col min="4" max="4" width="18.33203125" style="39" bestFit="1" customWidth="1"/>
    <col min="5" max="5" width="16.77734375" style="39" bestFit="1" customWidth="1"/>
    <col min="6" max="6" width="14.44140625" style="39" bestFit="1" customWidth="1"/>
    <col min="7" max="7" width="13.5546875" style="39" bestFit="1" customWidth="1"/>
    <col min="8" max="8" width="15.21875" style="39" bestFit="1" customWidth="1"/>
    <col min="9" max="9" width="14.44140625" style="39" bestFit="1" customWidth="1"/>
    <col min="10" max="10" width="15.21875" style="39" bestFit="1" customWidth="1"/>
    <col min="11" max="12" width="14" style="39" bestFit="1" customWidth="1"/>
    <col min="13" max="13" width="13.5546875" style="39" bestFit="1" customWidth="1"/>
    <col min="14" max="14" width="14.88671875" style="39" bestFit="1" customWidth="1"/>
    <col min="15" max="15" width="14" style="39" bestFit="1" customWidth="1"/>
    <col min="16" max="16" width="17.44140625" style="39" bestFit="1" customWidth="1"/>
    <col min="17" max="17" width="14" style="39" bestFit="1" customWidth="1"/>
    <col min="18" max="18" width="14.88671875" style="39" bestFit="1" customWidth="1"/>
    <col min="19" max="19" width="15.21875" style="39" bestFit="1" customWidth="1"/>
    <col min="20" max="20" width="6.6640625" style="39" bestFit="1" customWidth="1"/>
    <col min="21" max="21" width="18.33203125" style="39" bestFit="1" customWidth="1"/>
    <col min="22" max="22" width="15.21875" style="39" bestFit="1" customWidth="1"/>
    <col min="23" max="16384" width="8.88671875" style="39"/>
  </cols>
  <sheetData>
    <row r="2" spans="2:22" ht="72" x14ac:dyDescent="0.3">
      <c r="B2" s="226"/>
      <c r="C2" s="226" t="s">
        <v>9</v>
      </c>
      <c r="D2" s="226" t="s">
        <v>429</v>
      </c>
      <c r="E2" s="226" t="s">
        <v>4</v>
      </c>
      <c r="F2" s="226" t="s">
        <v>17</v>
      </c>
      <c r="G2" s="226" t="s">
        <v>434</v>
      </c>
      <c r="H2" s="226" t="s">
        <v>430</v>
      </c>
      <c r="I2" s="226" t="s">
        <v>12</v>
      </c>
      <c r="J2" s="226" t="s">
        <v>387</v>
      </c>
      <c r="K2" s="226" t="s">
        <v>241</v>
      </c>
      <c r="L2" s="226" t="s">
        <v>75</v>
      </c>
      <c r="M2" s="226" t="s">
        <v>14</v>
      </c>
      <c r="N2" s="226" t="s">
        <v>7</v>
      </c>
      <c r="O2" s="226" t="s">
        <v>432</v>
      </c>
      <c r="P2" s="226" t="s">
        <v>431</v>
      </c>
      <c r="Q2" s="226" t="s">
        <v>13</v>
      </c>
      <c r="R2" s="226" t="s">
        <v>422</v>
      </c>
      <c r="S2" s="227" t="str">
        <f>'Ph Water SUT- 2021'!A21</f>
        <v>Total water evaporated, transpired and incorporated into products</v>
      </c>
      <c r="T2" s="226"/>
      <c r="U2" s="231" t="s">
        <v>1</v>
      </c>
      <c r="V2" s="226" t="s">
        <v>0</v>
      </c>
    </row>
    <row r="3" spans="2:22" x14ac:dyDescent="0.3">
      <c r="B3" s="228" t="str">
        <f>C2</f>
        <v>Flows from the Environment</v>
      </c>
      <c r="C3" s="219"/>
      <c r="D3" s="219"/>
      <c r="E3" s="220">
        <f>SUM('WRA Report Data'!B53,'WRA Report Data'!D53,'WRA Report Data'!F53,'WRA Report Data'!H53,'WRA Report Data'!J53,'WRA Report Data'!N53)</f>
        <v>1096298305</v>
      </c>
      <c r="F3" s="220">
        <f>SUM('WRA Report Data'!C53,'WRA Report Data'!E53,'WRA Report Data'!G53,'WRA Report Data'!I53,'WRA Report Data'!K53,'WRA Report Data'!O53)</f>
        <v>224464050</v>
      </c>
      <c r="G3" s="219"/>
      <c r="H3" s="219"/>
      <c r="I3" s="219"/>
      <c r="J3" s="219"/>
      <c r="K3" s="219"/>
      <c r="L3" s="219"/>
      <c r="M3" s="219"/>
      <c r="N3" s="219"/>
      <c r="O3" s="219"/>
      <c r="P3" s="219"/>
      <c r="Q3" s="219"/>
      <c r="R3" s="219"/>
      <c r="S3" s="219"/>
      <c r="T3" s="219"/>
      <c r="U3" s="232">
        <f>SUM(C3:S3)</f>
        <v>1320762355</v>
      </c>
      <c r="V3" s="221"/>
    </row>
    <row r="4" spans="2:22" x14ac:dyDescent="0.3">
      <c r="B4" s="61" t="s">
        <v>4</v>
      </c>
      <c r="C4" s="126"/>
      <c r="D4" s="126"/>
      <c r="E4" s="126"/>
      <c r="F4" s="126"/>
      <c r="G4" s="126"/>
      <c r="H4" s="220">
        <f>SUM('WASREB 20-21'!B4:CM4)-I4</f>
        <v>207778671</v>
      </c>
      <c r="I4" s="220">
        <f>'WASREB 20-21'!CO6</f>
        <v>216801974</v>
      </c>
      <c r="J4" s="220">
        <f>'WRA Report Data'!F53+'WRA Report Data'!H53</f>
        <v>519841030</v>
      </c>
      <c r="K4" s="416">
        <f>'WRA Report Data'!G61</f>
        <v>19760930.200812366</v>
      </c>
      <c r="L4" s="416">
        <f>'WRA Report Data'!G62</f>
        <v>69633983.005062252</v>
      </c>
      <c r="M4" s="416">
        <f>'WRA Report Data'!G64</f>
        <v>7866771.5951017356</v>
      </c>
      <c r="N4" s="416">
        <f>'WRA Report Data'!G63</f>
        <v>54614945.199023642</v>
      </c>
      <c r="O4" s="126"/>
      <c r="P4" s="126"/>
      <c r="Q4" s="126"/>
      <c r="R4" s="126"/>
      <c r="S4" s="126"/>
      <c r="T4" s="222"/>
      <c r="U4" s="232">
        <f t="shared" ref="U4:U17" si="0">SUM(C4:S4)</f>
        <v>1096298305</v>
      </c>
      <c r="V4" s="42">
        <f>E18-U4</f>
        <v>0</v>
      </c>
    </row>
    <row r="5" spans="2:22" x14ac:dyDescent="0.3">
      <c r="B5" s="61" t="s">
        <v>17</v>
      </c>
      <c r="C5" s="126"/>
      <c r="D5" s="126"/>
      <c r="E5" s="126"/>
      <c r="F5" s="126"/>
      <c r="G5" s="126"/>
      <c r="H5" s="220">
        <f>'WASREB 20-21'!CO5</f>
        <v>8100590</v>
      </c>
      <c r="I5" s="126"/>
      <c r="J5" s="220">
        <f>'WRA Report Data'!G53+'WRA Report Data'!I53</f>
        <v>96779750</v>
      </c>
      <c r="K5" s="416">
        <f>'WRA Report Data'!D61</f>
        <v>11369716.410153793</v>
      </c>
      <c r="L5" s="416">
        <f>'WRA Report Data'!D62</f>
        <v>47372678.897147104</v>
      </c>
      <c r="M5" s="416">
        <f>'WRA Report Data'!D64</f>
        <v>3801300.2549882797</v>
      </c>
      <c r="N5" s="416">
        <f>'WRA Report Data'!D63</f>
        <v>57040014.437710822</v>
      </c>
      <c r="O5" s="126"/>
      <c r="P5" s="126"/>
      <c r="Q5" s="126"/>
      <c r="R5" s="126"/>
      <c r="S5" s="126"/>
      <c r="T5" s="222"/>
      <c r="U5" s="232">
        <f t="shared" si="0"/>
        <v>224464050</v>
      </c>
      <c r="V5" s="42">
        <f>F18-U5</f>
        <v>0</v>
      </c>
    </row>
    <row r="6" spans="2:22" x14ac:dyDescent="0.3">
      <c r="B6" s="61" t="str">
        <f>G2</f>
        <v>Water collection and supply: Imported treated water</v>
      </c>
      <c r="C6" s="126"/>
      <c r="D6" s="126"/>
      <c r="E6" s="126"/>
      <c r="F6" s="126"/>
      <c r="G6" s="220">
        <f>'WASREB 20-21'!CO7</f>
        <v>41362968</v>
      </c>
      <c r="I6" s="126"/>
      <c r="J6" s="126"/>
      <c r="K6" s="126"/>
      <c r="L6" s="126"/>
      <c r="M6" s="126"/>
      <c r="N6" s="126"/>
      <c r="O6" s="126"/>
      <c r="P6" s="126"/>
      <c r="Q6" s="126"/>
      <c r="R6" s="126"/>
      <c r="S6" s="126"/>
      <c r="T6" s="222"/>
      <c r="U6" s="232">
        <f t="shared" si="0"/>
        <v>41362968</v>
      </c>
      <c r="V6" s="42">
        <f>G18-U6</f>
        <v>0</v>
      </c>
    </row>
    <row r="7" spans="2:22" x14ac:dyDescent="0.3">
      <c r="B7" s="61" t="s">
        <v>429</v>
      </c>
      <c r="C7" s="126"/>
      <c r="D7" s="220">
        <f>SUM('WRA Report Data'!L53:M53)</f>
        <v>2017913450</v>
      </c>
      <c r="E7" s="126"/>
      <c r="F7" s="126"/>
      <c r="G7" s="126"/>
      <c r="H7" s="126"/>
      <c r="I7" s="126"/>
      <c r="J7" s="126"/>
      <c r="K7" s="126"/>
      <c r="L7" s="126"/>
      <c r="M7" s="126"/>
      <c r="N7" s="126"/>
      <c r="O7" s="126"/>
      <c r="P7" s="126"/>
      <c r="Q7" s="126"/>
      <c r="R7" s="126"/>
      <c r="S7" s="126"/>
      <c r="T7" s="222"/>
      <c r="U7" s="232">
        <f t="shared" si="0"/>
        <v>2017913450</v>
      </c>
      <c r="V7" s="42">
        <f>D18-U7</f>
        <v>0</v>
      </c>
    </row>
    <row r="8" spans="2:22" x14ac:dyDescent="0.3">
      <c r="B8" s="61" t="str">
        <f>I2</f>
        <v>Water collection, treatment and supply</v>
      </c>
      <c r="C8" s="126"/>
      <c r="D8" s="126"/>
      <c r="E8" s="126"/>
      <c r="F8" s="126"/>
      <c r="G8" s="126"/>
      <c r="H8" s="126"/>
      <c r="I8" s="126"/>
      <c r="J8" s="126"/>
      <c r="K8" s="220">
        <f>'WASREB 20-21'!CO84</f>
        <v>36310344.231567457</v>
      </c>
      <c r="L8" s="220">
        <f>'WASREB 20-21'!CO82</f>
        <v>15326349.219045665</v>
      </c>
      <c r="M8" s="220">
        <f>'WASREB 20-21'!CO46</f>
        <v>982134.90890676889</v>
      </c>
      <c r="N8" s="220">
        <f>SUM('WASREB 20-21'!B38:CM39)</f>
        <v>124289697.69583555</v>
      </c>
      <c r="O8" s="220">
        <f>'WASREB 20-21'!CO49</f>
        <v>73090275.790477902</v>
      </c>
      <c r="P8" s="220">
        <f>SUM('WASREB 20-21'!B52:CM52)</f>
        <v>224045401.15416667</v>
      </c>
      <c r="Q8" s="126"/>
      <c r="R8" s="126"/>
      <c r="S8" s="126"/>
      <c r="T8" s="222"/>
      <c r="U8" s="232">
        <f t="shared" si="0"/>
        <v>474044203</v>
      </c>
      <c r="V8" s="42">
        <f>SUM(G18:I18)-U8</f>
        <v>0</v>
      </c>
    </row>
    <row r="9" spans="2:22" x14ac:dyDescent="0.3">
      <c r="B9" s="61" t="s">
        <v>387</v>
      </c>
      <c r="C9" s="126"/>
      <c r="D9" s="126"/>
      <c r="E9" s="126"/>
      <c r="F9" s="126"/>
      <c r="G9" s="126"/>
      <c r="H9" s="126"/>
      <c r="I9" s="126"/>
      <c r="J9" s="126"/>
      <c r="K9" s="126"/>
      <c r="L9" s="126"/>
      <c r="M9" s="126"/>
      <c r="N9" s="126"/>
      <c r="O9" s="126"/>
      <c r="P9" s="126"/>
      <c r="Q9" s="126"/>
      <c r="R9" s="23">
        <f>J18*25.7%</f>
        <v>158471540.46000001</v>
      </c>
      <c r="S9" s="223">
        <f>J18-R9</f>
        <v>458149239.53999996</v>
      </c>
      <c r="T9" s="222"/>
      <c r="U9" s="232">
        <f>SUM(C9:S9)</f>
        <v>616620780</v>
      </c>
      <c r="V9" s="42">
        <f>J18-U9</f>
        <v>0</v>
      </c>
    </row>
    <row r="10" spans="2:22" x14ac:dyDescent="0.3">
      <c r="B10" s="61" t="s">
        <v>241</v>
      </c>
      <c r="C10" s="126"/>
      <c r="D10" s="126"/>
      <c r="E10" s="126"/>
      <c r="F10" s="126"/>
      <c r="G10" s="126"/>
      <c r="H10" s="126"/>
      <c r="I10" s="126"/>
      <c r="J10" s="126"/>
      <c r="K10" s="126"/>
      <c r="L10" s="126"/>
      <c r="M10" s="126"/>
      <c r="N10" s="126"/>
      <c r="O10" s="126"/>
      <c r="P10" s="126"/>
      <c r="Q10" s="220">
        <f>SUM('WASREB 20-21'!B72:CL75)</f>
        <v>34181282.176953413</v>
      </c>
      <c r="R10" s="126"/>
      <c r="S10" s="223">
        <f>K18-Q10</f>
        <v>33259708.665580206</v>
      </c>
      <c r="T10" s="222"/>
      <c r="U10" s="232">
        <f t="shared" si="0"/>
        <v>67440990.842533618</v>
      </c>
      <c r="V10" s="42">
        <f>K18-U10</f>
        <v>0</v>
      </c>
    </row>
    <row r="11" spans="2:22" x14ac:dyDescent="0.3">
      <c r="B11" s="61" t="s">
        <v>75</v>
      </c>
      <c r="C11" s="126"/>
      <c r="D11" s="126"/>
      <c r="E11" s="126"/>
      <c r="F11" s="126"/>
      <c r="G11" s="126"/>
      <c r="H11" s="126"/>
      <c r="I11" s="126"/>
      <c r="J11" s="126"/>
      <c r="K11" s="126"/>
      <c r="L11" s="126"/>
      <c r="M11" s="126"/>
      <c r="N11" s="126"/>
      <c r="O11" s="126"/>
      <c r="P11" s="126"/>
      <c r="Q11" s="220">
        <f>SUM('WASREB 20-21'!B70:CM71)</f>
        <v>4387417.9020084161</v>
      </c>
      <c r="R11" s="126"/>
      <c r="S11" s="223">
        <f>L18-Q11</f>
        <v>127945593.21924661</v>
      </c>
      <c r="T11" s="222"/>
      <c r="U11" s="232">
        <f t="shared" si="0"/>
        <v>132333011.12125503</v>
      </c>
      <c r="V11" s="42">
        <f>L18-U11</f>
        <v>0</v>
      </c>
    </row>
    <row r="12" spans="2:22" x14ac:dyDescent="0.3">
      <c r="B12" s="61" t="s">
        <v>14</v>
      </c>
      <c r="C12" s="126"/>
      <c r="D12" s="126"/>
      <c r="E12" s="126"/>
      <c r="F12" s="126"/>
      <c r="G12" s="126"/>
      <c r="H12" s="126"/>
      <c r="I12" s="126"/>
      <c r="J12" s="126"/>
      <c r="K12" s="126"/>
      <c r="L12" s="126"/>
      <c r="M12" s="126"/>
      <c r="N12" s="126"/>
      <c r="O12" s="126"/>
      <c r="P12" s="126"/>
      <c r="Q12" s="220">
        <f>SUM('WASREB 20-21'!B76:CM76)</f>
        <v>1957014.8419732067</v>
      </c>
      <c r="R12" s="126"/>
      <c r="S12" s="223">
        <f>M18-Q12</f>
        <v>10693191.917023579</v>
      </c>
      <c r="T12" s="222"/>
      <c r="U12" s="232">
        <f t="shared" si="0"/>
        <v>12650206.758996785</v>
      </c>
      <c r="V12" s="42">
        <f>M18-U12</f>
        <v>0</v>
      </c>
    </row>
    <row r="13" spans="2:22" x14ac:dyDescent="0.3">
      <c r="B13" s="61" t="s">
        <v>7</v>
      </c>
      <c r="C13" s="126"/>
      <c r="D13" s="126"/>
      <c r="E13" s="126"/>
      <c r="F13" s="126"/>
      <c r="G13" s="126"/>
      <c r="H13" s="126"/>
      <c r="I13" s="126"/>
      <c r="J13" s="126"/>
      <c r="K13" s="126"/>
      <c r="L13" s="126"/>
      <c r="M13" s="126"/>
      <c r="N13" s="126"/>
      <c r="O13" s="126"/>
      <c r="P13" s="126"/>
      <c r="Q13" s="220">
        <f>SUM('WASREB 20-21'!B68:CN68,'WASREB 20-21'!B69:CM69)</f>
        <v>77689173.539065003</v>
      </c>
      <c r="R13" s="126"/>
      <c r="S13" s="223">
        <f>N18-Q13</f>
        <v>158255483.79350501</v>
      </c>
      <c r="T13" s="222"/>
      <c r="U13" s="232">
        <f t="shared" si="0"/>
        <v>235944657.33257002</v>
      </c>
      <c r="V13" s="42">
        <f>N18-U13</f>
        <v>0</v>
      </c>
    </row>
    <row r="14" spans="2:22" x14ac:dyDescent="0.3">
      <c r="B14" s="61" t="str">
        <f>O2</f>
        <v>Non-revenue water: non payment</v>
      </c>
      <c r="C14" s="126"/>
      <c r="D14" s="126"/>
      <c r="E14" s="126"/>
      <c r="F14" s="126"/>
      <c r="G14" s="126"/>
      <c r="H14" s="126"/>
      <c r="I14" s="126"/>
      <c r="J14" s="126"/>
      <c r="O14" s="126"/>
      <c r="P14" s="126"/>
      <c r="Q14" s="126"/>
      <c r="R14" s="23">
        <f>O8</f>
        <v>73090275.790477902</v>
      </c>
      <c r="S14" s="23"/>
      <c r="T14" s="222"/>
      <c r="U14" s="232">
        <f t="shared" si="0"/>
        <v>73090275.790477902</v>
      </c>
      <c r="V14" s="42">
        <f>O18-U14</f>
        <v>0</v>
      </c>
    </row>
    <row r="15" spans="2:22" x14ac:dyDescent="0.3">
      <c r="B15" s="61" t="str">
        <f>P2</f>
        <v>Non-revenue water: losses in distribution and other</v>
      </c>
      <c r="C15" s="126"/>
      <c r="D15" s="126"/>
      <c r="E15" s="126"/>
      <c r="F15" s="126"/>
      <c r="G15" s="126"/>
      <c r="H15" s="126"/>
      <c r="I15" s="126"/>
      <c r="J15" s="126"/>
      <c r="O15" s="126"/>
      <c r="P15" s="126"/>
      <c r="Q15" s="126"/>
      <c r="R15" s="23">
        <f>P8</f>
        <v>224045401.15416667</v>
      </c>
      <c r="S15" s="23"/>
      <c r="T15" s="222"/>
      <c r="U15" s="232">
        <f t="shared" si="0"/>
        <v>224045401.15416667</v>
      </c>
      <c r="V15" s="42">
        <f>P18-U15</f>
        <v>0</v>
      </c>
    </row>
    <row r="16" spans="2:22" x14ac:dyDescent="0.3">
      <c r="B16" s="61" t="s">
        <v>13</v>
      </c>
      <c r="C16" s="126"/>
      <c r="D16" s="126"/>
      <c r="E16" s="126"/>
      <c r="F16" s="126"/>
      <c r="G16" s="126"/>
      <c r="H16" s="126"/>
      <c r="I16" s="126"/>
      <c r="J16" s="126"/>
      <c r="O16" s="126"/>
      <c r="P16" s="126"/>
      <c r="Q16" s="126"/>
      <c r="R16" s="224">
        <f>'WASREB 20-21'!CO17</f>
        <v>118214888.45999999</v>
      </c>
      <c r="S16" s="126"/>
      <c r="T16" s="222"/>
      <c r="U16" s="232">
        <f t="shared" si="0"/>
        <v>118214888.45999999</v>
      </c>
      <c r="V16" s="42">
        <f>Q18-U16</f>
        <v>0</v>
      </c>
    </row>
    <row r="17" spans="2:22" x14ac:dyDescent="0.3">
      <c r="B17" s="61" t="s">
        <v>31</v>
      </c>
      <c r="C17" s="126"/>
      <c r="D17" s="126"/>
      <c r="E17" s="126"/>
      <c r="F17" s="126"/>
      <c r="G17" s="126"/>
      <c r="H17" s="126"/>
      <c r="I17" s="126"/>
      <c r="J17" s="126"/>
      <c r="K17" s="126"/>
      <c r="L17" s="126"/>
      <c r="M17" s="126"/>
      <c r="N17" s="126"/>
      <c r="O17" s="126"/>
      <c r="P17" s="126"/>
      <c r="Q17" s="126"/>
      <c r="R17" s="126"/>
      <c r="S17" s="126"/>
      <c r="T17" s="222"/>
      <c r="U17" s="232">
        <f t="shared" si="0"/>
        <v>0</v>
      </c>
      <c r="V17" s="42"/>
    </row>
    <row r="18" spans="2:22" x14ac:dyDescent="0.3">
      <c r="B18" s="229" t="s">
        <v>1</v>
      </c>
      <c r="C18" s="230">
        <f t="shared" ref="C18:S18" si="1">SUM(C3:C17)</f>
        <v>0</v>
      </c>
      <c r="D18" s="230">
        <f t="shared" si="1"/>
        <v>2017913450</v>
      </c>
      <c r="E18" s="230">
        <f t="shared" si="1"/>
        <v>1096298305</v>
      </c>
      <c r="F18" s="230">
        <f t="shared" si="1"/>
        <v>224464050</v>
      </c>
      <c r="G18" s="230">
        <f t="shared" si="1"/>
        <v>41362968</v>
      </c>
      <c r="H18" s="230">
        <f t="shared" si="1"/>
        <v>215879261</v>
      </c>
      <c r="I18" s="230">
        <f t="shared" si="1"/>
        <v>216801974</v>
      </c>
      <c r="J18" s="230">
        <f t="shared" si="1"/>
        <v>616620780</v>
      </c>
      <c r="K18" s="230">
        <f t="shared" si="1"/>
        <v>67440990.842533618</v>
      </c>
      <c r="L18" s="230">
        <f t="shared" si="1"/>
        <v>132333011.12125503</v>
      </c>
      <c r="M18" s="230">
        <f t="shared" si="1"/>
        <v>12650206.758996785</v>
      </c>
      <c r="N18" s="230">
        <f t="shared" si="1"/>
        <v>235944657.33257002</v>
      </c>
      <c r="O18" s="230">
        <f t="shared" si="1"/>
        <v>73090275.790477902</v>
      </c>
      <c r="P18" s="230">
        <f t="shared" si="1"/>
        <v>224045401.15416667</v>
      </c>
      <c r="Q18" s="230">
        <f t="shared" si="1"/>
        <v>118214888.46000004</v>
      </c>
      <c r="R18" s="230">
        <f t="shared" si="1"/>
        <v>573822105.86464465</v>
      </c>
      <c r="S18" s="230">
        <f t="shared" si="1"/>
        <v>788303217.13535523</v>
      </c>
      <c r="T18" s="42">
        <v>0</v>
      </c>
      <c r="U18" s="233">
        <v>34203548054.742191</v>
      </c>
    </row>
    <row r="19" spans="2:22" x14ac:dyDescent="0.3">
      <c r="K19" s="42">
        <f>SUM(K3:K17)-K18</f>
        <v>0</v>
      </c>
      <c r="L19" s="42">
        <f>SUM(L3:L17)-L18</f>
        <v>0</v>
      </c>
      <c r="M19" s="42">
        <f>SUM(M3:M17)-M18</f>
        <v>0</v>
      </c>
      <c r="N19" s="42">
        <f>SUM(N3:N17)-N18</f>
        <v>0</v>
      </c>
    </row>
    <row r="22" spans="2:22" x14ac:dyDescent="0.3">
      <c r="K22" s="225"/>
      <c r="L22" s="225"/>
      <c r="M22" s="225"/>
      <c r="N22" s="225"/>
    </row>
    <row r="24" spans="2:22" x14ac:dyDescent="0.3">
      <c r="K24" s="126"/>
      <c r="L24" s="126"/>
      <c r="M24" s="126"/>
      <c r="N24" s="126"/>
    </row>
    <row r="25" spans="2:22" x14ac:dyDescent="0.3">
      <c r="K25" s="126"/>
      <c r="L25" s="126"/>
      <c r="M25" s="126"/>
      <c r="N25" s="126"/>
    </row>
    <row r="26" spans="2:22" x14ac:dyDescent="0.3">
      <c r="K26" s="126"/>
      <c r="L26" s="126"/>
      <c r="M26" s="126"/>
      <c r="N26" s="126"/>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3942-4446-44BC-BF4C-9DB26A062BDE}">
  <sheetPr>
    <tabColor theme="3" tint="9.9978637043366805E-2"/>
  </sheetPr>
  <dimension ref="A1:O50"/>
  <sheetViews>
    <sheetView topLeftCell="A15" zoomScale="90" zoomScaleNormal="90" workbookViewId="0">
      <selection activeCell="M49" sqref="M49"/>
    </sheetView>
  </sheetViews>
  <sheetFormatPr defaultColWidth="8.88671875" defaultRowHeight="14.4" x14ac:dyDescent="0.3"/>
  <cols>
    <col min="1" max="1" width="45.33203125" style="39" bestFit="1" customWidth="1"/>
    <col min="2" max="2" width="21.33203125" style="39" customWidth="1"/>
    <col min="3" max="3" width="17.44140625" style="39" customWidth="1"/>
    <col min="4" max="4" width="20.33203125" style="39" bestFit="1" customWidth="1"/>
    <col min="5" max="8" width="17.44140625" style="39" customWidth="1"/>
    <col min="9" max="9" width="19.44140625" style="39" bestFit="1" customWidth="1"/>
    <col min="10" max="11" width="17.44140625" style="39" customWidth="1"/>
    <col min="12" max="12" width="26.6640625" style="39" bestFit="1" customWidth="1"/>
    <col min="13" max="13" width="19.33203125" style="39" bestFit="1" customWidth="1"/>
    <col min="14" max="14" width="16.44140625" style="39" hidden="1" customWidth="1"/>
    <col min="15" max="15" width="11.88671875" style="39" bestFit="1" customWidth="1"/>
    <col min="16" max="16384" width="8.88671875" style="39"/>
  </cols>
  <sheetData>
    <row r="1" spans="1:14" x14ac:dyDescent="0.3">
      <c r="A1" s="63" t="s">
        <v>5</v>
      </c>
      <c r="B1" s="325" t="s">
        <v>6</v>
      </c>
      <c r="C1" s="326"/>
      <c r="D1" s="326"/>
      <c r="E1" s="326"/>
      <c r="F1" s="326"/>
      <c r="G1" s="326"/>
      <c r="H1" s="327"/>
      <c r="I1" s="115"/>
      <c r="J1" s="323" t="s">
        <v>7</v>
      </c>
      <c r="K1" s="315" t="s">
        <v>8</v>
      </c>
      <c r="L1" s="315" t="s">
        <v>9</v>
      </c>
      <c r="M1" s="320" t="s">
        <v>10</v>
      </c>
    </row>
    <row r="2" spans="1:14" ht="43.2" x14ac:dyDescent="0.3">
      <c r="A2" s="64" t="s">
        <v>418</v>
      </c>
      <c r="B2" s="124" t="s">
        <v>387</v>
      </c>
      <c r="C2" s="37" t="s">
        <v>241</v>
      </c>
      <c r="D2" s="37" t="s">
        <v>11</v>
      </c>
      <c r="E2" s="37" t="s">
        <v>12</v>
      </c>
      <c r="F2" s="37" t="s">
        <v>13</v>
      </c>
      <c r="G2" s="37" t="s">
        <v>75</v>
      </c>
      <c r="H2" s="121" t="s">
        <v>14</v>
      </c>
      <c r="I2" s="37" t="s">
        <v>15</v>
      </c>
      <c r="J2" s="324"/>
      <c r="K2" s="316"/>
      <c r="L2" s="316"/>
      <c r="M2" s="321"/>
    </row>
    <row r="3" spans="1:14" x14ac:dyDescent="0.3">
      <c r="A3" s="64" t="s">
        <v>388</v>
      </c>
      <c r="B3" s="125" t="s">
        <v>389</v>
      </c>
      <c r="C3" s="122" t="s">
        <v>393</v>
      </c>
      <c r="D3" s="122" t="s">
        <v>390</v>
      </c>
      <c r="E3" s="122" t="s">
        <v>391</v>
      </c>
      <c r="F3" s="122" t="s">
        <v>392</v>
      </c>
      <c r="G3" s="122" t="s">
        <v>395</v>
      </c>
      <c r="H3" s="123" t="s">
        <v>394</v>
      </c>
      <c r="I3" s="38"/>
      <c r="J3" s="38"/>
      <c r="K3" s="38"/>
      <c r="L3" s="38"/>
      <c r="M3" s="322"/>
    </row>
    <row r="4" spans="1:14" x14ac:dyDescent="0.3">
      <c r="A4" s="65" t="s">
        <v>16</v>
      </c>
      <c r="B4" s="80"/>
      <c r="C4" s="47"/>
      <c r="D4" s="47"/>
      <c r="E4" s="47"/>
      <c r="F4" s="47"/>
      <c r="G4" s="47"/>
      <c r="H4" s="48"/>
      <c r="I4" s="46"/>
      <c r="J4" s="47"/>
      <c r="K4" s="47"/>
      <c r="L4" s="47"/>
      <c r="M4" s="110"/>
    </row>
    <row r="5" spans="1:14" x14ac:dyDescent="0.3">
      <c r="A5" s="67" t="s">
        <v>4</v>
      </c>
      <c r="B5" s="81"/>
      <c r="C5" s="40"/>
      <c r="D5" s="40"/>
      <c r="E5" s="40"/>
      <c r="F5" s="40"/>
      <c r="G5" s="40"/>
      <c r="H5" s="82"/>
      <c r="I5" s="94"/>
      <c r="J5" s="40"/>
      <c r="K5" s="40"/>
      <c r="L5" s="31">
        <f>'Ph IO Table 2021'!D7+'Ph IO Table 2021'!E3</f>
        <v>3114211755</v>
      </c>
      <c r="M5" s="111">
        <f>SUM(I5:L5)</f>
        <v>3114211755</v>
      </c>
    </row>
    <row r="6" spans="1:14" x14ac:dyDescent="0.3">
      <c r="A6" s="67" t="s">
        <v>17</v>
      </c>
      <c r="B6" s="81"/>
      <c r="C6" s="40"/>
      <c r="D6" s="40"/>
      <c r="E6" s="40"/>
      <c r="F6" s="40"/>
      <c r="G6" s="40"/>
      <c r="H6" s="82"/>
      <c r="I6" s="94"/>
      <c r="J6" s="40"/>
      <c r="K6" s="40"/>
      <c r="L6" s="31">
        <f>'Ph IO Table 2021'!F3</f>
        <v>224464050</v>
      </c>
      <c r="M6" s="111">
        <f>SUM(I6:L6)</f>
        <v>224464050</v>
      </c>
    </row>
    <row r="7" spans="1:14" x14ac:dyDescent="0.3">
      <c r="A7" s="67" t="s">
        <v>18</v>
      </c>
      <c r="B7" s="81"/>
      <c r="C7" s="40"/>
      <c r="D7" s="40"/>
      <c r="E7" s="40"/>
      <c r="F7" s="40"/>
      <c r="G7" s="40"/>
      <c r="H7" s="82"/>
      <c r="I7" s="94"/>
      <c r="J7" s="40"/>
      <c r="K7" s="31">
        <f>'Ph IO Table 2021'!G6</f>
        <v>41362968</v>
      </c>
      <c r="L7" s="41">
        <v>0</v>
      </c>
      <c r="M7" s="111">
        <f>SUM(I7:L7)</f>
        <v>41362968</v>
      </c>
    </row>
    <row r="8" spans="1:14" x14ac:dyDescent="0.3">
      <c r="A8" s="106" t="s">
        <v>19</v>
      </c>
      <c r="B8" s="107"/>
      <c r="C8" s="51"/>
      <c r="D8" s="51"/>
      <c r="E8" s="51"/>
      <c r="F8" s="51"/>
      <c r="G8" s="51"/>
      <c r="H8" s="108"/>
      <c r="I8" s="107"/>
      <c r="J8" s="51"/>
      <c r="K8" s="62">
        <f>SUM(K5:K7)</f>
        <v>41362968</v>
      </c>
      <c r="L8" s="52">
        <f>SUM(L5:L7)</f>
        <v>3338675805</v>
      </c>
      <c r="M8" s="112">
        <f>SUM(I8:L8)</f>
        <v>3380038773</v>
      </c>
    </row>
    <row r="9" spans="1:14" x14ac:dyDescent="0.3">
      <c r="A9" s="76" t="s">
        <v>20</v>
      </c>
      <c r="B9" s="49"/>
      <c r="H9" s="61"/>
      <c r="I9" s="105"/>
      <c r="M9" s="1"/>
    </row>
    <row r="10" spans="1:14" x14ac:dyDescent="0.3">
      <c r="A10" s="67" t="s">
        <v>21</v>
      </c>
      <c r="B10" s="26"/>
      <c r="C10" s="24"/>
      <c r="D10" s="24"/>
      <c r="E10" s="31">
        <f>SUM('Ph IO Table 2021'!G4:I6)</f>
        <v>474044203</v>
      </c>
      <c r="F10" s="32"/>
      <c r="G10" s="24"/>
      <c r="H10" s="50"/>
      <c r="I10" s="25">
        <f>SUM(B10:H10)</f>
        <v>474044203</v>
      </c>
      <c r="J10" s="32"/>
      <c r="K10" s="24"/>
      <c r="L10" s="40"/>
      <c r="M10" s="18">
        <f>SUM(I10:L10)</f>
        <v>474044203</v>
      </c>
    </row>
    <row r="11" spans="1:14" x14ac:dyDescent="0.3">
      <c r="A11" s="67" t="s">
        <v>22</v>
      </c>
      <c r="B11" s="83">
        <f>'Ph IO Table 2021'!J4+'Ph IO Table 2021'!J5</f>
        <v>616620780</v>
      </c>
      <c r="C11" s="83">
        <f>'Ph IO Table 2021'!K4+'Ph IO Table 2021'!K5</f>
        <v>31130646.610966161</v>
      </c>
      <c r="D11" s="31">
        <f>'Ph IO Table 2021'!D7</f>
        <v>2017913450</v>
      </c>
      <c r="E11" s="24"/>
      <c r="F11" s="32"/>
      <c r="G11" s="31">
        <f>'Ph IO Table 2021'!L4+'Ph IO Table 2021'!L5</f>
        <v>117006661.90220936</v>
      </c>
      <c r="H11" s="84">
        <f>'Ph IO Table 2021'!M4+'Ph IO Table 2021'!M5</f>
        <v>11668071.850090016</v>
      </c>
      <c r="I11" s="25">
        <f>SUM(B11:H11)</f>
        <v>2794339610.3632655</v>
      </c>
      <c r="J11" s="31">
        <f>'Ph IO Table 2021'!N4+'Ph IO Table 2021'!N5</f>
        <v>111654959.63673446</v>
      </c>
      <c r="L11" s="40"/>
      <c r="M11" s="18">
        <f>SUM(I11:L11)</f>
        <v>2905994570</v>
      </c>
      <c r="N11" s="42">
        <f>SUM(M10:M11)</f>
        <v>3380038773</v>
      </c>
    </row>
    <row r="12" spans="1:14" x14ac:dyDescent="0.3">
      <c r="A12" s="65" t="s">
        <v>23</v>
      </c>
      <c r="B12" s="87"/>
      <c r="C12" s="60"/>
      <c r="D12" s="60"/>
      <c r="E12" s="60"/>
      <c r="F12" s="60"/>
      <c r="G12" s="60"/>
      <c r="H12" s="88"/>
      <c r="I12" s="97"/>
      <c r="J12" s="60"/>
      <c r="K12" s="47"/>
      <c r="L12" s="47"/>
      <c r="M12" s="66"/>
    </row>
    <row r="13" spans="1:14" x14ac:dyDescent="0.3">
      <c r="A13" s="67" t="s">
        <v>24</v>
      </c>
      <c r="B13" s="26"/>
      <c r="C13" s="31">
        <f>'Ph IO Table 2021'!Q10</f>
        <v>34181282.176953413</v>
      </c>
      <c r="D13" s="24"/>
      <c r="E13" s="24"/>
      <c r="F13" s="24"/>
      <c r="G13" s="31">
        <f>'Ph IO Table 2021'!Q11</f>
        <v>4387417.9020084161</v>
      </c>
      <c r="H13" s="84">
        <f>'Ph IO Table 2021'!Q12</f>
        <v>1957014.8419732067</v>
      </c>
      <c r="I13" s="25">
        <f>SUM(B13:H13)</f>
        <v>40525714.920935035</v>
      </c>
      <c r="J13" s="31">
        <f>'Ph IO Table 2021'!Q13</f>
        <v>77689173.539065003</v>
      </c>
      <c r="K13" s="40"/>
      <c r="L13" s="40"/>
      <c r="M13" s="16">
        <f>SUM(I13:L13)</f>
        <v>118214888.46000004</v>
      </c>
    </row>
    <row r="14" spans="1:14" x14ac:dyDescent="0.3">
      <c r="A14" s="67" t="s">
        <v>25</v>
      </c>
      <c r="B14" s="26"/>
      <c r="C14" s="24"/>
      <c r="D14" s="24"/>
      <c r="E14" s="24"/>
      <c r="F14" s="24"/>
      <c r="G14" s="24"/>
      <c r="H14" s="50"/>
      <c r="I14" s="25"/>
      <c r="J14" s="24"/>
      <c r="K14" s="40"/>
      <c r="L14" s="40"/>
      <c r="M14" s="1"/>
    </row>
    <row r="15" spans="1:14" x14ac:dyDescent="0.3">
      <c r="A15" s="68" t="s">
        <v>26</v>
      </c>
      <c r="B15" s="89"/>
      <c r="C15" s="55"/>
      <c r="D15" s="55"/>
      <c r="E15" s="55"/>
      <c r="F15" s="55"/>
      <c r="G15" s="55"/>
      <c r="H15" s="90"/>
      <c r="I15" s="96"/>
      <c r="J15" s="55"/>
      <c r="K15" s="59"/>
      <c r="L15" s="59"/>
      <c r="M15" s="70"/>
    </row>
    <row r="16" spans="1:14" x14ac:dyDescent="0.3">
      <c r="A16" s="65" t="s">
        <v>27</v>
      </c>
      <c r="B16" s="87"/>
      <c r="C16" s="60"/>
      <c r="D16" s="60"/>
      <c r="E16" s="60"/>
      <c r="F16" s="60"/>
      <c r="G16" s="60"/>
      <c r="H16" s="88"/>
      <c r="I16" s="97"/>
      <c r="J16" s="60"/>
      <c r="K16" s="47"/>
      <c r="L16" s="47"/>
      <c r="M16" s="66"/>
    </row>
    <row r="17" spans="1:14" x14ac:dyDescent="0.3">
      <c r="A17" s="67" t="s">
        <v>28</v>
      </c>
      <c r="B17" s="91">
        <f>'Ph IO Table 2021'!R9</f>
        <v>158471540.46000001</v>
      </c>
      <c r="C17" s="24"/>
      <c r="D17" s="31">
        <f>'Ph IO Table 2021'!D7</f>
        <v>2017913450</v>
      </c>
      <c r="E17" s="24"/>
      <c r="F17" s="31">
        <f>'Ph IO Table 2021'!R16</f>
        <v>118214888.45999999</v>
      </c>
      <c r="G17" s="24"/>
      <c r="H17" s="50"/>
      <c r="I17" s="25">
        <f>SUM(B17:H17)</f>
        <v>2294599878.9200001</v>
      </c>
      <c r="J17" s="24"/>
      <c r="K17" s="40"/>
      <c r="L17" s="40"/>
      <c r="M17" s="18">
        <f>SUM(I17:L17)</f>
        <v>2294599878.9200001</v>
      </c>
    </row>
    <row r="18" spans="1:14" x14ac:dyDescent="0.3">
      <c r="A18" s="67" t="s">
        <v>29</v>
      </c>
      <c r="B18" s="26"/>
      <c r="C18" s="24"/>
      <c r="D18" s="24"/>
      <c r="E18" s="24"/>
      <c r="F18" s="24"/>
      <c r="G18" s="24"/>
      <c r="H18" s="50"/>
      <c r="I18" s="25"/>
      <c r="J18" s="24"/>
      <c r="K18" s="40"/>
      <c r="L18" s="40"/>
      <c r="M18" s="18">
        <f>SUM(I18:J18)</f>
        <v>0</v>
      </c>
    </row>
    <row r="19" spans="1:14" x14ac:dyDescent="0.3">
      <c r="A19" s="68" t="s">
        <v>428</v>
      </c>
      <c r="B19" s="89"/>
      <c r="C19" s="55"/>
      <c r="D19" s="55"/>
      <c r="E19" s="130">
        <f>SUM('Ph IO Table 2021'!R14:R15)</f>
        <v>297135676.94464457</v>
      </c>
      <c r="F19" s="58"/>
      <c r="G19" s="55"/>
      <c r="H19" s="90"/>
      <c r="I19" s="96">
        <f>SUM(B19:H19)</f>
        <v>297135676.94464457</v>
      </c>
      <c r="J19" s="55"/>
      <c r="K19" s="59"/>
      <c r="L19" s="59"/>
      <c r="M19" s="69">
        <f>SUM(I19:L19)</f>
        <v>297135676.94464457</v>
      </c>
    </row>
    <row r="20" spans="1:14" ht="28.8" x14ac:dyDescent="0.3">
      <c r="A20" s="71" t="s">
        <v>30</v>
      </c>
      <c r="B20" s="87"/>
      <c r="C20" s="60"/>
      <c r="D20" s="60"/>
      <c r="E20" s="60"/>
      <c r="F20" s="60"/>
      <c r="G20" s="60"/>
      <c r="H20" s="88"/>
      <c r="I20" s="97"/>
      <c r="J20" s="60"/>
      <c r="K20" s="47"/>
      <c r="L20" s="47"/>
      <c r="M20" s="66"/>
    </row>
    <row r="21" spans="1:14" ht="28.8" x14ac:dyDescent="0.3">
      <c r="A21" s="72" t="s">
        <v>31</v>
      </c>
      <c r="B21" s="92">
        <f>'Ph IO Table 2021'!S9</f>
        <v>458149239.53999996</v>
      </c>
      <c r="C21" s="56">
        <f>'Ph IO Table 2021'!S10</f>
        <v>33259708.665580206</v>
      </c>
      <c r="D21" s="54"/>
      <c r="E21" s="54"/>
      <c r="F21" s="54"/>
      <c r="G21" s="56">
        <f>'Ph IO Table 2021'!S11</f>
        <v>127945593.21924661</v>
      </c>
      <c r="H21" s="93">
        <f>'Ph IO Table 2021'!S12</f>
        <v>10693191.917023579</v>
      </c>
      <c r="I21" s="96">
        <f>SUM(B21:H21)</f>
        <v>630047733.34185028</v>
      </c>
      <c r="J21" s="56">
        <f>'Ph IO Table 2021'!S13</f>
        <v>158255483.79350501</v>
      </c>
      <c r="K21" s="59"/>
      <c r="L21" s="59"/>
      <c r="M21" s="18">
        <f>SUM(I21:L21)</f>
        <v>788303217.13535523</v>
      </c>
      <c r="N21" s="42">
        <f>SUM(M17:M21)</f>
        <v>3380038773</v>
      </c>
    </row>
    <row r="22" spans="1:14" ht="15" thickBot="1" x14ac:dyDescent="0.35">
      <c r="A22" s="73" t="s">
        <v>32</v>
      </c>
      <c r="B22" s="74">
        <f>SUM(B12:B21)</f>
        <v>616620780</v>
      </c>
      <c r="C22" s="74">
        <f t="shared" ref="C22:L22" si="0">SUM(C12:C21)</f>
        <v>67440990.842533618</v>
      </c>
      <c r="D22" s="74">
        <f t="shared" si="0"/>
        <v>2017913450</v>
      </c>
      <c r="E22" s="74">
        <f>SUM(E9:E11)</f>
        <v>474044203</v>
      </c>
      <c r="F22" s="74">
        <f t="shared" si="0"/>
        <v>118214888.45999999</v>
      </c>
      <c r="G22" s="74">
        <f t="shared" si="0"/>
        <v>132333011.12125503</v>
      </c>
      <c r="H22" s="74">
        <f t="shared" si="0"/>
        <v>12650206.758996785</v>
      </c>
      <c r="I22" s="74">
        <f t="shared" si="0"/>
        <v>3262309004.12743</v>
      </c>
      <c r="J22" s="74">
        <f t="shared" si="0"/>
        <v>235944657.33257002</v>
      </c>
      <c r="K22" s="74">
        <f t="shared" si="0"/>
        <v>0</v>
      </c>
      <c r="L22" s="74">
        <f t="shared" si="0"/>
        <v>0</v>
      </c>
      <c r="M22" s="75">
        <f>SUM(M17:M21)</f>
        <v>3380038773</v>
      </c>
      <c r="N22" s="42">
        <f>N21-M8</f>
        <v>0</v>
      </c>
    </row>
    <row r="23" spans="1:14" x14ac:dyDescent="0.3">
      <c r="B23" s="24"/>
      <c r="C23" s="24"/>
      <c r="D23" s="24"/>
      <c r="E23" s="24"/>
      <c r="F23" s="24"/>
      <c r="G23" s="24"/>
      <c r="H23" s="24"/>
      <c r="I23" s="24"/>
      <c r="J23" s="24"/>
    </row>
    <row r="24" spans="1:14" x14ac:dyDescent="0.3">
      <c r="B24" s="24"/>
      <c r="C24" s="24"/>
      <c r="D24" s="24"/>
      <c r="E24" s="24"/>
      <c r="F24" s="24"/>
      <c r="G24" s="24"/>
      <c r="H24" s="24"/>
      <c r="I24" s="24"/>
      <c r="J24" s="24"/>
    </row>
    <row r="25" spans="1:14" x14ac:dyDescent="0.3">
      <c r="B25" s="24"/>
      <c r="C25" s="24"/>
      <c r="D25" s="24"/>
      <c r="E25" s="24"/>
      <c r="F25" s="24"/>
      <c r="G25" s="24"/>
      <c r="H25" s="24"/>
      <c r="I25" s="24"/>
      <c r="J25" s="24"/>
    </row>
    <row r="26" spans="1:14" ht="15" thickBot="1" x14ac:dyDescent="0.35">
      <c r="B26" s="24"/>
      <c r="C26" s="24"/>
      <c r="D26" s="24"/>
      <c r="E26" s="24"/>
      <c r="F26" s="24"/>
      <c r="G26" s="24"/>
      <c r="H26" s="24"/>
      <c r="I26" s="24"/>
      <c r="J26" s="24"/>
    </row>
    <row r="27" spans="1:14" x14ac:dyDescent="0.3">
      <c r="A27" s="63" t="s">
        <v>396</v>
      </c>
      <c r="B27" s="317" t="s">
        <v>6</v>
      </c>
      <c r="C27" s="318"/>
      <c r="D27" s="318"/>
      <c r="E27" s="318"/>
      <c r="F27" s="318"/>
      <c r="G27" s="318"/>
      <c r="H27" s="319"/>
      <c r="I27" s="114"/>
      <c r="J27" s="313" t="s">
        <v>7</v>
      </c>
      <c r="K27" s="315" t="s">
        <v>406</v>
      </c>
      <c r="L27" s="315" t="s">
        <v>407</v>
      </c>
      <c r="M27" s="320" t="s">
        <v>397</v>
      </c>
    </row>
    <row r="28" spans="1:14" ht="43.2" x14ac:dyDescent="0.3">
      <c r="A28" s="64" t="s">
        <v>418</v>
      </c>
      <c r="B28" s="116" t="s">
        <v>387</v>
      </c>
      <c r="C28" s="44" t="s">
        <v>241</v>
      </c>
      <c r="D28" s="44" t="s">
        <v>11</v>
      </c>
      <c r="E28" s="44" t="s">
        <v>12</v>
      </c>
      <c r="F28" s="44" t="s">
        <v>13</v>
      </c>
      <c r="G28" s="44" t="s">
        <v>75</v>
      </c>
      <c r="H28" s="119" t="s">
        <v>14</v>
      </c>
      <c r="I28" s="45" t="s">
        <v>15</v>
      </c>
      <c r="J28" s="314"/>
      <c r="K28" s="316"/>
      <c r="L28" s="316"/>
      <c r="M28" s="321"/>
    </row>
    <row r="29" spans="1:14" x14ac:dyDescent="0.3">
      <c r="A29" s="64" t="s">
        <v>388</v>
      </c>
      <c r="B29" s="117" t="s">
        <v>389</v>
      </c>
      <c r="C29" s="118" t="s">
        <v>393</v>
      </c>
      <c r="D29" s="118" t="s">
        <v>390</v>
      </c>
      <c r="E29" s="118" t="s">
        <v>391</v>
      </c>
      <c r="F29" s="118" t="s">
        <v>392</v>
      </c>
      <c r="G29" s="118" t="s">
        <v>395</v>
      </c>
      <c r="H29" s="120" t="s">
        <v>394</v>
      </c>
      <c r="I29" s="43"/>
      <c r="J29" s="43"/>
      <c r="K29" s="38"/>
      <c r="L29" s="38"/>
      <c r="M29" s="322"/>
    </row>
    <row r="30" spans="1:14" x14ac:dyDescent="0.3">
      <c r="A30" s="65" t="s">
        <v>16</v>
      </c>
      <c r="B30" s="87"/>
      <c r="C30" s="60"/>
      <c r="D30" s="60"/>
      <c r="E30" s="60"/>
      <c r="F30" s="60"/>
      <c r="G30" s="60"/>
      <c r="H30" s="88"/>
      <c r="I30" s="87"/>
      <c r="J30" s="131"/>
      <c r="K30" s="78"/>
      <c r="L30" s="78"/>
      <c r="M30" s="66"/>
    </row>
    <row r="31" spans="1:14" x14ac:dyDescent="0.3">
      <c r="A31" s="67" t="s">
        <v>435</v>
      </c>
      <c r="B31" s="83">
        <f>'Ph IO Table 2021'!J4</f>
        <v>519841030</v>
      </c>
      <c r="C31" s="31">
        <f>'Ph IO Table 2021'!K4</f>
        <v>19760930.200812366</v>
      </c>
      <c r="D31" s="31">
        <f>'Ph IO Table 2021'!D7</f>
        <v>2017913450</v>
      </c>
      <c r="E31" s="31">
        <f>SUM('Ph IO Table 2021'!H4:I4)</f>
        <v>424580645</v>
      </c>
      <c r="F31" s="24"/>
      <c r="G31" s="31">
        <f>'Ph IO Table 2021'!L4</f>
        <v>69633983.005062252</v>
      </c>
      <c r="H31" s="84">
        <f>'Ph IO Table 2021'!M4</f>
        <v>7866771.5951017356</v>
      </c>
      <c r="I31" s="25">
        <f>SUM(B31:H31)</f>
        <v>3059596809.8009763</v>
      </c>
      <c r="J31" s="31">
        <f>'Ph IO Table 2021'!N4</f>
        <v>54614945.199023642</v>
      </c>
      <c r="K31" s="40"/>
      <c r="L31" s="40"/>
      <c r="M31" s="18">
        <f>SUM(I31:L31)</f>
        <v>3114211755</v>
      </c>
      <c r="N31" s="42">
        <f>M31-M5</f>
        <v>0</v>
      </c>
    </row>
    <row r="32" spans="1:14" x14ac:dyDescent="0.3">
      <c r="A32" s="67" t="s">
        <v>436</v>
      </c>
      <c r="B32" s="83">
        <f>'Ph IO Table 2021'!J5</f>
        <v>96779750</v>
      </c>
      <c r="C32" s="31">
        <f>'Ph IO Table 2021'!K5</f>
        <v>11369716.410153793</v>
      </c>
      <c r="D32" s="36"/>
      <c r="E32" s="31">
        <f>'Ph IO Table 2021'!H5</f>
        <v>8100590</v>
      </c>
      <c r="F32" s="24"/>
      <c r="G32" s="31">
        <f>'Ph IO Table 2021'!L5</f>
        <v>47372678.897147104</v>
      </c>
      <c r="H32" s="84">
        <f>'Ph IO Table 2021'!M5</f>
        <v>3801300.2549882797</v>
      </c>
      <c r="I32" s="25">
        <f>SUM(B32:H32)</f>
        <v>167424035.56228918</v>
      </c>
      <c r="J32" s="31">
        <f>'Ph IO Table 2021'!N5</f>
        <v>57040014.437710822</v>
      </c>
      <c r="K32" s="40"/>
      <c r="L32" s="40"/>
      <c r="M32" s="18">
        <f>SUM(I32:L32)</f>
        <v>224464050</v>
      </c>
    </row>
    <row r="33" spans="1:15" x14ac:dyDescent="0.3">
      <c r="A33" s="67" t="s">
        <v>18</v>
      </c>
      <c r="B33" s="26"/>
      <c r="C33" s="24"/>
      <c r="D33" s="24"/>
      <c r="E33" s="31">
        <f>'Ph IO Table 2021'!G6</f>
        <v>41362968</v>
      </c>
      <c r="F33" s="24"/>
      <c r="G33" s="24"/>
      <c r="H33" s="50"/>
      <c r="I33" s="25">
        <f>SUM(B33:H33)</f>
        <v>41362968</v>
      </c>
      <c r="J33" s="36"/>
      <c r="K33" s="40"/>
      <c r="L33" s="40"/>
      <c r="M33" s="18">
        <f>SUM(I33:L33)</f>
        <v>41362968</v>
      </c>
    </row>
    <row r="34" spans="1:15" x14ac:dyDescent="0.3">
      <c r="A34" s="103" t="s">
        <v>413</v>
      </c>
      <c r="B34" s="96">
        <f t="shared" ref="B34:J34" si="1">SUM(B31:B33)</f>
        <v>616620780</v>
      </c>
      <c r="C34" s="57">
        <f t="shared" si="1"/>
        <v>31130646.610966161</v>
      </c>
      <c r="D34" s="57">
        <f t="shared" si="1"/>
        <v>2017913450</v>
      </c>
      <c r="E34" s="57">
        <f t="shared" si="1"/>
        <v>474044203</v>
      </c>
      <c r="F34" s="57">
        <f t="shared" si="1"/>
        <v>0</v>
      </c>
      <c r="G34" s="57">
        <f t="shared" si="1"/>
        <v>117006661.90220936</v>
      </c>
      <c r="H34" s="57">
        <f t="shared" si="1"/>
        <v>11668071.850090016</v>
      </c>
      <c r="I34" s="113">
        <f t="shared" si="1"/>
        <v>3268383813.3632655</v>
      </c>
      <c r="J34" s="62">
        <f t="shared" si="1"/>
        <v>111654959.63673446</v>
      </c>
      <c r="K34" s="106"/>
      <c r="L34" s="106"/>
      <c r="M34" s="69">
        <f>SUM(I34:L34)</f>
        <v>3380038773</v>
      </c>
      <c r="N34" s="42">
        <f>M34-N21</f>
        <v>0</v>
      </c>
    </row>
    <row r="35" spans="1:15" x14ac:dyDescent="0.3">
      <c r="A35" s="65" t="s">
        <v>20</v>
      </c>
      <c r="B35" s="87"/>
      <c r="C35" s="60"/>
      <c r="D35" s="60"/>
      <c r="E35" s="60"/>
      <c r="F35" s="60"/>
      <c r="G35" s="60"/>
      <c r="H35" s="88"/>
      <c r="I35" s="87"/>
      <c r="J35" s="60"/>
      <c r="K35" s="47"/>
      <c r="L35" s="47"/>
      <c r="M35" s="66"/>
    </row>
    <row r="36" spans="1:15" x14ac:dyDescent="0.3">
      <c r="A36" s="67" t="s">
        <v>419</v>
      </c>
      <c r="B36" s="26"/>
      <c r="C36" s="31">
        <f>'Ph IO Table 2021'!K8</f>
        <v>36310344.231567457</v>
      </c>
      <c r="D36" s="24"/>
      <c r="E36" s="24"/>
      <c r="F36" s="24"/>
      <c r="G36" s="31">
        <f>'Ph IO Table 2021'!L8</f>
        <v>15326349.219045665</v>
      </c>
      <c r="H36" s="84">
        <f>'Ph IO Table 2021'!M8</f>
        <v>982134.90890676889</v>
      </c>
      <c r="I36" s="25">
        <f>SUM(B36:H36)</f>
        <v>52618828.359519891</v>
      </c>
      <c r="J36" s="31">
        <f>'Ph IO Table 2021'!N8</f>
        <v>124289697.69583555</v>
      </c>
      <c r="L36" s="40"/>
      <c r="M36" s="18">
        <f>SUM(I36:L36)</f>
        <v>176908526.05535543</v>
      </c>
    </row>
    <row r="37" spans="1:15" x14ac:dyDescent="0.3">
      <c r="A37" s="67" t="s">
        <v>22</v>
      </c>
      <c r="B37" s="83">
        <f>'Ph IO Table 2021'!J18</f>
        <v>616620780</v>
      </c>
      <c r="C37" s="31">
        <f>SUM('Ph IO Table 2021'!K4:K5)</f>
        <v>31130646.610966161</v>
      </c>
      <c r="D37" s="31">
        <f>'Ph IO Table 2021'!D7</f>
        <v>2017913450</v>
      </c>
      <c r="E37" s="24"/>
      <c r="F37" s="24"/>
      <c r="G37" s="31">
        <f>'Ph IO Table 2021'!L4+'Ph IO Table 2021'!L5</f>
        <v>117006661.90220936</v>
      </c>
      <c r="H37" s="84">
        <f>'Ph IO Table 2021'!M4+'Ph IO Table 2021'!M5</f>
        <v>11668071.850090016</v>
      </c>
      <c r="I37" s="25">
        <f>SUM(B37:H37)</f>
        <v>2794339610.3632655</v>
      </c>
      <c r="J37" s="31">
        <f>'Ph IO Table 2021'!N4+'Ph IO Table 2021'!N5</f>
        <v>111654959.63673446</v>
      </c>
      <c r="L37" s="40"/>
      <c r="M37" s="18">
        <f>SUM(I37:L37)</f>
        <v>2905994570</v>
      </c>
    </row>
    <row r="38" spans="1:15" x14ac:dyDescent="0.3">
      <c r="A38" s="68" t="str">
        <f>A19</f>
        <v>Non-revenue water and losses in distribution</v>
      </c>
      <c r="B38" s="85"/>
      <c r="C38" s="54"/>
      <c r="D38" s="54"/>
      <c r="E38" s="79">
        <f>'Ph IO Table 2021'!R14+'Ph IO Table 2021'!R15</f>
        <v>297135676.94464457</v>
      </c>
      <c r="F38" s="55"/>
      <c r="G38" s="54"/>
      <c r="H38" s="86"/>
      <c r="I38" s="96">
        <f>SUM(B38:H38)</f>
        <v>297135676.94464457</v>
      </c>
      <c r="J38" s="55"/>
      <c r="K38" s="58"/>
      <c r="L38" s="59"/>
      <c r="M38" s="69">
        <f>SUM(I38:L38)</f>
        <v>297135676.94464457</v>
      </c>
      <c r="N38" s="42">
        <f>SUM(M36:M38)</f>
        <v>3380038773</v>
      </c>
      <c r="O38" s="42">
        <f>M34-N38</f>
        <v>0</v>
      </c>
    </row>
    <row r="39" spans="1:15" x14ac:dyDescent="0.3">
      <c r="A39" s="65" t="s">
        <v>23</v>
      </c>
      <c r="B39" s="87"/>
      <c r="C39" s="60"/>
      <c r="D39" s="60"/>
      <c r="E39" s="60"/>
      <c r="F39" s="60"/>
      <c r="G39" s="60"/>
      <c r="H39" s="88"/>
      <c r="I39" s="87"/>
      <c r="J39" s="60"/>
      <c r="K39" s="47"/>
      <c r="L39" s="47"/>
      <c r="M39" s="66"/>
    </row>
    <row r="40" spans="1:15" x14ac:dyDescent="0.3">
      <c r="A40" s="67" t="s">
        <v>416</v>
      </c>
      <c r="B40" s="99"/>
      <c r="C40" s="32"/>
      <c r="D40" s="32"/>
      <c r="E40" s="36"/>
      <c r="F40" s="31">
        <f>'Ph IO Table 2021'!R16</f>
        <v>118214888.45999999</v>
      </c>
      <c r="G40" s="32"/>
      <c r="H40" s="100"/>
      <c r="I40" s="25">
        <f>SUM(E40:F40)</f>
        <v>118214888.45999999</v>
      </c>
      <c r="J40" s="32"/>
      <c r="L40" s="40"/>
      <c r="M40" s="18">
        <f>SUM(I40:J40)</f>
        <v>118214888.45999999</v>
      </c>
    </row>
    <row r="41" spans="1:15" x14ac:dyDescent="0.3">
      <c r="A41" s="67" t="s">
        <v>25</v>
      </c>
      <c r="B41" s="26"/>
      <c r="C41" s="24"/>
      <c r="D41" s="24"/>
      <c r="E41" s="24"/>
      <c r="F41" s="24"/>
      <c r="G41" s="24"/>
      <c r="H41" s="50"/>
      <c r="I41" s="26"/>
      <c r="J41" s="24"/>
      <c r="L41" s="40"/>
      <c r="M41" s="18">
        <f>SUM(I41:J41)</f>
        <v>0</v>
      </c>
    </row>
    <row r="42" spans="1:15" x14ac:dyDescent="0.3">
      <c r="A42" s="68" t="s">
        <v>417</v>
      </c>
      <c r="B42" s="89"/>
      <c r="C42" s="55"/>
      <c r="D42" s="55"/>
      <c r="E42" s="55"/>
      <c r="F42" s="55"/>
      <c r="G42" s="55"/>
      <c r="H42" s="90"/>
      <c r="I42" s="89"/>
      <c r="J42" s="55"/>
      <c r="K42" s="58"/>
      <c r="L42" s="59"/>
      <c r="M42" s="69">
        <f>SUM(I42:J42)</f>
        <v>0</v>
      </c>
    </row>
    <row r="43" spans="1:15" x14ac:dyDescent="0.3">
      <c r="A43" s="65" t="s">
        <v>27</v>
      </c>
      <c r="B43" s="87"/>
      <c r="C43" s="60"/>
      <c r="D43" s="60"/>
      <c r="E43" s="60"/>
      <c r="F43" s="60"/>
      <c r="G43" s="60"/>
      <c r="H43" s="88"/>
      <c r="I43" s="87"/>
      <c r="J43" s="60"/>
      <c r="K43" s="47"/>
      <c r="L43" s="47"/>
      <c r="M43" s="66"/>
    </row>
    <row r="44" spans="1:15" x14ac:dyDescent="0.3">
      <c r="A44" s="67" t="s">
        <v>28</v>
      </c>
      <c r="B44" s="99"/>
      <c r="C44" s="32"/>
      <c r="D44" s="32"/>
      <c r="E44" s="32"/>
      <c r="F44" s="32"/>
      <c r="G44" s="32"/>
      <c r="H44" s="100"/>
      <c r="I44" s="99"/>
      <c r="J44" s="32"/>
      <c r="K44" s="40"/>
      <c r="L44" s="42">
        <f>I17</f>
        <v>2294599878.9200001</v>
      </c>
      <c r="M44" s="18">
        <f>SUM(L44)</f>
        <v>2294599878.9200001</v>
      </c>
    </row>
    <row r="45" spans="1:15" x14ac:dyDescent="0.3">
      <c r="A45" s="67" t="s">
        <v>29</v>
      </c>
      <c r="B45" s="99"/>
      <c r="C45" s="32"/>
      <c r="D45" s="32"/>
      <c r="E45" s="32"/>
      <c r="F45" s="32"/>
      <c r="G45" s="32"/>
      <c r="H45" s="100"/>
      <c r="I45" s="99"/>
      <c r="J45" s="32"/>
      <c r="K45" s="40"/>
      <c r="M45" s="18">
        <f t="shared" ref="M45:M48" si="2">SUM(L45)</f>
        <v>0</v>
      </c>
    </row>
    <row r="46" spans="1:15" x14ac:dyDescent="0.3">
      <c r="A46" s="67" t="str">
        <f>A19</f>
        <v>Non-revenue water and losses in distribution</v>
      </c>
      <c r="B46" s="99"/>
      <c r="C46" s="32"/>
      <c r="D46" s="32"/>
      <c r="E46" s="32"/>
      <c r="F46" s="32"/>
      <c r="G46" s="32"/>
      <c r="H46" s="100"/>
      <c r="I46" s="99"/>
      <c r="J46" s="32"/>
      <c r="K46" s="40"/>
      <c r="L46" s="42">
        <f>I19</f>
        <v>297135676.94464457</v>
      </c>
      <c r="M46" s="18">
        <f t="shared" si="2"/>
        <v>297135676.94464457</v>
      </c>
    </row>
    <row r="47" spans="1:15" ht="28.8" x14ac:dyDescent="0.3">
      <c r="A47" s="71" t="s">
        <v>30</v>
      </c>
      <c r="B47" s="87"/>
      <c r="C47" s="60"/>
      <c r="D47" s="60"/>
      <c r="E47" s="60"/>
      <c r="F47" s="60"/>
      <c r="G47" s="60"/>
      <c r="H47" s="88"/>
      <c r="I47" s="87"/>
      <c r="J47" s="60"/>
      <c r="K47" s="47"/>
      <c r="L47" s="47"/>
      <c r="M47" s="66"/>
    </row>
    <row r="48" spans="1:15" ht="28.8" x14ac:dyDescent="0.3">
      <c r="A48" s="104" t="s">
        <v>31</v>
      </c>
      <c r="B48" s="101"/>
      <c r="C48" s="59"/>
      <c r="D48" s="59"/>
      <c r="E48" s="59"/>
      <c r="F48" s="59"/>
      <c r="G48" s="59"/>
      <c r="H48" s="98"/>
      <c r="I48" s="101"/>
      <c r="J48" s="59"/>
      <c r="K48" s="58"/>
      <c r="L48" s="132">
        <f>M21</f>
        <v>788303217.13535523</v>
      </c>
      <c r="M48" s="18">
        <f t="shared" si="2"/>
        <v>788303217.13535523</v>
      </c>
    </row>
    <row r="49" spans="1:13" ht="15" thickBot="1" x14ac:dyDescent="0.35">
      <c r="A49" s="77" t="s">
        <v>398</v>
      </c>
      <c r="B49" s="17">
        <f>SUM(B35:B38)</f>
        <v>616620780</v>
      </c>
      <c r="C49" s="17">
        <f>SUM(C35:C38)</f>
        <v>67440990.842533618</v>
      </c>
      <c r="D49" s="17">
        <f>SUM(D35:D38)</f>
        <v>2017913450</v>
      </c>
      <c r="E49" s="17">
        <f>SUM(E34)</f>
        <v>474044203</v>
      </c>
      <c r="F49" s="17">
        <f>SUM(F39:F42)</f>
        <v>118214888.45999999</v>
      </c>
      <c r="G49" s="17">
        <f>SUM(G35:G38)</f>
        <v>132333011.12125503</v>
      </c>
      <c r="H49" s="17">
        <f>SUM(H35:H38)</f>
        <v>12650206.758996785</v>
      </c>
      <c r="I49" s="17">
        <f>SUM(I35:I40)</f>
        <v>3262309004.12743</v>
      </c>
      <c r="J49" s="17">
        <f>SUM(J35:J38)</f>
        <v>235944657.33257002</v>
      </c>
      <c r="K49" s="17">
        <f>SUM(K35:K38)</f>
        <v>0</v>
      </c>
      <c r="L49" s="17">
        <f>SUM(L43:L48)</f>
        <v>3380038773</v>
      </c>
      <c r="M49" s="17">
        <f>SUM(M35:M38)</f>
        <v>3380038773</v>
      </c>
    </row>
    <row r="50" spans="1:13" x14ac:dyDescent="0.3">
      <c r="B50" s="42">
        <f t="shared" ref="B50:J50" si="3">B49-B22</f>
        <v>0</v>
      </c>
      <c r="C50" s="42">
        <f t="shared" si="3"/>
        <v>0</v>
      </c>
      <c r="D50" s="42">
        <f t="shared" si="3"/>
        <v>0</v>
      </c>
      <c r="E50" s="42">
        <f t="shared" si="3"/>
        <v>0</v>
      </c>
      <c r="F50" s="42">
        <f t="shared" si="3"/>
        <v>0</v>
      </c>
      <c r="G50" s="42">
        <f t="shared" si="3"/>
        <v>0</v>
      </c>
      <c r="H50" s="42">
        <f t="shared" si="3"/>
        <v>0</v>
      </c>
      <c r="I50" s="42">
        <f t="shared" si="3"/>
        <v>0</v>
      </c>
      <c r="J50" s="42">
        <f t="shared" si="3"/>
        <v>0</v>
      </c>
    </row>
  </sheetData>
  <mergeCells count="10">
    <mergeCell ref="J1:J2"/>
    <mergeCell ref="K1:K2"/>
    <mergeCell ref="L1:L2"/>
    <mergeCell ref="B1:H1"/>
    <mergeCell ref="M1:M3"/>
    <mergeCell ref="J27:J28"/>
    <mergeCell ref="K27:K28"/>
    <mergeCell ref="L27:L28"/>
    <mergeCell ref="B27:H27"/>
    <mergeCell ref="M27:M29"/>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246A-F1A0-414F-BB46-4D675E74E7C2}">
  <sheetPr>
    <tabColor rgb="FFFF0000"/>
  </sheetPr>
  <dimension ref="B2:V26"/>
  <sheetViews>
    <sheetView topLeftCell="F1" workbookViewId="0">
      <selection activeCell="S14" sqref="S14"/>
    </sheetView>
  </sheetViews>
  <sheetFormatPr defaultRowHeight="14.4" x14ac:dyDescent="0.3"/>
  <cols>
    <col min="1" max="1" width="4.109375" customWidth="1"/>
    <col min="2" max="2" width="62.6640625" bestFit="1" customWidth="1"/>
    <col min="3" max="3" width="12.6640625" bestFit="1" customWidth="1"/>
    <col min="4" max="4" width="18.33203125" bestFit="1" customWidth="1"/>
    <col min="5" max="5" width="16.77734375" bestFit="1" customWidth="1"/>
    <col min="6" max="6" width="14.44140625" bestFit="1" customWidth="1"/>
    <col min="7" max="7" width="13.5546875" bestFit="1" customWidth="1"/>
    <col min="8" max="8" width="15.21875" bestFit="1" customWidth="1"/>
    <col min="9" max="9" width="14.44140625" bestFit="1" customWidth="1"/>
    <col min="10" max="10" width="15.21875" bestFit="1" customWidth="1"/>
    <col min="11" max="12" width="14" bestFit="1" customWidth="1"/>
    <col min="13" max="13" width="13.5546875" bestFit="1" customWidth="1"/>
    <col min="14" max="14" width="14.88671875" bestFit="1" customWidth="1"/>
    <col min="15" max="15" width="14" bestFit="1" customWidth="1"/>
    <col min="16" max="16" width="17.44140625" bestFit="1" customWidth="1"/>
    <col min="17" max="17" width="14" bestFit="1" customWidth="1"/>
    <col min="18" max="18" width="14.88671875" bestFit="1" customWidth="1"/>
    <col min="19" max="19" width="15.21875" bestFit="1" customWidth="1"/>
    <col min="20" max="20" width="6.6640625" bestFit="1" customWidth="1"/>
    <col min="21" max="21" width="18.33203125" bestFit="1" customWidth="1"/>
    <col min="22" max="22" width="15.21875" bestFit="1" customWidth="1"/>
  </cols>
  <sheetData>
    <row r="2" spans="2:22" ht="72" x14ac:dyDescent="0.3">
      <c r="B2" s="294"/>
      <c r="C2" s="292" t="s">
        <v>9</v>
      </c>
      <c r="D2" s="292" t="s">
        <v>429</v>
      </c>
      <c r="E2" s="292" t="s">
        <v>4</v>
      </c>
      <c r="F2" s="292" t="s">
        <v>17</v>
      </c>
      <c r="G2" s="292" t="s">
        <v>434</v>
      </c>
      <c r="H2" s="292" t="s">
        <v>430</v>
      </c>
      <c r="I2" s="292" t="s">
        <v>12</v>
      </c>
      <c r="J2" s="292" t="s">
        <v>387</v>
      </c>
      <c r="K2" s="292" t="s">
        <v>241</v>
      </c>
      <c r="L2" s="292" t="s">
        <v>75</v>
      </c>
      <c r="M2" s="292" t="s">
        <v>14</v>
      </c>
      <c r="N2" s="292" t="s">
        <v>7</v>
      </c>
      <c r="O2" s="292" t="s">
        <v>432</v>
      </c>
      <c r="P2" s="292" t="s">
        <v>431</v>
      </c>
      <c r="Q2" s="292" t="s">
        <v>13</v>
      </c>
      <c r="R2" s="292" t="s">
        <v>422</v>
      </c>
      <c r="S2" s="293" t="str">
        <f>'Ph Water SUT- 2021'!A21</f>
        <v>Total water evaporated, transpired and incorporated into products</v>
      </c>
      <c r="T2" s="292"/>
      <c r="U2" s="299" t="s">
        <v>1</v>
      </c>
      <c r="V2" s="292" t="s">
        <v>0</v>
      </c>
    </row>
    <row r="3" spans="2:22" x14ac:dyDescent="0.3">
      <c r="B3" s="295" t="str">
        <f>C2</f>
        <v>Flows from the Environment</v>
      </c>
      <c r="C3" s="30"/>
      <c r="D3" s="30"/>
      <c r="E3" s="33">
        <f>'WRA 2021-2024'!K125+'WASREB 21-2022'!CQ4</f>
        <v>1161050149.95</v>
      </c>
      <c r="F3" s="33">
        <f>'WRA 2021-2024'!K126</f>
        <v>189700395.14999998</v>
      </c>
      <c r="G3" s="30"/>
      <c r="H3" s="30"/>
      <c r="I3" s="30"/>
      <c r="J3" s="30"/>
      <c r="K3" s="30"/>
      <c r="L3" s="30"/>
      <c r="M3" s="30"/>
      <c r="N3" s="30"/>
      <c r="O3" s="30"/>
      <c r="P3" s="30"/>
      <c r="Q3" s="30"/>
      <c r="R3" s="30"/>
      <c r="S3" s="30"/>
      <c r="T3" s="30"/>
      <c r="U3" s="300">
        <f>SUM(C3:S3)</f>
        <v>1350750545.0999999</v>
      </c>
      <c r="V3" s="128"/>
    </row>
    <row r="4" spans="2:22" x14ac:dyDescent="0.3">
      <c r="B4" s="296" t="s">
        <v>4</v>
      </c>
      <c r="C4" s="7"/>
      <c r="D4" s="7"/>
      <c r="E4" s="7"/>
      <c r="F4" s="7"/>
      <c r="G4" s="7"/>
      <c r="H4" s="33">
        <f>'WASREB 21-2022'!CQ4</f>
        <v>459361145</v>
      </c>
      <c r="I4" s="33">
        <v>0</v>
      </c>
      <c r="J4" s="33">
        <f>'WRA 2021-2024'!H99</f>
        <v>309365681.64999998</v>
      </c>
      <c r="K4" s="33">
        <f>'WRA 2021-2024'!H103</f>
        <v>70935122</v>
      </c>
      <c r="L4" s="33">
        <f>'WRA 2021-2024'!H117</f>
        <v>118211998.84999999</v>
      </c>
      <c r="M4" s="33">
        <f>'WRA 2021-2024'!H121</f>
        <v>13970787.450000001</v>
      </c>
      <c r="N4" s="33">
        <f>'WRA 2021-2024'!H112</f>
        <v>189205414.99999997</v>
      </c>
      <c r="O4" s="7"/>
      <c r="P4" s="7"/>
      <c r="Q4" s="7"/>
      <c r="R4" s="7"/>
      <c r="S4" s="7"/>
      <c r="T4" s="6"/>
      <c r="U4" s="300">
        <f t="shared" ref="U4:U17" si="0">SUM(C4:S4)</f>
        <v>1161050149.95</v>
      </c>
      <c r="V4" s="9">
        <f>E18-U4</f>
        <v>0</v>
      </c>
    </row>
    <row r="5" spans="2:22" x14ac:dyDescent="0.3">
      <c r="B5" s="296" t="s">
        <v>17</v>
      </c>
      <c r="C5" s="7"/>
      <c r="D5" s="7"/>
      <c r="E5" s="7"/>
      <c r="F5" s="7"/>
      <c r="G5" s="7"/>
      <c r="H5" s="33">
        <v>0</v>
      </c>
      <c r="I5" s="7"/>
      <c r="J5" s="33">
        <f>'WRA 2021-2024'!H100</f>
        <v>84054382.700000003</v>
      </c>
      <c r="K5" s="33">
        <f>'WRA 2021-2024'!H104</f>
        <v>10035280.800000001</v>
      </c>
      <c r="L5" s="33">
        <f>'WRA 2021-2024'!H118</f>
        <v>43693000.25</v>
      </c>
      <c r="M5" s="33">
        <f>'WRA 2021-2024'!H122</f>
        <v>3630811.95</v>
      </c>
      <c r="N5" s="33">
        <f>'WRA 2021-2024'!H113</f>
        <v>48286919.450000003</v>
      </c>
      <c r="O5" s="7"/>
      <c r="P5" s="7"/>
      <c r="Q5" s="7"/>
      <c r="R5" s="7"/>
      <c r="S5" s="7"/>
      <c r="T5" s="6"/>
      <c r="U5" s="300">
        <f t="shared" si="0"/>
        <v>189700395.14999998</v>
      </c>
      <c r="V5" s="9">
        <f>F18-U5</f>
        <v>0</v>
      </c>
    </row>
    <row r="6" spans="2:22" x14ac:dyDescent="0.3">
      <c r="B6" s="296" t="str">
        <f>G2</f>
        <v>Water collection and supply: Imported treated water</v>
      </c>
      <c r="C6" s="7"/>
      <c r="D6" s="7"/>
      <c r="E6" s="7"/>
      <c r="F6" s="7"/>
      <c r="G6" s="33">
        <v>0</v>
      </c>
      <c r="I6" s="7"/>
      <c r="J6" s="7"/>
      <c r="K6" s="7"/>
      <c r="L6" s="7"/>
      <c r="M6" s="7"/>
      <c r="N6" s="7"/>
      <c r="O6" s="7"/>
      <c r="P6" s="7"/>
      <c r="Q6" s="7"/>
      <c r="R6" s="7"/>
      <c r="S6" s="7"/>
      <c r="T6" s="6"/>
      <c r="U6" s="300">
        <f t="shared" si="0"/>
        <v>0</v>
      </c>
      <c r="V6" s="9">
        <f>G18-U6</f>
        <v>0</v>
      </c>
    </row>
    <row r="7" spans="2:22" x14ac:dyDescent="0.3">
      <c r="B7" s="296" t="s">
        <v>429</v>
      </c>
      <c r="C7" s="7"/>
      <c r="D7" s="33">
        <f>'WRA 2021-2024'!H109</f>
        <v>30948604448.800003</v>
      </c>
      <c r="E7" s="7"/>
      <c r="F7" s="7"/>
      <c r="G7" s="7"/>
      <c r="H7" s="7"/>
      <c r="I7" s="7"/>
      <c r="J7" s="7"/>
      <c r="K7" s="7"/>
      <c r="L7" s="7"/>
      <c r="M7" s="7"/>
      <c r="N7" s="7"/>
      <c r="O7" s="7"/>
      <c r="P7" s="7"/>
      <c r="Q7" s="7"/>
      <c r="R7" s="7"/>
      <c r="S7" s="7"/>
      <c r="T7" s="6"/>
      <c r="U7" s="300">
        <f t="shared" si="0"/>
        <v>30948604448.800003</v>
      </c>
      <c r="V7" s="9">
        <f>D18-U7</f>
        <v>0</v>
      </c>
    </row>
    <row r="8" spans="2:22" x14ac:dyDescent="0.3">
      <c r="B8" s="296" t="str">
        <f>I2</f>
        <v>Water collection, treatment and supply</v>
      </c>
      <c r="C8" s="7"/>
      <c r="D8" s="7"/>
      <c r="E8" s="7"/>
      <c r="F8" s="7"/>
      <c r="G8" s="7"/>
      <c r="H8" s="7"/>
      <c r="I8" s="7"/>
      <c r="J8" s="7"/>
      <c r="K8" s="33">
        <f>SUM('WASREB 21-2022'!B46:CO49)</f>
        <v>34571165.164917335</v>
      </c>
      <c r="L8" s="33">
        <f>SUM('WASREB 21-2022'!B44:CO45)</f>
        <v>13750123.407419158</v>
      </c>
      <c r="M8" s="33">
        <f>SUM('WASREB 21-2022'!B50:CO50)</f>
        <v>1951414.30146277</v>
      </c>
      <c r="N8" s="33">
        <f>SUM('WASREB 21-2022'!B42:CO43)</f>
        <v>115709188.87001301</v>
      </c>
      <c r="O8" s="33">
        <f>'WASREB 21-2022'!CQ53</f>
        <v>88279651.786956936</v>
      </c>
      <c r="P8" s="33">
        <f>'WASREB 21-2022'!CQ55</f>
        <v>205099601.46923077</v>
      </c>
      <c r="Q8" s="7"/>
      <c r="R8" s="7"/>
      <c r="S8" s="7"/>
      <c r="T8" s="6"/>
      <c r="U8" s="300">
        <f t="shared" si="0"/>
        <v>459361145</v>
      </c>
      <c r="V8" s="9">
        <f>SUM(G18:I18)-U8</f>
        <v>0</v>
      </c>
    </row>
    <row r="9" spans="2:22" x14ac:dyDescent="0.3">
      <c r="B9" s="296" t="s">
        <v>387</v>
      </c>
      <c r="C9" s="7"/>
      <c r="D9" s="7"/>
      <c r="E9" s="7"/>
      <c r="F9" s="7"/>
      <c r="G9" s="7"/>
      <c r="H9" s="7"/>
      <c r="I9" s="7"/>
      <c r="J9" s="7"/>
      <c r="K9" s="7"/>
      <c r="L9" s="7"/>
      <c r="M9" s="7"/>
      <c r="N9" s="7"/>
      <c r="O9" s="7"/>
      <c r="P9" s="7"/>
      <c r="Q9" s="7"/>
      <c r="R9" s="23">
        <f>J18*25.7%</f>
        <v>101108956.53794999</v>
      </c>
      <c r="S9" s="34">
        <f>J18-R9</f>
        <v>292311107.81204998</v>
      </c>
      <c r="T9" s="6"/>
      <c r="U9" s="300">
        <f>SUM(C9:S9)</f>
        <v>393420064.34999996</v>
      </c>
      <c r="V9" s="9">
        <f>J18-U9</f>
        <v>0</v>
      </c>
    </row>
    <row r="10" spans="2:22" x14ac:dyDescent="0.3">
      <c r="B10" s="296" t="s">
        <v>241</v>
      </c>
      <c r="C10" s="7"/>
      <c r="D10" s="7"/>
      <c r="E10" s="7"/>
      <c r="F10" s="7"/>
      <c r="G10" s="7"/>
      <c r="H10" s="7"/>
      <c r="I10" s="7"/>
      <c r="J10" s="7"/>
      <c r="K10" s="7"/>
      <c r="L10" s="7"/>
      <c r="M10" s="7"/>
      <c r="N10" s="7"/>
      <c r="O10" s="7"/>
      <c r="P10" s="7"/>
      <c r="Q10" s="223">
        <f>SUM('WASREB 20-21'!B72:CL75)</f>
        <v>34181282.176953413</v>
      </c>
      <c r="R10" s="7"/>
      <c r="S10" s="34">
        <f>K18-Q10</f>
        <v>81360285.787963927</v>
      </c>
      <c r="T10" s="6"/>
      <c r="U10" s="300">
        <f t="shared" si="0"/>
        <v>115541567.96491733</v>
      </c>
      <c r="V10" s="9">
        <f>K18-U10</f>
        <v>0</v>
      </c>
    </row>
    <row r="11" spans="2:22" x14ac:dyDescent="0.3">
      <c r="B11" s="296" t="s">
        <v>75</v>
      </c>
      <c r="C11" s="7"/>
      <c r="D11" s="7"/>
      <c r="E11" s="7"/>
      <c r="F11" s="7"/>
      <c r="G11" s="7"/>
      <c r="H11" s="7"/>
      <c r="I11" s="7"/>
      <c r="J11" s="7"/>
      <c r="K11" s="7"/>
      <c r="L11" s="7"/>
      <c r="M11" s="7"/>
      <c r="N11" s="7"/>
      <c r="O11" s="7"/>
      <c r="P11" s="7"/>
      <c r="Q11" s="223">
        <f>SUM('WASREB 20-21'!B70:CM71)</f>
        <v>4387417.9020084161</v>
      </c>
      <c r="R11" s="7"/>
      <c r="S11" s="34">
        <f>L18-Q11</f>
        <v>171267704.60541072</v>
      </c>
      <c r="T11" s="6"/>
      <c r="U11" s="300">
        <f t="shared" si="0"/>
        <v>175655122.50741914</v>
      </c>
      <c r="V11" s="9">
        <f>L18-U11</f>
        <v>0</v>
      </c>
    </row>
    <row r="12" spans="2:22" x14ac:dyDescent="0.3">
      <c r="B12" s="296" t="s">
        <v>14</v>
      </c>
      <c r="C12" s="7"/>
      <c r="D12" s="7"/>
      <c r="E12" s="7"/>
      <c r="F12" s="7"/>
      <c r="G12" s="7"/>
      <c r="H12" s="7"/>
      <c r="I12" s="7"/>
      <c r="J12" s="7"/>
      <c r="K12" s="7"/>
      <c r="L12" s="7"/>
      <c r="M12" s="7"/>
      <c r="N12" s="7"/>
      <c r="O12" s="7"/>
      <c r="P12" s="7"/>
      <c r="Q12" s="223">
        <f>SUM('WASREB 20-21'!B76:CM76)</f>
        <v>1957014.8419732067</v>
      </c>
      <c r="R12" s="7"/>
      <c r="S12" s="34">
        <f>M18-Q12</f>
        <v>17595998.859489564</v>
      </c>
      <c r="T12" s="6"/>
      <c r="U12" s="300">
        <f t="shared" si="0"/>
        <v>19553013.701462772</v>
      </c>
      <c r="V12" s="9">
        <f>M18-U12</f>
        <v>0</v>
      </c>
    </row>
    <row r="13" spans="2:22" x14ac:dyDescent="0.3">
      <c r="B13" s="296" t="s">
        <v>7</v>
      </c>
      <c r="C13" s="7"/>
      <c r="D13" s="7"/>
      <c r="E13" s="7"/>
      <c r="F13" s="7"/>
      <c r="G13" s="7"/>
      <c r="H13" s="7"/>
      <c r="I13" s="7"/>
      <c r="J13" s="7"/>
      <c r="K13" s="7"/>
      <c r="L13" s="7"/>
      <c r="M13" s="7"/>
      <c r="N13" s="7"/>
      <c r="O13" s="7"/>
      <c r="P13" s="7"/>
      <c r="Q13" s="223">
        <f>SUM('WASREB 20-21'!B68:CN68,'WASREB 20-21'!B69:CM69)</f>
        <v>77689173.539065003</v>
      </c>
      <c r="R13" s="7"/>
      <c r="S13" s="34">
        <f>N18-Q13</f>
        <v>275512349.78094798</v>
      </c>
      <c r="T13" s="6"/>
      <c r="U13" s="300">
        <f t="shared" si="0"/>
        <v>353201523.32001299</v>
      </c>
      <c r="V13" s="9">
        <f>N18-U13</f>
        <v>0</v>
      </c>
    </row>
    <row r="14" spans="2:22" x14ac:dyDescent="0.3">
      <c r="B14" s="296" t="str">
        <f>O2</f>
        <v>Non-revenue water: non payment</v>
      </c>
      <c r="C14" s="7"/>
      <c r="D14" s="7"/>
      <c r="E14" s="7"/>
      <c r="F14" s="7"/>
      <c r="G14" s="7"/>
      <c r="H14" s="7"/>
      <c r="I14" s="7"/>
      <c r="J14" s="7"/>
      <c r="O14" s="7"/>
      <c r="P14" s="7"/>
      <c r="Q14" s="7"/>
      <c r="R14" s="129">
        <f>O8</f>
        <v>88279651.786956936</v>
      </c>
      <c r="S14" s="129"/>
      <c r="T14" s="6"/>
      <c r="U14" s="300">
        <f t="shared" si="0"/>
        <v>88279651.786956936</v>
      </c>
      <c r="V14" s="9">
        <f>O18-U14</f>
        <v>0</v>
      </c>
    </row>
    <row r="15" spans="2:22" x14ac:dyDescent="0.3">
      <c r="B15" s="296" t="str">
        <f>P2</f>
        <v>Non-revenue water: losses in distribution and other</v>
      </c>
      <c r="C15" s="7"/>
      <c r="D15" s="7"/>
      <c r="E15" s="7"/>
      <c r="F15" s="7"/>
      <c r="G15" s="7"/>
      <c r="H15" s="7"/>
      <c r="I15" s="7"/>
      <c r="J15" s="7"/>
      <c r="O15" s="7"/>
      <c r="P15" s="7"/>
      <c r="Q15" s="7"/>
      <c r="R15" s="129">
        <f>P8</f>
        <v>205099601.46923077</v>
      </c>
      <c r="S15" s="129"/>
      <c r="T15" s="6"/>
      <c r="U15" s="300">
        <f t="shared" si="0"/>
        <v>205099601.46923077</v>
      </c>
      <c r="V15" s="9">
        <f>P18-U15</f>
        <v>0</v>
      </c>
    </row>
    <row r="16" spans="2:22" x14ac:dyDescent="0.3">
      <c r="B16" s="296" t="s">
        <v>13</v>
      </c>
      <c r="C16" s="7"/>
      <c r="D16" s="7"/>
      <c r="E16" s="7"/>
      <c r="F16" s="7"/>
      <c r="G16" s="7"/>
      <c r="H16" s="7"/>
      <c r="I16" s="7"/>
      <c r="J16" s="7"/>
      <c r="O16" s="7"/>
      <c r="P16" s="7"/>
      <c r="Q16" s="7"/>
      <c r="R16" s="35">
        <f>SUM(Q10:Q13)</f>
        <v>118214888.46000004</v>
      </c>
      <c r="S16" s="7"/>
      <c r="T16" s="6"/>
      <c r="U16" s="300">
        <f t="shared" si="0"/>
        <v>118214888.46000004</v>
      </c>
      <c r="V16" s="9">
        <f>Q18-U16</f>
        <v>0</v>
      </c>
    </row>
    <row r="17" spans="2:22" x14ac:dyDescent="0.3">
      <c r="B17" s="296" t="s">
        <v>31</v>
      </c>
      <c r="C17" s="7"/>
      <c r="D17" s="7"/>
      <c r="E17" s="7"/>
      <c r="F17" s="7"/>
      <c r="G17" s="7"/>
      <c r="H17" s="7"/>
      <c r="I17" s="7"/>
      <c r="J17" s="7"/>
      <c r="K17" s="7"/>
      <c r="L17" s="7"/>
      <c r="M17" s="7"/>
      <c r="N17" s="7"/>
      <c r="O17" s="7"/>
      <c r="P17" s="7"/>
      <c r="Q17" s="7"/>
      <c r="R17" s="7"/>
      <c r="S17" s="7"/>
      <c r="T17" s="6"/>
      <c r="U17" s="300">
        <f t="shared" si="0"/>
        <v>0</v>
      </c>
      <c r="V17" s="9"/>
    </row>
    <row r="18" spans="2:22" x14ac:dyDescent="0.3">
      <c r="B18" s="297" t="s">
        <v>1</v>
      </c>
      <c r="C18" s="298">
        <f t="shared" ref="C18:S18" si="1">SUM(C3:C17)</f>
        <v>0</v>
      </c>
      <c r="D18" s="298">
        <f t="shared" si="1"/>
        <v>30948604448.800003</v>
      </c>
      <c r="E18" s="298">
        <f t="shared" si="1"/>
        <v>1161050149.95</v>
      </c>
      <c r="F18" s="298">
        <f t="shared" si="1"/>
        <v>189700395.14999998</v>
      </c>
      <c r="G18" s="298">
        <f t="shared" si="1"/>
        <v>0</v>
      </c>
      <c r="H18" s="298">
        <f t="shared" si="1"/>
        <v>459361145</v>
      </c>
      <c r="I18" s="298">
        <f t="shared" si="1"/>
        <v>0</v>
      </c>
      <c r="J18" s="298">
        <f t="shared" si="1"/>
        <v>393420064.34999996</v>
      </c>
      <c r="K18" s="298">
        <f t="shared" si="1"/>
        <v>115541567.96491733</v>
      </c>
      <c r="L18" s="298">
        <f t="shared" si="1"/>
        <v>175655122.50741914</v>
      </c>
      <c r="M18" s="298">
        <f t="shared" si="1"/>
        <v>19553013.701462772</v>
      </c>
      <c r="N18" s="298">
        <f t="shared" si="1"/>
        <v>353201523.32001299</v>
      </c>
      <c r="O18" s="298">
        <f t="shared" si="1"/>
        <v>88279651.786956936</v>
      </c>
      <c r="P18" s="298">
        <f t="shared" si="1"/>
        <v>205099601.46923077</v>
      </c>
      <c r="Q18" s="298">
        <f t="shared" si="1"/>
        <v>118214888.46000004</v>
      </c>
      <c r="R18" s="298">
        <f t="shared" si="1"/>
        <v>512703098.25413775</v>
      </c>
      <c r="S18" s="298">
        <f t="shared" si="1"/>
        <v>838047446.84586215</v>
      </c>
      <c r="T18" s="298">
        <v>0</v>
      </c>
      <c r="U18" s="301">
        <v>34203548054.742191</v>
      </c>
    </row>
    <row r="19" spans="2:22" x14ac:dyDescent="0.3">
      <c r="K19" s="9">
        <f>SUM(K3:K17)-K18</f>
        <v>0</v>
      </c>
      <c r="L19" s="9">
        <f>SUM(L3:L17)-L18</f>
        <v>0</v>
      </c>
      <c r="M19" s="9">
        <f>SUM(M3:M17)-M18</f>
        <v>0</v>
      </c>
      <c r="N19" s="9">
        <f>SUM(N3:N17)-N18</f>
        <v>0</v>
      </c>
    </row>
    <row r="22" spans="2:22" x14ac:dyDescent="0.3">
      <c r="K22" s="127"/>
      <c r="L22" s="127"/>
      <c r="M22" s="127"/>
      <c r="N22" s="127"/>
    </row>
    <row r="24" spans="2:22" x14ac:dyDescent="0.3">
      <c r="K24" s="7"/>
      <c r="L24" s="7"/>
      <c r="M24" s="7"/>
      <c r="N24" s="7"/>
    </row>
    <row r="25" spans="2:22" x14ac:dyDescent="0.3">
      <c r="K25" s="7"/>
      <c r="L25" s="7"/>
      <c r="M25" s="7"/>
      <c r="N25" s="7"/>
    </row>
    <row r="26" spans="2:22" x14ac:dyDescent="0.3">
      <c r="K26" s="7"/>
      <c r="L26" s="7"/>
      <c r="M26" s="7"/>
      <c r="N26" s="7"/>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F765-4DE6-496A-9C2A-A5DC131ADFA4}">
  <sheetPr>
    <tabColor rgb="FFFF0000"/>
  </sheetPr>
  <dimension ref="A1:O50"/>
  <sheetViews>
    <sheetView workbookViewId="0"/>
  </sheetViews>
  <sheetFormatPr defaultColWidth="8.88671875" defaultRowHeight="14.4" x14ac:dyDescent="0.3"/>
  <cols>
    <col min="1" max="1" width="45.33203125" style="39" bestFit="1" customWidth="1"/>
    <col min="2" max="2" width="21.33203125" style="39" customWidth="1"/>
    <col min="3" max="3" width="17.44140625" style="39" customWidth="1"/>
    <col min="4" max="4" width="20.33203125" style="39" bestFit="1" customWidth="1"/>
    <col min="5" max="8" width="17.44140625" style="39" customWidth="1"/>
    <col min="9" max="9" width="19.44140625" style="39" bestFit="1" customWidth="1"/>
    <col min="10" max="11" width="17.44140625" style="39" customWidth="1"/>
    <col min="12" max="12" width="26.6640625" style="39" bestFit="1" customWidth="1"/>
    <col min="13" max="13" width="19.33203125" style="39" bestFit="1" customWidth="1"/>
    <col min="14" max="14" width="16.44140625" style="39" hidden="1" customWidth="1"/>
    <col min="15" max="15" width="11.88671875" style="39" bestFit="1" customWidth="1"/>
    <col min="16" max="16384" width="8.88671875" style="39"/>
  </cols>
  <sheetData>
    <row r="1" spans="1:14" x14ac:dyDescent="0.3">
      <c r="A1" s="63" t="s">
        <v>5</v>
      </c>
      <c r="B1" s="325" t="s">
        <v>6</v>
      </c>
      <c r="C1" s="326"/>
      <c r="D1" s="326"/>
      <c r="E1" s="326"/>
      <c r="F1" s="326"/>
      <c r="G1" s="326"/>
      <c r="H1" s="327"/>
      <c r="I1" s="115"/>
      <c r="J1" s="323" t="s">
        <v>7</v>
      </c>
      <c r="K1" s="315" t="s">
        <v>8</v>
      </c>
      <c r="L1" s="315" t="s">
        <v>9</v>
      </c>
      <c r="M1" s="320" t="s">
        <v>10</v>
      </c>
    </row>
    <row r="2" spans="1:14" ht="43.2" x14ac:dyDescent="0.3">
      <c r="A2" s="64" t="s">
        <v>418</v>
      </c>
      <c r="B2" s="124" t="s">
        <v>387</v>
      </c>
      <c r="C2" s="37" t="s">
        <v>241</v>
      </c>
      <c r="D2" s="37" t="s">
        <v>11</v>
      </c>
      <c r="E2" s="37" t="s">
        <v>12</v>
      </c>
      <c r="F2" s="37" t="s">
        <v>13</v>
      </c>
      <c r="G2" s="37" t="s">
        <v>75</v>
      </c>
      <c r="H2" s="121" t="s">
        <v>14</v>
      </c>
      <c r="I2" s="37" t="s">
        <v>15</v>
      </c>
      <c r="J2" s="324"/>
      <c r="K2" s="316"/>
      <c r="L2" s="316"/>
      <c r="M2" s="321"/>
    </row>
    <row r="3" spans="1:14" x14ac:dyDescent="0.3">
      <c r="A3" s="64" t="s">
        <v>388</v>
      </c>
      <c r="B3" s="125" t="s">
        <v>389</v>
      </c>
      <c r="C3" s="122" t="s">
        <v>393</v>
      </c>
      <c r="D3" s="122" t="s">
        <v>390</v>
      </c>
      <c r="E3" s="122" t="s">
        <v>391</v>
      </c>
      <c r="F3" s="122" t="s">
        <v>392</v>
      </c>
      <c r="G3" s="122" t="s">
        <v>395</v>
      </c>
      <c r="H3" s="123" t="s">
        <v>394</v>
      </c>
      <c r="I3" s="38"/>
      <c r="J3" s="38"/>
      <c r="K3" s="38"/>
      <c r="L3" s="38"/>
      <c r="M3" s="322"/>
    </row>
    <row r="4" spans="1:14" x14ac:dyDescent="0.3">
      <c r="A4" s="65" t="s">
        <v>16</v>
      </c>
      <c r="B4" s="80"/>
      <c r="C4" s="47"/>
      <c r="D4" s="47"/>
      <c r="E4" s="47"/>
      <c r="F4" s="47"/>
      <c r="G4" s="47"/>
      <c r="H4" s="48"/>
      <c r="I4" s="46"/>
      <c r="J4" s="47"/>
      <c r="K4" s="47"/>
      <c r="L4" s="48"/>
      <c r="M4" s="48"/>
    </row>
    <row r="5" spans="1:14" x14ac:dyDescent="0.3">
      <c r="A5" s="67" t="s">
        <v>4</v>
      </c>
      <c r="B5" s="81"/>
      <c r="C5" s="40"/>
      <c r="D5" s="40"/>
      <c r="E5" s="40"/>
      <c r="F5" s="40"/>
      <c r="G5" s="40"/>
      <c r="H5" s="82"/>
      <c r="I5" s="94"/>
      <c r="J5" s="40"/>
      <c r="K5" s="40"/>
      <c r="L5" s="84">
        <f>'Ph IO Table 2022'!D7+'Ph IO Table 2022'!E3</f>
        <v>32109654598.750004</v>
      </c>
      <c r="M5" s="50">
        <f>SUM(I5:L5)</f>
        <v>32109654598.750004</v>
      </c>
    </row>
    <row r="6" spans="1:14" x14ac:dyDescent="0.3">
      <c r="A6" s="67" t="s">
        <v>17</v>
      </c>
      <c r="B6" s="81"/>
      <c r="C6" s="40"/>
      <c r="D6" s="40"/>
      <c r="E6" s="40"/>
      <c r="F6" s="40"/>
      <c r="G6" s="40"/>
      <c r="H6" s="82"/>
      <c r="I6" s="94"/>
      <c r="J6" s="40"/>
      <c r="K6" s="40"/>
      <c r="L6" s="84">
        <f>'Ph IO Table 2022'!F3</f>
        <v>189700395.14999998</v>
      </c>
      <c r="M6" s="50">
        <f>SUM(I6:L6)</f>
        <v>189700395.14999998</v>
      </c>
    </row>
    <row r="7" spans="1:14" x14ac:dyDescent="0.3">
      <c r="A7" s="67" t="s">
        <v>18</v>
      </c>
      <c r="B7" s="81"/>
      <c r="C7" s="40"/>
      <c r="D7" s="40"/>
      <c r="E7" s="40"/>
      <c r="F7" s="40"/>
      <c r="G7" s="40"/>
      <c r="H7" s="82"/>
      <c r="I7" s="94"/>
      <c r="J7" s="40"/>
      <c r="K7" s="36">
        <f>'Ph IO Table 2022'!G6</f>
        <v>0</v>
      </c>
      <c r="L7" s="95">
        <v>0</v>
      </c>
      <c r="M7" s="50">
        <f>SUM(I7:L7)</f>
        <v>0</v>
      </c>
    </row>
    <row r="8" spans="1:14" x14ac:dyDescent="0.3">
      <c r="A8" s="106" t="s">
        <v>19</v>
      </c>
      <c r="B8" s="107"/>
      <c r="C8" s="51"/>
      <c r="D8" s="51"/>
      <c r="E8" s="51"/>
      <c r="F8" s="51"/>
      <c r="G8" s="51"/>
      <c r="H8" s="108"/>
      <c r="I8" s="107"/>
      <c r="J8" s="51"/>
      <c r="K8" s="62">
        <f>SUM(K5:K7)</f>
        <v>0</v>
      </c>
      <c r="L8" s="109">
        <f>SUM(L5:L7)</f>
        <v>32299354993.900005</v>
      </c>
      <c r="M8" s="53">
        <f>SUM(I8:L8)</f>
        <v>32299354993.900005</v>
      </c>
    </row>
    <row r="9" spans="1:14" x14ac:dyDescent="0.3">
      <c r="A9" s="76" t="s">
        <v>20</v>
      </c>
      <c r="B9" s="49"/>
      <c r="H9" s="61"/>
      <c r="I9" s="105"/>
      <c r="L9" s="61"/>
      <c r="M9" s="1"/>
    </row>
    <row r="10" spans="1:14" x14ac:dyDescent="0.3">
      <c r="A10" s="67" t="s">
        <v>21</v>
      </c>
      <c r="B10" s="26"/>
      <c r="C10" s="24"/>
      <c r="D10" s="24"/>
      <c r="E10" s="31">
        <f>SUM('Ph IO Table 2022'!G4:I6)</f>
        <v>459361145</v>
      </c>
      <c r="F10" s="32"/>
      <c r="G10" s="24"/>
      <c r="H10" s="50"/>
      <c r="I10" s="25">
        <f>SUM(B10:H10)</f>
        <v>459361145</v>
      </c>
      <c r="J10" s="32"/>
      <c r="K10" s="24"/>
      <c r="L10" s="82"/>
      <c r="M10" s="18">
        <f>SUM(I10:L10)</f>
        <v>459361145</v>
      </c>
    </row>
    <row r="11" spans="1:14" x14ac:dyDescent="0.3">
      <c r="A11" s="67" t="s">
        <v>22</v>
      </c>
      <c r="B11" s="83">
        <f>'Ph IO Table 2022'!J4+'Ph IO Table 2022'!J5</f>
        <v>393420064.34999996</v>
      </c>
      <c r="C11" s="83">
        <f>'Ph IO Table 2022'!K4+'Ph IO Table 2022'!K5</f>
        <v>80970402.799999997</v>
      </c>
      <c r="D11" s="31">
        <f>'Ph IO Table 2022'!D7</f>
        <v>30948604448.800003</v>
      </c>
      <c r="E11" s="24"/>
      <c r="F11" s="32"/>
      <c r="G11" s="31">
        <f>'Ph IO Table 2022'!L4+'Ph IO Table 2022'!L5</f>
        <v>161904999.09999999</v>
      </c>
      <c r="H11" s="84">
        <f>'Ph IO Table 2022'!M4+'Ph IO Table 2022'!M5</f>
        <v>17601599.400000002</v>
      </c>
      <c r="I11" s="25">
        <f>SUM(B11:H11)</f>
        <v>31602501514.450005</v>
      </c>
      <c r="J11" s="31">
        <f>'Ph IO Table 2022'!N4+'Ph IO Table 2022'!N5</f>
        <v>237492334.44999999</v>
      </c>
      <c r="L11" s="82"/>
      <c r="M11" s="18">
        <f>SUM(I11:L11)</f>
        <v>31839993848.900005</v>
      </c>
      <c r="N11" s="42">
        <f>SUM(M10:M11)</f>
        <v>32299354993.900005</v>
      </c>
    </row>
    <row r="12" spans="1:14" x14ac:dyDescent="0.3">
      <c r="A12" s="65" t="s">
        <v>23</v>
      </c>
      <c r="B12" s="87"/>
      <c r="C12" s="60"/>
      <c r="D12" s="60"/>
      <c r="E12" s="60"/>
      <c r="F12" s="60"/>
      <c r="G12" s="60"/>
      <c r="H12" s="88"/>
      <c r="I12" s="97"/>
      <c r="J12" s="60"/>
      <c r="K12" s="47"/>
      <c r="L12" s="48"/>
      <c r="M12" s="66"/>
    </row>
    <row r="13" spans="1:14" x14ac:dyDescent="0.3">
      <c r="A13" s="67" t="s">
        <v>24</v>
      </c>
      <c r="B13" s="26"/>
      <c r="C13" s="31">
        <f>'Ph IO Table 2022'!Q10</f>
        <v>34181282.176953413</v>
      </c>
      <c r="D13" s="24"/>
      <c r="E13" s="24"/>
      <c r="F13" s="24"/>
      <c r="G13" s="31">
        <f>'Ph IO Table 2022'!Q11</f>
        <v>4387417.9020084161</v>
      </c>
      <c r="H13" s="84">
        <f>'Ph IO Table 2022'!Q12</f>
        <v>1957014.8419732067</v>
      </c>
      <c r="I13" s="25">
        <f>SUM(B13:H13)</f>
        <v>40525714.920935035</v>
      </c>
      <c r="J13" s="31">
        <f>'Ph IO Table 2022'!Q13</f>
        <v>77689173.539065003</v>
      </c>
      <c r="K13" s="40"/>
      <c r="L13" s="82"/>
      <c r="M13" s="16">
        <f>SUM(I13:L13)</f>
        <v>118214888.46000004</v>
      </c>
    </row>
    <row r="14" spans="1:14" x14ac:dyDescent="0.3">
      <c r="A14" s="67" t="s">
        <v>25</v>
      </c>
      <c r="B14" s="26"/>
      <c r="C14" s="24"/>
      <c r="D14" s="24"/>
      <c r="E14" s="24"/>
      <c r="F14" s="24"/>
      <c r="G14" s="24"/>
      <c r="H14" s="50"/>
      <c r="I14" s="25"/>
      <c r="J14" s="24"/>
      <c r="K14" s="40"/>
      <c r="L14" s="82"/>
      <c r="M14" s="1"/>
    </row>
    <row r="15" spans="1:14" x14ac:dyDescent="0.3">
      <c r="A15" s="68" t="s">
        <v>26</v>
      </c>
      <c r="B15" s="89"/>
      <c r="C15" s="55"/>
      <c r="D15" s="55"/>
      <c r="E15" s="55"/>
      <c r="F15" s="55"/>
      <c r="G15" s="55"/>
      <c r="H15" s="90"/>
      <c r="I15" s="96"/>
      <c r="J15" s="55"/>
      <c r="K15" s="59"/>
      <c r="L15" s="98"/>
      <c r="M15" s="70"/>
    </row>
    <row r="16" spans="1:14" x14ac:dyDescent="0.3">
      <c r="A16" s="65" t="s">
        <v>27</v>
      </c>
      <c r="B16" s="87"/>
      <c r="C16" s="60"/>
      <c r="D16" s="60"/>
      <c r="E16" s="60"/>
      <c r="F16" s="60"/>
      <c r="G16" s="60"/>
      <c r="H16" s="88"/>
      <c r="I16" s="97"/>
      <c r="J16" s="60"/>
      <c r="K16" s="47"/>
      <c r="L16" s="48"/>
      <c r="M16" s="66"/>
    </row>
    <row r="17" spans="1:14" x14ac:dyDescent="0.3">
      <c r="A17" s="67" t="s">
        <v>28</v>
      </c>
      <c r="B17" s="91">
        <f>'Ph IO Table 2022'!R9</f>
        <v>101108956.53794999</v>
      </c>
      <c r="C17" s="24"/>
      <c r="D17" s="31">
        <f>'Ph IO Table 2022'!D7</f>
        <v>30948604448.800003</v>
      </c>
      <c r="E17" s="24"/>
      <c r="F17" s="31">
        <f>'Ph IO Table 2022'!R16</f>
        <v>118214888.46000004</v>
      </c>
      <c r="G17" s="24"/>
      <c r="H17" s="50"/>
      <c r="I17" s="25">
        <f>SUM(B17:H17)</f>
        <v>31167928293.797951</v>
      </c>
      <c r="J17" s="24"/>
      <c r="K17" s="40"/>
      <c r="L17" s="82"/>
      <c r="M17" s="18">
        <f>SUM(I17:L17)</f>
        <v>31167928293.797951</v>
      </c>
    </row>
    <row r="18" spans="1:14" x14ac:dyDescent="0.3">
      <c r="A18" s="67" t="s">
        <v>29</v>
      </c>
      <c r="B18" s="26"/>
      <c r="C18" s="24"/>
      <c r="D18" s="24"/>
      <c r="E18" s="24"/>
      <c r="F18" s="24"/>
      <c r="G18" s="24"/>
      <c r="H18" s="50"/>
      <c r="I18" s="25"/>
      <c r="J18" s="24"/>
      <c r="K18" s="40"/>
      <c r="L18" s="82"/>
      <c r="M18" s="18">
        <f>SUM(I18:J18)</f>
        <v>0</v>
      </c>
    </row>
    <row r="19" spans="1:14" x14ac:dyDescent="0.3">
      <c r="A19" s="68" t="s">
        <v>428</v>
      </c>
      <c r="B19" s="89"/>
      <c r="C19" s="55"/>
      <c r="D19" s="55"/>
      <c r="E19" s="130">
        <f>SUM('Ph IO Table 2022'!R14:R15)</f>
        <v>293379253.25618768</v>
      </c>
      <c r="F19" s="58"/>
      <c r="G19" s="55"/>
      <c r="H19" s="90"/>
      <c r="I19" s="96">
        <f>SUM(B19:H19)</f>
        <v>293379253.25618768</v>
      </c>
      <c r="J19" s="55"/>
      <c r="K19" s="59"/>
      <c r="L19" s="98"/>
      <c r="M19" s="69">
        <f>SUM(I19:L19)</f>
        <v>293379253.25618768</v>
      </c>
    </row>
    <row r="20" spans="1:14" ht="28.8" x14ac:dyDescent="0.3">
      <c r="A20" s="71" t="s">
        <v>30</v>
      </c>
      <c r="B20" s="87"/>
      <c r="C20" s="60"/>
      <c r="D20" s="60"/>
      <c r="E20" s="60"/>
      <c r="F20" s="60"/>
      <c r="G20" s="60"/>
      <c r="H20" s="88"/>
      <c r="I20" s="97"/>
      <c r="J20" s="60"/>
      <c r="K20" s="47"/>
      <c r="L20" s="48"/>
      <c r="M20" s="66"/>
    </row>
    <row r="21" spans="1:14" ht="28.8" x14ac:dyDescent="0.3">
      <c r="A21" s="72" t="s">
        <v>31</v>
      </c>
      <c r="B21" s="92">
        <f>'Ph IO Table 2022'!S9</f>
        <v>292311107.81204998</v>
      </c>
      <c r="C21" s="56">
        <f>'Ph IO Table 2022'!S10</f>
        <v>81360285.787963927</v>
      </c>
      <c r="D21" s="54"/>
      <c r="E21" s="54"/>
      <c r="F21" s="54"/>
      <c r="G21" s="56">
        <f>'Ph IO Table 2022'!S11</f>
        <v>171267704.60541072</v>
      </c>
      <c r="H21" s="93">
        <f>'Ph IO Table 2022'!S12</f>
        <v>17595998.859489564</v>
      </c>
      <c r="I21" s="96">
        <f>SUM(B21:H21)</f>
        <v>562535097.06491423</v>
      </c>
      <c r="J21" s="56">
        <f>'Ph IO Table 2022'!S13</f>
        <v>275512349.78094798</v>
      </c>
      <c r="K21" s="59"/>
      <c r="L21" s="98"/>
      <c r="M21" s="18">
        <f>SUM(I21:L21)</f>
        <v>838047446.84586215</v>
      </c>
      <c r="N21" s="42">
        <f>SUM(M17:M21)</f>
        <v>32299354993.900002</v>
      </c>
    </row>
    <row r="22" spans="1:14" ht="15" thickBot="1" x14ac:dyDescent="0.35">
      <c r="A22" s="73" t="s">
        <v>32</v>
      </c>
      <c r="B22" s="74">
        <f>SUM(B12:B21)</f>
        <v>393420064.34999996</v>
      </c>
      <c r="C22" s="74">
        <f t="shared" ref="C22:L22" si="0">SUM(C12:C21)</f>
        <v>115541567.96491733</v>
      </c>
      <c r="D22" s="74">
        <f t="shared" si="0"/>
        <v>30948604448.800003</v>
      </c>
      <c r="E22" s="74">
        <f>SUM(E9:E11)</f>
        <v>459361145</v>
      </c>
      <c r="F22" s="74">
        <f t="shared" si="0"/>
        <v>118214888.46000004</v>
      </c>
      <c r="G22" s="74">
        <f t="shared" si="0"/>
        <v>175655122.50741914</v>
      </c>
      <c r="H22" s="74">
        <f t="shared" si="0"/>
        <v>19553013.701462772</v>
      </c>
      <c r="I22" s="74">
        <f t="shared" si="0"/>
        <v>32064368359.039989</v>
      </c>
      <c r="J22" s="74">
        <f t="shared" si="0"/>
        <v>353201523.32001299</v>
      </c>
      <c r="K22" s="74">
        <f t="shared" si="0"/>
        <v>0</v>
      </c>
      <c r="L22" s="74">
        <f t="shared" si="0"/>
        <v>0</v>
      </c>
      <c r="M22" s="75">
        <f>SUM(M17:M21)</f>
        <v>32299354993.900002</v>
      </c>
      <c r="N22" s="42">
        <f>N21-M8</f>
        <v>0</v>
      </c>
    </row>
    <row r="23" spans="1:14" x14ac:dyDescent="0.3">
      <c r="B23" s="24"/>
      <c r="C23" s="24"/>
      <c r="D23" s="24"/>
      <c r="E23" s="24"/>
      <c r="F23" s="24"/>
      <c r="G23" s="24"/>
      <c r="H23" s="24"/>
      <c r="I23" s="24"/>
      <c r="J23" s="24"/>
    </row>
    <row r="24" spans="1:14" x14ac:dyDescent="0.3">
      <c r="B24" s="24"/>
      <c r="C24" s="24"/>
      <c r="D24" s="24"/>
      <c r="E24" s="24"/>
      <c r="F24" s="24"/>
      <c r="G24" s="24"/>
      <c r="H24" s="24"/>
      <c r="I24" s="24"/>
      <c r="J24" s="24"/>
    </row>
    <row r="25" spans="1:14" x14ac:dyDescent="0.3">
      <c r="B25" s="24"/>
      <c r="C25" s="24"/>
      <c r="D25" s="24"/>
      <c r="E25" s="24"/>
      <c r="F25" s="24"/>
      <c r="G25" s="24"/>
      <c r="H25" s="24"/>
      <c r="I25" s="24"/>
      <c r="J25" s="24"/>
    </row>
    <row r="26" spans="1:14" ht="15" thickBot="1" x14ac:dyDescent="0.35">
      <c r="B26" s="24"/>
      <c r="C26" s="24"/>
      <c r="D26" s="24"/>
      <c r="E26" s="24"/>
      <c r="F26" s="24"/>
      <c r="G26" s="24"/>
      <c r="H26" s="24"/>
      <c r="I26" s="24"/>
      <c r="J26" s="24"/>
    </row>
    <row r="27" spans="1:14" x14ac:dyDescent="0.3">
      <c r="A27" s="63" t="s">
        <v>396</v>
      </c>
      <c r="B27" s="317" t="s">
        <v>6</v>
      </c>
      <c r="C27" s="318"/>
      <c r="D27" s="318"/>
      <c r="E27" s="318"/>
      <c r="F27" s="318"/>
      <c r="G27" s="318"/>
      <c r="H27" s="319"/>
      <c r="I27" s="114"/>
      <c r="J27" s="313" t="s">
        <v>7</v>
      </c>
      <c r="K27" s="315" t="s">
        <v>406</v>
      </c>
      <c r="L27" s="315" t="s">
        <v>407</v>
      </c>
      <c r="M27" s="320" t="s">
        <v>397</v>
      </c>
    </row>
    <row r="28" spans="1:14" ht="43.2" x14ac:dyDescent="0.3">
      <c r="A28" s="64" t="s">
        <v>418</v>
      </c>
      <c r="B28" s="116" t="s">
        <v>387</v>
      </c>
      <c r="C28" s="44" t="s">
        <v>241</v>
      </c>
      <c r="D28" s="44" t="s">
        <v>11</v>
      </c>
      <c r="E28" s="44" t="s">
        <v>12</v>
      </c>
      <c r="F28" s="44" t="s">
        <v>13</v>
      </c>
      <c r="G28" s="44" t="s">
        <v>75</v>
      </c>
      <c r="H28" s="119" t="s">
        <v>14</v>
      </c>
      <c r="I28" s="45" t="s">
        <v>15</v>
      </c>
      <c r="J28" s="314"/>
      <c r="K28" s="316"/>
      <c r="L28" s="316"/>
      <c r="M28" s="321"/>
    </row>
    <row r="29" spans="1:14" x14ac:dyDescent="0.3">
      <c r="A29" s="64" t="s">
        <v>388</v>
      </c>
      <c r="B29" s="117" t="s">
        <v>389</v>
      </c>
      <c r="C29" s="118" t="s">
        <v>393</v>
      </c>
      <c r="D29" s="118" t="s">
        <v>390</v>
      </c>
      <c r="E29" s="118" t="s">
        <v>391</v>
      </c>
      <c r="F29" s="118" t="s">
        <v>392</v>
      </c>
      <c r="G29" s="118" t="s">
        <v>395</v>
      </c>
      <c r="H29" s="120" t="s">
        <v>394</v>
      </c>
      <c r="I29" s="43"/>
      <c r="J29" s="43"/>
      <c r="K29" s="38"/>
      <c r="L29" s="38"/>
      <c r="M29" s="322"/>
    </row>
    <row r="30" spans="1:14" x14ac:dyDescent="0.3">
      <c r="A30" s="65" t="s">
        <v>16</v>
      </c>
      <c r="B30" s="87"/>
      <c r="C30" s="60"/>
      <c r="D30" s="60"/>
      <c r="E30" s="60"/>
      <c r="F30" s="60"/>
      <c r="G30" s="60"/>
      <c r="H30" s="88"/>
      <c r="I30" s="87"/>
      <c r="J30" s="131"/>
      <c r="K30" s="78"/>
      <c r="L30" s="102"/>
      <c r="M30" s="66"/>
    </row>
    <row r="31" spans="1:14" x14ac:dyDescent="0.3">
      <c r="A31" s="67" t="s">
        <v>435</v>
      </c>
      <c r="B31" s="83">
        <f>'Ph IO Table 2022'!J4</f>
        <v>309365681.64999998</v>
      </c>
      <c r="C31" s="31">
        <f>'Ph IO Table 2022'!K4</f>
        <v>70935122</v>
      </c>
      <c r="D31" s="31">
        <f>'Ph IO Table 2022'!D7</f>
        <v>30948604448.800003</v>
      </c>
      <c r="E31" s="31">
        <f>SUM('Ph IO Table 2022'!H4:I4)</f>
        <v>459361145</v>
      </c>
      <c r="F31" s="24"/>
      <c r="G31" s="31">
        <f>'Ph IO Table 2022'!L4</f>
        <v>118211998.84999999</v>
      </c>
      <c r="H31" s="84">
        <f>'Ph IO Table 2022'!M4</f>
        <v>13970787.450000001</v>
      </c>
      <c r="I31" s="25">
        <f>SUM(B31:H31)</f>
        <v>31920449183.750004</v>
      </c>
      <c r="J31" s="31">
        <f>'Ph IO Table 2022'!N4</f>
        <v>189205414.99999997</v>
      </c>
      <c r="K31" s="40"/>
      <c r="L31" s="82"/>
      <c r="M31" s="18">
        <f>SUM(I31:L31)</f>
        <v>32109654598.750004</v>
      </c>
      <c r="N31" s="42">
        <f>M31-M5</f>
        <v>0</v>
      </c>
    </row>
    <row r="32" spans="1:14" x14ac:dyDescent="0.3">
      <c r="A32" s="67" t="s">
        <v>436</v>
      </c>
      <c r="B32" s="83">
        <f>'Ph IO Table 2022'!J5</f>
        <v>84054382.700000003</v>
      </c>
      <c r="C32" s="31">
        <f>'Ph IO Table 2022'!K5</f>
        <v>10035280.800000001</v>
      </c>
      <c r="D32" s="36"/>
      <c r="E32" s="36"/>
      <c r="F32" s="24"/>
      <c r="G32" s="31">
        <f>'Ph IO Table 2022'!L5</f>
        <v>43693000.25</v>
      </c>
      <c r="H32" s="84">
        <f>'Ph IO Table 2022'!M5</f>
        <v>3630811.95</v>
      </c>
      <c r="I32" s="25">
        <f>SUM(B32:H32)</f>
        <v>141413475.69999999</v>
      </c>
      <c r="J32" s="31">
        <f>'Ph IO Table 2022'!N5</f>
        <v>48286919.450000003</v>
      </c>
      <c r="K32" s="40"/>
      <c r="L32" s="82"/>
      <c r="M32" s="18">
        <f>SUM(I32:L32)</f>
        <v>189700395.14999998</v>
      </c>
    </row>
    <row r="33" spans="1:15" x14ac:dyDescent="0.3">
      <c r="A33" s="67" t="s">
        <v>18</v>
      </c>
      <c r="B33" s="26"/>
      <c r="C33" s="24"/>
      <c r="D33" s="24"/>
      <c r="E33" s="36"/>
      <c r="F33" s="24"/>
      <c r="G33" s="24"/>
      <c r="H33" s="50"/>
      <c r="I33" s="25">
        <f>SUM(B33:H33)</f>
        <v>0</v>
      </c>
      <c r="J33" s="36"/>
      <c r="K33" s="40"/>
      <c r="L33" s="82"/>
      <c r="M33" s="18">
        <f>SUM(I33:L33)</f>
        <v>0</v>
      </c>
    </row>
    <row r="34" spans="1:15" x14ac:dyDescent="0.3">
      <c r="A34" s="103" t="s">
        <v>413</v>
      </c>
      <c r="B34" s="96">
        <f t="shared" ref="B34:J34" si="1">SUM(B31:B33)</f>
        <v>393420064.34999996</v>
      </c>
      <c r="C34" s="57">
        <f t="shared" si="1"/>
        <v>80970402.799999997</v>
      </c>
      <c r="D34" s="57">
        <f t="shared" si="1"/>
        <v>30948604448.800003</v>
      </c>
      <c r="E34" s="57">
        <f t="shared" si="1"/>
        <v>459361145</v>
      </c>
      <c r="F34" s="57">
        <f t="shared" si="1"/>
        <v>0</v>
      </c>
      <c r="G34" s="57">
        <f t="shared" si="1"/>
        <v>161904999.09999999</v>
      </c>
      <c r="H34" s="57">
        <f t="shared" si="1"/>
        <v>17601599.400000002</v>
      </c>
      <c r="I34" s="113">
        <f t="shared" si="1"/>
        <v>32061862659.450005</v>
      </c>
      <c r="J34" s="62">
        <f t="shared" si="1"/>
        <v>237492334.44999999</v>
      </c>
      <c r="K34" s="106"/>
      <c r="L34" s="134"/>
      <c r="M34" s="69">
        <f>SUM(I34:L34)</f>
        <v>32299354993.900005</v>
      </c>
      <c r="N34" s="42">
        <f>M34-N21</f>
        <v>0</v>
      </c>
    </row>
    <row r="35" spans="1:15" x14ac:dyDescent="0.3">
      <c r="A35" s="65" t="s">
        <v>20</v>
      </c>
      <c r="B35" s="87"/>
      <c r="C35" s="60"/>
      <c r="D35" s="60"/>
      <c r="E35" s="60"/>
      <c r="F35" s="60"/>
      <c r="G35" s="60"/>
      <c r="H35" s="88"/>
      <c r="I35" s="87"/>
      <c r="J35" s="60"/>
      <c r="K35" s="47"/>
      <c r="L35" s="48"/>
      <c r="M35" s="66"/>
    </row>
    <row r="36" spans="1:15" x14ac:dyDescent="0.3">
      <c r="A36" s="67" t="s">
        <v>419</v>
      </c>
      <c r="B36" s="26"/>
      <c r="C36" s="31">
        <f>'Ph IO Table 2022'!K8</f>
        <v>34571165.164917335</v>
      </c>
      <c r="D36" s="24"/>
      <c r="E36" s="24"/>
      <c r="F36" s="24"/>
      <c r="G36" s="31">
        <f>'Ph IO Table 2022'!L8</f>
        <v>13750123.407419158</v>
      </c>
      <c r="H36" s="84">
        <f>'Ph IO Table 2022'!M8</f>
        <v>1951414.30146277</v>
      </c>
      <c r="I36" s="25">
        <f>SUM(B36:H36)</f>
        <v>50272702.873799264</v>
      </c>
      <c r="J36" s="31">
        <f>'Ph IO Table 2022'!N8</f>
        <v>115709188.87001301</v>
      </c>
      <c r="L36" s="82"/>
      <c r="M36" s="18">
        <f>SUM(I36:L36)</f>
        <v>165981891.74381226</v>
      </c>
    </row>
    <row r="37" spans="1:15" x14ac:dyDescent="0.3">
      <c r="A37" s="67" t="s">
        <v>22</v>
      </c>
      <c r="B37" s="83">
        <f>'Ph IO Table 2022'!J18</f>
        <v>393420064.34999996</v>
      </c>
      <c r="C37" s="31">
        <f>SUM('Ph IO Table 2022'!K4:K5)</f>
        <v>80970402.799999997</v>
      </c>
      <c r="D37" s="31">
        <f>'Ph IO Table 2022'!D7</f>
        <v>30948604448.800003</v>
      </c>
      <c r="E37" s="24"/>
      <c r="F37" s="24"/>
      <c r="G37" s="31">
        <f>'Ph IO Table 2022'!L4+'Ph IO Table 2022'!L5</f>
        <v>161904999.09999999</v>
      </c>
      <c r="H37" s="84">
        <f>'Ph IO Table 2022'!M4+'Ph IO Table 2022'!M5</f>
        <v>17601599.400000002</v>
      </c>
      <c r="I37" s="25">
        <f>SUM(B37:H37)</f>
        <v>31602501514.450005</v>
      </c>
      <c r="J37" s="31">
        <f>'Ph IO Table 2022'!N4+'Ph IO Table 2022'!N5</f>
        <v>237492334.44999999</v>
      </c>
      <c r="L37" s="82"/>
      <c r="M37" s="18">
        <f>SUM(I37:L37)</f>
        <v>31839993848.900005</v>
      </c>
    </row>
    <row r="38" spans="1:15" x14ac:dyDescent="0.3">
      <c r="A38" s="68" t="str">
        <f>A19</f>
        <v>Non-revenue water and losses in distribution</v>
      </c>
      <c r="B38" s="85"/>
      <c r="C38" s="54"/>
      <c r="D38" s="54"/>
      <c r="E38" s="79">
        <f>'Ph IO Table 2022'!R14+'Ph IO Table 2022'!R15</f>
        <v>293379253.25618768</v>
      </c>
      <c r="F38" s="55"/>
      <c r="G38" s="54"/>
      <c r="H38" s="86"/>
      <c r="I38" s="96">
        <f>SUM(B38:H38)</f>
        <v>293379253.25618768</v>
      </c>
      <c r="J38" s="55"/>
      <c r="K38" s="58"/>
      <c r="L38" s="98"/>
      <c r="M38" s="69">
        <f>SUM(I38:L38)</f>
        <v>293379253.25618768</v>
      </c>
      <c r="N38" s="42">
        <f>SUM(M36:M38)</f>
        <v>32299354993.900005</v>
      </c>
      <c r="O38" s="42">
        <f>M34-N38</f>
        <v>0</v>
      </c>
    </row>
    <row r="39" spans="1:15" x14ac:dyDescent="0.3">
      <c r="A39" s="65" t="s">
        <v>23</v>
      </c>
      <c r="B39" s="87"/>
      <c r="C39" s="60"/>
      <c r="D39" s="60"/>
      <c r="E39" s="60"/>
      <c r="F39" s="60"/>
      <c r="G39" s="60"/>
      <c r="H39" s="88"/>
      <c r="I39" s="87"/>
      <c r="J39" s="60"/>
      <c r="K39" s="47"/>
      <c r="L39" s="48"/>
      <c r="M39" s="66"/>
    </row>
    <row r="40" spans="1:15" x14ac:dyDescent="0.3">
      <c r="A40" s="67" t="s">
        <v>416</v>
      </c>
      <c r="B40" s="99"/>
      <c r="C40" s="32"/>
      <c r="D40" s="32"/>
      <c r="E40" s="36"/>
      <c r="F40" s="31">
        <f>'Ph IO Table 2022'!R16</f>
        <v>118214888.46000004</v>
      </c>
      <c r="G40" s="32"/>
      <c r="H40" s="100"/>
      <c r="I40" s="25">
        <f>SUM(E40:F40)</f>
        <v>118214888.46000004</v>
      </c>
      <c r="J40" s="32"/>
      <c r="L40" s="82"/>
      <c r="M40" s="18">
        <f>SUM(I40:J40)</f>
        <v>118214888.46000004</v>
      </c>
    </row>
    <row r="41" spans="1:15" x14ac:dyDescent="0.3">
      <c r="A41" s="67" t="s">
        <v>25</v>
      </c>
      <c r="B41" s="26"/>
      <c r="C41" s="24"/>
      <c r="D41" s="24"/>
      <c r="E41" s="24"/>
      <c r="F41" s="24"/>
      <c r="G41" s="24"/>
      <c r="H41" s="50"/>
      <c r="I41" s="26"/>
      <c r="J41" s="24"/>
      <c r="L41" s="82"/>
      <c r="M41" s="18">
        <f>SUM(I41:J41)</f>
        <v>0</v>
      </c>
    </row>
    <row r="42" spans="1:15" x14ac:dyDescent="0.3">
      <c r="A42" s="68" t="s">
        <v>417</v>
      </c>
      <c r="B42" s="89"/>
      <c r="C42" s="55"/>
      <c r="D42" s="55"/>
      <c r="E42" s="55"/>
      <c r="F42" s="55"/>
      <c r="G42" s="55"/>
      <c r="H42" s="90"/>
      <c r="I42" s="89"/>
      <c r="J42" s="55"/>
      <c r="K42" s="58"/>
      <c r="L42" s="98"/>
      <c r="M42" s="69">
        <f>SUM(I42:J42)</f>
        <v>0</v>
      </c>
    </row>
    <row r="43" spans="1:15" x14ac:dyDescent="0.3">
      <c r="A43" s="65" t="s">
        <v>27</v>
      </c>
      <c r="B43" s="87"/>
      <c r="C43" s="60"/>
      <c r="D43" s="60"/>
      <c r="E43" s="60"/>
      <c r="F43" s="60"/>
      <c r="G43" s="60"/>
      <c r="H43" s="88"/>
      <c r="I43" s="87"/>
      <c r="J43" s="60"/>
      <c r="K43" s="47"/>
      <c r="L43" s="48"/>
      <c r="M43" s="66"/>
    </row>
    <row r="44" spans="1:15" x14ac:dyDescent="0.3">
      <c r="A44" s="67" t="s">
        <v>28</v>
      </c>
      <c r="B44" s="99"/>
      <c r="C44" s="32"/>
      <c r="D44" s="32"/>
      <c r="E44" s="32"/>
      <c r="F44" s="32"/>
      <c r="G44" s="32"/>
      <c r="H44" s="100"/>
      <c r="I44" s="99"/>
      <c r="J44" s="32"/>
      <c r="K44" s="40"/>
      <c r="L44" s="135">
        <f>I17</f>
        <v>31167928293.797951</v>
      </c>
      <c r="M44" s="18">
        <f>SUM(L44)</f>
        <v>31167928293.797951</v>
      </c>
    </row>
    <row r="45" spans="1:15" x14ac:dyDescent="0.3">
      <c r="A45" s="67" t="s">
        <v>29</v>
      </c>
      <c r="B45" s="99"/>
      <c r="C45" s="32"/>
      <c r="D45" s="32"/>
      <c r="E45" s="32"/>
      <c r="F45" s="32"/>
      <c r="G45" s="32"/>
      <c r="H45" s="100"/>
      <c r="I45" s="99"/>
      <c r="J45" s="32"/>
      <c r="K45" s="40"/>
      <c r="L45" s="61"/>
      <c r="M45" s="18">
        <f t="shared" ref="M45:M48" si="2">SUM(L45)</f>
        <v>0</v>
      </c>
    </row>
    <row r="46" spans="1:15" x14ac:dyDescent="0.3">
      <c r="A46" s="67" t="str">
        <f>A19</f>
        <v>Non-revenue water and losses in distribution</v>
      </c>
      <c r="B46" s="99"/>
      <c r="C46" s="32"/>
      <c r="D46" s="32"/>
      <c r="E46" s="32"/>
      <c r="F46" s="32"/>
      <c r="G46" s="32"/>
      <c r="H46" s="100"/>
      <c r="I46" s="99"/>
      <c r="J46" s="32"/>
      <c r="K46" s="40"/>
      <c r="L46" s="135">
        <f>I19</f>
        <v>293379253.25618768</v>
      </c>
      <c r="M46" s="18">
        <f t="shared" si="2"/>
        <v>293379253.25618768</v>
      </c>
    </row>
    <row r="47" spans="1:15" ht="28.8" x14ac:dyDescent="0.3">
      <c r="A47" s="71" t="s">
        <v>30</v>
      </c>
      <c r="B47" s="87"/>
      <c r="C47" s="60"/>
      <c r="D47" s="60"/>
      <c r="E47" s="60"/>
      <c r="F47" s="60"/>
      <c r="G47" s="60"/>
      <c r="H47" s="88"/>
      <c r="I47" s="87"/>
      <c r="J47" s="60"/>
      <c r="K47" s="47"/>
      <c r="L47" s="48"/>
      <c r="M47" s="66"/>
    </row>
    <row r="48" spans="1:15" ht="28.8" x14ac:dyDescent="0.3">
      <c r="A48" s="104" t="s">
        <v>31</v>
      </c>
      <c r="B48" s="101"/>
      <c r="C48" s="59"/>
      <c r="D48" s="59"/>
      <c r="E48" s="59"/>
      <c r="F48" s="59"/>
      <c r="G48" s="59"/>
      <c r="H48" s="98"/>
      <c r="I48" s="101"/>
      <c r="J48" s="59"/>
      <c r="K48" s="58"/>
      <c r="L48" s="109">
        <f>M21</f>
        <v>838047446.84586215</v>
      </c>
      <c r="M48" s="18">
        <f t="shared" si="2"/>
        <v>838047446.84586215</v>
      </c>
    </row>
    <row r="49" spans="1:13" ht="15" thickBot="1" x14ac:dyDescent="0.35">
      <c r="A49" s="77" t="s">
        <v>398</v>
      </c>
      <c r="B49" s="17">
        <f>SUM(B35:B38)</f>
        <v>393420064.34999996</v>
      </c>
      <c r="C49" s="17">
        <f>SUM(C35:C38)</f>
        <v>115541567.96491733</v>
      </c>
      <c r="D49" s="17">
        <f>SUM(D35:D38)</f>
        <v>30948604448.800003</v>
      </c>
      <c r="E49" s="17">
        <f>SUM(E34)</f>
        <v>459361145</v>
      </c>
      <c r="F49" s="17">
        <f>SUM(F39:F42)</f>
        <v>118214888.46000004</v>
      </c>
      <c r="G49" s="17">
        <f>SUM(G35:G38)</f>
        <v>175655122.50741914</v>
      </c>
      <c r="H49" s="17">
        <f>SUM(H35:H38)</f>
        <v>19553013.701462772</v>
      </c>
      <c r="I49" s="17">
        <f>SUM(I35:I40)</f>
        <v>32064368359.039989</v>
      </c>
      <c r="J49" s="17">
        <f>SUM(J35:J38)</f>
        <v>353201523.32001299</v>
      </c>
      <c r="K49" s="17">
        <f>SUM(K35:K38)</f>
        <v>0</v>
      </c>
      <c r="L49" s="17">
        <f>SUM(L43:L48)</f>
        <v>32299354993.900002</v>
      </c>
      <c r="M49" s="17">
        <f>SUM(M35:M38)</f>
        <v>32299354993.900005</v>
      </c>
    </row>
    <row r="50" spans="1:13" x14ac:dyDescent="0.3">
      <c r="B50" s="42">
        <f t="shared" ref="B50:J50" si="3">B49-B22</f>
        <v>0</v>
      </c>
      <c r="C50" s="42">
        <f t="shared" si="3"/>
        <v>0</v>
      </c>
      <c r="D50" s="42">
        <f t="shared" si="3"/>
        <v>0</v>
      </c>
      <c r="E50" s="42">
        <f t="shared" si="3"/>
        <v>0</v>
      </c>
      <c r="F50" s="42">
        <f t="shared" si="3"/>
        <v>0</v>
      </c>
      <c r="G50" s="42">
        <f t="shared" si="3"/>
        <v>0</v>
      </c>
      <c r="H50" s="42">
        <f t="shared" si="3"/>
        <v>0</v>
      </c>
      <c r="I50" s="42">
        <f t="shared" si="3"/>
        <v>0</v>
      </c>
      <c r="J50" s="42">
        <f t="shared" si="3"/>
        <v>0</v>
      </c>
    </row>
  </sheetData>
  <mergeCells count="10">
    <mergeCell ref="B27:H27"/>
    <mergeCell ref="J27:J28"/>
    <mergeCell ref="K27:K28"/>
    <mergeCell ref="L27:L28"/>
    <mergeCell ref="M27:M29"/>
    <mergeCell ref="B1:H1"/>
    <mergeCell ref="J1:J2"/>
    <mergeCell ref="K1:K2"/>
    <mergeCell ref="L1:L2"/>
    <mergeCell ref="M1:M3"/>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E116E-58CE-4E7A-BDC5-218ED2EE464A}">
  <sheetPr>
    <tabColor theme="3" tint="9.9978637043366805E-2"/>
  </sheetPr>
  <dimension ref="B2:V26"/>
  <sheetViews>
    <sheetView topLeftCell="D1" workbookViewId="0">
      <selection activeCell="O11" sqref="O11"/>
    </sheetView>
  </sheetViews>
  <sheetFormatPr defaultRowHeight="14.4" x14ac:dyDescent="0.3"/>
  <cols>
    <col min="1" max="1" width="4.109375" customWidth="1"/>
    <col min="2" max="2" width="62.6640625" bestFit="1" customWidth="1"/>
    <col min="3" max="3" width="12.6640625" bestFit="1" customWidth="1"/>
    <col min="4" max="4" width="18.33203125" bestFit="1" customWidth="1"/>
    <col min="5" max="5" width="16.77734375" bestFit="1" customWidth="1"/>
    <col min="6" max="6" width="14.44140625" bestFit="1" customWidth="1"/>
    <col min="7" max="7" width="13.5546875" bestFit="1" customWidth="1"/>
    <col min="8" max="8" width="15.21875" bestFit="1" customWidth="1"/>
    <col min="9" max="9" width="14.44140625" bestFit="1" customWidth="1"/>
    <col min="10" max="10" width="15.21875" bestFit="1" customWidth="1"/>
    <col min="11" max="12" width="14.88671875" bestFit="1" customWidth="1"/>
    <col min="13" max="13" width="13.5546875" bestFit="1" customWidth="1"/>
    <col min="14" max="14" width="14.88671875" bestFit="1" customWidth="1"/>
    <col min="15" max="15" width="14" bestFit="1" customWidth="1"/>
    <col min="16" max="16" width="17.44140625" bestFit="1" customWidth="1"/>
    <col min="17" max="17" width="14" bestFit="1" customWidth="1"/>
    <col min="18" max="18" width="14.88671875" bestFit="1" customWidth="1"/>
    <col min="19" max="19" width="16.77734375" bestFit="1" customWidth="1"/>
    <col min="20" max="20" width="6.6640625" bestFit="1" customWidth="1"/>
    <col min="21" max="21" width="18.33203125" bestFit="1" customWidth="1"/>
    <col min="22" max="22" width="15.21875" bestFit="1" customWidth="1"/>
  </cols>
  <sheetData>
    <row r="2" spans="2:22" ht="72" x14ac:dyDescent="0.3">
      <c r="B2" s="294"/>
      <c r="C2" s="292" t="s">
        <v>9</v>
      </c>
      <c r="D2" s="292" t="s">
        <v>429</v>
      </c>
      <c r="E2" s="292" t="s">
        <v>4</v>
      </c>
      <c r="F2" s="292" t="s">
        <v>17</v>
      </c>
      <c r="G2" s="292" t="s">
        <v>434</v>
      </c>
      <c r="H2" s="292" t="s">
        <v>430</v>
      </c>
      <c r="I2" s="292" t="s">
        <v>12</v>
      </c>
      <c r="J2" s="292" t="s">
        <v>387</v>
      </c>
      <c r="K2" s="292" t="s">
        <v>241</v>
      </c>
      <c r="L2" s="292" t="s">
        <v>75</v>
      </c>
      <c r="M2" s="292" t="s">
        <v>14</v>
      </c>
      <c r="N2" s="292" t="s">
        <v>7</v>
      </c>
      <c r="O2" s="292" t="s">
        <v>432</v>
      </c>
      <c r="P2" s="292" t="s">
        <v>431</v>
      </c>
      <c r="Q2" s="292" t="s">
        <v>13</v>
      </c>
      <c r="R2" s="292" t="s">
        <v>422</v>
      </c>
      <c r="S2" s="293" t="str">
        <f>'Ph Water SUT- 2021'!A21</f>
        <v>Total water evaporated, transpired and incorporated into products</v>
      </c>
      <c r="T2" s="292"/>
      <c r="U2" s="299" t="s">
        <v>1</v>
      </c>
      <c r="V2" s="292" t="s">
        <v>0</v>
      </c>
    </row>
    <row r="3" spans="2:22" x14ac:dyDescent="0.3">
      <c r="B3" s="295" t="str">
        <f>C2</f>
        <v>Flows from the Environment</v>
      </c>
      <c r="C3" s="30"/>
      <c r="D3" s="30"/>
      <c r="E3" s="33">
        <f>SUM('WRA Report Data'!B19,'WRA Report Data'!D19,'WRA Report Data'!F19,'WRA Report Data'!H19,'WRA Report Data'!J19,'WRA Report Data'!N19)</f>
        <v>3220074165</v>
      </c>
      <c r="F3" s="33">
        <f>SUM('WRA Report Data'!C19,'WRA Report Data'!E19,'WRA Report Data'!G19,'WRA Report Data'!I19,'WRA Report Data'!K19,'WRA Report Data'!O19)</f>
        <v>408138072.5</v>
      </c>
      <c r="G3" s="30"/>
      <c r="H3" s="30"/>
      <c r="I3" s="30"/>
      <c r="J3" s="30"/>
      <c r="K3" s="30"/>
      <c r="L3" s="30"/>
      <c r="M3" s="30"/>
      <c r="N3" s="30"/>
      <c r="O3" s="30"/>
      <c r="P3" s="30"/>
      <c r="Q3" s="30"/>
      <c r="R3" s="30"/>
      <c r="S3" s="30"/>
      <c r="T3" s="30"/>
      <c r="U3" s="300">
        <f>SUM(C3:S3)</f>
        <v>3628212237.5</v>
      </c>
      <c r="V3" s="128"/>
    </row>
    <row r="4" spans="2:22" x14ac:dyDescent="0.3">
      <c r="B4" s="296" t="s">
        <v>4</v>
      </c>
      <c r="C4" s="7"/>
      <c r="D4" s="7"/>
      <c r="E4" s="7"/>
      <c r="F4" s="7"/>
      <c r="G4" s="7"/>
      <c r="H4" s="33">
        <f>'WASREB 22-23'!CR4</f>
        <v>453532186.69999993</v>
      </c>
      <c r="I4" s="7"/>
      <c r="J4" s="33">
        <f>SUM('WRA Report Data'!F19,'WRA Report Data'!H19)</f>
        <v>553279775</v>
      </c>
      <c r="K4" s="417">
        <f>'WRA Report Data'!D25</f>
        <v>94886040.111770287</v>
      </c>
      <c r="L4" s="417">
        <f>'WRA Report Data'!D26</f>
        <v>236877338.06252378</v>
      </c>
      <c r="M4" s="417">
        <f>'WRA Report Data'!D28</f>
        <v>28583165.471044812</v>
      </c>
      <c r="N4" s="417">
        <f>'WRA Report Data'!D27</f>
        <v>1852915659.6546614</v>
      </c>
      <c r="O4" s="7"/>
      <c r="P4" s="7"/>
      <c r="Q4" s="7"/>
      <c r="R4" s="7"/>
      <c r="S4" s="7"/>
      <c r="T4" s="6"/>
      <c r="U4" s="300">
        <f t="shared" ref="U4:U17" si="0">SUM(C4:S4)</f>
        <v>3220074165</v>
      </c>
      <c r="V4" s="9">
        <f>E18-U4</f>
        <v>0</v>
      </c>
    </row>
    <row r="5" spans="2:22" x14ac:dyDescent="0.3">
      <c r="B5" s="296" t="s">
        <v>17</v>
      </c>
      <c r="C5" s="7"/>
      <c r="D5" s="7"/>
      <c r="E5" s="7"/>
      <c r="F5" s="7"/>
      <c r="G5" s="7"/>
      <c r="H5" s="7"/>
      <c r="I5" s="7"/>
      <c r="J5" s="33">
        <f>SUM('WRA Report Data'!G19,'WRA Report Data'!I19)</f>
        <v>198038050</v>
      </c>
      <c r="K5" s="417">
        <f>'WRA Report Data'!K19</f>
        <v>13919640</v>
      </c>
      <c r="L5" s="417">
        <f>'WRA Report Data'!C19</f>
        <v>86096382.5</v>
      </c>
      <c r="M5" s="417">
        <f>'WRA Report Data'!O19</f>
        <v>7879620</v>
      </c>
      <c r="N5" s="417">
        <f>'WRA Report Data'!E19</f>
        <v>102204380</v>
      </c>
      <c r="O5" s="7"/>
      <c r="P5" s="7"/>
      <c r="Q5" s="7"/>
      <c r="R5" s="7"/>
      <c r="S5" s="7"/>
      <c r="T5" s="6"/>
      <c r="U5" s="300">
        <f t="shared" si="0"/>
        <v>408138072.5</v>
      </c>
      <c r="V5" s="9">
        <f>F18-U5</f>
        <v>0</v>
      </c>
    </row>
    <row r="6" spans="2:22" x14ac:dyDescent="0.3">
      <c r="B6" s="296" t="str">
        <f>G2</f>
        <v>Water collection and supply: Imported treated water</v>
      </c>
      <c r="C6" s="7"/>
      <c r="D6" s="7"/>
      <c r="E6" s="7"/>
      <c r="F6" s="7"/>
      <c r="G6" s="7"/>
      <c r="I6" s="7"/>
      <c r="J6" s="7"/>
      <c r="K6" s="7"/>
      <c r="L6" s="7"/>
      <c r="M6" s="7"/>
      <c r="N6" s="7"/>
      <c r="O6" s="7"/>
      <c r="P6" s="7"/>
      <c r="Q6" s="7"/>
      <c r="R6" s="7"/>
      <c r="S6" s="7"/>
      <c r="T6" s="6"/>
      <c r="U6" s="300">
        <f t="shared" si="0"/>
        <v>0</v>
      </c>
      <c r="V6" s="9">
        <f>G18-U6</f>
        <v>0</v>
      </c>
    </row>
    <row r="7" spans="2:22" x14ac:dyDescent="0.3">
      <c r="B7" s="296" t="s">
        <v>429</v>
      </c>
      <c r="C7" s="7"/>
      <c r="D7" s="33">
        <f>'WRA Report Data'!L19+'WRA Report Data'!M19</f>
        <v>2087819345</v>
      </c>
      <c r="E7" s="7"/>
      <c r="F7" s="7"/>
      <c r="G7" s="7"/>
      <c r="H7" s="7"/>
      <c r="I7" s="7"/>
      <c r="J7" s="7"/>
      <c r="K7" s="7"/>
      <c r="L7" s="7"/>
      <c r="M7" s="7"/>
      <c r="N7" s="7"/>
      <c r="O7" s="7"/>
      <c r="P7" s="7"/>
      <c r="Q7" s="7"/>
      <c r="R7" s="7"/>
      <c r="S7" s="7"/>
      <c r="T7" s="6"/>
      <c r="U7" s="300">
        <f t="shared" si="0"/>
        <v>2087819345</v>
      </c>
      <c r="V7" s="9">
        <f>D18-U7</f>
        <v>0</v>
      </c>
    </row>
    <row r="8" spans="2:22" x14ac:dyDescent="0.3">
      <c r="B8" s="296" t="str">
        <f>I2</f>
        <v>Water collection, treatment and supply</v>
      </c>
      <c r="C8" s="7"/>
      <c r="D8" s="7"/>
      <c r="E8" s="7"/>
      <c r="F8" s="7"/>
      <c r="G8" s="7"/>
      <c r="H8" s="7"/>
      <c r="I8" s="7"/>
      <c r="J8" s="7"/>
      <c r="K8" s="33">
        <f>SUM('WASREB 22-23'!CR49:CR52)</f>
        <v>57490693.745395482</v>
      </c>
      <c r="L8" s="33">
        <f>SUM('WASREB 22-23'!CR47:CR48)</f>
        <v>15880126.447389036</v>
      </c>
      <c r="M8" s="33">
        <f>'WASREB 22-23'!CR53</f>
        <v>3286083.6768812779</v>
      </c>
      <c r="N8" s="33">
        <f>SUM('WASREB 22-23'!CR45:CR46)</f>
        <v>163722681.77713966</v>
      </c>
      <c r="O8" s="33">
        <f>'WASREB 22-23'!CR56</f>
        <v>17615797.033194516</v>
      </c>
      <c r="P8" s="33">
        <f>'WASREB 22-23'!CR41</f>
        <v>195536804.02000001</v>
      </c>
      <c r="Q8" s="7"/>
      <c r="R8" s="7"/>
      <c r="S8" s="7"/>
      <c r="T8" s="6"/>
      <c r="U8" s="300">
        <f t="shared" si="0"/>
        <v>453532186.69999999</v>
      </c>
      <c r="V8" s="9">
        <f>SUM(G18:I18)-U8</f>
        <v>0</v>
      </c>
    </row>
    <row r="9" spans="2:22" x14ac:dyDescent="0.3">
      <c r="B9" s="296" t="s">
        <v>387</v>
      </c>
      <c r="C9" s="7"/>
      <c r="D9" s="7"/>
      <c r="E9" s="7"/>
      <c r="F9" s="7"/>
      <c r="G9" s="7"/>
      <c r="H9" s="7"/>
      <c r="I9" s="7"/>
      <c r="J9" s="7"/>
      <c r="K9" s="7"/>
      <c r="L9" s="7"/>
      <c r="M9" s="7"/>
      <c r="N9" s="7"/>
      <c r="O9" s="7"/>
      <c r="P9" s="7"/>
      <c r="Q9" s="7"/>
      <c r="R9" s="23">
        <f>J18*25.7%</f>
        <v>193088681.02500001</v>
      </c>
      <c r="S9" s="34">
        <f>J18-R9</f>
        <v>558229143.97500002</v>
      </c>
      <c r="T9" s="6"/>
      <c r="U9" s="300">
        <f>SUM(C9:S9)</f>
        <v>751317825</v>
      </c>
      <c r="V9" s="9">
        <f>J18-U9</f>
        <v>0</v>
      </c>
    </row>
    <row r="10" spans="2:22" x14ac:dyDescent="0.3">
      <c r="B10" s="296" t="s">
        <v>241</v>
      </c>
      <c r="C10" s="7"/>
      <c r="D10" s="7"/>
      <c r="E10" s="7"/>
      <c r="F10" s="7"/>
      <c r="G10" s="7"/>
      <c r="H10" s="7"/>
      <c r="I10" s="7"/>
      <c r="J10" s="7"/>
      <c r="K10" s="7"/>
      <c r="L10" s="7"/>
      <c r="M10" s="7"/>
      <c r="N10" s="7"/>
      <c r="O10" s="7"/>
      <c r="P10" s="7"/>
      <c r="Q10" s="416">
        <f>SUM('WASREB 20-21'!B72:CL75)</f>
        <v>34181282.176953413</v>
      </c>
      <c r="R10" s="7"/>
      <c r="S10" s="34">
        <f>K18-Q10</f>
        <v>132115091.68021235</v>
      </c>
      <c r="T10" s="6"/>
      <c r="U10" s="300">
        <f t="shared" si="0"/>
        <v>166296373.85716575</v>
      </c>
      <c r="V10" s="9">
        <f>K18-U10</f>
        <v>0</v>
      </c>
    </row>
    <row r="11" spans="2:22" x14ac:dyDescent="0.3">
      <c r="B11" s="296" t="s">
        <v>75</v>
      </c>
      <c r="C11" s="7"/>
      <c r="D11" s="7"/>
      <c r="E11" s="7"/>
      <c r="F11" s="7"/>
      <c r="G11" s="7"/>
      <c r="H11" s="7"/>
      <c r="I11" s="7"/>
      <c r="J11" s="7"/>
      <c r="K11" s="7"/>
      <c r="L11" s="7"/>
      <c r="M11" s="7"/>
      <c r="N11" s="7"/>
      <c r="O11" s="7"/>
      <c r="P11" s="7"/>
      <c r="Q11" s="416">
        <f>SUM('WASREB 20-21'!B70:CM71)</f>
        <v>4387417.9020084161</v>
      </c>
      <c r="R11" s="7"/>
      <c r="S11" s="34">
        <f>L18-Q11</f>
        <v>334466429.10790443</v>
      </c>
      <c r="T11" s="6"/>
      <c r="U11" s="300">
        <f t="shared" si="0"/>
        <v>338853847.00991285</v>
      </c>
      <c r="V11" s="9">
        <f>L18-U11</f>
        <v>0</v>
      </c>
    </row>
    <row r="12" spans="2:22" x14ac:dyDescent="0.3">
      <c r="B12" s="296" t="s">
        <v>14</v>
      </c>
      <c r="C12" s="7"/>
      <c r="D12" s="7"/>
      <c r="E12" s="7"/>
      <c r="F12" s="7"/>
      <c r="G12" s="7"/>
      <c r="H12" s="7"/>
      <c r="I12" s="7"/>
      <c r="J12" s="7"/>
      <c r="K12" s="7"/>
      <c r="L12" s="7"/>
      <c r="M12" s="7"/>
      <c r="N12" s="7"/>
      <c r="O12" s="7"/>
      <c r="P12" s="7"/>
      <c r="Q12" s="416">
        <f>SUM('WASREB 20-21'!B76:CM76)</f>
        <v>1957014.8419732067</v>
      </c>
      <c r="R12" s="7"/>
      <c r="S12" s="34">
        <f>M18-Q12</f>
        <v>37791854.305952877</v>
      </c>
      <c r="T12" s="6"/>
      <c r="U12" s="300">
        <f t="shared" si="0"/>
        <v>39748869.147926085</v>
      </c>
      <c r="V12" s="9">
        <f>M18-U12</f>
        <v>0</v>
      </c>
    </row>
    <row r="13" spans="2:22" x14ac:dyDescent="0.3">
      <c r="B13" s="296" t="s">
        <v>7</v>
      </c>
      <c r="C13" s="7"/>
      <c r="D13" s="7"/>
      <c r="E13" s="7"/>
      <c r="F13" s="7"/>
      <c r="G13" s="7"/>
      <c r="H13" s="7"/>
      <c r="I13" s="7"/>
      <c r="J13" s="7"/>
      <c r="K13" s="7"/>
      <c r="L13" s="7"/>
      <c r="M13" s="7"/>
      <c r="N13" s="7"/>
      <c r="O13" s="7"/>
      <c r="P13" s="7"/>
      <c r="Q13" s="416">
        <f>SUM('WASREB 20-21'!B68:CN68,'WASREB 20-21'!B69:CM69)</f>
        <v>77689173.539065003</v>
      </c>
      <c r="R13" s="7"/>
      <c r="S13" s="34">
        <f>N18-Q13</f>
        <v>2041153547.892736</v>
      </c>
      <c r="T13" s="6"/>
      <c r="U13" s="300">
        <f t="shared" si="0"/>
        <v>2118842721.4318008</v>
      </c>
      <c r="V13" s="9">
        <f>N18-U13</f>
        <v>0</v>
      </c>
    </row>
    <row r="14" spans="2:22" x14ac:dyDescent="0.3">
      <c r="B14" s="296" t="str">
        <f>O2</f>
        <v>Non-revenue water: non payment</v>
      </c>
      <c r="C14" s="7"/>
      <c r="D14" s="7"/>
      <c r="E14" s="7"/>
      <c r="F14" s="7"/>
      <c r="G14" s="7"/>
      <c r="H14" s="7"/>
      <c r="I14" s="7"/>
      <c r="J14" s="7"/>
      <c r="O14" s="7"/>
      <c r="P14" s="7"/>
      <c r="Q14" s="7"/>
      <c r="R14" s="129">
        <f>O8</f>
        <v>17615797.033194516</v>
      </c>
      <c r="S14" s="129"/>
      <c r="T14" s="6"/>
      <c r="U14" s="300">
        <f t="shared" si="0"/>
        <v>17615797.033194516</v>
      </c>
      <c r="V14" s="9">
        <f>O18-U14</f>
        <v>0</v>
      </c>
    </row>
    <row r="15" spans="2:22" x14ac:dyDescent="0.3">
      <c r="B15" s="296" t="str">
        <f>P2</f>
        <v>Non-revenue water: losses in distribution and other</v>
      </c>
      <c r="C15" s="7"/>
      <c r="D15" s="7"/>
      <c r="E15" s="7"/>
      <c r="F15" s="7"/>
      <c r="G15" s="7"/>
      <c r="H15" s="7"/>
      <c r="I15" s="7"/>
      <c r="J15" s="7"/>
      <c r="O15" s="7"/>
      <c r="P15" s="7"/>
      <c r="Q15" s="7"/>
      <c r="R15" s="129">
        <f>P8</f>
        <v>195536804.02000001</v>
      </c>
      <c r="S15" s="129"/>
      <c r="T15" s="6"/>
      <c r="U15" s="300">
        <f t="shared" si="0"/>
        <v>195536804.02000001</v>
      </c>
      <c r="V15" s="9">
        <f>P18-U15</f>
        <v>0</v>
      </c>
    </row>
    <row r="16" spans="2:22" x14ac:dyDescent="0.3">
      <c r="B16" s="296" t="s">
        <v>13</v>
      </c>
      <c r="C16" s="7"/>
      <c r="D16" s="7"/>
      <c r="E16" s="7"/>
      <c r="F16" s="7"/>
      <c r="G16" s="7"/>
      <c r="H16" s="7"/>
      <c r="I16" s="7"/>
      <c r="J16" s="7"/>
      <c r="O16" s="7"/>
      <c r="P16" s="7"/>
      <c r="Q16" s="7"/>
      <c r="R16" s="425">
        <f>SUM(Q10:Q13)</f>
        <v>118214888.46000004</v>
      </c>
      <c r="S16" s="7"/>
      <c r="T16" s="6"/>
      <c r="U16" s="300">
        <f t="shared" si="0"/>
        <v>118214888.46000004</v>
      </c>
      <c r="V16" s="9">
        <f>Q18-U16</f>
        <v>0</v>
      </c>
    </row>
    <row r="17" spans="2:22" x14ac:dyDescent="0.3">
      <c r="B17" s="296" t="s">
        <v>31</v>
      </c>
      <c r="C17" s="7"/>
      <c r="D17" s="7"/>
      <c r="E17" s="7"/>
      <c r="F17" s="7"/>
      <c r="G17" s="7"/>
      <c r="H17" s="7"/>
      <c r="I17" s="7"/>
      <c r="J17" s="7"/>
      <c r="K17" s="7"/>
      <c r="L17" s="7"/>
      <c r="M17" s="7"/>
      <c r="N17" s="7"/>
      <c r="O17" s="7"/>
      <c r="P17" s="7"/>
      <c r="Q17" s="7"/>
      <c r="R17" s="7"/>
      <c r="S17" s="7"/>
      <c r="T17" s="6"/>
      <c r="U17" s="300">
        <f t="shared" si="0"/>
        <v>0</v>
      </c>
      <c r="V17" s="9"/>
    </row>
    <row r="18" spans="2:22" x14ac:dyDescent="0.3">
      <c r="B18" s="297" t="s">
        <v>1</v>
      </c>
      <c r="C18" s="298">
        <f t="shared" ref="C18:S18" si="1">SUM(C3:C17)</f>
        <v>0</v>
      </c>
      <c r="D18" s="298">
        <f t="shared" si="1"/>
        <v>2087819345</v>
      </c>
      <c r="E18" s="298">
        <f t="shared" si="1"/>
        <v>3220074165</v>
      </c>
      <c r="F18" s="298">
        <f t="shared" si="1"/>
        <v>408138072.5</v>
      </c>
      <c r="G18" s="298">
        <f t="shared" si="1"/>
        <v>0</v>
      </c>
      <c r="H18" s="298">
        <f t="shared" si="1"/>
        <v>453532186.69999993</v>
      </c>
      <c r="I18" s="298">
        <f t="shared" si="1"/>
        <v>0</v>
      </c>
      <c r="J18" s="298">
        <f t="shared" si="1"/>
        <v>751317825</v>
      </c>
      <c r="K18" s="298">
        <f t="shared" si="1"/>
        <v>166296373.85716575</v>
      </c>
      <c r="L18" s="298">
        <f t="shared" si="1"/>
        <v>338853847.00991285</v>
      </c>
      <c r="M18" s="298">
        <f t="shared" si="1"/>
        <v>39748869.147926085</v>
      </c>
      <c r="N18" s="298">
        <f t="shared" si="1"/>
        <v>2118842721.4318011</v>
      </c>
      <c r="O18" s="298">
        <f t="shared" si="1"/>
        <v>17615797.033194516</v>
      </c>
      <c r="P18" s="298">
        <f t="shared" si="1"/>
        <v>195536804.02000001</v>
      </c>
      <c r="Q18" s="298">
        <f t="shared" si="1"/>
        <v>118214888.46000004</v>
      </c>
      <c r="R18" s="298">
        <f t="shared" si="1"/>
        <v>524456170.53819454</v>
      </c>
      <c r="S18" s="298">
        <f t="shared" si="1"/>
        <v>3103756066.9618058</v>
      </c>
      <c r="T18" s="298">
        <v>0</v>
      </c>
      <c r="U18" s="301">
        <v>34203548054.742191</v>
      </c>
    </row>
    <row r="19" spans="2:22" x14ac:dyDescent="0.3">
      <c r="K19" s="9">
        <f>SUM(K3:K17)-K18</f>
        <v>0</v>
      </c>
      <c r="L19" s="9">
        <f>SUM(L3:L17)-L18</f>
        <v>0</v>
      </c>
      <c r="M19" s="9">
        <f>SUM(M3:M17)-M18</f>
        <v>0</v>
      </c>
      <c r="N19" s="9">
        <f>SUM(N3:N17)-N18</f>
        <v>0</v>
      </c>
    </row>
    <row r="22" spans="2:22" x14ac:dyDescent="0.3">
      <c r="K22" s="127"/>
      <c r="L22" s="127"/>
      <c r="M22" s="127"/>
      <c r="N22" s="127"/>
    </row>
    <row r="24" spans="2:22" x14ac:dyDescent="0.3">
      <c r="K24" s="7"/>
      <c r="L24" s="7"/>
      <c r="M24" s="7"/>
      <c r="N24" s="7"/>
    </row>
    <row r="25" spans="2:22" x14ac:dyDescent="0.3">
      <c r="K25" s="7"/>
      <c r="L25" s="7"/>
      <c r="M25" s="7"/>
      <c r="N25" s="7"/>
    </row>
    <row r="26" spans="2:22" x14ac:dyDescent="0.3">
      <c r="K26" s="7"/>
      <c r="L26" s="7"/>
      <c r="M26" s="7"/>
      <c r="N26" s="7"/>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49725-11F1-4DAE-A915-FD13BDDB81C5}">
  <sheetPr>
    <tabColor theme="3" tint="9.9978637043366805E-2"/>
  </sheetPr>
  <dimension ref="A1:O50"/>
  <sheetViews>
    <sheetView topLeftCell="A15" zoomScale="90" zoomScaleNormal="90" workbookViewId="0">
      <selection activeCell="F17" sqref="F17"/>
    </sheetView>
  </sheetViews>
  <sheetFormatPr defaultColWidth="8.88671875" defaultRowHeight="14.4" x14ac:dyDescent="0.3"/>
  <cols>
    <col min="1" max="1" width="45.33203125" style="39" bestFit="1" customWidth="1"/>
    <col min="2" max="2" width="21.33203125" style="39" customWidth="1"/>
    <col min="3" max="3" width="17.44140625" style="39" customWidth="1"/>
    <col min="4" max="4" width="20.33203125" style="39" bestFit="1" customWidth="1"/>
    <col min="5" max="8" width="17.44140625" style="39" customWidth="1"/>
    <col min="9" max="9" width="19.44140625" style="39" bestFit="1" customWidth="1"/>
    <col min="10" max="11" width="17.44140625" style="39" customWidth="1"/>
    <col min="12" max="12" width="26.6640625" style="39" bestFit="1" customWidth="1"/>
    <col min="13" max="13" width="19.33203125" style="39" bestFit="1" customWidth="1"/>
    <col min="14" max="14" width="16.44140625" style="39" hidden="1" customWidth="1"/>
    <col min="15" max="15" width="11.88671875" style="39" bestFit="1" customWidth="1"/>
    <col min="16" max="16384" width="8.88671875" style="39"/>
  </cols>
  <sheetData>
    <row r="1" spans="1:14" x14ac:dyDescent="0.3">
      <c r="A1" s="63" t="s">
        <v>5</v>
      </c>
      <c r="B1" s="325" t="s">
        <v>6</v>
      </c>
      <c r="C1" s="326"/>
      <c r="D1" s="326"/>
      <c r="E1" s="326"/>
      <c r="F1" s="326"/>
      <c r="G1" s="326"/>
      <c r="H1" s="327"/>
      <c r="I1" s="115"/>
      <c r="J1" s="323" t="s">
        <v>7</v>
      </c>
      <c r="K1" s="315" t="s">
        <v>8</v>
      </c>
      <c r="L1" s="315" t="s">
        <v>9</v>
      </c>
      <c r="M1" s="320" t="s">
        <v>10</v>
      </c>
    </row>
    <row r="2" spans="1:14" ht="43.2" x14ac:dyDescent="0.3">
      <c r="A2" s="64" t="s">
        <v>418</v>
      </c>
      <c r="B2" s="124" t="s">
        <v>387</v>
      </c>
      <c r="C2" s="37" t="s">
        <v>241</v>
      </c>
      <c r="D2" s="37" t="s">
        <v>11</v>
      </c>
      <c r="E2" s="37" t="s">
        <v>12</v>
      </c>
      <c r="F2" s="37" t="s">
        <v>13</v>
      </c>
      <c r="G2" s="37" t="s">
        <v>75</v>
      </c>
      <c r="H2" s="121" t="s">
        <v>14</v>
      </c>
      <c r="I2" s="37" t="s">
        <v>15</v>
      </c>
      <c r="J2" s="324"/>
      <c r="K2" s="316"/>
      <c r="L2" s="316"/>
      <c r="M2" s="321"/>
    </row>
    <row r="3" spans="1:14" x14ac:dyDescent="0.3">
      <c r="A3" s="64" t="s">
        <v>388</v>
      </c>
      <c r="B3" s="125" t="s">
        <v>389</v>
      </c>
      <c r="C3" s="122" t="s">
        <v>393</v>
      </c>
      <c r="D3" s="122" t="s">
        <v>390</v>
      </c>
      <c r="E3" s="122" t="s">
        <v>391</v>
      </c>
      <c r="F3" s="122" t="s">
        <v>392</v>
      </c>
      <c r="G3" s="122" t="s">
        <v>395</v>
      </c>
      <c r="H3" s="123" t="s">
        <v>394</v>
      </c>
      <c r="I3" s="38"/>
      <c r="J3" s="38"/>
      <c r="K3" s="38"/>
      <c r="L3" s="38"/>
      <c r="M3" s="322"/>
    </row>
    <row r="4" spans="1:14" x14ac:dyDescent="0.3">
      <c r="A4" s="65" t="s">
        <v>16</v>
      </c>
      <c r="B4" s="80"/>
      <c r="C4" s="47"/>
      <c r="D4" s="47"/>
      <c r="E4" s="47"/>
      <c r="F4" s="47"/>
      <c r="G4" s="47"/>
      <c r="H4" s="48"/>
      <c r="I4" s="46"/>
      <c r="J4" s="47"/>
      <c r="K4" s="47"/>
      <c r="L4" s="48"/>
      <c r="M4" s="48"/>
    </row>
    <row r="5" spans="1:14" x14ac:dyDescent="0.3">
      <c r="A5" s="67" t="s">
        <v>4</v>
      </c>
      <c r="B5" s="81"/>
      <c r="C5" s="40"/>
      <c r="D5" s="40"/>
      <c r="E5" s="40"/>
      <c r="F5" s="40"/>
      <c r="G5" s="40"/>
      <c r="H5" s="82"/>
      <c r="I5" s="94"/>
      <c r="J5" s="40"/>
      <c r="K5" s="40"/>
      <c r="L5" s="84">
        <f>'Ph IO Table 2023'!D7+'Ph IO Table 2023'!E3</f>
        <v>5307893510</v>
      </c>
      <c r="M5" s="50">
        <f>SUM(I5:L5)</f>
        <v>5307893510</v>
      </c>
    </row>
    <row r="6" spans="1:14" x14ac:dyDescent="0.3">
      <c r="A6" s="67" t="s">
        <v>17</v>
      </c>
      <c r="B6" s="81"/>
      <c r="C6" s="40"/>
      <c r="D6" s="40"/>
      <c r="E6" s="40"/>
      <c r="F6" s="40"/>
      <c r="G6" s="40"/>
      <c r="H6" s="82"/>
      <c r="I6" s="94"/>
      <c r="J6" s="40"/>
      <c r="K6" s="40"/>
      <c r="L6" s="84">
        <f>'Ph IO Table 2023'!F3</f>
        <v>408138072.5</v>
      </c>
      <c r="M6" s="50">
        <f>SUM(I6:L6)</f>
        <v>408138072.5</v>
      </c>
    </row>
    <row r="7" spans="1:14" x14ac:dyDescent="0.3">
      <c r="A7" s="67" t="s">
        <v>18</v>
      </c>
      <c r="B7" s="81"/>
      <c r="C7" s="40"/>
      <c r="D7" s="40"/>
      <c r="E7" s="40"/>
      <c r="F7" s="40"/>
      <c r="G7" s="40"/>
      <c r="H7" s="82"/>
      <c r="I7" s="94"/>
      <c r="J7" s="40"/>
      <c r="K7" s="36"/>
      <c r="L7" s="95">
        <v>0</v>
      </c>
      <c r="M7" s="50">
        <f>SUM(I7:L7)</f>
        <v>0</v>
      </c>
    </row>
    <row r="8" spans="1:14" x14ac:dyDescent="0.3">
      <c r="A8" s="106" t="s">
        <v>19</v>
      </c>
      <c r="B8" s="107"/>
      <c r="C8" s="51"/>
      <c r="D8" s="51"/>
      <c r="E8" s="51"/>
      <c r="F8" s="51"/>
      <c r="G8" s="51"/>
      <c r="H8" s="108"/>
      <c r="I8" s="107"/>
      <c r="J8" s="51"/>
      <c r="K8" s="62"/>
      <c r="L8" s="109">
        <f>SUM(L5:L7)</f>
        <v>5716031582.5</v>
      </c>
      <c r="M8" s="53">
        <f>SUM(I8:L8)</f>
        <v>5716031582.5</v>
      </c>
    </row>
    <row r="9" spans="1:14" x14ac:dyDescent="0.3">
      <c r="A9" s="76" t="s">
        <v>20</v>
      </c>
      <c r="B9" s="49"/>
      <c r="H9" s="61"/>
      <c r="I9" s="105"/>
      <c r="L9" s="61"/>
      <c r="M9" s="1"/>
    </row>
    <row r="10" spans="1:14" x14ac:dyDescent="0.3">
      <c r="A10" s="67" t="s">
        <v>21</v>
      </c>
      <c r="B10" s="26"/>
      <c r="C10" s="24"/>
      <c r="D10" s="24"/>
      <c r="E10" s="31">
        <f>SUM('Ph IO Table 2023'!G4:I6)</f>
        <v>453532186.69999993</v>
      </c>
      <c r="F10" s="32"/>
      <c r="G10" s="24"/>
      <c r="H10" s="50"/>
      <c r="I10" s="25">
        <f>SUM(B10:H10)</f>
        <v>453532186.69999993</v>
      </c>
      <c r="J10" s="32"/>
      <c r="K10" s="24"/>
      <c r="L10" s="82"/>
      <c r="M10" s="18">
        <f>SUM(I10:L10)</f>
        <v>453532186.69999993</v>
      </c>
    </row>
    <row r="11" spans="1:14" x14ac:dyDescent="0.3">
      <c r="A11" s="67" t="s">
        <v>22</v>
      </c>
      <c r="B11" s="83">
        <f>'Ph IO Table 2023'!J4+'Ph IO Table 2023'!J5</f>
        <v>751317825</v>
      </c>
      <c r="C11" s="83">
        <f>'Ph IO Table 2023'!K4+'Ph IO Table 2023'!K5</f>
        <v>108805680.11177029</v>
      </c>
      <c r="D11" s="31">
        <f>'Ph IO Table 2023'!D7</f>
        <v>2087819345</v>
      </c>
      <c r="E11" s="24"/>
      <c r="F11" s="32"/>
      <c r="G11" s="31">
        <f>'Ph IO Table 2023'!L4+'Ph IO Table 2023'!L5</f>
        <v>322973720.56252378</v>
      </c>
      <c r="H11" s="84">
        <f>'Ph IO Table 2023'!M4+'Ph IO Table 2023'!M5</f>
        <v>36462785.471044809</v>
      </c>
      <c r="I11" s="25">
        <f>SUM(B11:H11)</f>
        <v>3307379356.145339</v>
      </c>
      <c r="J11" s="31">
        <f>'Ph IO Table 2023'!N4+'Ph IO Table 2023'!N5</f>
        <v>1955120039.6546614</v>
      </c>
      <c r="L11" s="82"/>
      <c r="M11" s="18">
        <f>SUM(I11:L11)</f>
        <v>5262499395.8000002</v>
      </c>
      <c r="N11" s="42">
        <f>SUM(M10:M11)</f>
        <v>5716031582.5</v>
      </c>
    </row>
    <row r="12" spans="1:14" x14ac:dyDescent="0.3">
      <c r="A12" s="65" t="s">
        <v>23</v>
      </c>
      <c r="B12" s="87"/>
      <c r="C12" s="60"/>
      <c r="D12" s="60"/>
      <c r="E12" s="60"/>
      <c r="F12" s="60"/>
      <c r="G12" s="60"/>
      <c r="H12" s="88"/>
      <c r="I12" s="97"/>
      <c r="J12" s="60"/>
      <c r="K12" s="47"/>
      <c r="L12" s="48"/>
      <c r="M12" s="66"/>
    </row>
    <row r="13" spans="1:14" x14ac:dyDescent="0.3">
      <c r="A13" s="67" t="s">
        <v>24</v>
      </c>
      <c r="B13" s="26"/>
      <c r="C13" s="31">
        <f>'Ph IO Table 2023'!Q10</f>
        <v>34181282.176953413</v>
      </c>
      <c r="D13" s="24"/>
      <c r="E13" s="24"/>
      <c r="F13" s="24"/>
      <c r="G13" s="31">
        <f>'Ph IO Table 2023'!Q11</f>
        <v>4387417.9020084161</v>
      </c>
      <c r="H13" s="84">
        <f>'Ph IO Table 2023'!Q12</f>
        <v>1957014.8419732067</v>
      </c>
      <c r="I13" s="25">
        <f>SUM(B13:H13)</f>
        <v>40525714.920935035</v>
      </c>
      <c r="J13" s="31">
        <f>'Ph IO Table 2023'!Q13</f>
        <v>77689173.539065003</v>
      </c>
      <c r="K13" s="40"/>
      <c r="L13" s="82"/>
      <c r="M13" s="16">
        <f>SUM(I13:L13)</f>
        <v>118214888.46000004</v>
      </c>
    </row>
    <row r="14" spans="1:14" x14ac:dyDescent="0.3">
      <c r="A14" s="67" t="s">
        <v>25</v>
      </c>
      <c r="B14" s="26"/>
      <c r="C14" s="24"/>
      <c r="D14" s="24"/>
      <c r="E14" s="24"/>
      <c r="F14" s="24"/>
      <c r="G14" s="24"/>
      <c r="H14" s="50"/>
      <c r="I14" s="25"/>
      <c r="J14" s="24"/>
      <c r="K14" s="40"/>
      <c r="L14" s="82"/>
      <c r="M14" s="1"/>
    </row>
    <row r="15" spans="1:14" x14ac:dyDescent="0.3">
      <c r="A15" s="68" t="s">
        <v>26</v>
      </c>
      <c r="B15" s="89"/>
      <c r="C15" s="55"/>
      <c r="D15" s="55"/>
      <c r="E15" s="55"/>
      <c r="F15" s="55"/>
      <c r="G15" s="55"/>
      <c r="H15" s="90"/>
      <c r="I15" s="96"/>
      <c r="J15" s="55"/>
      <c r="K15" s="59"/>
      <c r="L15" s="98"/>
      <c r="M15" s="70"/>
    </row>
    <row r="16" spans="1:14" x14ac:dyDescent="0.3">
      <c r="A16" s="65" t="s">
        <v>27</v>
      </c>
      <c r="B16" s="87"/>
      <c r="C16" s="60"/>
      <c r="D16" s="60"/>
      <c r="E16" s="60"/>
      <c r="F16" s="60"/>
      <c r="G16" s="60"/>
      <c r="H16" s="88"/>
      <c r="I16" s="97"/>
      <c r="J16" s="60"/>
      <c r="K16" s="47"/>
      <c r="L16" s="48"/>
      <c r="M16" s="66"/>
    </row>
    <row r="17" spans="1:14" x14ac:dyDescent="0.3">
      <c r="A17" s="67" t="s">
        <v>28</v>
      </c>
      <c r="B17" s="91">
        <f>'Ph IO Table 2023'!R9</f>
        <v>193088681.02500001</v>
      </c>
      <c r="C17" s="24"/>
      <c r="D17" s="31">
        <f>'Ph IO Table 2023'!D7</f>
        <v>2087819345</v>
      </c>
      <c r="E17" s="24"/>
      <c r="F17" s="424">
        <f>'Ph IO Table 2023'!R16</f>
        <v>118214888.46000004</v>
      </c>
      <c r="G17" s="24"/>
      <c r="H17" s="50"/>
      <c r="I17" s="25">
        <f>SUM(B17:H17)</f>
        <v>2399122914.4850001</v>
      </c>
      <c r="J17" s="24"/>
      <c r="K17" s="40"/>
      <c r="L17" s="82"/>
      <c r="M17" s="18">
        <f>SUM(I17:L17)</f>
        <v>2399122914.4850001</v>
      </c>
    </row>
    <row r="18" spans="1:14" x14ac:dyDescent="0.3">
      <c r="A18" s="67" t="s">
        <v>29</v>
      </c>
      <c r="B18" s="26"/>
      <c r="C18" s="24"/>
      <c r="D18" s="24"/>
      <c r="E18" s="24"/>
      <c r="F18" s="24"/>
      <c r="G18" s="24"/>
      <c r="H18" s="50"/>
      <c r="I18" s="25"/>
      <c r="J18" s="24"/>
      <c r="K18" s="40"/>
      <c r="L18" s="82"/>
      <c r="M18" s="18">
        <f>SUM(I18:J18)</f>
        <v>0</v>
      </c>
    </row>
    <row r="19" spans="1:14" x14ac:dyDescent="0.3">
      <c r="A19" s="68" t="s">
        <v>428</v>
      </c>
      <c r="B19" s="89"/>
      <c r="C19" s="55"/>
      <c r="D19" s="55"/>
      <c r="E19" s="130">
        <f>SUM('Ph IO Table 2023'!R14:R15)</f>
        <v>213152601.05319452</v>
      </c>
      <c r="F19" s="58"/>
      <c r="G19" s="55"/>
      <c r="H19" s="90"/>
      <c r="I19" s="96">
        <f>SUM(B19:H19)</f>
        <v>213152601.05319452</v>
      </c>
      <c r="J19" s="55"/>
      <c r="K19" s="59"/>
      <c r="L19" s="98"/>
      <c r="M19" s="69">
        <f>SUM(I19:L19)</f>
        <v>213152601.05319452</v>
      </c>
    </row>
    <row r="20" spans="1:14" ht="28.8" x14ac:dyDescent="0.3">
      <c r="A20" s="71" t="s">
        <v>30</v>
      </c>
      <c r="B20" s="87"/>
      <c r="C20" s="60"/>
      <c r="D20" s="60"/>
      <c r="E20" s="60"/>
      <c r="F20" s="60"/>
      <c r="G20" s="60"/>
      <c r="H20" s="88"/>
      <c r="I20" s="97"/>
      <c r="J20" s="60"/>
      <c r="K20" s="47"/>
      <c r="L20" s="48"/>
      <c r="M20" s="66"/>
    </row>
    <row r="21" spans="1:14" ht="28.8" x14ac:dyDescent="0.3">
      <c r="A21" s="72" t="s">
        <v>31</v>
      </c>
      <c r="B21" s="92">
        <f>'Ph IO Table 2023'!S9</f>
        <v>558229143.97500002</v>
      </c>
      <c r="C21" s="56">
        <f>'Ph IO Table 2023'!S10</f>
        <v>132115091.68021235</v>
      </c>
      <c r="D21" s="54"/>
      <c r="E21" s="54"/>
      <c r="F21" s="54"/>
      <c r="G21" s="56">
        <f>'Ph IO Table 2023'!S11</f>
        <v>334466429.10790443</v>
      </c>
      <c r="H21" s="93">
        <f>'Ph IO Table 2023'!S12</f>
        <v>37791854.305952877</v>
      </c>
      <c r="I21" s="96">
        <f>SUM(B21:H21)</f>
        <v>1062602519.0690697</v>
      </c>
      <c r="J21" s="56">
        <f>'Ph IO Table 2023'!S13</f>
        <v>2041153547.892736</v>
      </c>
      <c r="K21" s="59"/>
      <c r="L21" s="98"/>
      <c r="M21" s="18">
        <f>SUM(I21:L21)</f>
        <v>3103756066.9618058</v>
      </c>
      <c r="N21" s="42">
        <f>SUM(M17:M21)</f>
        <v>5716031582.5</v>
      </c>
    </row>
    <row r="22" spans="1:14" ht="15" thickBot="1" x14ac:dyDescent="0.35">
      <c r="A22" s="73" t="s">
        <v>32</v>
      </c>
      <c r="B22" s="74">
        <f>SUM(B12:B21)</f>
        <v>751317825</v>
      </c>
      <c r="C22" s="74">
        <f t="shared" ref="C22:L22" si="0">SUM(C12:C21)</f>
        <v>166296373.85716575</v>
      </c>
      <c r="D22" s="74">
        <f t="shared" si="0"/>
        <v>2087819345</v>
      </c>
      <c r="E22" s="74">
        <f>SUM(E9:E11)</f>
        <v>453532186.69999993</v>
      </c>
      <c r="F22" s="74">
        <f t="shared" si="0"/>
        <v>118214888.46000004</v>
      </c>
      <c r="G22" s="74">
        <f t="shared" si="0"/>
        <v>338853847.00991285</v>
      </c>
      <c r="H22" s="74">
        <f t="shared" si="0"/>
        <v>39748869.147926085</v>
      </c>
      <c r="I22" s="74">
        <f t="shared" si="0"/>
        <v>3715403749.5281997</v>
      </c>
      <c r="J22" s="74">
        <f t="shared" si="0"/>
        <v>2118842721.4318008</v>
      </c>
      <c r="K22" s="74">
        <f t="shared" si="0"/>
        <v>0</v>
      </c>
      <c r="L22" s="74">
        <f t="shared" si="0"/>
        <v>0</v>
      </c>
      <c r="M22" s="75">
        <f>SUM(M17:M21)</f>
        <v>5716031582.5</v>
      </c>
      <c r="N22" s="42">
        <f>N21-M8</f>
        <v>0</v>
      </c>
    </row>
    <row r="23" spans="1:14" x14ac:dyDescent="0.3">
      <c r="B23" s="24"/>
      <c r="C23" s="24"/>
      <c r="D23" s="24"/>
      <c r="E23" s="24"/>
      <c r="F23" s="24"/>
      <c r="G23" s="24"/>
      <c r="H23" s="24"/>
      <c r="I23" s="24"/>
      <c r="J23" s="24"/>
    </row>
    <row r="24" spans="1:14" x14ac:dyDescent="0.3">
      <c r="B24" s="24"/>
      <c r="C24" s="24"/>
      <c r="D24" s="24"/>
      <c r="E24" s="24"/>
      <c r="F24" s="24"/>
      <c r="G24" s="24"/>
      <c r="H24" s="24"/>
      <c r="I24" s="24"/>
      <c r="J24" s="24"/>
    </row>
    <row r="25" spans="1:14" x14ac:dyDescent="0.3">
      <c r="B25" s="24"/>
      <c r="C25" s="24"/>
      <c r="D25" s="24"/>
      <c r="E25" s="24"/>
      <c r="F25" s="24"/>
      <c r="G25" s="24"/>
      <c r="H25" s="24"/>
      <c r="I25" s="24"/>
      <c r="J25" s="24"/>
    </row>
    <row r="26" spans="1:14" ht="15" thickBot="1" x14ac:dyDescent="0.35">
      <c r="B26" s="24"/>
      <c r="C26" s="24"/>
      <c r="D26" s="24"/>
      <c r="E26" s="24"/>
      <c r="F26" s="24"/>
      <c r="G26" s="24"/>
      <c r="H26" s="24"/>
      <c r="I26" s="24"/>
      <c r="J26" s="24"/>
    </row>
    <row r="27" spans="1:14" x14ac:dyDescent="0.3">
      <c r="A27" s="63" t="s">
        <v>396</v>
      </c>
      <c r="B27" s="317" t="s">
        <v>6</v>
      </c>
      <c r="C27" s="318"/>
      <c r="D27" s="318"/>
      <c r="E27" s="318"/>
      <c r="F27" s="318"/>
      <c r="G27" s="318"/>
      <c r="H27" s="319"/>
      <c r="I27" s="114"/>
      <c r="J27" s="313" t="s">
        <v>7</v>
      </c>
      <c r="K27" s="315" t="s">
        <v>406</v>
      </c>
      <c r="L27" s="315" t="s">
        <v>407</v>
      </c>
      <c r="M27" s="320" t="s">
        <v>397</v>
      </c>
    </row>
    <row r="28" spans="1:14" ht="43.2" x14ac:dyDescent="0.3">
      <c r="A28" s="64" t="s">
        <v>418</v>
      </c>
      <c r="B28" s="116" t="s">
        <v>387</v>
      </c>
      <c r="C28" s="44" t="s">
        <v>241</v>
      </c>
      <c r="D28" s="44" t="s">
        <v>11</v>
      </c>
      <c r="E28" s="44" t="s">
        <v>12</v>
      </c>
      <c r="F28" s="44" t="s">
        <v>13</v>
      </c>
      <c r="G28" s="44" t="s">
        <v>75</v>
      </c>
      <c r="H28" s="119" t="s">
        <v>14</v>
      </c>
      <c r="I28" s="45" t="s">
        <v>15</v>
      </c>
      <c r="J28" s="314"/>
      <c r="K28" s="316"/>
      <c r="L28" s="316"/>
      <c r="M28" s="321"/>
    </row>
    <row r="29" spans="1:14" x14ac:dyDescent="0.3">
      <c r="A29" s="64" t="s">
        <v>388</v>
      </c>
      <c r="B29" s="117" t="s">
        <v>389</v>
      </c>
      <c r="C29" s="118" t="s">
        <v>393</v>
      </c>
      <c r="D29" s="118" t="s">
        <v>390</v>
      </c>
      <c r="E29" s="118" t="s">
        <v>391</v>
      </c>
      <c r="F29" s="118" t="s">
        <v>392</v>
      </c>
      <c r="G29" s="118" t="s">
        <v>395</v>
      </c>
      <c r="H29" s="120" t="s">
        <v>394</v>
      </c>
      <c r="I29" s="43"/>
      <c r="J29" s="43"/>
      <c r="K29" s="38"/>
      <c r="L29" s="38"/>
      <c r="M29" s="322"/>
    </row>
    <row r="30" spans="1:14" x14ac:dyDescent="0.3">
      <c r="A30" s="65" t="s">
        <v>16</v>
      </c>
      <c r="B30" s="87"/>
      <c r="C30" s="60"/>
      <c r="D30" s="60"/>
      <c r="E30" s="60"/>
      <c r="F30" s="60"/>
      <c r="G30" s="60"/>
      <c r="H30" s="88"/>
      <c r="I30" s="87"/>
      <c r="J30" s="131"/>
      <c r="K30" s="78"/>
      <c r="L30" s="102"/>
      <c r="M30" s="66"/>
    </row>
    <row r="31" spans="1:14" x14ac:dyDescent="0.3">
      <c r="A31" s="67" t="s">
        <v>435</v>
      </c>
      <c r="B31" s="83">
        <f>'Ph IO Table 2023'!J4</f>
        <v>553279775</v>
      </c>
      <c r="C31" s="31">
        <f>'Ph IO Table 2023'!K4</f>
        <v>94886040.111770287</v>
      </c>
      <c r="D31" s="31">
        <f>'Ph IO Table 2023'!D7</f>
        <v>2087819345</v>
      </c>
      <c r="E31" s="31">
        <f>SUM('Ph IO Table 2023'!H4:I4)</f>
        <v>453532186.69999993</v>
      </c>
      <c r="F31" s="24"/>
      <c r="G31" s="31">
        <f>'Ph IO Table 2023'!L4</f>
        <v>236877338.06252378</v>
      </c>
      <c r="H31" s="84">
        <f>'Ph IO Table 2023'!M4</f>
        <v>28583165.471044812</v>
      </c>
      <c r="I31" s="25">
        <f>SUM(B31:H31)</f>
        <v>3454977850.3453388</v>
      </c>
      <c r="J31" s="31">
        <f>'Ph IO Table 2023'!N4</f>
        <v>1852915659.6546614</v>
      </c>
      <c r="K31" s="40"/>
      <c r="L31" s="82"/>
      <c r="M31" s="18">
        <f>SUM(I31:L31)</f>
        <v>5307893510</v>
      </c>
      <c r="N31" s="42">
        <f>M31-M5</f>
        <v>0</v>
      </c>
    </row>
    <row r="32" spans="1:14" x14ac:dyDescent="0.3">
      <c r="A32" s="67" t="s">
        <v>436</v>
      </c>
      <c r="B32" s="83">
        <f>'Ph IO Table 2023'!J5</f>
        <v>198038050</v>
      </c>
      <c r="C32" s="31">
        <f>'Ph IO Table 2023'!K5</f>
        <v>13919640</v>
      </c>
      <c r="D32" s="36"/>
      <c r="E32" s="36"/>
      <c r="F32" s="24"/>
      <c r="G32" s="31">
        <f>'Ph IO Table 2023'!L5</f>
        <v>86096382.5</v>
      </c>
      <c r="H32" s="84">
        <f>'Ph IO Table 2023'!M5</f>
        <v>7879620</v>
      </c>
      <c r="I32" s="25">
        <f>SUM(B32:H32)</f>
        <v>305933692.5</v>
      </c>
      <c r="J32" s="31">
        <f>'Ph IO Table 2023'!N5</f>
        <v>102204380</v>
      </c>
      <c r="K32" s="40"/>
      <c r="L32" s="82"/>
      <c r="M32" s="18">
        <f>SUM(I32:L32)</f>
        <v>408138072.5</v>
      </c>
    </row>
    <row r="33" spans="1:15" x14ac:dyDescent="0.3">
      <c r="A33" s="67" t="s">
        <v>18</v>
      </c>
      <c r="B33" s="26"/>
      <c r="C33" s="24"/>
      <c r="D33" s="24"/>
      <c r="E33" s="36"/>
      <c r="F33" s="24"/>
      <c r="G33" s="24"/>
      <c r="H33" s="50"/>
      <c r="I33" s="25">
        <f>SUM(B33:H33)</f>
        <v>0</v>
      </c>
      <c r="J33" s="36"/>
      <c r="K33" s="40"/>
      <c r="L33" s="82"/>
      <c r="M33" s="18">
        <f>SUM(I33:L33)</f>
        <v>0</v>
      </c>
    </row>
    <row r="34" spans="1:15" x14ac:dyDescent="0.3">
      <c r="A34" s="103" t="s">
        <v>413</v>
      </c>
      <c r="B34" s="96">
        <f t="shared" ref="B34:J34" si="1">SUM(B31:B33)</f>
        <v>751317825</v>
      </c>
      <c r="C34" s="57">
        <f t="shared" si="1"/>
        <v>108805680.11177029</v>
      </c>
      <c r="D34" s="57">
        <f t="shared" si="1"/>
        <v>2087819345</v>
      </c>
      <c r="E34" s="57">
        <f t="shared" si="1"/>
        <v>453532186.69999993</v>
      </c>
      <c r="F34" s="57">
        <f t="shared" si="1"/>
        <v>0</v>
      </c>
      <c r="G34" s="57">
        <f t="shared" si="1"/>
        <v>322973720.56252378</v>
      </c>
      <c r="H34" s="57">
        <f t="shared" si="1"/>
        <v>36462785.471044809</v>
      </c>
      <c r="I34" s="113">
        <f t="shared" si="1"/>
        <v>3760911542.8453388</v>
      </c>
      <c r="J34" s="62">
        <f t="shared" si="1"/>
        <v>1955120039.6546614</v>
      </c>
      <c r="K34" s="106"/>
      <c r="L34" s="134"/>
      <c r="M34" s="69">
        <f>SUM(I34:L34)</f>
        <v>5716031582.5</v>
      </c>
      <c r="N34" s="42">
        <f>M34-N21</f>
        <v>0</v>
      </c>
    </row>
    <row r="35" spans="1:15" x14ac:dyDescent="0.3">
      <c r="A35" s="65" t="s">
        <v>20</v>
      </c>
      <c r="B35" s="87"/>
      <c r="C35" s="60"/>
      <c r="D35" s="60"/>
      <c r="E35" s="60"/>
      <c r="F35" s="60"/>
      <c r="G35" s="60"/>
      <c r="H35" s="88"/>
      <c r="I35" s="87"/>
      <c r="J35" s="60"/>
      <c r="K35" s="47"/>
      <c r="L35" s="48"/>
      <c r="M35" s="66"/>
    </row>
    <row r="36" spans="1:15" x14ac:dyDescent="0.3">
      <c r="A36" s="67" t="s">
        <v>419</v>
      </c>
      <c r="B36" s="26"/>
      <c r="C36" s="31">
        <f>'Ph IO Table 2023'!K8</f>
        <v>57490693.745395482</v>
      </c>
      <c r="D36" s="24"/>
      <c r="E36" s="24"/>
      <c r="F36" s="24"/>
      <c r="G36" s="31">
        <f>'Ph IO Table 2023'!L8</f>
        <v>15880126.447389036</v>
      </c>
      <c r="H36" s="84">
        <f>'Ph IO Table 2023'!M8</f>
        <v>3286083.6768812779</v>
      </c>
      <c r="I36" s="25">
        <f>SUM(B36:H36)</f>
        <v>76656903.869665802</v>
      </c>
      <c r="J36" s="31">
        <f>'Ph IO Table 2023'!N8</f>
        <v>163722681.77713966</v>
      </c>
      <c r="L36" s="82"/>
      <c r="M36" s="18">
        <f>SUM(I36:L36)</f>
        <v>240379585.64680547</v>
      </c>
    </row>
    <row r="37" spans="1:15" x14ac:dyDescent="0.3">
      <c r="A37" s="67" t="s">
        <v>22</v>
      </c>
      <c r="B37" s="83">
        <f>'Ph IO Table 2023'!J18</f>
        <v>751317825</v>
      </c>
      <c r="C37" s="31">
        <f>SUM('Ph IO Table 2023'!K4:K5)</f>
        <v>108805680.11177029</v>
      </c>
      <c r="D37" s="31">
        <f>'Ph IO Table 2023'!D7</f>
        <v>2087819345</v>
      </c>
      <c r="E37" s="24"/>
      <c r="F37" s="24"/>
      <c r="G37" s="31">
        <f>'Ph IO Table 2023'!L4+'Ph IO Table 2023'!L5</f>
        <v>322973720.56252378</v>
      </c>
      <c r="H37" s="84">
        <f>'Ph IO Table 2023'!M4+'Ph IO Table 2023'!M5</f>
        <v>36462785.471044809</v>
      </c>
      <c r="I37" s="25">
        <f>SUM(B37:H37)</f>
        <v>3307379356.145339</v>
      </c>
      <c r="J37" s="31">
        <f>'Ph IO Table 2023'!N4+'Ph IO Table 2023'!N5</f>
        <v>1955120039.6546614</v>
      </c>
      <c r="L37" s="82"/>
      <c r="M37" s="18">
        <f>SUM(I37:L37)</f>
        <v>5262499395.8000002</v>
      </c>
    </row>
    <row r="38" spans="1:15" x14ac:dyDescent="0.3">
      <c r="A38" s="68" t="str">
        <f>A19</f>
        <v>Non-revenue water and losses in distribution</v>
      </c>
      <c r="B38" s="85"/>
      <c r="C38" s="54"/>
      <c r="D38" s="54"/>
      <c r="E38" s="79">
        <f>'Ph IO Table 2023'!R14+'Ph IO Table 2023'!R15</f>
        <v>213152601.05319452</v>
      </c>
      <c r="F38" s="55"/>
      <c r="G38" s="54"/>
      <c r="H38" s="86"/>
      <c r="I38" s="96">
        <f>SUM(B38:H38)</f>
        <v>213152601.05319452</v>
      </c>
      <c r="J38" s="55"/>
      <c r="K38" s="58"/>
      <c r="L38" s="98"/>
      <c r="M38" s="69">
        <f>SUM(I38:L38)</f>
        <v>213152601.05319452</v>
      </c>
      <c r="N38" s="42">
        <f>SUM(M36:M38)</f>
        <v>5716031582.5</v>
      </c>
      <c r="O38" s="42">
        <f>M34-N38</f>
        <v>0</v>
      </c>
    </row>
    <row r="39" spans="1:15" x14ac:dyDescent="0.3">
      <c r="A39" s="65" t="s">
        <v>23</v>
      </c>
      <c r="B39" s="87"/>
      <c r="C39" s="60"/>
      <c r="D39" s="60"/>
      <c r="E39" s="60"/>
      <c r="F39" s="60"/>
      <c r="G39" s="60"/>
      <c r="H39" s="88"/>
      <c r="I39" s="87"/>
      <c r="J39" s="60"/>
      <c r="K39" s="47"/>
      <c r="L39" s="48"/>
      <c r="M39" s="66"/>
    </row>
    <row r="40" spans="1:15" x14ac:dyDescent="0.3">
      <c r="A40" s="67" t="s">
        <v>416</v>
      </c>
      <c r="B40" s="99"/>
      <c r="C40" s="32"/>
      <c r="D40" s="32"/>
      <c r="E40" s="36"/>
      <c r="F40" s="424">
        <f>'Ph IO Table 2023'!R16</f>
        <v>118214888.46000004</v>
      </c>
      <c r="G40" s="32"/>
      <c r="H40" s="100"/>
      <c r="I40" s="25">
        <f>SUM(E40:F40)</f>
        <v>118214888.46000004</v>
      </c>
      <c r="J40" s="32"/>
      <c r="L40" s="82"/>
      <c r="M40" s="18">
        <f>SUM(I40:J40)</f>
        <v>118214888.46000004</v>
      </c>
    </row>
    <row r="41" spans="1:15" x14ac:dyDescent="0.3">
      <c r="A41" s="67" t="s">
        <v>25</v>
      </c>
      <c r="B41" s="26"/>
      <c r="C41" s="24"/>
      <c r="D41" s="24"/>
      <c r="E41" s="24"/>
      <c r="F41" s="24"/>
      <c r="G41" s="24"/>
      <c r="H41" s="50"/>
      <c r="I41" s="26"/>
      <c r="J41" s="24"/>
      <c r="L41" s="82"/>
      <c r="M41" s="18">
        <f>SUM(I41:J41)</f>
        <v>0</v>
      </c>
    </row>
    <row r="42" spans="1:15" x14ac:dyDescent="0.3">
      <c r="A42" s="68" t="s">
        <v>417</v>
      </c>
      <c r="B42" s="89"/>
      <c r="C42" s="55"/>
      <c r="D42" s="55"/>
      <c r="E42" s="55"/>
      <c r="F42" s="55"/>
      <c r="G42" s="55"/>
      <c r="H42" s="90"/>
      <c r="I42" s="89"/>
      <c r="J42" s="55"/>
      <c r="K42" s="58"/>
      <c r="L42" s="98"/>
      <c r="M42" s="69">
        <f>SUM(I42:J42)</f>
        <v>0</v>
      </c>
    </row>
    <row r="43" spans="1:15" x14ac:dyDescent="0.3">
      <c r="A43" s="65" t="s">
        <v>27</v>
      </c>
      <c r="B43" s="87"/>
      <c r="C43" s="60"/>
      <c r="D43" s="60"/>
      <c r="E43" s="60"/>
      <c r="F43" s="60"/>
      <c r="G43" s="60"/>
      <c r="H43" s="88"/>
      <c r="I43" s="87"/>
      <c r="J43" s="60"/>
      <c r="K43" s="47"/>
      <c r="L43" s="48"/>
      <c r="M43" s="66"/>
    </row>
    <row r="44" spans="1:15" x14ac:dyDescent="0.3">
      <c r="A44" s="67" t="s">
        <v>28</v>
      </c>
      <c r="B44" s="99"/>
      <c r="C44" s="32"/>
      <c r="D44" s="32"/>
      <c r="E44" s="32"/>
      <c r="F44" s="32"/>
      <c r="G44" s="32"/>
      <c r="H44" s="100"/>
      <c r="I44" s="99"/>
      <c r="J44" s="32"/>
      <c r="K44" s="40"/>
      <c r="L44" s="135">
        <f>I17</f>
        <v>2399122914.4850001</v>
      </c>
      <c r="M44" s="18">
        <f>SUM(L44)</f>
        <v>2399122914.4850001</v>
      </c>
    </row>
    <row r="45" spans="1:15" x14ac:dyDescent="0.3">
      <c r="A45" s="67" t="s">
        <v>29</v>
      </c>
      <c r="B45" s="99"/>
      <c r="C45" s="32"/>
      <c r="D45" s="32"/>
      <c r="E45" s="32"/>
      <c r="F45" s="32"/>
      <c r="G45" s="32"/>
      <c r="H45" s="100"/>
      <c r="I45" s="99"/>
      <c r="J45" s="32"/>
      <c r="K45" s="40"/>
      <c r="L45" s="61"/>
      <c r="M45" s="18">
        <f t="shared" ref="M45:M48" si="2">SUM(L45)</f>
        <v>0</v>
      </c>
    </row>
    <row r="46" spans="1:15" x14ac:dyDescent="0.3">
      <c r="A46" s="67" t="str">
        <f>A19</f>
        <v>Non-revenue water and losses in distribution</v>
      </c>
      <c r="B46" s="99"/>
      <c r="C46" s="32"/>
      <c r="D46" s="32"/>
      <c r="E46" s="32"/>
      <c r="F46" s="32"/>
      <c r="G46" s="32"/>
      <c r="H46" s="100"/>
      <c r="I46" s="99"/>
      <c r="J46" s="32"/>
      <c r="K46" s="40"/>
      <c r="L46" s="135">
        <f>I19</f>
        <v>213152601.05319452</v>
      </c>
      <c r="M46" s="18">
        <f t="shared" si="2"/>
        <v>213152601.05319452</v>
      </c>
    </row>
    <row r="47" spans="1:15" ht="28.8" x14ac:dyDescent="0.3">
      <c r="A47" s="71" t="s">
        <v>30</v>
      </c>
      <c r="B47" s="87"/>
      <c r="C47" s="60"/>
      <c r="D47" s="60"/>
      <c r="E47" s="60"/>
      <c r="F47" s="60"/>
      <c r="G47" s="60"/>
      <c r="H47" s="88"/>
      <c r="I47" s="87"/>
      <c r="J47" s="60"/>
      <c r="K47" s="47"/>
      <c r="L47" s="48"/>
      <c r="M47" s="66"/>
    </row>
    <row r="48" spans="1:15" ht="28.8" x14ac:dyDescent="0.3">
      <c r="A48" s="104" t="s">
        <v>31</v>
      </c>
      <c r="B48" s="101"/>
      <c r="C48" s="59"/>
      <c r="D48" s="59"/>
      <c r="E48" s="59"/>
      <c r="F48" s="59"/>
      <c r="G48" s="59"/>
      <c r="H48" s="98"/>
      <c r="I48" s="101"/>
      <c r="J48" s="59"/>
      <c r="K48" s="58"/>
      <c r="L48" s="109">
        <f>M21</f>
        <v>3103756066.9618058</v>
      </c>
      <c r="M48" s="18">
        <f t="shared" si="2"/>
        <v>3103756066.9618058</v>
      </c>
    </row>
    <row r="49" spans="1:13" ht="15" thickBot="1" x14ac:dyDescent="0.35">
      <c r="A49" s="77" t="s">
        <v>398</v>
      </c>
      <c r="B49" s="17">
        <f>SUM(B35:B38)</f>
        <v>751317825</v>
      </c>
      <c r="C49" s="17">
        <f>SUM(C35:C38)</f>
        <v>166296373.85716575</v>
      </c>
      <c r="D49" s="17">
        <f>SUM(D35:D38)</f>
        <v>2087819345</v>
      </c>
      <c r="E49" s="17">
        <f>SUM(E34)</f>
        <v>453532186.69999993</v>
      </c>
      <c r="F49" s="17">
        <f>SUM(F39:F42)</f>
        <v>118214888.46000004</v>
      </c>
      <c r="G49" s="17">
        <f>SUM(G35:G38)</f>
        <v>338853847.00991285</v>
      </c>
      <c r="H49" s="17">
        <f>SUM(H35:H38)</f>
        <v>39748869.147926085</v>
      </c>
      <c r="I49" s="17">
        <f>SUM(I35:I40)</f>
        <v>3715403749.5281992</v>
      </c>
      <c r="J49" s="17">
        <f>SUM(J35:J38)</f>
        <v>2118842721.4318011</v>
      </c>
      <c r="K49" s="17">
        <f>SUM(K35:K38)</f>
        <v>0</v>
      </c>
      <c r="L49" s="17">
        <f>SUM(L43:L48)</f>
        <v>5716031582.5</v>
      </c>
      <c r="M49" s="17">
        <f>SUM(M35:M38)</f>
        <v>5716031582.5</v>
      </c>
    </row>
    <row r="50" spans="1:13" x14ac:dyDescent="0.3">
      <c r="B50" s="42">
        <f t="shared" ref="B50:J50" si="3">B49-B22</f>
        <v>0</v>
      </c>
      <c r="C50" s="42">
        <f t="shared" si="3"/>
        <v>0</v>
      </c>
      <c r="D50" s="42">
        <f t="shared" si="3"/>
        <v>0</v>
      </c>
      <c r="E50" s="42">
        <f t="shared" si="3"/>
        <v>0</v>
      </c>
      <c r="F50" s="42">
        <f t="shared" si="3"/>
        <v>0</v>
      </c>
      <c r="G50" s="42">
        <f t="shared" si="3"/>
        <v>0</v>
      </c>
      <c r="H50" s="42">
        <f t="shared" si="3"/>
        <v>0</v>
      </c>
      <c r="I50" s="42">
        <f t="shared" si="3"/>
        <v>0</v>
      </c>
      <c r="J50" s="42">
        <f t="shared" si="3"/>
        <v>0</v>
      </c>
    </row>
  </sheetData>
  <mergeCells count="10">
    <mergeCell ref="B27:H27"/>
    <mergeCell ref="J27:J28"/>
    <mergeCell ref="K27:K28"/>
    <mergeCell ref="L27:L28"/>
    <mergeCell ref="M27:M29"/>
    <mergeCell ref="B1:H1"/>
    <mergeCell ref="J1:J2"/>
    <mergeCell ref="K1:K2"/>
    <mergeCell ref="L1:L2"/>
    <mergeCell ref="M1:M3"/>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 Page</vt:lpstr>
      <vt:lpstr>Colour coding</vt:lpstr>
      <vt:lpstr>Notes to Water Accounts</vt:lpstr>
      <vt:lpstr>Metadata and definitions </vt:lpstr>
      <vt:lpstr>NIA Irrigation Data</vt:lpstr>
      <vt:lpstr>Irrigation Calculations</vt:lpstr>
      <vt:lpstr>WRA Report Data</vt:lpstr>
      <vt:lpstr>WASREB 20-21</vt:lpstr>
      <vt:lpstr>WASREB 21-2022</vt:lpstr>
      <vt:lpstr>WASREB 22-23</vt:lpstr>
      <vt:lpstr>NWHSA Data</vt:lpstr>
      <vt:lpstr>WRA 2021-2024</vt:lpstr>
      <vt:lpstr>Ph IO Table 2021</vt:lpstr>
      <vt:lpstr>Ph Water SUT- 2021</vt:lpstr>
      <vt:lpstr>Ph IO Table 2022</vt:lpstr>
      <vt:lpstr>Ph Water SUT- 2022</vt:lpstr>
      <vt:lpstr>Ph IO Table 2023</vt:lpstr>
      <vt:lpstr>Ph Water SUT- 2023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Bernice Macquela</dc:creator>
  <cp:lastModifiedBy>Bernice Macquela</cp:lastModifiedBy>
  <dcterms:created xsi:type="dcterms:W3CDTF">2025-05-30T06:53:44Z</dcterms:created>
  <dcterms:modified xsi:type="dcterms:W3CDTF">2025-06-20T13:14:03Z</dcterms:modified>
</cp:coreProperties>
</file>