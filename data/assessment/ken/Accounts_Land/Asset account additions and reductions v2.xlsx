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dchandrasekharan_worldbank_org/Documents/Documents/c_kenya/GPS/CIC/5_NCA/Accounts_Land/"/>
    </mc:Choice>
  </mc:AlternateContent>
  <xr:revisionPtr revIDLastSave="1056" documentId="8_{608E3AA6-A5DC-2047-8E9F-8133E341F63B}" xr6:coauthVersionLast="47" xr6:coauthVersionMax="47" xr10:uidLastSave="{87615D57-91FC-4BEB-B696-43A549C0D35F}"/>
  <bookViews>
    <workbookView xWindow="-98" yWindow="-98" windowWidth="19396" windowHeight="11475" xr2:uid="{3CC04DC7-BA63-5F49-9E86-2A549A399244}"/>
  </bookViews>
  <sheets>
    <sheet name="Readme" sheetId="1" r:id="rId1"/>
    <sheet name="original" sheetId="2" r:id="rId2"/>
    <sheet name="Split between ad and reg" sheetId="3" r:id="rId3"/>
    <sheet name="Draft asset accoun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9" i="4" l="1"/>
  <c r="J80" i="4" s="1"/>
  <c r="D75" i="4"/>
  <c r="E75" i="4"/>
  <c r="F75" i="4"/>
  <c r="G75" i="4"/>
  <c r="H75" i="4"/>
  <c r="I75" i="4"/>
  <c r="J75" i="4"/>
  <c r="K75" i="4"/>
  <c r="L75" i="4"/>
  <c r="C75" i="4"/>
  <c r="M54" i="4"/>
  <c r="M36" i="4"/>
  <c r="K47" i="4"/>
  <c r="K48" i="4" s="1"/>
  <c r="J47" i="4"/>
  <c r="J48" i="4" s="1"/>
  <c r="I47" i="4"/>
  <c r="I48" i="4" s="1"/>
  <c r="H47" i="4"/>
  <c r="H48" i="4" s="1"/>
  <c r="G47" i="4"/>
  <c r="G48" i="4" s="1"/>
  <c r="L47" i="4"/>
  <c r="L48" i="4" s="1"/>
  <c r="F47" i="4"/>
  <c r="F48" i="4" s="1"/>
  <c r="E47" i="4"/>
  <c r="E48" i="4" s="1"/>
  <c r="D47" i="4"/>
  <c r="D48" i="4" s="1"/>
  <c r="C47" i="4"/>
  <c r="C48" i="4" s="1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X16" i="2"/>
  <c r="Y16" i="2"/>
  <c r="Z16" i="2"/>
  <c r="AA16" i="2"/>
  <c r="AB16" i="2"/>
  <c r="AC16" i="2"/>
  <c r="AD16" i="2"/>
  <c r="AE16" i="2"/>
  <c r="AF16" i="2"/>
  <c r="AG16" i="2"/>
  <c r="AH16" i="2"/>
  <c r="AI16" i="2"/>
  <c r="AJ16" i="2"/>
  <c r="AK16" i="2"/>
  <c r="AL16" i="2"/>
  <c r="AM16" i="2"/>
  <c r="AN16" i="2"/>
  <c r="AO16" i="2"/>
  <c r="AP16" i="2"/>
  <c r="AQ16" i="2"/>
  <c r="AR16" i="2"/>
  <c r="AS16" i="2"/>
  <c r="AT16" i="2"/>
  <c r="AU16" i="2"/>
  <c r="AV16" i="2"/>
  <c r="AW16" i="2"/>
  <c r="AX16" i="2"/>
  <c r="C16" i="2"/>
  <c r="M66" i="4" l="1"/>
  <c r="M48" i="4"/>
  <c r="M5" i="4"/>
  <c r="L16" i="4" l="1"/>
  <c r="L17" i="4" s="1"/>
  <c r="L26" i="4" s="1"/>
  <c r="K16" i="4"/>
  <c r="K17" i="4" s="1"/>
  <c r="K26" i="4" s="1"/>
  <c r="J16" i="4"/>
  <c r="J17" i="4" s="1"/>
  <c r="J26" i="4" s="1"/>
  <c r="I16" i="4"/>
  <c r="I17" i="4" s="1"/>
  <c r="I26" i="4" s="1"/>
  <c r="H16" i="4"/>
  <c r="H17" i="4" s="1"/>
  <c r="H26" i="4" s="1"/>
  <c r="G16" i="4"/>
  <c r="G17" i="4" s="1"/>
  <c r="G26" i="4" s="1"/>
  <c r="F16" i="4"/>
  <c r="F17" i="4" s="1"/>
  <c r="F26" i="4" s="1"/>
  <c r="E16" i="4"/>
  <c r="E17" i="4" s="1"/>
  <c r="E26" i="4" s="1"/>
  <c r="D16" i="4"/>
  <c r="D17" i="4" s="1"/>
  <c r="D26" i="4" s="1"/>
  <c r="C16" i="4"/>
  <c r="AX15" i="2"/>
  <c r="AX6" i="2"/>
  <c r="AX7" i="2"/>
  <c r="AX8" i="2"/>
  <c r="AX9" i="2"/>
  <c r="AX10" i="2"/>
  <c r="AX11" i="2"/>
  <c r="AX12" i="2"/>
  <c r="AX13" i="2"/>
  <c r="AX14" i="2"/>
  <c r="AX5" i="2"/>
  <c r="D22" i="4"/>
  <c r="D23" i="4" s="1"/>
  <c r="D25" i="4" s="1"/>
  <c r="E22" i="4"/>
  <c r="E23" i="4" s="1"/>
  <c r="E25" i="4" s="1"/>
  <c r="F22" i="4"/>
  <c r="F23" i="4" s="1"/>
  <c r="F25" i="4" s="1"/>
  <c r="G22" i="4"/>
  <c r="G23" i="4" s="1"/>
  <c r="G25" i="4" s="1"/>
  <c r="H22" i="4"/>
  <c r="H23" i="4" s="1"/>
  <c r="H25" i="4" s="1"/>
  <c r="I22" i="4"/>
  <c r="I23" i="4" s="1"/>
  <c r="I25" i="4" s="1"/>
  <c r="J22" i="4"/>
  <c r="J23" i="4" s="1"/>
  <c r="J25" i="4" s="1"/>
  <c r="K22" i="4"/>
  <c r="K23" i="4" s="1"/>
  <c r="K25" i="4" s="1"/>
  <c r="L22" i="4"/>
  <c r="L23" i="4" s="1"/>
  <c r="L25" i="4" s="1"/>
  <c r="C22" i="4"/>
  <c r="C23" i="4" s="1"/>
  <c r="C25" i="4" s="1"/>
  <c r="M25" i="4" l="1"/>
  <c r="C17" i="4"/>
  <c r="M16" i="4"/>
  <c r="C26" i="4" l="1"/>
  <c r="M17" i="4"/>
  <c r="AX13" i="3"/>
  <c r="AX14" i="3"/>
  <c r="C29" i="3"/>
  <c r="C45" i="3" l="1"/>
  <c r="C46" i="3"/>
  <c r="AX20" i="3"/>
  <c r="C52" i="3" s="1"/>
  <c r="AX21" i="3"/>
  <c r="C53" i="3" s="1"/>
  <c r="AX22" i="3"/>
  <c r="C54" i="3" s="1"/>
  <c r="AX23" i="3"/>
  <c r="C55" i="3" s="1"/>
  <c r="AX24" i="3"/>
  <c r="C56" i="3" s="1"/>
  <c r="E42" i="3" s="1"/>
  <c r="AX25" i="3"/>
  <c r="C57" i="3" s="1"/>
  <c r="E43" i="3" s="1"/>
  <c r="AX26" i="3"/>
  <c r="C58" i="3" s="1"/>
  <c r="AX27" i="3"/>
  <c r="C59" i="3" s="1"/>
  <c r="E45" i="3" s="1"/>
  <c r="AX28" i="3"/>
  <c r="C60" i="3" s="1"/>
  <c r="E46" i="3" s="1"/>
  <c r="AX19" i="3"/>
  <c r="C51" i="3" s="1"/>
  <c r="E37" i="3" s="1"/>
  <c r="AX6" i="3"/>
  <c r="C38" i="3" s="1"/>
  <c r="AX7" i="3"/>
  <c r="C39" i="3" s="1"/>
  <c r="AX8" i="3"/>
  <c r="C40" i="3" s="1"/>
  <c r="AX9" i="3"/>
  <c r="C41" i="3" s="1"/>
  <c r="AX10" i="3"/>
  <c r="C42" i="3" s="1"/>
  <c r="AX11" i="3"/>
  <c r="C43" i="3" s="1"/>
  <c r="AX12" i="3"/>
  <c r="C44" i="3" s="1"/>
  <c r="AX5" i="3"/>
  <c r="C37" i="3" s="1"/>
  <c r="E41" i="3" l="1"/>
  <c r="E38" i="3"/>
  <c r="E40" i="3"/>
  <c r="E39" i="3"/>
  <c r="E44" i="3"/>
  <c r="C61" i="3"/>
  <c r="AX29" i="3"/>
  <c r="C47" i="3"/>
  <c r="AV29" i="3"/>
  <c r="AU29" i="3"/>
  <c r="AT29" i="3"/>
  <c r="AS29" i="3"/>
  <c r="AR29" i="3"/>
  <c r="AQ29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J29" i="3"/>
  <c r="I29" i="3"/>
  <c r="H29" i="3"/>
  <c r="G29" i="3"/>
  <c r="F29" i="3"/>
  <c r="E29" i="3"/>
  <c r="D29" i="3"/>
  <c r="AW29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tc={29341EE6-7ABD-0E4C-9908-0C60E74CA6A0}</author>
  </authors>
  <commentList>
    <comment ref="W3" authorId="0" shapeId="0" xr:uid="{29341EE6-7ABD-0E4C-9908-0C60E74CA6A0}">
      <text>
        <t>[Threaded comment]
Your version of Excel allows you to read this threaded comment; however, any edits to it will get removed if the file is opened in a newer version of Excel. Learn more: https://go.microsoft.com/fwlink/?linkid=870924
Comment:
    J’ai corrigé Lamu. Il était correct dans le fichier original, mais avait mal été transposé dans le “SLEEK Landcover by Year By County.XLS)</t>
      </text>
    </comment>
  </commentList>
</comments>
</file>

<file path=xl/sharedStrings.xml><?xml version="1.0" encoding="utf-8"?>
<sst xmlns="http://schemas.openxmlformats.org/spreadsheetml/2006/main" count="392" uniqueCount="62">
  <si>
    <t>Asset account</t>
  </si>
  <si>
    <t xml:space="preserve">In order to have additions and reductions for the SLEEK land cover classes, i have selected the avg of 1990, 1995 and 2000 as the opening, and 2015-2018 as the closing perriod.  i have calculated the net change at the county level, and use those to identify additions and reductions. </t>
  </si>
  <si>
    <t xml:space="preserve">An alternative would be to look at all of the pixels, nationally, class by class, that appear in the second year or disapear in the second year. To identify + and -. This is a relatively simple GIS operations. </t>
  </si>
  <si>
    <t xml:space="preserve">Coutries </t>
  </si>
  <si>
    <t>Baringo …</t>
  </si>
  <si>
    <t>SLEEK class</t>
  </si>
  <si>
    <t>Dense Forest</t>
  </si>
  <si>
    <t>Moderate Forest</t>
  </si>
  <si>
    <t>Open Forest</t>
  </si>
  <si>
    <t>Wooded Grassland</t>
  </si>
  <si>
    <t>Open Grassland</t>
  </si>
  <si>
    <t>Perennial Cropland</t>
  </si>
  <si>
    <t>Annual Cropland</t>
  </si>
  <si>
    <t>Vegetated Wetland</t>
  </si>
  <si>
    <t>Open Water</t>
  </si>
  <si>
    <t>Other land</t>
  </si>
  <si>
    <t>Total</t>
  </si>
  <si>
    <t>Additions</t>
  </si>
  <si>
    <t>Reductions</t>
  </si>
  <si>
    <t>Nyeri???</t>
  </si>
  <si>
    <t>Lamu</t>
  </si>
  <si>
    <t>Net Change</t>
  </si>
  <si>
    <t>Counties</t>
  </si>
  <si>
    <t>UofM: Hectares</t>
  </si>
  <si>
    <t xml:space="preserve">Total to check validity of tables above. </t>
  </si>
  <si>
    <t>Closing Stock (Avg 2014-2018)</t>
  </si>
  <si>
    <t>.</t>
  </si>
  <si>
    <t>Total reductions to stock</t>
  </si>
  <si>
    <t>Downward reappraisals</t>
  </si>
  <si>
    <t>Natural regression</t>
  </si>
  <si>
    <t>Manage regression</t>
  </si>
  <si>
    <t>Reductions in Stock</t>
  </si>
  <si>
    <t>Total additions to stock</t>
  </si>
  <si>
    <t>Upward reappraisals</t>
  </si>
  <si>
    <t>Natural expansion</t>
  </si>
  <si>
    <t>Managed expansion</t>
  </si>
  <si>
    <t>Additions to Stock</t>
  </si>
  <si>
    <t>Opening Stock (Avg 1990-2000)</t>
  </si>
  <si>
    <t>Other Land</t>
  </si>
  <si>
    <t>Physical account for land cover (hectares)</t>
  </si>
  <si>
    <t>additions</t>
  </si>
  <si>
    <t>balance</t>
  </si>
  <si>
    <t>closing stock</t>
  </si>
  <si>
    <t>difference with closing stock at the national level calculation</t>
  </si>
  <si>
    <t>Net change</t>
  </si>
  <si>
    <t>regressions</t>
  </si>
  <si>
    <r>
      <rPr>
        <b/>
        <i/>
        <sz val="11"/>
        <color rgb="FFFF0000"/>
        <rFont val="Calibri (Body)"/>
      </rPr>
      <t>NET</t>
    </r>
    <r>
      <rPr>
        <i/>
        <sz val="11"/>
        <color theme="1"/>
        <rFont val="Aptos Narrow"/>
        <family val="2"/>
        <scheme val="minor"/>
      </rPr>
      <t xml:space="preserve"> Total additions to stock</t>
    </r>
  </si>
  <si>
    <r>
      <rPr>
        <b/>
        <i/>
        <sz val="11"/>
        <color rgb="FFFF0000"/>
        <rFont val="Calibri (Body)"/>
      </rPr>
      <t>NET</t>
    </r>
    <r>
      <rPr>
        <i/>
        <sz val="11"/>
        <color theme="1"/>
        <rFont val="Aptos Narrow"/>
        <family val="2"/>
        <scheme val="minor"/>
      </rPr>
      <t xml:space="preserve"> Total reductions to stock</t>
    </r>
  </si>
  <si>
    <t>From the file "National land cover change summaries_with FS comments and initial analysis "</t>
  </si>
  <si>
    <t xml:space="preserve">summary of change based on the naitonal compilaiton of SLEEK from Mwangi. </t>
  </si>
  <si>
    <t xml:space="preserve">data from previous worksheet </t>
  </si>
  <si>
    <t>Data Compiled form the aggregation of county-level SLEEK data</t>
  </si>
  <si>
    <t>Closing Stock (Avg 2015-2018)*</t>
  </si>
  <si>
    <t xml:space="preserve">*Closing stock is presented as an average even though it is produced by adding or subtracting a value x from the opening stock because values x are taken from the 2015, 2018 average change at the county level.   </t>
  </si>
  <si>
    <t>Table 3: Physical Asset Account for Kenya using the zonal statistics from the SLEEK raster images at the naitonal level.</t>
  </si>
  <si>
    <t>Data Compiled form the aggregation of national-level SLEEK data</t>
  </si>
  <si>
    <t>Table 1:Physical Asset Account for Kenya using the data from the 47 counties (zonal statistics from the SLEEK raster images)</t>
  </si>
  <si>
    <t xml:space="preserve">Table 2:Physical Asset Account for Kenya using the summary excel table from Mwangi  </t>
  </si>
  <si>
    <r>
      <rPr>
        <b/>
        <sz val="11"/>
        <color rgb="FFFF0000"/>
        <rFont val="Aptos Narrow (Body)"/>
      </rPr>
      <t xml:space="preserve">Net </t>
    </r>
    <r>
      <rPr>
        <b/>
        <sz val="11"/>
        <color theme="1"/>
        <rFont val="Aptos Narrow (Body)"/>
      </rPr>
      <t>C</t>
    </r>
    <r>
      <rPr>
        <b/>
        <sz val="11"/>
        <color theme="1"/>
        <rFont val="Aptos Narrow"/>
        <scheme val="minor"/>
      </rPr>
      <t>hange</t>
    </r>
  </si>
  <si>
    <t>Data from the SLEEK compilation from Mwangi (small excel spreadshhet)</t>
  </si>
  <si>
    <t>National variation of LCLU  (in hectares) between the Opening Stock (1990-2000 avg.) and Closing Stock (2015-2018), Kenya.</t>
  </si>
  <si>
    <t>Source: Directorate of Resource Surveys and Remote Sensing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</si>
</sst>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0"/>
      <color theme="1"/>
      <name val="Times New Roman"/>
      <family val="1"/>
    </font>
    <font>
      <b/>
      <sz val="11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i/>
      <sz val="11"/>
      <color rgb="FFFF0000"/>
      <name val="Calibri (Body)"/>
    </font>
    <font>
      <sz val="11"/>
      <color rgb="FFFF0000"/>
      <name val="Aptos Narrow"/>
      <family val="2"/>
      <scheme val="minor"/>
    </font>
    <font>
      <b/>
      <sz val="11"/>
      <color rgb="FFFF0000"/>
      <name val="Aptos Narrow (Body)"/>
    </font>
    <font>
      <b/>
      <sz val="11"/>
      <color theme="1"/>
      <name val="Aptos Narrow (Body)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1" xfId="0" applyFont="1" applyBorder="1" applyAlignment="1">
      <alignment vertical="center"/>
    </xf>
    <xf numFmtId="0" fontId="0" fillId="0" borderId="2" xfId="0" applyBorder="1"/>
    <xf numFmtId="0" fontId="0" fillId="0" borderId="3" xfId="0" applyBorder="1"/>
    <xf numFmtId="0" fontId="2" fillId="0" borderId="0" xfId="0" applyFont="1"/>
    <xf numFmtId="1" fontId="0" fillId="0" borderId="0" xfId="0" applyNumberFormat="1"/>
    <xf numFmtId="0" fontId="0" fillId="2" borderId="0" xfId="0" applyFill="1"/>
    <xf numFmtId="1" fontId="0" fillId="2" borderId="0" xfId="0" applyNumberFormat="1" applyFill="1"/>
    <xf numFmtId="0" fontId="1" fillId="0" borderId="0" xfId="0" applyFont="1" applyAlignment="1">
      <alignment vertical="center"/>
    </xf>
    <xf numFmtId="3" fontId="0" fillId="0" borderId="0" xfId="0" applyNumberFormat="1"/>
    <xf numFmtId="3" fontId="0" fillId="3" borderId="0" xfId="0" applyNumberFormat="1" applyFill="1"/>
    <xf numFmtId="4" fontId="0" fillId="0" borderId="0" xfId="0" applyNumberFormat="1"/>
    <xf numFmtId="0" fontId="0" fillId="4" borderId="0" xfId="0" applyFill="1"/>
    <xf numFmtId="0" fontId="3" fillId="4" borderId="0" xfId="0" applyFont="1" applyFill="1"/>
    <xf numFmtId="0" fontId="5" fillId="0" borderId="0" xfId="0" applyFont="1"/>
    <xf numFmtId="0" fontId="3" fillId="0" borderId="0" xfId="0" applyFont="1"/>
    <xf numFmtId="0" fontId="5" fillId="4" borderId="0" xfId="0" applyFont="1" applyFill="1"/>
    <xf numFmtId="0" fontId="4" fillId="5" borderId="0" xfId="0" applyFont="1" applyFill="1" applyAlignment="1">
      <alignment horizontal="center" wrapText="1"/>
    </xf>
    <xf numFmtId="0" fontId="0" fillId="5" borderId="0" xfId="0" applyFill="1"/>
    <xf numFmtId="4" fontId="0" fillId="0" borderId="3" xfId="0" applyNumberFormat="1" applyBorder="1"/>
    <xf numFmtId="0" fontId="2" fillId="4" borderId="0" xfId="0" applyFont="1" applyFill="1"/>
    <xf numFmtId="4" fontId="0" fillId="4" borderId="0" xfId="0" applyNumberFormat="1" applyFill="1"/>
    <xf numFmtId="4" fontId="6" fillId="0" borderId="0" xfId="0" applyNumberFormat="1" applyFont="1"/>
    <xf numFmtId="4" fontId="6" fillId="4" borderId="0" xfId="0" applyNumberFormat="1" applyFont="1" applyFill="1"/>
    <xf numFmtId="10" fontId="6" fillId="0" borderId="0" xfId="0" applyNumberFormat="1" applyFont="1"/>
    <xf numFmtId="4" fontId="0" fillId="2" borderId="0" xfId="0" applyNumberFormat="1" applyFill="1"/>
    <xf numFmtId="0" fontId="0" fillId="0" borderId="4" xfId="0" applyBorder="1"/>
    <xf numFmtId="4" fontId="0" fillId="6" borderId="0" xfId="0" applyNumberFormat="1" applyFill="1"/>
    <xf numFmtId="2" fontId="0" fillId="0" borderId="0" xfId="0" applyNumberFormat="1"/>
    <xf numFmtId="0" fontId="8" fillId="0" borderId="0" xfId="0" applyFont="1"/>
    <xf numFmtId="0" fontId="4" fillId="5" borderId="0" xfId="0" applyFont="1" applyFill="1" applyAlignment="1">
      <alignment horizontal="left" vertical="center"/>
    </xf>
    <xf numFmtId="4" fontId="0" fillId="3" borderId="0" xfId="0" applyNumberFormat="1" applyFill="1"/>
    <xf numFmtId="0" fontId="0" fillId="0" borderId="0" xfId="0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'Draft asset account'!$B$72</c:f>
              <c:strCache>
                <c:ptCount val="1"/>
                <c:pt idx="0">
                  <c:v>Opening Stock (Avg 1990-2000)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'Draft asset account'!$C$71:$L$71</c:f>
              <c:strCache>
                <c:ptCount val="10"/>
                <c:pt idx="0">
                  <c:v>Dense Forest</c:v>
                </c:pt>
                <c:pt idx="1">
                  <c:v>Moderate Forest</c:v>
                </c:pt>
                <c:pt idx="2">
                  <c:v>Open Forest</c:v>
                </c:pt>
                <c:pt idx="3">
                  <c:v>Wooded Grassland</c:v>
                </c:pt>
                <c:pt idx="4">
                  <c:v>Open Grassland</c:v>
                </c:pt>
                <c:pt idx="5">
                  <c:v>Perennial Cropland</c:v>
                </c:pt>
                <c:pt idx="6">
                  <c:v>Annual Cropland</c:v>
                </c:pt>
                <c:pt idx="7">
                  <c:v>Vegetated Wetland</c:v>
                </c:pt>
                <c:pt idx="8">
                  <c:v>Open Water</c:v>
                </c:pt>
                <c:pt idx="9">
                  <c:v>Other Land</c:v>
                </c:pt>
              </c:strCache>
            </c:strRef>
          </c:cat>
          <c:val>
            <c:numRef>
              <c:f>'Draft asset account'!$C$72:$L$72</c:f>
              <c:numCache>
                <c:formatCode>General</c:formatCode>
                <c:ptCount val="10"/>
                <c:pt idx="0">
                  <c:v>2299533.27</c:v>
                </c:pt>
                <c:pt idx="1">
                  <c:v>1024626.6299999999</c:v>
                </c:pt>
                <c:pt idx="2">
                  <c:v>539418.39</c:v>
                </c:pt>
                <c:pt idx="3">
                  <c:v>34113646.259999998</c:v>
                </c:pt>
                <c:pt idx="4">
                  <c:v>9693476.9399999995</c:v>
                </c:pt>
                <c:pt idx="5">
                  <c:v>267169.23</c:v>
                </c:pt>
                <c:pt idx="6">
                  <c:v>3535283.82</c:v>
                </c:pt>
                <c:pt idx="7">
                  <c:v>26557.05</c:v>
                </c:pt>
                <c:pt idx="8">
                  <c:v>1204361.6399999999</c:v>
                </c:pt>
                <c:pt idx="9">
                  <c:v>6384423.2699999996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3D-2A45-8350-E85668E1E43F}"/>
            </c:ext>
          </c:extLst>
        </c:ser>
        <c:ser>
          <c:idx val="1"/>
          <c:order val="1"/>
          <c:tx>
            <c:strRef>
              <c:f>'Draft asset account'!$B$73</c:f>
              <c:strCache>
                <c:ptCount val="1"/>
                <c:pt idx="0">
                  <c:v>Closing Stock (Avg 2015-2018)*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'Draft asset account'!$C$71:$L$71</c:f>
              <c:strCache>
                <c:ptCount val="10"/>
                <c:pt idx="0">
                  <c:v>Dense Forest</c:v>
                </c:pt>
                <c:pt idx="1">
                  <c:v>Moderate Forest</c:v>
                </c:pt>
                <c:pt idx="2">
                  <c:v>Open Forest</c:v>
                </c:pt>
                <c:pt idx="3">
                  <c:v>Wooded Grassland</c:v>
                </c:pt>
                <c:pt idx="4">
                  <c:v>Open Grassland</c:v>
                </c:pt>
                <c:pt idx="5">
                  <c:v>Perennial Cropland</c:v>
                </c:pt>
                <c:pt idx="6">
                  <c:v>Annual Cropland</c:v>
                </c:pt>
                <c:pt idx="7">
                  <c:v>Vegetated Wetland</c:v>
                </c:pt>
                <c:pt idx="8">
                  <c:v>Open Water</c:v>
                </c:pt>
                <c:pt idx="9">
                  <c:v>Other Land</c:v>
                </c:pt>
              </c:strCache>
            </c:strRef>
          </c:cat>
          <c:val>
            <c:numRef>
              <c:f>'Draft asset account'!$C$73:$L$73</c:f>
              <c:numCache>
                <c:formatCode>General</c:formatCode>
                <c:ptCount val="10"/>
                <c:pt idx="0">
                  <c:v>2229091.0199999996</c:v>
                </c:pt>
                <c:pt idx="1">
                  <c:v>873948.51</c:v>
                </c:pt>
                <c:pt idx="2">
                  <c:v>509434.33499999996</c:v>
                </c:pt>
                <c:pt idx="3">
                  <c:v>31495044.375</c:v>
                </c:pt>
                <c:pt idx="4">
                  <c:v>10125691.335000001</c:v>
                </c:pt>
                <c:pt idx="5">
                  <c:v>332295.435</c:v>
                </c:pt>
                <c:pt idx="6">
                  <c:v>6159227.4449999994</c:v>
                </c:pt>
                <c:pt idx="7">
                  <c:v>45767.474999999999</c:v>
                </c:pt>
                <c:pt idx="8">
                  <c:v>1222550.9100000001</c:v>
                </c:pt>
                <c:pt idx="9">
                  <c:v>6095445.6600000001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3D-2A45-8350-E85668E1E4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96774736"/>
        <c:axId val="1565964031"/>
      </c:barChart>
      <c:catAx>
        <c:axId val="159677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964031"/>
        <c:crosses val="autoZero"/>
        <c:auto val="1"/>
        <c:lblAlgn val="ctr"/>
        <c:lblOffset val="100"/>
        <c:noMultiLvlLbl val="0"/>
      </c:catAx>
      <c:valAx>
        <c:axId val="156596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96774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National variation of LCLU  (hectares) between the Opening Stock (1990-2000 avg.) and Closing Stock (2015-2018 avg.), Kenya.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'Draft asset account'!$B$75</c:f>
              <c:strCache>
                <c:ptCount val="1"/>
                <c:pt idx="0">
                  <c:v>National variation of LCLU  (in hectares) between the Opening Stock (1990-2000 avg.) and Closing Stock (2015-2018), Kenya.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'Draft asset account'!$C$74:$L$74</c:f>
              <c:strCache>
                <c:ptCount val="10"/>
                <c:pt idx="0">
                  <c:v>Dense Forest</c:v>
                </c:pt>
                <c:pt idx="1">
                  <c:v>Moderate Forest</c:v>
                </c:pt>
                <c:pt idx="2">
                  <c:v>Open Forest</c:v>
                </c:pt>
                <c:pt idx="3">
                  <c:v>Wooded Grassland</c:v>
                </c:pt>
                <c:pt idx="4">
                  <c:v>Open Grassland</c:v>
                </c:pt>
                <c:pt idx="5">
                  <c:v>Perennial Cropland</c:v>
                </c:pt>
                <c:pt idx="6">
                  <c:v>Annual Cropland</c:v>
                </c:pt>
                <c:pt idx="7">
                  <c:v>Vegetated Wetland</c:v>
                </c:pt>
                <c:pt idx="8">
                  <c:v>Open Water</c:v>
                </c:pt>
                <c:pt idx="9">
                  <c:v>Other Land</c:v>
                </c:pt>
              </c:strCache>
            </c:strRef>
          </c:cat>
          <c:val>
            <c:numRef>
              <c:f>'Draft asset account'!$C$75:$L$75</c:f>
              <c:numCache>
                <c:formatCode>#,##0</c:formatCode>
                <c:ptCount val="10"/>
                <c:pt idx="0">
                  <c:v>-70442.250000000466</c:v>
                </c:pt>
                <c:pt idx="1">
                  <c:v>-150678.11999999988</c:v>
                </c:pt>
                <c:pt idx="2">
                  <c:v>-29984.055000000051</c:v>
                </c:pt>
                <c:pt idx="3">
                  <c:v>-2618601.8849999979</c:v>
                </c:pt>
                <c:pt idx="4">
                  <c:v>432214.39500000142</c:v>
                </c:pt>
                <c:pt idx="5">
                  <c:v>65126.205000000016</c:v>
                </c:pt>
                <c:pt idx="6">
                  <c:v>2623943.6249999995</c:v>
                </c:pt>
                <c:pt idx="7">
                  <c:v>19210.424999999999</c:v>
                </c:pt>
                <c:pt idx="8">
                  <c:v>18189.270000000251</c:v>
                </c:pt>
                <c:pt idx="9">
                  <c:v>-288977.6099999994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BA0-0943-AFFD-5B223D7050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6518703"/>
        <c:axId val="241141424"/>
      </c:barChart>
      <c:catAx>
        <c:axId val="15665187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141424"/>
        <c:crosses val="autoZero"/>
        <c:auto val="1"/>
        <c:lblAlgn val="ctr"/>
        <c:lblOffset val="100"/>
        <c:noMultiLvlLbl val="0"/>
      </c:catAx>
      <c:valAx>
        <c:axId val="241141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65187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349250</xdr:colOff>
      <xdr:row>65</xdr:row>
      <xdr:rowOff>146050</xdr:rowOff>
    </xdr:from>
    <xdr:to>
      <xdr:col>20</xdr:col>
      <xdr:colOff>793750</xdr:colOff>
      <xdr:row>80</xdr:row>
      <xdr:rowOff>31750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D77E5F-5537-E1B8-1EAA-B693BE131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31750</xdr:colOff>
      <xdr:row>76</xdr:row>
      <xdr:rowOff>82550</xdr:rowOff>
    </xdr:from>
    <xdr:to>
      <xdr:col>8</xdr:col>
      <xdr:colOff>971550</xdr:colOff>
      <xdr:row>90</xdr:row>
      <xdr:rowOff>158750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52B2E4E-237A-6EC6-7E2F-86128ABF3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François Soulard" id="{4BD3EB60-B603-9D45-AFC3-768F0B663CD2}" userId="François Soulard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" dT="2025-05-02T20:59:32.85" personId="{4BD3EB60-B603-9D45-AFC3-768F0B663CD2}" id="{29341EE6-7ABD-0E4C-9908-0C60E74CA6A0}">
    <text>J’ai corrigé Lamu. Il était correct dans le fichier original, mais avait mal été transposé dans le “SLEEK Landcover by Year By County.XLS)</text>
  </threadedComment>
</ThreadedComments>
</file>

<file path=xl/worksheets/_rels/sheet3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751A7-3270-4146-9B10-3AA0282AFE9F}">
  <dimension ref="A1:A5"/>
  <sheetViews>
    <sheetView tabSelected="1" workbookViewId="0">
      <selection activeCell="A4" sqref="A4"/>
    </sheetView>
  </sheetViews>
  <sheetFormatPr defaultColWidth="10.6640625" defaultRowHeight="14.25"/>
  <sheetData>
    <row r="1" spans="1:1">
      <c r="A1" t="s">
        <v>0</v>
      </c>
    </row>
    <row r="3" spans="1:1">
      <c r="A3" t="s">
        <v>1</v>
      </c>
    </row>
    <row r="5" spans="1:1">
      <c r="A5" t="s">
        <v>2</v>
      </c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58E38-FB7A-8241-A320-827CAC221ED1}">
  <dimension ref="A2:AY28"/>
  <sheetViews>
    <sheetView topLeftCell="AM1" workbookViewId="0">
      <selection activeCell="AQ24" sqref="AQ24"/>
    </sheetView>
  </sheetViews>
  <sheetFormatPr defaultColWidth="10.6640625" defaultRowHeight="14.25"/>
  <cols>
    <col min="2" max="2" width="14" bestFit="1" customWidth="1"/>
    <col min="50" max="50" width="12.1328125" bestFit="1" customWidth="1"/>
  </cols>
  <sheetData>
    <row r="2" spans="1:51">
      <c r="A2" s="4"/>
      <c r="C2" t="s">
        <v>23</v>
      </c>
    </row>
    <row r="3" spans="1:51" ht="14.65" thickBot="1">
      <c r="C3" t="s">
        <v>22</v>
      </c>
      <c r="AL3" t="s">
        <v>19</v>
      </c>
    </row>
    <row r="4" spans="1:51" ht="14.65" thickBot="1">
      <c r="A4" t="s">
        <v>5</v>
      </c>
      <c r="B4" s="1"/>
      <c r="C4" t="s">
        <v>4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 s="6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 s="2" t="s">
        <v>16</v>
      </c>
    </row>
    <row r="5" spans="1:51" ht="14.65" thickBot="1">
      <c r="A5">
        <v>1</v>
      </c>
      <c r="B5" s="1" t="s">
        <v>6</v>
      </c>
      <c r="C5">
        <v>-4742.4749999999985</v>
      </c>
      <c r="D5">
        <v>-2296.7999999999956</v>
      </c>
      <c r="E5">
        <v>-2279.4450000000033</v>
      </c>
      <c r="F5">
        <v>-339.76499999999999</v>
      </c>
      <c r="G5">
        <v>-3666.1499999999942</v>
      </c>
      <c r="H5">
        <v>-3491.9850000000006</v>
      </c>
      <c r="I5">
        <v>-32236.335000000006</v>
      </c>
      <c r="J5">
        <v>-1778.13</v>
      </c>
      <c r="K5">
        <v>33352.305</v>
      </c>
      <c r="L5">
        <v>-3048.7199999999993</v>
      </c>
      <c r="M5">
        <v>794.80500000000393</v>
      </c>
      <c r="N5">
        <v>-6495.6450000000041</v>
      </c>
      <c r="O5">
        <v>7089.6899999999951</v>
      </c>
      <c r="P5">
        <v>-6087.3150000000096</v>
      </c>
      <c r="Q5">
        <v>1241.6249999999964</v>
      </c>
      <c r="R5">
        <v>1436.9250000000006</v>
      </c>
      <c r="S5">
        <v>-60.030000000000058</v>
      </c>
      <c r="T5">
        <v>173.35500000003958</v>
      </c>
      <c r="U5">
        <v>-5966.6100000000006</v>
      </c>
      <c r="V5">
        <v>-6616.6050000000032</v>
      </c>
      <c r="W5">
        <v>29100.029999999984</v>
      </c>
      <c r="X5">
        <v>4828.0199999999986</v>
      </c>
      <c r="Y5">
        <v>-24375.119999999995</v>
      </c>
      <c r="Z5">
        <v>-11649.269999999997</v>
      </c>
      <c r="AA5">
        <v>11775.044999999998</v>
      </c>
      <c r="AB5">
        <v>-10017.555000000008</v>
      </c>
      <c r="AC5">
        <v>-1833.27</v>
      </c>
      <c r="AD5">
        <v>-765</v>
      </c>
      <c r="AE5">
        <v>5248.0649999999951</v>
      </c>
      <c r="AF5">
        <v>-214.70999999999958</v>
      </c>
      <c r="AG5">
        <v>-37619.084999999992</v>
      </c>
      <c r="AH5">
        <v>3426.510000000002</v>
      </c>
      <c r="AI5">
        <v>-78904.904999999999</v>
      </c>
      <c r="AJ5">
        <v>2434.4399999999996</v>
      </c>
      <c r="AK5">
        <v>6385.9050000000061</v>
      </c>
      <c r="AL5">
        <v>2438.0849999999919</v>
      </c>
      <c r="AM5">
        <v>80834.235000000001</v>
      </c>
      <c r="AN5">
        <v>-137.39999999999998</v>
      </c>
      <c r="AO5">
        <v>-10344.974999999999</v>
      </c>
      <c r="AP5">
        <v>21531.990000000005</v>
      </c>
      <c r="AQ5">
        <v>-9808.0950000000084</v>
      </c>
      <c r="AR5">
        <v>-1715.2049999999981</v>
      </c>
      <c r="AS5">
        <v>-5953.0950000000048</v>
      </c>
      <c r="AT5">
        <v>-7691.3400000000038</v>
      </c>
      <c r="AU5">
        <v>1308.105</v>
      </c>
      <c r="AV5">
        <v>1668.0450000000001</v>
      </c>
      <c r="AW5">
        <v>-6221.0399999999972</v>
      </c>
      <c r="AX5" s="3">
        <f>SUM(C5:AW5)</f>
        <v>-71288.895000000004</v>
      </c>
      <c r="AY5" s="1" t="s">
        <v>6</v>
      </c>
    </row>
    <row r="6" spans="1:51" ht="14.65" thickBot="1">
      <c r="A6">
        <v>2</v>
      </c>
      <c r="B6" s="1" t="s">
        <v>7</v>
      </c>
      <c r="C6">
        <v>1204.3949999999986</v>
      </c>
      <c r="D6">
        <v>8638.23</v>
      </c>
      <c r="E6">
        <v>1447.395</v>
      </c>
      <c r="F6">
        <v>268.71000000000004</v>
      </c>
      <c r="G6">
        <v>-19120.305000000004</v>
      </c>
      <c r="H6">
        <v>-1347.2999999999997</v>
      </c>
      <c r="I6">
        <v>-44837.819999999978</v>
      </c>
      <c r="J6">
        <v>1594.02</v>
      </c>
      <c r="K6">
        <v>18358.785</v>
      </c>
      <c r="L6">
        <v>362.46000000000276</v>
      </c>
      <c r="M6">
        <v>-211.48500000000013</v>
      </c>
      <c r="N6">
        <v>2135.5199999999995</v>
      </c>
      <c r="O6">
        <v>-5301.24</v>
      </c>
      <c r="P6">
        <v>-46466.804999999993</v>
      </c>
      <c r="Q6">
        <v>398.88</v>
      </c>
      <c r="R6">
        <v>382.21500000000003</v>
      </c>
      <c r="S6">
        <v>292.69500000000005</v>
      </c>
      <c r="T6">
        <v>-3373.6649999999936</v>
      </c>
      <c r="U6">
        <v>-10252.23</v>
      </c>
      <c r="V6">
        <v>9724.83</v>
      </c>
      <c r="W6">
        <v>-41172.150000000009</v>
      </c>
      <c r="X6">
        <v>-562.15500000000065</v>
      </c>
      <c r="Y6">
        <v>10694.474999999999</v>
      </c>
      <c r="Z6">
        <v>4554.4799999999996</v>
      </c>
      <c r="AA6">
        <v>1902.9149999999972</v>
      </c>
      <c r="AB6">
        <v>6745.2000000000007</v>
      </c>
      <c r="AC6">
        <v>269.25</v>
      </c>
      <c r="AD6">
        <v>122.29499999999996</v>
      </c>
      <c r="AE6">
        <v>-4346.369999999999</v>
      </c>
      <c r="AF6">
        <v>-512.23500000000013</v>
      </c>
      <c r="AG6">
        <v>932.11499999999614</v>
      </c>
      <c r="AH6">
        <v>26.610000000000582</v>
      </c>
      <c r="AI6">
        <v>-27404.789999999994</v>
      </c>
      <c r="AJ6">
        <v>893.05499999999995</v>
      </c>
      <c r="AK6">
        <v>-735.19500000000005</v>
      </c>
      <c r="AL6">
        <v>2105.9999999999995</v>
      </c>
      <c r="AM6">
        <v>5568.9899999999907</v>
      </c>
      <c r="AN6">
        <v>-142.08000000000004</v>
      </c>
      <c r="AO6">
        <v>10172.924999999999</v>
      </c>
      <c r="AP6">
        <v>-26852.039999999994</v>
      </c>
      <c r="AQ6">
        <v>-502.73999999999978</v>
      </c>
      <c r="AR6">
        <v>1455.9449999999997</v>
      </c>
      <c r="AS6">
        <v>38.759999999994761</v>
      </c>
      <c r="AT6">
        <v>-986.81999999999994</v>
      </c>
      <c r="AU6">
        <v>-501.41999999999996</v>
      </c>
      <c r="AV6">
        <v>2172.4800000000005</v>
      </c>
      <c r="AW6">
        <v>-8750.4000000000015</v>
      </c>
      <c r="AX6" s="3">
        <f t="shared" ref="AX6:AX14" si="0">SUM(C6:AW6)</f>
        <v>-150915.61499999996</v>
      </c>
      <c r="AY6" s="1" t="s">
        <v>7</v>
      </c>
    </row>
    <row r="7" spans="1:51" ht="14.65" thickBot="1">
      <c r="A7">
        <v>3</v>
      </c>
      <c r="B7" s="1" t="s">
        <v>8</v>
      </c>
      <c r="C7">
        <v>-6255.5249999999996</v>
      </c>
      <c r="D7">
        <v>975.73500000000058</v>
      </c>
      <c r="E7">
        <v>-881.35499999999956</v>
      </c>
      <c r="F7">
        <v>263.59500000000003</v>
      </c>
      <c r="G7">
        <v>-441.52499999999941</v>
      </c>
      <c r="H7">
        <v>-519.07500000000005</v>
      </c>
      <c r="I7">
        <v>-14001.764999999999</v>
      </c>
      <c r="J7">
        <v>25.259999999999998</v>
      </c>
      <c r="K7">
        <v>-2076.42</v>
      </c>
      <c r="L7">
        <v>-8071.2000000000007</v>
      </c>
      <c r="M7">
        <v>1395.6</v>
      </c>
      <c r="N7">
        <v>110.2949999999999</v>
      </c>
      <c r="O7">
        <v>-2389.605</v>
      </c>
      <c r="P7">
        <v>8398.9349999999995</v>
      </c>
      <c r="Q7">
        <v>-388.55999999999995</v>
      </c>
      <c r="R7">
        <v>-216.19500000000005</v>
      </c>
      <c r="S7">
        <v>102.795</v>
      </c>
      <c r="T7">
        <v>29381.94</v>
      </c>
      <c r="U7">
        <v>-5959.8150000000005</v>
      </c>
      <c r="V7">
        <v>-647.9699999999998</v>
      </c>
      <c r="W7">
        <v>-721.09500000000025</v>
      </c>
      <c r="X7">
        <v>-1279.7399999999998</v>
      </c>
      <c r="Y7">
        <v>2573.5500000000011</v>
      </c>
      <c r="Z7">
        <v>3528.8549999999996</v>
      </c>
      <c r="AA7">
        <v>-1890.375</v>
      </c>
      <c r="AB7">
        <v>-3888.6449999999995</v>
      </c>
      <c r="AC7">
        <v>1416.8250000000003</v>
      </c>
      <c r="AD7">
        <v>-62.504999999999995</v>
      </c>
      <c r="AE7">
        <v>-1947.8700000000001</v>
      </c>
      <c r="AF7">
        <v>-474.43499999999995</v>
      </c>
      <c r="AG7">
        <v>-652.0649999999996</v>
      </c>
      <c r="AH7">
        <v>1918.77</v>
      </c>
      <c r="AI7">
        <v>-20122.994999999995</v>
      </c>
      <c r="AJ7">
        <v>-428.14499999999998</v>
      </c>
      <c r="AK7">
        <v>-665.56499999999994</v>
      </c>
      <c r="AL7">
        <v>-1500.9749999999999</v>
      </c>
      <c r="AM7">
        <v>4806.9149999999972</v>
      </c>
      <c r="AN7">
        <v>236.07</v>
      </c>
      <c r="AO7">
        <v>-1904.67</v>
      </c>
      <c r="AP7">
        <v>5908.5899999999983</v>
      </c>
      <c r="AQ7">
        <v>-284.34000000000003</v>
      </c>
      <c r="AR7">
        <v>-4410.8249999999989</v>
      </c>
      <c r="AS7">
        <v>18582.210000000021</v>
      </c>
      <c r="AT7">
        <v>629.54999999999984</v>
      </c>
      <c r="AU7">
        <v>1070.4749999999999</v>
      </c>
      <c r="AV7">
        <v>-19030.560000000001</v>
      </c>
      <c r="AW7">
        <v>-10236.014999999999</v>
      </c>
      <c r="AX7" s="3">
        <f t="shared" si="0"/>
        <v>-30023.864999999983</v>
      </c>
      <c r="AY7" s="1" t="s">
        <v>8</v>
      </c>
    </row>
    <row r="8" spans="1:51" ht="14.65" thickBot="1">
      <c r="A8">
        <v>4</v>
      </c>
      <c r="B8" s="1" t="s">
        <v>9</v>
      </c>
      <c r="C8">
        <v>-14174.849999999977</v>
      </c>
      <c r="D8">
        <v>-441.62999999999738</v>
      </c>
      <c r="E8">
        <v>-38010.209999999992</v>
      </c>
      <c r="F8">
        <v>-33703.544999999998</v>
      </c>
      <c r="G8">
        <v>-25727.669999999984</v>
      </c>
      <c r="H8">
        <v>-49686.09</v>
      </c>
      <c r="I8">
        <v>-160754.35499999998</v>
      </c>
      <c r="J8">
        <v>-29474.804999999993</v>
      </c>
      <c r="K8">
        <v>-124284.04499999993</v>
      </c>
      <c r="L8">
        <v>-47215.020000000019</v>
      </c>
      <c r="M8">
        <v>-30529.05</v>
      </c>
      <c r="N8">
        <v>-34202.354999999996</v>
      </c>
      <c r="O8">
        <v>-7359.7649999999994</v>
      </c>
      <c r="P8">
        <v>-36213.480000000098</v>
      </c>
      <c r="Q8">
        <v>-17487.585000000003</v>
      </c>
      <c r="R8">
        <v>3474.3599999999988</v>
      </c>
      <c r="S8">
        <v>-26188.11</v>
      </c>
      <c r="T8">
        <v>-401765.36999999965</v>
      </c>
      <c r="U8">
        <v>-105859.81500000006</v>
      </c>
      <c r="V8">
        <v>-26311.665000000095</v>
      </c>
      <c r="W8">
        <v>1850.429999999993</v>
      </c>
      <c r="X8">
        <v>-89403.18</v>
      </c>
      <c r="Y8">
        <v>-142112.5199999999</v>
      </c>
      <c r="Z8">
        <v>-114468.97500000009</v>
      </c>
      <c r="AA8">
        <v>-88146.884999999776</v>
      </c>
      <c r="AB8">
        <v>-59308.979999999952</v>
      </c>
      <c r="AC8">
        <v>-38644.590000000011</v>
      </c>
      <c r="AD8">
        <v>-5819.8499999999985</v>
      </c>
      <c r="AE8">
        <v>-23068.65</v>
      </c>
      <c r="AF8">
        <v>562.84500000000116</v>
      </c>
      <c r="AG8">
        <v>-1986.6299999999756</v>
      </c>
      <c r="AH8">
        <v>-30068.07</v>
      </c>
      <c r="AI8">
        <v>51207.82500000007</v>
      </c>
      <c r="AJ8">
        <v>946.40999999999985</v>
      </c>
      <c r="AK8">
        <v>-14636.759999999995</v>
      </c>
      <c r="AL8">
        <v>-7077.0450000000055</v>
      </c>
      <c r="AM8">
        <v>-144162.25499999989</v>
      </c>
      <c r="AN8">
        <v>-46007.594999999994</v>
      </c>
      <c r="AO8">
        <v>-53841.375</v>
      </c>
      <c r="AP8">
        <v>15296.250000000466</v>
      </c>
      <c r="AQ8">
        <v>-28510.095000000001</v>
      </c>
      <c r="AR8">
        <v>-56006.174999999988</v>
      </c>
      <c r="AS8">
        <v>-281791.07999999961</v>
      </c>
      <c r="AT8">
        <v>-48633.119999999988</v>
      </c>
      <c r="AU8">
        <v>-8456.07</v>
      </c>
      <c r="AV8">
        <v>-207343.61999999965</v>
      </c>
      <c r="AW8">
        <v>11914.724999999977</v>
      </c>
      <c r="AX8" s="3">
        <f t="shared" si="0"/>
        <v>-2613630.0899999985</v>
      </c>
      <c r="AY8" s="1" t="s">
        <v>9</v>
      </c>
    </row>
    <row r="9" spans="1:51" ht="14.65" thickBot="1">
      <c r="A9">
        <v>5</v>
      </c>
      <c r="B9" s="1" t="s">
        <v>10</v>
      </c>
      <c r="C9">
        <v>-7593.3150000000169</v>
      </c>
      <c r="D9">
        <v>-77761.679999999993</v>
      </c>
      <c r="E9">
        <v>-25958.879999999994</v>
      </c>
      <c r="F9">
        <v>-1421.1000000000004</v>
      </c>
      <c r="G9">
        <v>-25356.404999999995</v>
      </c>
      <c r="H9">
        <v>-3403.3350000000009</v>
      </c>
      <c r="I9">
        <v>265310.35499999992</v>
      </c>
      <c r="J9">
        <v>-32805.465000000011</v>
      </c>
      <c r="K9">
        <v>171973.41000000003</v>
      </c>
      <c r="L9">
        <v>35938.290000000037</v>
      </c>
      <c r="M9">
        <v>-26513.279999999995</v>
      </c>
      <c r="N9">
        <v>-42596.925000000003</v>
      </c>
      <c r="O9">
        <v>-14781.570000000003</v>
      </c>
      <c r="P9">
        <v>-574.69499999999243</v>
      </c>
      <c r="Q9">
        <v>-2858.7449999999994</v>
      </c>
      <c r="R9">
        <v>-13547.204999999998</v>
      </c>
      <c r="S9">
        <v>-19094.460000000003</v>
      </c>
      <c r="T9">
        <v>-10428.285000000003</v>
      </c>
      <c r="U9">
        <v>26415.225000000006</v>
      </c>
      <c r="V9">
        <v>-35900.59500000003</v>
      </c>
      <c r="W9">
        <v>-1169.6400000000012</v>
      </c>
      <c r="X9">
        <v>-32208.764999999999</v>
      </c>
      <c r="Y9">
        <v>-1670.3399999999965</v>
      </c>
      <c r="Z9">
        <v>127775.19000000002</v>
      </c>
      <c r="AA9">
        <v>190635.81000000006</v>
      </c>
      <c r="AB9">
        <v>-25624.920000000013</v>
      </c>
      <c r="AC9">
        <v>-39489.330000000009</v>
      </c>
      <c r="AD9">
        <v>1758.2999999999997</v>
      </c>
      <c r="AE9">
        <v>-13379.445</v>
      </c>
      <c r="AF9">
        <v>-9368.9399999999987</v>
      </c>
      <c r="AG9">
        <v>-94366.64999999998</v>
      </c>
      <c r="AH9">
        <v>-40678.619999999995</v>
      </c>
      <c r="AI9">
        <v>-131201.84999999998</v>
      </c>
      <c r="AJ9">
        <v>-14484.255000000001</v>
      </c>
      <c r="AK9">
        <v>-64025.61</v>
      </c>
      <c r="AL9">
        <v>-39292.334999999992</v>
      </c>
      <c r="AM9">
        <v>74526.765000000014</v>
      </c>
      <c r="AN9">
        <v>-23427.045000000006</v>
      </c>
      <c r="AO9">
        <v>25809.014999999985</v>
      </c>
      <c r="AP9">
        <v>-35516.684999999998</v>
      </c>
      <c r="AQ9">
        <v>-231.25500000000102</v>
      </c>
      <c r="AR9">
        <v>-30123.674999999996</v>
      </c>
      <c r="AS9">
        <v>302545.78499999992</v>
      </c>
      <c r="AT9">
        <v>-55631.699999999983</v>
      </c>
      <c r="AU9">
        <v>-456.04499999999962</v>
      </c>
      <c r="AV9">
        <v>234473.11499999999</v>
      </c>
      <c r="AW9">
        <v>-33925.785000000003</v>
      </c>
      <c r="AX9" s="3">
        <f t="shared" si="0"/>
        <v>430292.42999999993</v>
      </c>
      <c r="AY9" s="1" t="s">
        <v>10</v>
      </c>
    </row>
    <row r="10" spans="1:51" ht="14.65" thickBot="1">
      <c r="A10">
        <v>6</v>
      </c>
      <c r="B10" s="1" t="s">
        <v>11</v>
      </c>
      <c r="C10">
        <v>1012.9050000000002</v>
      </c>
      <c r="D10">
        <v>5249.2800000000007</v>
      </c>
      <c r="E10">
        <v>-3022.6800000000003</v>
      </c>
      <c r="F10">
        <v>467.57999999999993</v>
      </c>
      <c r="G10">
        <v>629.38499999999999</v>
      </c>
      <c r="H10">
        <v>6524.6100000000006</v>
      </c>
      <c r="I10">
        <v>0</v>
      </c>
      <c r="J10">
        <v>92.429999999999836</v>
      </c>
      <c r="K10">
        <v>0.76500000000000001</v>
      </c>
      <c r="L10">
        <v>535.42499999999995</v>
      </c>
      <c r="M10">
        <v>-9163.77</v>
      </c>
      <c r="N10">
        <v>6672.0750000000025</v>
      </c>
      <c r="O10">
        <v>-10570.214999999997</v>
      </c>
      <c r="P10">
        <v>1947.0300000000002</v>
      </c>
      <c r="Q10">
        <v>3735.0149999999976</v>
      </c>
      <c r="R10">
        <v>2256.2249999999999</v>
      </c>
      <c r="S10">
        <v>-273.68999999999869</v>
      </c>
      <c r="T10">
        <v>82.605000000000004</v>
      </c>
      <c r="U10">
        <v>748.67999999999984</v>
      </c>
      <c r="V10">
        <v>60.85499999999999</v>
      </c>
      <c r="W10">
        <v>4.05</v>
      </c>
      <c r="X10">
        <v>270.51</v>
      </c>
      <c r="Y10">
        <v>1205.4300000000003</v>
      </c>
      <c r="Z10">
        <v>0</v>
      </c>
      <c r="AA10">
        <v>0</v>
      </c>
      <c r="AB10">
        <v>9344.6100000000042</v>
      </c>
      <c r="AC10">
        <v>8205.7649999999994</v>
      </c>
      <c r="AD10">
        <v>0.43500000000000005</v>
      </c>
      <c r="AE10">
        <v>6079.9800000000032</v>
      </c>
      <c r="AF10">
        <v>-733.63499999999988</v>
      </c>
      <c r="AG10">
        <v>-1800.2550000000001</v>
      </c>
      <c r="AH10">
        <v>6139.6200000000008</v>
      </c>
      <c r="AI10">
        <v>6052.5899999999992</v>
      </c>
      <c r="AJ10">
        <v>2548.3800000000006</v>
      </c>
      <c r="AK10">
        <v>205.87500000000006</v>
      </c>
      <c r="AL10">
        <v>12985.769999999999</v>
      </c>
      <c r="AM10">
        <v>0</v>
      </c>
      <c r="AN10">
        <v>-280.38</v>
      </c>
      <c r="AO10">
        <v>3389.1149999999998</v>
      </c>
      <c r="AP10">
        <v>9.9899999999999984</v>
      </c>
      <c r="AQ10">
        <v>3071.3700000000008</v>
      </c>
      <c r="AR10">
        <v>406.12499999999994</v>
      </c>
      <c r="AS10">
        <v>0</v>
      </c>
      <c r="AT10">
        <v>180.13499999999999</v>
      </c>
      <c r="AU10">
        <v>-70.70999999999998</v>
      </c>
      <c r="AV10">
        <v>0</v>
      </c>
      <c r="AW10">
        <v>946.23</v>
      </c>
      <c r="AX10" s="3">
        <f t="shared" si="0"/>
        <v>65145.510000000017</v>
      </c>
      <c r="AY10" s="1" t="s">
        <v>11</v>
      </c>
    </row>
    <row r="11" spans="1:51" ht="14.65" thickBot="1">
      <c r="A11">
        <v>7</v>
      </c>
      <c r="B11" s="1" t="s">
        <v>12</v>
      </c>
      <c r="C11">
        <v>36084.030000000006</v>
      </c>
      <c r="D11">
        <v>65497.154999999992</v>
      </c>
      <c r="E11">
        <v>65344.59</v>
      </c>
      <c r="F11">
        <v>31393.544999999984</v>
      </c>
      <c r="G11">
        <v>72966.945000000007</v>
      </c>
      <c r="H11">
        <v>52849.740000000005</v>
      </c>
      <c r="I11">
        <v>709.18499999999995</v>
      </c>
      <c r="J11">
        <v>59349.899999999994</v>
      </c>
      <c r="K11">
        <v>1286.3699999999999</v>
      </c>
      <c r="L11">
        <v>34751.114999999998</v>
      </c>
      <c r="M11">
        <v>63080.51999999999</v>
      </c>
      <c r="N11">
        <v>73257.3</v>
      </c>
      <c r="O11">
        <v>32953.544999999998</v>
      </c>
      <c r="P11">
        <v>69534.465000000011</v>
      </c>
      <c r="Q11">
        <v>14828.879999999983</v>
      </c>
      <c r="R11">
        <v>5193.0149999999994</v>
      </c>
      <c r="S11">
        <v>41251.110000000015</v>
      </c>
      <c r="T11">
        <v>379650.06000000006</v>
      </c>
      <c r="U11">
        <v>98631.525000000009</v>
      </c>
      <c r="V11">
        <v>58156.140000000007</v>
      </c>
      <c r="W11">
        <v>10838.835000000003</v>
      </c>
      <c r="X11">
        <v>117917.25000000003</v>
      </c>
      <c r="Y11">
        <v>151878.64499999999</v>
      </c>
      <c r="Z11">
        <v>2403.8999999999996</v>
      </c>
      <c r="AA11">
        <v>3124.9949999999999</v>
      </c>
      <c r="AB11">
        <v>79896.225000000006</v>
      </c>
      <c r="AC11">
        <v>69361.185000000012</v>
      </c>
      <c r="AD11">
        <v>2359.7699999999995</v>
      </c>
      <c r="AE11">
        <v>31241.369999999981</v>
      </c>
      <c r="AF11">
        <v>6491.279999999997</v>
      </c>
      <c r="AG11">
        <v>127108.78499999997</v>
      </c>
      <c r="AH11">
        <v>58834.275000000009</v>
      </c>
      <c r="AI11">
        <v>198571.65000000005</v>
      </c>
      <c r="AJ11">
        <v>7799.0849999999919</v>
      </c>
      <c r="AK11">
        <v>71082.105000000025</v>
      </c>
      <c r="AL11">
        <v>29379.255000000005</v>
      </c>
      <c r="AM11">
        <v>1122.7649999999999</v>
      </c>
      <c r="AN11">
        <v>65980.185000000012</v>
      </c>
      <c r="AO11">
        <v>25232.415000000001</v>
      </c>
      <c r="AP11">
        <v>16285.470000000001</v>
      </c>
      <c r="AQ11">
        <v>35644.799999999988</v>
      </c>
      <c r="AR11">
        <v>88679.79</v>
      </c>
      <c r="AS11">
        <v>1226.01</v>
      </c>
      <c r="AT11">
        <v>109861.37999999999</v>
      </c>
      <c r="AU11">
        <v>7072.5149999999994</v>
      </c>
      <c r="AV11">
        <v>0</v>
      </c>
      <c r="AW11">
        <v>48374.100000000006</v>
      </c>
      <c r="AX11" s="3">
        <f t="shared" si="0"/>
        <v>2624537.1749999998</v>
      </c>
      <c r="AY11" s="1" t="s">
        <v>12</v>
      </c>
    </row>
    <row r="12" spans="1:51" ht="14.65" thickBot="1">
      <c r="A12">
        <v>8</v>
      </c>
      <c r="B12" s="1" t="s">
        <v>13</v>
      </c>
      <c r="C12">
        <v>185.47500000000002</v>
      </c>
      <c r="D12">
        <v>-16.829999999999998</v>
      </c>
      <c r="E12">
        <v>9.9899999999999984</v>
      </c>
      <c r="F12">
        <v>2357.7600000000002</v>
      </c>
      <c r="G12">
        <v>-105.32999999999998</v>
      </c>
      <c r="H12">
        <v>10.139999999999999</v>
      </c>
      <c r="I12">
        <v>-18.12</v>
      </c>
      <c r="J12">
        <v>2410.0499999999997</v>
      </c>
      <c r="K12">
        <v>130.78500000000003</v>
      </c>
      <c r="L12">
        <v>-1290.7349999999997</v>
      </c>
      <c r="M12">
        <v>66.27</v>
      </c>
      <c r="N12">
        <v>-23.100000000000005</v>
      </c>
      <c r="O12">
        <v>-103.53</v>
      </c>
      <c r="P12">
        <v>1267.8300000000002</v>
      </c>
      <c r="Q12">
        <v>17.055</v>
      </c>
      <c r="R12">
        <v>14.715000000000002</v>
      </c>
      <c r="S12">
        <v>2466.9899999999989</v>
      </c>
      <c r="T12">
        <v>168.48</v>
      </c>
      <c r="U12">
        <v>0.58499999999999996</v>
      </c>
      <c r="V12">
        <v>-400.88999999999987</v>
      </c>
      <c r="W12">
        <v>293.20500000000004</v>
      </c>
      <c r="X12">
        <v>-20.399999999999999</v>
      </c>
      <c r="Y12">
        <v>-10.74</v>
      </c>
      <c r="Z12">
        <v>0</v>
      </c>
      <c r="AA12">
        <v>691.40999999999985</v>
      </c>
      <c r="AB12">
        <v>182.97000000000003</v>
      </c>
      <c r="AC12">
        <v>-214.40999999999997</v>
      </c>
      <c r="AD12">
        <v>0</v>
      </c>
      <c r="AE12">
        <v>-61.38</v>
      </c>
      <c r="AF12">
        <v>6.7199999999999989</v>
      </c>
      <c r="AG12">
        <v>-30.855000000000018</v>
      </c>
      <c r="AH12">
        <v>21.449999999999989</v>
      </c>
      <c r="AI12">
        <v>148.59</v>
      </c>
      <c r="AJ12">
        <v>-3.7200000000000006</v>
      </c>
      <c r="AK12">
        <v>413.55000000000007</v>
      </c>
      <c r="AL12">
        <v>-17.519999999999996</v>
      </c>
      <c r="AM12">
        <v>5.8350000000000009</v>
      </c>
      <c r="AN12">
        <v>2437.8000000000002</v>
      </c>
      <c r="AO12">
        <v>764.56500000000051</v>
      </c>
      <c r="AP12">
        <v>951.14999999999986</v>
      </c>
      <c r="AQ12">
        <v>5.9250000000000007</v>
      </c>
      <c r="AR12">
        <v>-7.4999999999999991</v>
      </c>
      <c r="AS12">
        <v>7180.7699999999986</v>
      </c>
      <c r="AT12">
        <v>-391.96499999999997</v>
      </c>
      <c r="AU12">
        <v>-36.134999999999991</v>
      </c>
      <c r="AV12">
        <v>0</v>
      </c>
      <c r="AW12">
        <v>49.139999999999993</v>
      </c>
      <c r="AX12" s="3">
        <f t="shared" si="0"/>
        <v>19506.044999999998</v>
      </c>
      <c r="AY12" s="1" t="s">
        <v>13</v>
      </c>
    </row>
    <row r="13" spans="1:51" ht="14.65" thickBot="1">
      <c r="A13">
        <v>9</v>
      </c>
      <c r="B13" s="1" t="s">
        <v>14</v>
      </c>
      <c r="C13">
        <v>6528.9299999999985</v>
      </c>
      <c r="D13">
        <v>77.73</v>
      </c>
      <c r="E13">
        <v>77.759999999999991</v>
      </c>
      <c r="F13">
        <v>-47.055000000000291</v>
      </c>
      <c r="G13">
        <v>146.53499999999997</v>
      </c>
      <c r="H13">
        <v>-1377.0900000000001</v>
      </c>
      <c r="I13">
        <v>367.48500000000001</v>
      </c>
      <c r="J13">
        <v>-564.83999999999651</v>
      </c>
      <c r="K13">
        <v>-171.28500000000008</v>
      </c>
      <c r="L13">
        <v>-1453.3950000000004</v>
      </c>
      <c r="M13">
        <v>250.24499999999995</v>
      </c>
      <c r="N13">
        <v>126.03</v>
      </c>
      <c r="O13">
        <v>-248.63999999999993</v>
      </c>
      <c r="P13">
        <v>1008.4650000000006</v>
      </c>
      <c r="Q13">
        <v>-164.83499999999998</v>
      </c>
      <c r="R13">
        <v>-25.724999999999998</v>
      </c>
      <c r="S13">
        <v>-1499.385000000002</v>
      </c>
      <c r="T13">
        <v>425.91000000000031</v>
      </c>
      <c r="U13">
        <v>193.245</v>
      </c>
      <c r="V13">
        <v>138.7949999999999</v>
      </c>
      <c r="W13">
        <v>-419.9849999999999</v>
      </c>
      <c r="X13">
        <v>-1768.4099999999999</v>
      </c>
      <c r="Y13">
        <v>421.20000000000005</v>
      </c>
      <c r="Z13">
        <v>988.005</v>
      </c>
      <c r="AA13">
        <v>5076.1800000000512</v>
      </c>
      <c r="AB13">
        <v>56.52000000000001</v>
      </c>
      <c r="AC13">
        <v>-344.26500000000669</v>
      </c>
      <c r="AD13">
        <v>210.17999999999995</v>
      </c>
      <c r="AE13">
        <v>-166.79999999999995</v>
      </c>
      <c r="AF13">
        <v>-52.259999999999991</v>
      </c>
      <c r="AG13">
        <v>4083.5999999999985</v>
      </c>
      <c r="AH13">
        <v>31.5</v>
      </c>
      <c r="AI13">
        <v>929.33999999999992</v>
      </c>
      <c r="AJ13">
        <v>3.345000000000006</v>
      </c>
      <c r="AK13">
        <v>1055.8500000000001</v>
      </c>
      <c r="AL13">
        <v>43.740000000000009</v>
      </c>
      <c r="AM13">
        <v>-9.0749999999999886</v>
      </c>
      <c r="AN13">
        <v>-25.139999999999418</v>
      </c>
      <c r="AO13">
        <v>685.27499999999975</v>
      </c>
      <c r="AP13">
        <v>-3595.2749999999978</v>
      </c>
      <c r="AQ13">
        <v>176.98499999999996</v>
      </c>
      <c r="AR13">
        <v>73.154999999999987</v>
      </c>
      <c r="AS13">
        <v>3446.5350000000326</v>
      </c>
      <c r="AT13">
        <v>49.125</v>
      </c>
      <c r="AU13">
        <v>13.094999999999999</v>
      </c>
      <c r="AV13">
        <v>235.93499999999997</v>
      </c>
      <c r="AW13">
        <v>1565.5949999999996</v>
      </c>
      <c r="AX13" s="3">
        <f t="shared" si="0"/>
        <v>16552.830000000078</v>
      </c>
      <c r="AY13" s="1" t="s">
        <v>14</v>
      </c>
    </row>
    <row r="14" spans="1:51" ht="14.65" thickBot="1">
      <c r="A14">
        <v>10</v>
      </c>
      <c r="B14" s="1" t="s">
        <v>15</v>
      </c>
      <c r="C14">
        <v>-12249.57</v>
      </c>
      <c r="D14">
        <v>78.809999999999988</v>
      </c>
      <c r="E14">
        <v>3272.835</v>
      </c>
      <c r="F14">
        <v>760.27500000000009</v>
      </c>
      <c r="G14">
        <v>674.52</v>
      </c>
      <c r="H14">
        <v>440.38499999999988</v>
      </c>
      <c r="I14">
        <v>-14538.629999999997</v>
      </c>
      <c r="J14">
        <v>1151.58</v>
      </c>
      <c r="K14">
        <v>-98570.669999999984</v>
      </c>
      <c r="L14">
        <v>-10508.220000000001</v>
      </c>
      <c r="M14">
        <v>830.1450000000001</v>
      </c>
      <c r="N14">
        <v>1016.8050000000001</v>
      </c>
      <c r="O14">
        <v>711.32999999999993</v>
      </c>
      <c r="P14">
        <v>7185.57</v>
      </c>
      <c r="Q14">
        <v>678.27000000000021</v>
      </c>
      <c r="R14">
        <v>1031.67</v>
      </c>
      <c r="S14">
        <v>3002.085</v>
      </c>
      <c r="T14">
        <v>5684.9700000000012</v>
      </c>
      <c r="U14">
        <v>2049.21</v>
      </c>
      <c r="V14">
        <v>1797.1049999999998</v>
      </c>
      <c r="W14">
        <v>1396.3200000000002</v>
      </c>
      <c r="X14">
        <v>2226.8699999999994</v>
      </c>
      <c r="Y14">
        <v>1395.42</v>
      </c>
      <c r="Z14">
        <v>-13132.184999999998</v>
      </c>
      <c r="AA14">
        <v>-123169.0950000002</v>
      </c>
      <c r="AB14">
        <v>2614.5749999999989</v>
      </c>
      <c r="AC14">
        <v>1272.8400000000001</v>
      </c>
      <c r="AD14">
        <v>2196.375</v>
      </c>
      <c r="AE14">
        <v>401.1</v>
      </c>
      <c r="AF14">
        <v>4295.37</v>
      </c>
      <c r="AG14">
        <v>4331.04</v>
      </c>
      <c r="AH14">
        <v>347.95500000000004</v>
      </c>
      <c r="AI14">
        <v>724.54500000000007</v>
      </c>
      <c r="AJ14">
        <v>291.40499999999997</v>
      </c>
      <c r="AK14">
        <v>919.8449999999998</v>
      </c>
      <c r="AL14">
        <v>935.02499999999986</v>
      </c>
      <c r="AM14">
        <v>-22694.175000000003</v>
      </c>
      <c r="AN14">
        <v>1365.5849999999996</v>
      </c>
      <c r="AO14">
        <v>37.710000000000036</v>
      </c>
      <c r="AP14">
        <v>5980.5599999999977</v>
      </c>
      <c r="AQ14">
        <v>437.44499999999994</v>
      </c>
      <c r="AR14">
        <v>1648.3650000000002</v>
      </c>
      <c r="AS14">
        <v>-45275.895000000019</v>
      </c>
      <c r="AT14">
        <v>2614.7549999999997</v>
      </c>
      <c r="AU14">
        <v>56.19</v>
      </c>
      <c r="AV14">
        <v>-12175.395000000019</v>
      </c>
      <c r="AW14">
        <v>-3716.55</v>
      </c>
      <c r="AX14" s="3">
        <f t="shared" si="0"/>
        <v>-290175.5250000002</v>
      </c>
      <c r="AY14" s="1" t="s">
        <v>15</v>
      </c>
    </row>
    <row r="15" spans="1:51">
      <c r="W15" s="6"/>
      <c r="AX15" s="19">
        <f>SUM(AX5:AX14)</f>
        <v>1.6298145055770874E-9</v>
      </c>
    </row>
    <row r="16" spans="1:51">
      <c r="A16" s="4"/>
      <c r="C16" s="28">
        <f>SUM(C5:C15)</f>
        <v>0</v>
      </c>
      <c r="D16" s="28">
        <f t="shared" ref="D16:AX16" si="1">SUM(D5:D15)</f>
        <v>8.8107299234252423E-13</v>
      </c>
      <c r="E16" s="28">
        <f t="shared" si="1"/>
        <v>8.1854523159563541E-12</v>
      </c>
      <c r="F16" s="28">
        <f t="shared" si="1"/>
        <v>-1.0459189070388675E-11</v>
      </c>
      <c r="G16" s="28">
        <f t="shared" si="1"/>
        <v>2.3305801732931286E-11</v>
      </c>
      <c r="H16" s="28">
        <f t="shared" si="1"/>
        <v>9.3223206931725144E-12</v>
      </c>
      <c r="I16" s="28">
        <f t="shared" si="1"/>
        <v>-4.0017766878008842E-11</v>
      </c>
      <c r="J16" s="28">
        <f t="shared" si="1"/>
        <v>-5.0022208597511053E-12</v>
      </c>
      <c r="K16" s="28">
        <f t="shared" si="1"/>
        <v>1.1641532182693481E-10</v>
      </c>
      <c r="L16" s="28">
        <f t="shared" si="1"/>
        <v>1.4551915228366852E-11</v>
      </c>
      <c r="M16" s="28">
        <f t="shared" si="1"/>
        <v>-3.5242919693700969E-12</v>
      </c>
      <c r="N16" s="28">
        <f t="shared" si="1"/>
        <v>0</v>
      </c>
      <c r="O16" s="28">
        <f t="shared" si="1"/>
        <v>-3.4106051316484809E-12</v>
      </c>
      <c r="P16" s="28">
        <f t="shared" si="1"/>
        <v>-7.8216544352471828E-11</v>
      </c>
      <c r="Q16" s="28">
        <f t="shared" si="1"/>
        <v>-2.5011104298755527E-11</v>
      </c>
      <c r="R16" s="28">
        <f t="shared" si="1"/>
        <v>2.0463630789890885E-12</v>
      </c>
      <c r="S16" s="28">
        <f t="shared" si="1"/>
        <v>9.0949470177292824E-12</v>
      </c>
      <c r="T16" s="28">
        <f t="shared" si="1"/>
        <v>4.8021320253610611E-10</v>
      </c>
      <c r="U16" s="28">
        <f t="shared" si="1"/>
        <v>-5.184119800105691E-11</v>
      </c>
      <c r="V16" s="28">
        <f t="shared" si="1"/>
        <v>-1.1868905858136714E-10</v>
      </c>
      <c r="W16" s="28">
        <f t="shared" si="1"/>
        <v>-3.1377567211166024E-11</v>
      </c>
      <c r="X16" s="28">
        <f t="shared" si="1"/>
        <v>3.092281986027956E-11</v>
      </c>
      <c r="Y16" s="28">
        <f t="shared" si="1"/>
        <v>8.276401786133647E-11</v>
      </c>
      <c r="Z16" s="28">
        <f t="shared" si="1"/>
        <v>-7.2759576141834259E-11</v>
      </c>
      <c r="AA16" s="28">
        <f t="shared" si="1"/>
        <v>1.1641532182693481E-10</v>
      </c>
      <c r="AB16" s="28">
        <f t="shared" si="1"/>
        <v>4.0472514228895307E-11</v>
      </c>
      <c r="AC16" s="28">
        <f t="shared" si="1"/>
        <v>-1.4551915228366852E-11</v>
      </c>
      <c r="AD16" s="28">
        <f t="shared" si="1"/>
        <v>0</v>
      </c>
      <c r="AE16" s="28">
        <f t="shared" si="1"/>
        <v>-2.0008883439004421E-11</v>
      </c>
      <c r="AF16" s="28">
        <f t="shared" si="1"/>
        <v>0</v>
      </c>
      <c r="AG16" s="28">
        <f t="shared" si="1"/>
        <v>2.4556356947869062E-11</v>
      </c>
      <c r="AH16" s="28">
        <f t="shared" si="1"/>
        <v>2.3021584638627246E-11</v>
      </c>
      <c r="AI16" s="28">
        <f t="shared" si="1"/>
        <v>1.3960743672214448E-10</v>
      </c>
      <c r="AJ16" s="28">
        <f t="shared" si="1"/>
        <v>-9.7770680440589786E-12</v>
      </c>
      <c r="AK16" s="28">
        <f t="shared" si="1"/>
        <v>3.3878677641041577E-11</v>
      </c>
      <c r="AL16" s="28">
        <f t="shared" si="1"/>
        <v>-2.7284841053187847E-12</v>
      </c>
      <c r="AM16" s="28">
        <f t="shared" si="1"/>
        <v>1.0550138540565968E-10</v>
      </c>
      <c r="AN16" s="28">
        <f t="shared" si="1"/>
        <v>5.0022208597511053E-12</v>
      </c>
      <c r="AO16" s="28">
        <f t="shared" si="1"/>
        <v>-1.716671249596402E-11</v>
      </c>
      <c r="AP16" s="28">
        <f t="shared" si="1"/>
        <v>4.7839421313256025E-10</v>
      </c>
      <c r="AQ16" s="28">
        <f t="shared" si="1"/>
        <v>-1.7905676941154525E-11</v>
      </c>
      <c r="AR16" s="28">
        <f t="shared" si="1"/>
        <v>1.0686562745831907E-11</v>
      </c>
      <c r="AS16" s="28">
        <f t="shared" si="1"/>
        <v>3.2014213502407074E-10</v>
      </c>
      <c r="AT16" s="28">
        <f t="shared" si="1"/>
        <v>2.0463630789890885E-11</v>
      </c>
      <c r="AU16" s="28">
        <f t="shared" si="1"/>
        <v>-5.4001247917767614E-13</v>
      </c>
      <c r="AV16" s="28">
        <f t="shared" si="1"/>
        <v>3.219611244276166E-10</v>
      </c>
      <c r="AW16" s="28">
        <f t="shared" si="1"/>
        <v>-2.0008883439004421E-11</v>
      </c>
      <c r="AX16" s="28">
        <f t="shared" si="1"/>
        <v>3.2596290111541748E-9</v>
      </c>
    </row>
    <row r="17" spans="2:23">
      <c r="W17" s="6"/>
    </row>
    <row r="18" spans="2:23">
      <c r="B18" s="8"/>
      <c r="W18" s="6"/>
    </row>
    <row r="19" spans="2:23">
      <c r="B19" s="8"/>
      <c r="W19" s="6"/>
    </row>
    <row r="20" spans="2:23">
      <c r="B20" s="8"/>
      <c r="W20" s="6"/>
    </row>
    <row r="21" spans="2:23">
      <c r="B21" s="8"/>
      <c r="W21" s="6"/>
    </row>
    <row r="22" spans="2:23">
      <c r="B22" s="8"/>
      <c r="W22" s="6"/>
    </row>
    <row r="23" spans="2:23">
      <c r="B23" s="8"/>
      <c r="W23" s="6"/>
    </row>
    <row r="24" spans="2:23">
      <c r="B24" s="8"/>
      <c r="W24" s="6"/>
    </row>
    <row r="25" spans="2:23">
      <c r="B25" s="8"/>
      <c r="W25" s="6"/>
    </row>
    <row r="26" spans="2:23">
      <c r="B26" s="8"/>
      <c r="W26" s="6"/>
    </row>
    <row r="27" spans="2:23">
      <c r="B27" s="8"/>
      <c r="W27" s="6"/>
    </row>
    <row r="28" spans="2:23">
      <c r="B28" s="8"/>
      <c r="W28" s="6"/>
    </row>
  </sheetData>
  <pageMargins left="0.7" right="0.7" top="0.75" bottom="0.75" header="0.3" footer="0.3"/>
  <headerFooter>
    <oddFooter>&amp;R_x000D_&amp;1#&amp;"Calibri"&amp;10&amp;K000000 Official Use Only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3F48F-6E31-E540-8717-63E55958C4E8}">
  <dimension ref="A2:AX61"/>
  <sheetViews>
    <sheetView workbookViewId="0">
      <selection activeCell="I53" sqref="I53"/>
    </sheetView>
  </sheetViews>
  <sheetFormatPr defaultColWidth="10.6640625" defaultRowHeight="14.25"/>
  <cols>
    <col min="2" max="2" width="14" bestFit="1" customWidth="1"/>
    <col min="3" max="3" width="14.33203125" customWidth="1"/>
    <col min="49" max="49" width="12.6640625" bestFit="1" customWidth="1"/>
    <col min="50" max="50" width="12.1328125" bestFit="1" customWidth="1"/>
  </cols>
  <sheetData>
    <row r="2" spans="1:50">
      <c r="A2" s="4" t="s">
        <v>17</v>
      </c>
    </row>
    <row r="3" spans="1:50" ht="14.65" thickBot="1">
      <c r="C3" t="s">
        <v>3</v>
      </c>
      <c r="W3" t="s">
        <v>20</v>
      </c>
      <c r="AL3" t="s">
        <v>19</v>
      </c>
    </row>
    <row r="4" spans="1:50">
      <c r="A4" t="s">
        <v>5</v>
      </c>
      <c r="B4" s="8"/>
      <c r="C4" t="s">
        <v>4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 s="2" t="s">
        <v>16</v>
      </c>
    </row>
    <row r="5" spans="1:50">
      <c r="A5">
        <v>1</v>
      </c>
      <c r="B5" s="8" t="s">
        <v>6</v>
      </c>
      <c r="K5">
        <v>33352.305</v>
      </c>
      <c r="M5">
        <v>794.80500000000393</v>
      </c>
      <c r="O5">
        <v>7089.6899999999951</v>
      </c>
      <c r="Q5">
        <v>1241.6249999999964</v>
      </c>
      <c r="R5">
        <v>1436.9250000000006</v>
      </c>
      <c r="T5">
        <v>173.35500000003958</v>
      </c>
      <c r="W5" s="6">
        <v>29100.029999999984</v>
      </c>
      <c r="X5">
        <v>4828.0199999999986</v>
      </c>
      <c r="AA5">
        <v>11775.044999999998</v>
      </c>
      <c r="AE5">
        <v>5248.0649999999951</v>
      </c>
      <c r="AH5">
        <v>3426.510000000002</v>
      </c>
      <c r="AJ5">
        <v>2434.4399999999996</v>
      </c>
      <c r="AK5">
        <v>6385.9050000000061</v>
      </c>
      <c r="AL5">
        <v>2438.0849999999919</v>
      </c>
      <c r="AM5">
        <v>80834.235000000001</v>
      </c>
      <c r="AP5">
        <v>21531.990000000005</v>
      </c>
      <c r="AU5">
        <v>1308.105</v>
      </c>
      <c r="AV5">
        <v>1668.0450000000001</v>
      </c>
      <c r="AX5" s="19">
        <f>SUM(C5:AW5)</f>
        <v>215067.18000000005</v>
      </c>
    </row>
    <row r="6" spans="1:50">
      <c r="A6">
        <v>2</v>
      </c>
      <c r="B6" s="8" t="s">
        <v>7</v>
      </c>
      <c r="C6">
        <v>1204.3949999999986</v>
      </c>
      <c r="D6">
        <v>8638.23</v>
      </c>
      <c r="E6">
        <v>1447.395</v>
      </c>
      <c r="F6">
        <v>268.71000000000004</v>
      </c>
      <c r="J6">
        <v>1594.02</v>
      </c>
      <c r="K6">
        <v>18358.785</v>
      </c>
      <c r="L6">
        <v>362.46000000000276</v>
      </c>
      <c r="N6">
        <v>2135.5199999999995</v>
      </c>
      <c r="Q6">
        <v>398.88</v>
      </c>
      <c r="R6">
        <v>382.21500000000003</v>
      </c>
      <c r="S6">
        <v>292.69500000000005</v>
      </c>
      <c r="V6">
        <v>9724.83</v>
      </c>
      <c r="W6" s="6"/>
      <c r="Y6">
        <v>10694.474999999999</v>
      </c>
      <c r="Z6">
        <v>4554.4799999999996</v>
      </c>
      <c r="AA6">
        <v>1902.9149999999972</v>
      </c>
      <c r="AB6">
        <v>6745.2000000000007</v>
      </c>
      <c r="AC6">
        <v>269.25</v>
      </c>
      <c r="AD6">
        <v>122.29499999999996</v>
      </c>
      <c r="AG6">
        <v>932.11499999999614</v>
      </c>
      <c r="AH6">
        <v>26.610000000000582</v>
      </c>
      <c r="AJ6">
        <v>893.05499999999995</v>
      </c>
      <c r="AL6">
        <v>2105.9999999999995</v>
      </c>
      <c r="AM6">
        <v>5568.9899999999907</v>
      </c>
      <c r="AO6">
        <v>10172.924999999999</v>
      </c>
      <c r="AR6">
        <v>1455.9449999999997</v>
      </c>
      <c r="AS6">
        <v>38.759999999994761</v>
      </c>
      <c r="AV6">
        <v>2172.4800000000005</v>
      </c>
      <c r="AX6" s="19">
        <f t="shared" ref="AX6:AX14" si="0">SUM(C6:AW6)</f>
        <v>92463.629999999946</v>
      </c>
    </row>
    <row r="7" spans="1:50">
      <c r="A7">
        <v>3</v>
      </c>
      <c r="B7" s="8" t="s">
        <v>8</v>
      </c>
      <c r="D7">
        <v>975.73500000000058</v>
      </c>
      <c r="F7">
        <v>263.59500000000003</v>
      </c>
      <c r="J7">
        <v>25.259999999999998</v>
      </c>
      <c r="M7">
        <v>1395.6</v>
      </c>
      <c r="N7">
        <v>110.2949999999999</v>
      </c>
      <c r="P7">
        <v>8398.9349999999995</v>
      </c>
      <c r="S7">
        <v>102.795</v>
      </c>
      <c r="T7">
        <v>29381.94</v>
      </c>
      <c r="W7" s="6"/>
      <c r="Y7">
        <v>2573.5500000000011</v>
      </c>
      <c r="Z7">
        <v>3528.8549999999996</v>
      </c>
      <c r="AC7">
        <v>1416.8250000000003</v>
      </c>
      <c r="AH7">
        <v>1918.77</v>
      </c>
      <c r="AM7">
        <v>4806.9149999999972</v>
      </c>
      <c r="AN7">
        <v>236.07</v>
      </c>
      <c r="AP7">
        <v>5908.5899999999983</v>
      </c>
      <c r="AS7">
        <v>18582.210000000021</v>
      </c>
      <c r="AT7">
        <v>629.54999999999984</v>
      </c>
      <c r="AU7">
        <v>1070.4749999999999</v>
      </c>
      <c r="AX7" s="19">
        <f t="shared" si="0"/>
        <v>81325.965000000011</v>
      </c>
    </row>
    <row r="8" spans="1:50">
      <c r="A8">
        <v>4</v>
      </c>
      <c r="B8" s="8" t="s">
        <v>9</v>
      </c>
      <c r="R8">
        <v>3474.3599999999988</v>
      </c>
      <c r="W8" s="6">
        <v>1850.429999999993</v>
      </c>
      <c r="AF8">
        <v>562.84500000000116</v>
      </c>
      <c r="AI8">
        <v>51207.82500000007</v>
      </c>
      <c r="AJ8">
        <v>946.40999999999985</v>
      </c>
      <c r="AP8">
        <v>15296.250000000466</v>
      </c>
      <c r="AW8">
        <v>11914.724999999977</v>
      </c>
      <c r="AX8" s="19">
        <f t="shared" si="0"/>
        <v>85252.84500000051</v>
      </c>
    </row>
    <row r="9" spans="1:50">
      <c r="A9">
        <v>5</v>
      </c>
      <c r="B9" s="8" t="s">
        <v>10</v>
      </c>
      <c r="I9">
        <v>265310.35499999992</v>
      </c>
      <c r="K9">
        <v>171973.41000000003</v>
      </c>
      <c r="L9">
        <v>35938.290000000037</v>
      </c>
      <c r="U9">
        <v>26415.225000000006</v>
      </c>
      <c r="W9" s="6"/>
      <c r="Z9">
        <v>127775.19000000002</v>
      </c>
      <c r="AA9">
        <v>190635.81000000006</v>
      </c>
      <c r="AD9">
        <v>1758.2999999999997</v>
      </c>
      <c r="AM9">
        <v>74526.765000000014</v>
      </c>
      <c r="AO9">
        <v>25809.014999999985</v>
      </c>
      <c r="AS9">
        <v>302545.78499999992</v>
      </c>
      <c r="AV9">
        <v>234473.11499999999</v>
      </c>
      <c r="AX9" s="19">
        <f t="shared" si="0"/>
        <v>1457161.26</v>
      </c>
    </row>
    <row r="10" spans="1:50">
      <c r="A10">
        <v>6</v>
      </c>
      <c r="B10" s="8" t="s">
        <v>11</v>
      </c>
      <c r="C10">
        <v>1012.9050000000002</v>
      </c>
      <c r="D10">
        <v>5249.2800000000007</v>
      </c>
      <c r="F10">
        <v>467.57999999999993</v>
      </c>
      <c r="G10">
        <v>629.38499999999999</v>
      </c>
      <c r="H10">
        <v>6524.6100000000006</v>
      </c>
      <c r="I10">
        <v>0</v>
      </c>
      <c r="J10">
        <v>92.429999999999836</v>
      </c>
      <c r="K10">
        <v>0.76500000000000001</v>
      </c>
      <c r="L10">
        <v>535.42499999999995</v>
      </c>
      <c r="N10">
        <v>6672.0750000000025</v>
      </c>
      <c r="P10">
        <v>1947.0300000000002</v>
      </c>
      <c r="Q10">
        <v>3735.0149999999976</v>
      </c>
      <c r="R10">
        <v>2256.2249999999999</v>
      </c>
      <c r="T10">
        <v>82.605000000000004</v>
      </c>
      <c r="U10">
        <v>748.67999999999984</v>
      </c>
      <c r="V10">
        <v>60.85499999999999</v>
      </c>
      <c r="W10" s="6">
        <v>4.05</v>
      </c>
      <c r="X10">
        <v>270.51</v>
      </c>
      <c r="Y10">
        <v>1205.4300000000003</v>
      </c>
      <c r="Z10">
        <v>0</v>
      </c>
      <c r="AA10">
        <v>0</v>
      </c>
      <c r="AB10">
        <v>9344.6100000000042</v>
      </c>
      <c r="AC10">
        <v>8205.7649999999994</v>
      </c>
      <c r="AD10">
        <v>0.43500000000000005</v>
      </c>
      <c r="AE10">
        <v>6079.9800000000032</v>
      </c>
      <c r="AH10">
        <v>6139.6200000000008</v>
      </c>
      <c r="AI10">
        <v>6052.5899999999992</v>
      </c>
      <c r="AJ10">
        <v>2548.3800000000006</v>
      </c>
      <c r="AK10">
        <v>205.87500000000006</v>
      </c>
      <c r="AL10">
        <v>12985.769999999999</v>
      </c>
      <c r="AM10">
        <v>0</v>
      </c>
      <c r="AO10">
        <v>3389.1149999999998</v>
      </c>
      <c r="AP10">
        <v>9.9899999999999984</v>
      </c>
      <c r="AQ10">
        <v>3071.3700000000008</v>
      </c>
      <c r="AR10">
        <v>406.12499999999994</v>
      </c>
      <c r="AS10">
        <v>0</v>
      </c>
      <c r="AT10">
        <v>180.13499999999999</v>
      </c>
      <c r="AV10">
        <v>0</v>
      </c>
      <c r="AW10">
        <v>946.23</v>
      </c>
      <c r="AX10" s="19">
        <f t="shared" si="0"/>
        <v>91060.845000000001</v>
      </c>
    </row>
    <row r="11" spans="1:50">
      <c r="A11">
        <v>7</v>
      </c>
      <c r="B11" s="8" t="s">
        <v>12</v>
      </c>
      <c r="C11">
        <v>36084.030000000006</v>
      </c>
      <c r="D11">
        <v>65497.154999999992</v>
      </c>
      <c r="E11">
        <v>65344.59</v>
      </c>
      <c r="F11">
        <v>31393.544999999984</v>
      </c>
      <c r="G11">
        <v>72966.945000000007</v>
      </c>
      <c r="H11">
        <v>52849.740000000005</v>
      </c>
      <c r="I11">
        <v>709.18499999999995</v>
      </c>
      <c r="J11">
        <v>59349.899999999994</v>
      </c>
      <c r="K11">
        <v>1286.3699999999999</v>
      </c>
      <c r="L11">
        <v>34751.114999999998</v>
      </c>
      <c r="M11">
        <v>63080.51999999999</v>
      </c>
      <c r="N11">
        <v>73257.3</v>
      </c>
      <c r="O11">
        <v>32953.544999999998</v>
      </c>
      <c r="P11">
        <v>69534.465000000011</v>
      </c>
      <c r="Q11">
        <v>14828.879999999983</v>
      </c>
      <c r="R11">
        <v>5193.0149999999994</v>
      </c>
      <c r="S11">
        <v>41251.110000000015</v>
      </c>
      <c r="T11">
        <v>379650.06000000006</v>
      </c>
      <c r="U11">
        <v>98631.525000000009</v>
      </c>
      <c r="V11">
        <v>58156.140000000007</v>
      </c>
      <c r="W11" s="6">
        <v>10838.835000000003</v>
      </c>
      <c r="X11">
        <v>117917.25000000003</v>
      </c>
      <c r="Y11">
        <v>151878.64499999999</v>
      </c>
      <c r="Z11">
        <v>2403.8999999999996</v>
      </c>
      <c r="AA11">
        <v>3124.9949999999999</v>
      </c>
      <c r="AB11">
        <v>79896.225000000006</v>
      </c>
      <c r="AC11">
        <v>69361.185000000012</v>
      </c>
      <c r="AD11">
        <v>2359.7699999999995</v>
      </c>
      <c r="AE11">
        <v>31241.369999999981</v>
      </c>
      <c r="AF11">
        <v>6491.279999999997</v>
      </c>
      <c r="AG11">
        <v>127108.78499999997</v>
      </c>
      <c r="AH11">
        <v>58834.275000000009</v>
      </c>
      <c r="AI11">
        <v>198571.65000000005</v>
      </c>
      <c r="AJ11">
        <v>7799.0849999999919</v>
      </c>
      <c r="AK11">
        <v>71082.105000000025</v>
      </c>
      <c r="AL11">
        <v>29379.255000000005</v>
      </c>
      <c r="AM11">
        <v>1122.7649999999999</v>
      </c>
      <c r="AN11">
        <v>65980.185000000012</v>
      </c>
      <c r="AO11">
        <v>25232.415000000001</v>
      </c>
      <c r="AP11">
        <v>16285.470000000001</v>
      </c>
      <c r="AQ11">
        <v>35644.799999999988</v>
      </c>
      <c r="AR11">
        <v>88679.79</v>
      </c>
      <c r="AS11">
        <v>1226.01</v>
      </c>
      <c r="AT11">
        <v>109861.37999999999</v>
      </c>
      <c r="AU11">
        <v>7072.5149999999994</v>
      </c>
      <c r="AV11">
        <v>0</v>
      </c>
      <c r="AW11">
        <v>48374.100000000006</v>
      </c>
      <c r="AX11" s="19">
        <f t="shared" si="0"/>
        <v>2624537.1749999998</v>
      </c>
    </row>
    <row r="12" spans="1:50">
      <c r="A12">
        <v>8</v>
      </c>
      <c r="B12" s="8" t="s">
        <v>13</v>
      </c>
      <c r="C12">
        <v>185.47500000000002</v>
      </c>
      <c r="E12">
        <v>9.9899999999999984</v>
      </c>
      <c r="F12">
        <v>2357.7600000000002</v>
      </c>
      <c r="H12">
        <v>10.139999999999999</v>
      </c>
      <c r="J12">
        <v>2410.0499999999997</v>
      </c>
      <c r="K12">
        <v>130.78500000000003</v>
      </c>
      <c r="M12">
        <v>66.27</v>
      </c>
      <c r="P12">
        <v>1267.8300000000002</v>
      </c>
      <c r="Q12">
        <v>17.055</v>
      </c>
      <c r="R12">
        <v>14.715000000000002</v>
      </c>
      <c r="S12">
        <v>2466.9899999999989</v>
      </c>
      <c r="T12">
        <v>168.48</v>
      </c>
      <c r="U12">
        <v>0.58499999999999996</v>
      </c>
      <c r="W12" s="6">
        <v>293.20500000000004</v>
      </c>
      <c r="Z12">
        <v>0</v>
      </c>
      <c r="AA12">
        <v>691.40999999999985</v>
      </c>
      <c r="AB12">
        <v>182.97000000000003</v>
      </c>
      <c r="AD12">
        <v>0</v>
      </c>
      <c r="AF12">
        <v>6.7199999999999989</v>
      </c>
      <c r="AH12">
        <v>21.449999999999989</v>
      </c>
      <c r="AI12">
        <v>148.59</v>
      </c>
      <c r="AJ12">
        <v>-3.7200000000000006</v>
      </c>
      <c r="AK12">
        <v>413.55000000000007</v>
      </c>
      <c r="AM12">
        <v>5.8350000000000009</v>
      </c>
      <c r="AN12">
        <v>2437.8000000000002</v>
      </c>
      <c r="AO12">
        <v>764.56500000000051</v>
      </c>
      <c r="AP12">
        <v>951.14999999999986</v>
      </c>
      <c r="AQ12">
        <v>5.9250000000000007</v>
      </c>
      <c r="AS12">
        <v>7180.7699999999986</v>
      </c>
      <c r="AV12">
        <v>0</v>
      </c>
      <c r="AW12">
        <v>49.139999999999993</v>
      </c>
      <c r="AX12" s="19">
        <f t="shared" si="0"/>
        <v>22255.484999999993</v>
      </c>
    </row>
    <row r="13" spans="1:50">
      <c r="A13">
        <v>9</v>
      </c>
      <c r="B13" s="8" t="s">
        <v>14</v>
      </c>
      <c r="C13">
        <v>6528.9299999999985</v>
      </c>
      <c r="D13">
        <v>77.73</v>
      </c>
      <c r="E13">
        <v>77.759999999999991</v>
      </c>
      <c r="G13">
        <v>146.53499999999997</v>
      </c>
      <c r="I13">
        <v>367.48500000000001</v>
      </c>
      <c r="M13">
        <v>250.24499999999995</v>
      </c>
      <c r="N13">
        <v>126.03</v>
      </c>
      <c r="P13">
        <v>1008.4650000000006</v>
      </c>
      <c r="T13">
        <v>425.91000000000031</v>
      </c>
      <c r="U13">
        <v>193.245</v>
      </c>
      <c r="V13">
        <v>138.7949999999999</v>
      </c>
      <c r="W13" s="6"/>
      <c r="Y13">
        <v>421.20000000000005</v>
      </c>
      <c r="Z13">
        <v>988.005</v>
      </c>
      <c r="AA13">
        <v>5076.1800000000512</v>
      </c>
      <c r="AB13">
        <v>56.52000000000001</v>
      </c>
      <c r="AD13">
        <v>210.17999999999995</v>
      </c>
      <c r="AG13">
        <v>4083.5999999999985</v>
      </c>
      <c r="AH13">
        <v>31.5</v>
      </c>
      <c r="AI13">
        <v>929.33999999999992</v>
      </c>
      <c r="AJ13">
        <v>3.345000000000006</v>
      </c>
      <c r="AK13">
        <v>1055.8500000000001</v>
      </c>
      <c r="AL13">
        <v>43.740000000000009</v>
      </c>
      <c r="AO13">
        <v>685.27499999999975</v>
      </c>
      <c r="AQ13">
        <v>176.98499999999996</v>
      </c>
      <c r="AR13">
        <v>73.154999999999987</v>
      </c>
      <c r="AS13">
        <v>3446.5350000000326</v>
      </c>
      <c r="AT13">
        <v>49.125</v>
      </c>
      <c r="AU13">
        <v>13.094999999999999</v>
      </c>
      <c r="AV13">
        <v>235.93499999999997</v>
      </c>
      <c r="AW13">
        <v>1565.5949999999996</v>
      </c>
      <c r="AX13" s="19">
        <f t="shared" si="0"/>
        <v>28486.290000000088</v>
      </c>
    </row>
    <row r="14" spans="1:50">
      <c r="A14">
        <v>10</v>
      </c>
      <c r="B14" s="8" t="s">
        <v>15</v>
      </c>
      <c r="D14">
        <v>78.809999999999988</v>
      </c>
      <c r="E14">
        <v>3272.835</v>
      </c>
      <c r="F14">
        <v>760.27500000000009</v>
      </c>
      <c r="G14">
        <v>674.52</v>
      </c>
      <c r="H14">
        <v>440.38499999999988</v>
      </c>
      <c r="J14">
        <v>1151.58</v>
      </c>
      <c r="M14">
        <v>830.1450000000001</v>
      </c>
      <c r="N14">
        <v>1016.8050000000001</v>
      </c>
      <c r="O14">
        <v>711.32999999999993</v>
      </c>
      <c r="P14">
        <v>7185.57</v>
      </c>
      <c r="Q14">
        <v>678.27000000000021</v>
      </c>
      <c r="R14">
        <v>1031.67</v>
      </c>
      <c r="S14">
        <v>3002.085</v>
      </c>
      <c r="T14">
        <v>5684.9700000000012</v>
      </c>
      <c r="U14">
        <v>2049.21</v>
      </c>
      <c r="V14">
        <v>1797.1049999999998</v>
      </c>
      <c r="W14" s="6">
        <v>1396.3200000000002</v>
      </c>
      <c r="X14">
        <v>2226.8699999999994</v>
      </c>
      <c r="Y14">
        <v>1395.42</v>
      </c>
      <c r="AB14">
        <v>2614.5749999999989</v>
      </c>
      <c r="AC14">
        <v>1272.8400000000001</v>
      </c>
      <c r="AD14">
        <v>2196.375</v>
      </c>
      <c r="AE14">
        <v>401.1</v>
      </c>
      <c r="AF14">
        <v>4295.37</v>
      </c>
      <c r="AG14">
        <v>4331.04</v>
      </c>
      <c r="AH14">
        <v>347.95500000000004</v>
      </c>
      <c r="AI14">
        <v>724.54500000000007</v>
      </c>
      <c r="AJ14">
        <v>291.40499999999997</v>
      </c>
      <c r="AK14">
        <v>919.8449999999998</v>
      </c>
      <c r="AL14">
        <v>935.02499999999986</v>
      </c>
      <c r="AN14">
        <v>1365.5849999999996</v>
      </c>
      <c r="AO14">
        <v>37.710000000000036</v>
      </c>
      <c r="AP14">
        <v>5980.5599999999977</v>
      </c>
      <c r="AQ14">
        <v>437.44499999999994</v>
      </c>
      <c r="AR14">
        <v>1648.3650000000002</v>
      </c>
      <c r="AT14">
        <v>2614.7549999999997</v>
      </c>
      <c r="AU14">
        <v>56.19</v>
      </c>
      <c r="AX14" s="19">
        <f t="shared" si="0"/>
        <v>65854.86</v>
      </c>
    </row>
    <row r="15" spans="1:50">
      <c r="W15" s="6"/>
      <c r="AX15" s="3"/>
    </row>
    <row r="16" spans="1:50">
      <c r="A16" s="4" t="s">
        <v>18</v>
      </c>
      <c r="W16" s="6"/>
    </row>
    <row r="17" spans="1:50" ht="14.65" thickBot="1">
      <c r="C17" t="s">
        <v>3</v>
      </c>
      <c r="W17" s="6"/>
    </row>
    <row r="18" spans="1:50">
      <c r="A18" t="s">
        <v>5</v>
      </c>
      <c r="B18" s="8"/>
      <c r="C18" t="s">
        <v>4</v>
      </c>
      <c r="W18" s="6"/>
      <c r="AX18" s="2" t="s">
        <v>16</v>
      </c>
    </row>
    <row r="19" spans="1:50">
      <c r="A19">
        <v>1</v>
      </c>
      <c r="B19" s="8" t="s">
        <v>6</v>
      </c>
      <c r="C19">
        <v>-4742.4749999999985</v>
      </c>
      <c r="D19">
        <v>-2296.7999999999956</v>
      </c>
      <c r="E19">
        <v>-2279.4450000000033</v>
      </c>
      <c r="F19">
        <v>-339.76499999999999</v>
      </c>
      <c r="G19">
        <v>-3666.1499999999942</v>
      </c>
      <c r="H19">
        <v>-3491.9850000000006</v>
      </c>
      <c r="I19">
        <v>-32236.335000000006</v>
      </c>
      <c r="J19">
        <v>-1778.13</v>
      </c>
      <c r="L19">
        <v>-3048.7199999999993</v>
      </c>
      <c r="N19">
        <v>-6495.6450000000041</v>
      </c>
      <c r="P19">
        <v>-6087.3150000000096</v>
      </c>
      <c r="S19">
        <v>-60.030000000000058</v>
      </c>
      <c r="U19">
        <v>-5966.6100000000006</v>
      </c>
      <c r="V19">
        <v>-6616.6050000000032</v>
      </c>
      <c r="W19" s="6"/>
      <c r="Y19">
        <v>-24375.119999999995</v>
      </c>
      <c r="Z19">
        <v>-11649.269999999997</v>
      </c>
      <c r="AB19">
        <v>-10017.555000000008</v>
      </c>
      <c r="AC19">
        <v>-1833.27</v>
      </c>
      <c r="AD19">
        <v>-765</v>
      </c>
      <c r="AF19">
        <v>-214.70999999999958</v>
      </c>
      <c r="AG19">
        <v>-37619.084999999992</v>
      </c>
      <c r="AI19">
        <v>-78904.904999999999</v>
      </c>
      <c r="AN19">
        <v>-137.39999999999998</v>
      </c>
      <c r="AO19">
        <v>-10344.974999999999</v>
      </c>
      <c r="AQ19">
        <v>-9808.0950000000084</v>
      </c>
      <c r="AR19">
        <v>-1715.2049999999981</v>
      </c>
      <c r="AS19">
        <v>-5953.0950000000048</v>
      </c>
      <c r="AT19">
        <v>-7691.3400000000038</v>
      </c>
      <c r="AW19">
        <v>-6221.0399999999972</v>
      </c>
      <c r="AX19" s="19">
        <f t="shared" ref="AX19:AX28" si="1">SUM(C19:AW19)</f>
        <v>-286356.07500000007</v>
      </c>
    </row>
    <row r="20" spans="1:50">
      <c r="A20">
        <v>2</v>
      </c>
      <c r="B20" s="8" t="s">
        <v>7</v>
      </c>
      <c r="G20">
        <v>-19120.305000000004</v>
      </c>
      <c r="H20">
        <v>-1347.2999999999997</v>
      </c>
      <c r="I20">
        <v>-44837.819999999978</v>
      </c>
      <c r="M20">
        <v>-211.48500000000013</v>
      </c>
      <c r="O20">
        <v>-5301.24</v>
      </c>
      <c r="P20">
        <v>-46466.804999999993</v>
      </c>
      <c r="T20">
        <v>-3373.6649999999936</v>
      </c>
      <c r="U20">
        <v>-10252.23</v>
      </c>
      <c r="W20" s="6">
        <v>-41172.150000000009</v>
      </c>
      <c r="X20">
        <v>-562.15500000000065</v>
      </c>
      <c r="AE20">
        <v>-4346.369999999999</v>
      </c>
      <c r="AF20">
        <v>-512.23500000000013</v>
      </c>
      <c r="AI20">
        <v>-27404.789999999994</v>
      </c>
      <c r="AK20">
        <v>-735.19500000000005</v>
      </c>
      <c r="AN20">
        <v>-142.08000000000004</v>
      </c>
      <c r="AP20">
        <v>-26852.039999999994</v>
      </c>
      <c r="AQ20">
        <v>-502.73999999999978</v>
      </c>
      <c r="AT20">
        <v>-986.81999999999994</v>
      </c>
      <c r="AU20">
        <v>-501.41999999999996</v>
      </c>
      <c r="AW20">
        <v>-8750.4000000000015</v>
      </c>
      <c r="AX20" s="19">
        <f t="shared" si="1"/>
        <v>-243379.24499999994</v>
      </c>
    </row>
    <row r="21" spans="1:50">
      <c r="A21">
        <v>3</v>
      </c>
      <c r="B21" s="8" t="s">
        <v>8</v>
      </c>
      <c r="C21">
        <v>-6255.5249999999996</v>
      </c>
      <c r="E21">
        <v>-881.35499999999956</v>
      </c>
      <c r="G21">
        <v>-441.52499999999941</v>
      </c>
      <c r="H21">
        <v>-519.07500000000005</v>
      </c>
      <c r="I21">
        <v>-14001.764999999999</v>
      </c>
      <c r="K21">
        <v>-2076.42</v>
      </c>
      <c r="L21">
        <v>-8071.2000000000007</v>
      </c>
      <c r="O21">
        <v>-2389.605</v>
      </c>
      <c r="Q21">
        <v>-388.55999999999995</v>
      </c>
      <c r="R21">
        <v>-216.19500000000005</v>
      </c>
      <c r="U21">
        <v>-5959.8150000000005</v>
      </c>
      <c r="V21">
        <v>-647.9699999999998</v>
      </c>
      <c r="W21" s="6">
        <v>-721.09500000000025</v>
      </c>
      <c r="X21">
        <v>-1279.7399999999998</v>
      </c>
      <c r="AA21">
        <v>-1890.375</v>
      </c>
      <c r="AB21">
        <v>-3888.6449999999995</v>
      </c>
      <c r="AD21">
        <v>-62.504999999999995</v>
      </c>
      <c r="AE21">
        <v>-1947.8700000000001</v>
      </c>
      <c r="AF21">
        <v>-474.43499999999995</v>
      </c>
      <c r="AG21">
        <v>-652.0649999999996</v>
      </c>
      <c r="AI21">
        <v>-20122.994999999995</v>
      </c>
      <c r="AJ21">
        <v>-428.14499999999998</v>
      </c>
      <c r="AK21">
        <v>-665.56499999999994</v>
      </c>
      <c r="AL21">
        <v>-1500.9749999999999</v>
      </c>
      <c r="AO21">
        <v>-1904.67</v>
      </c>
      <c r="AQ21">
        <v>-284.34000000000003</v>
      </c>
      <c r="AR21">
        <v>-4410.8249999999989</v>
      </c>
      <c r="AV21">
        <v>-19030.560000000001</v>
      </c>
      <c r="AW21">
        <v>-10236.014999999999</v>
      </c>
      <c r="AX21" s="19">
        <f t="shared" si="1"/>
        <v>-111349.82999999999</v>
      </c>
    </row>
    <row r="22" spans="1:50">
      <c r="A22">
        <v>4</v>
      </c>
      <c r="B22" s="8" t="s">
        <v>9</v>
      </c>
      <c r="C22">
        <v>-14174.849999999977</v>
      </c>
      <c r="D22">
        <v>-441.62999999999738</v>
      </c>
      <c r="E22">
        <v>-38010.209999999992</v>
      </c>
      <c r="F22">
        <v>-33703.544999999998</v>
      </c>
      <c r="G22">
        <v>-25727.669999999984</v>
      </c>
      <c r="H22">
        <v>-49686.09</v>
      </c>
      <c r="I22">
        <v>-160754.35499999998</v>
      </c>
      <c r="J22">
        <v>-29474.804999999993</v>
      </c>
      <c r="K22">
        <v>-124284.04499999993</v>
      </c>
      <c r="L22">
        <v>-47215.020000000019</v>
      </c>
      <c r="M22">
        <v>-30529.05</v>
      </c>
      <c r="N22">
        <v>-34202.354999999996</v>
      </c>
      <c r="O22">
        <v>-7359.7649999999994</v>
      </c>
      <c r="P22">
        <v>-36213.480000000098</v>
      </c>
      <c r="Q22">
        <v>-17487.585000000003</v>
      </c>
      <c r="S22">
        <v>-26188.11</v>
      </c>
      <c r="T22">
        <v>-401765.36999999965</v>
      </c>
      <c r="U22">
        <v>-105859.81500000006</v>
      </c>
      <c r="V22">
        <v>-26311.665000000095</v>
      </c>
      <c r="W22" s="6"/>
      <c r="X22">
        <v>-89403.18</v>
      </c>
      <c r="Y22">
        <v>-142112.5199999999</v>
      </c>
      <c r="Z22">
        <v>-114468.97500000009</v>
      </c>
      <c r="AA22">
        <v>-88146.884999999776</v>
      </c>
      <c r="AB22">
        <v>-59308.979999999952</v>
      </c>
      <c r="AC22">
        <v>-38644.590000000011</v>
      </c>
      <c r="AD22">
        <v>-5819.8499999999985</v>
      </c>
      <c r="AE22">
        <v>-23068.65</v>
      </c>
      <c r="AG22">
        <v>-1986.6299999999756</v>
      </c>
      <c r="AH22">
        <v>-30068.07</v>
      </c>
      <c r="AK22">
        <v>-14636.759999999995</v>
      </c>
      <c r="AL22">
        <v>-7077.0450000000055</v>
      </c>
      <c r="AM22">
        <v>-144162.25499999989</v>
      </c>
      <c r="AN22">
        <v>-46007.594999999994</v>
      </c>
      <c r="AO22">
        <v>-53841.375</v>
      </c>
      <c r="AQ22">
        <v>-28510.095000000001</v>
      </c>
      <c r="AR22">
        <v>-56006.174999999988</v>
      </c>
      <c r="AS22">
        <v>-281791.07999999961</v>
      </c>
      <c r="AT22">
        <v>-48633.119999999988</v>
      </c>
      <c r="AU22">
        <v>-8456.07</v>
      </c>
      <c r="AV22">
        <v>-207343.61999999965</v>
      </c>
      <c r="AX22" s="19">
        <f t="shared" si="1"/>
        <v>-2698882.9349999982</v>
      </c>
    </row>
    <row r="23" spans="1:50">
      <c r="A23">
        <v>5</v>
      </c>
      <c r="B23" s="8" t="s">
        <v>10</v>
      </c>
      <c r="C23">
        <v>-7593.3150000000169</v>
      </c>
      <c r="D23">
        <v>-77761.679999999993</v>
      </c>
      <c r="E23">
        <v>-25958.879999999994</v>
      </c>
      <c r="F23">
        <v>-1421.1000000000004</v>
      </c>
      <c r="G23">
        <v>-25356.404999999995</v>
      </c>
      <c r="H23">
        <v>-3403.3350000000009</v>
      </c>
      <c r="J23">
        <v>-32805.465000000011</v>
      </c>
      <c r="M23">
        <v>-26513.279999999995</v>
      </c>
      <c r="N23">
        <v>-42596.925000000003</v>
      </c>
      <c r="O23">
        <v>-14781.570000000003</v>
      </c>
      <c r="P23">
        <v>-574.69499999999243</v>
      </c>
      <c r="Q23">
        <v>-2858.7449999999994</v>
      </c>
      <c r="R23">
        <v>-13547.204999999998</v>
      </c>
      <c r="S23">
        <v>-19094.460000000003</v>
      </c>
      <c r="T23">
        <v>-10428.285000000003</v>
      </c>
      <c r="V23">
        <v>-35900.59500000003</v>
      </c>
      <c r="W23" s="6">
        <v>-1169.6400000000012</v>
      </c>
      <c r="X23">
        <v>-32208.764999999999</v>
      </c>
      <c r="Y23">
        <v>-1670.3399999999965</v>
      </c>
      <c r="AB23">
        <v>-25624.920000000013</v>
      </c>
      <c r="AC23">
        <v>-39489.330000000009</v>
      </c>
      <c r="AE23">
        <v>-13379.445</v>
      </c>
      <c r="AF23">
        <v>-9368.9399999999987</v>
      </c>
      <c r="AG23">
        <v>-94366.64999999998</v>
      </c>
      <c r="AH23">
        <v>-40678.619999999995</v>
      </c>
      <c r="AI23">
        <v>-131201.84999999998</v>
      </c>
      <c r="AJ23">
        <v>-14484.255000000001</v>
      </c>
      <c r="AK23">
        <v>-64025.61</v>
      </c>
      <c r="AL23">
        <v>-39292.334999999992</v>
      </c>
      <c r="AN23">
        <v>-23427.045000000006</v>
      </c>
      <c r="AP23">
        <v>-35516.684999999998</v>
      </c>
      <c r="AQ23">
        <v>-231.25500000000102</v>
      </c>
      <c r="AR23">
        <v>-30123.674999999996</v>
      </c>
      <c r="AT23">
        <v>-55631.699999999983</v>
      </c>
      <c r="AU23">
        <v>-456.04499999999962</v>
      </c>
      <c r="AW23">
        <v>-33925.785000000003</v>
      </c>
      <c r="AX23" s="19">
        <f t="shared" si="1"/>
        <v>-1026868.8300000002</v>
      </c>
    </row>
    <row r="24" spans="1:50">
      <c r="A24">
        <v>6</v>
      </c>
      <c r="B24" s="8" t="s">
        <v>11</v>
      </c>
      <c r="E24">
        <v>-3022.6800000000003</v>
      </c>
      <c r="M24">
        <v>-9163.77</v>
      </c>
      <c r="O24">
        <v>-10570.214999999997</v>
      </c>
      <c r="S24">
        <v>-273.68999999999869</v>
      </c>
      <c r="W24" s="6"/>
      <c r="AF24">
        <v>-733.63499999999988</v>
      </c>
      <c r="AG24">
        <v>-1800.2550000000001</v>
      </c>
      <c r="AN24">
        <v>-280.38</v>
      </c>
      <c r="AS24">
        <v>0</v>
      </c>
      <c r="AU24">
        <v>-70.70999999999998</v>
      </c>
      <c r="AV24">
        <v>0</v>
      </c>
      <c r="AX24" s="19">
        <f t="shared" si="1"/>
        <v>-25915.334999999995</v>
      </c>
    </row>
    <row r="25" spans="1:50">
      <c r="A25">
        <v>7</v>
      </c>
      <c r="B25" s="8" t="s">
        <v>12</v>
      </c>
      <c r="W25" s="6"/>
      <c r="AV25">
        <v>0</v>
      </c>
      <c r="AX25" s="19">
        <f t="shared" si="1"/>
        <v>0</v>
      </c>
    </row>
    <row r="26" spans="1:50">
      <c r="A26">
        <v>8</v>
      </c>
      <c r="B26" s="8" t="s">
        <v>13</v>
      </c>
      <c r="D26">
        <v>-16.829999999999998</v>
      </c>
      <c r="G26">
        <v>-105.32999999999998</v>
      </c>
      <c r="I26">
        <v>-18.12</v>
      </c>
      <c r="L26">
        <v>-1290.7349999999997</v>
      </c>
      <c r="N26">
        <v>-23.100000000000005</v>
      </c>
      <c r="O26">
        <v>-103.53</v>
      </c>
      <c r="V26">
        <v>-400.88999999999987</v>
      </c>
      <c r="W26" s="6"/>
      <c r="X26">
        <v>-20.399999999999999</v>
      </c>
      <c r="Y26">
        <v>-10.74</v>
      </c>
      <c r="AC26">
        <v>-214.40999999999997</v>
      </c>
      <c r="AE26">
        <v>-61.38</v>
      </c>
      <c r="AG26">
        <v>-30.855000000000018</v>
      </c>
      <c r="AJ26">
        <v>-3.7200000000000006</v>
      </c>
      <c r="AL26">
        <v>-17.519999999999996</v>
      </c>
      <c r="AR26">
        <v>-7.4999999999999991</v>
      </c>
      <c r="AT26">
        <v>-391.96499999999997</v>
      </c>
      <c r="AU26">
        <v>-36.134999999999991</v>
      </c>
      <c r="AV26">
        <v>0</v>
      </c>
      <c r="AX26" s="19">
        <f t="shared" si="1"/>
        <v>-2753.16</v>
      </c>
    </row>
    <row r="27" spans="1:50">
      <c r="A27">
        <v>9</v>
      </c>
      <c r="B27" s="8" t="s">
        <v>14</v>
      </c>
      <c r="F27">
        <v>-47.055000000000291</v>
      </c>
      <c r="H27">
        <v>-1377.0900000000001</v>
      </c>
      <c r="J27">
        <v>-564.83999999999651</v>
      </c>
      <c r="K27">
        <v>-171.28500000000008</v>
      </c>
      <c r="L27">
        <v>-1453.3950000000004</v>
      </c>
      <c r="O27">
        <v>-248.63999999999993</v>
      </c>
      <c r="Q27">
        <v>-164.83499999999998</v>
      </c>
      <c r="R27">
        <v>-25.724999999999998</v>
      </c>
      <c r="S27">
        <v>-1499.385000000002</v>
      </c>
      <c r="W27" s="6">
        <v>-419.9849999999999</v>
      </c>
      <c r="X27">
        <v>-1768.4099999999999</v>
      </c>
      <c r="AC27">
        <v>-344.26500000000669</v>
      </c>
      <c r="AE27">
        <v>-166.79999999999995</v>
      </c>
      <c r="AF27">
        <v>-52.259999999999991</v>
      </c>
      <c r="AM27">
        <v>-9.0749999999999886</v>
      </c>
      <c r="AN27">
        <v>-25.139999999999418</v>
      </c>
      <c r="AP27">
        <v>-3595.2749999999978</v>
      </c>
      <c r="AX27" s="19">
        <f t="shared" si="1"/>
        <v>-11933.460000000003</v>
      </c>
    </row>
    <row r="28" spans="1:50">
      <c r="A28">
        <v>10</v>
      </c>
      <c r="B28" s="8" t="s">
        <v>15</v>
      </c>
      <c r="C28">
        <v>-12249.57</v>
      </c>
      <c r="I28">
        <v>-14538.629999999997</v>
      </c>
      <c r="K28">
        <v>-98570.669999999984</v>
      </c>
      <c r="L28">
        <v>-10508.220000000001</v>
      </c>
      <c r="W28" s="6"/>
      <c r="Z28">
        <v>-13132.184999999998</v>
      </c>
      <c r="AA28">
        <v>-123169.0950000002</v>
      </c>
      <c r="AM28">
        <v>-22694.175000000003</v>
      </c>
      <c r="AS28">
        <v>-45275.895000000019</v>
      </c>
      <c r="AV28">
        <v>-12175.395000000019</v>
      </c>
      <c r="AW28">
        <v>-3716.55</v>
      </c>
      <c r="AX28" s="19">
        <f t="shared" si="1"/>
        <v>-356030.38500000018</v>
      </c>
    </row>
    <row r="29" spans="1:50">
      <c r="C29" s="5">
        <f>SUM(C5:C28)</f>
        <v>0</v>
      </c>
      <c r="D29" s="5">
        <f t="shared" ref="D29:AV29" si="2">SUM(D5:D28)</f>
        <v>-1.2803980098397005E-11</v>
      </c>
      <c r="E29" s="5">
        <f t="shared" si="2"/>
        <v>1.8189894035458565E-11</v>
      </c>
      <c r="F29" s="5">
        <f t="shared" si="2"/>
        <v>-1.6370904631912708E-11</v>
      </c>
      <c r="G29" s="5">
        <f t="shared" si="2"/>
        <v>2.7227997634327039E-11</v>
      </c>
      <c r="H29" s="5">
        <f t="shared" si="2"/>
        <v>9.0949470177292824E-12</v>
      </c>
      <c r="I29" s="5">
        <f t="shared" si="2"/>
        <v>-5.6388671509921551E-11</v>
      </c>
      <c r="J29" s="5">
        <f t="shared" si="2"/>
        <v>0</v>
      </c>
      <c r="K29" s="5">
        <f t="shared" si="2"/>
        <v>1.1641532182693481E-10</v>
      </c>
      <c r="L29" s="5">
        <f t="shared" si="2"/>
        <v>1.8189894035458565E-11</v>
      </c>
      <c r="M29" s="5">
        <f t="shared" si="2"/>
        <v>0</v>
      </c>
      <c r="N29" s="5">
        <f t="shared" si="2"/>
        <v>-8.7361229361704318E-12</v>
      </c>
      <c r="O29" s="5">
        <f t="shared" si="2"/>
        <v>-5.3148596634855494E-12</v>
      </c>
      <c r="P29" s="5">
        <f t="shared" si="2"/>
        <v>-7.2759576141834259E-11</v>
      </c>
      <c r="Q29" s="5">
        <f t="shared" si="2"/>
        <v>-2.6773250283440575E-11</v>
      </c>
      <c r="R29" s="5">
        <f t="shared" si="2"/>
        <v>2.1849189124623081E-12</v>
      </c>
      <c r="S29" s="5">
        <f t="shared" si="2"/>
        <v>7.2759576141834259E-12</v>
      </c>
      <c r="T29" s="5">
        <f t="shared" si="2"/>
        <v>4.3655745685100555E-10</v>
      </c>
      <c r="U29" s="5">
        <f t="shared" si="2"/>
        <v>0</v>
      </c>
      <c r="V29" s="5">
        <f t="shared" si="2"/>
        <v>-1.241460267920047E-10</v>
      </c>
      <c r="W29" s="7">
        <f t="shared" si="2"/>
        <v>-2.9331204132176936E-11</v>
      </c>
      <c r="X29" s="5">
        <f t="shared" si="2"/>
        <v>2.6830093702301383E-11</v>
      </c>
      <c r="Y29" s="5">
        <f t="shared" si="2"/>
        <v>1.071018829179593E-10</v>
      </c>
      <c r="Z29" s="5">
        <f t="shared" si="2"/>
        <v>-5.8207660913467407E-11</v>
      </c>
      <c r="AA29" s="5">
        <f t="shared" si="2"/>
        <v>1.1641532182693481E-10</v>
      </c>
      <c r="AB29" s="5">
        <f t="shared" si="2"/>
        <v>2.9103830456733704E-11</v>
      </c>
      <c r="AC29" s="5">
        <f t="shared" si="2"/>
        <v>-2.5579538487363607E-11</v>
      </c>
      <c r="AD29" s="5">
        <f t="shared" si="2"/>
        <v>0</v>
      </c>
      <c r="AE29" s="5">
        <f t="shared" si="2"/>
        <v>-2.8762769943568856E-11</v>
      </c>
      <c r="AF29" s="5">
        <f t="shared" si="2"/>
        <v>5.6843418860808015E-13</v>
      </c>
      <c r="AG29" s="5">
        <f t="shared" si="2"/>
        <v>2.9558577807620168E-11</v>
      </c>
      <c r="AH29" s="5">
        <f t="shared" si="2"/>
        <v>0</v>
      </c>
      <c r="AI29" s="5">
        <f t="shared" si="2"/>
        <v>0</v>
      </c>
      <c r="AJ29" s="5">
        <f t="shared" si="2"/>
        <v>-3.7200000000090956</v>
      </c>
      <c r="AK29" s="5">
        <f t="shared" si="2"/>
        <v>0</v>
      </c>
      <c r="AL29" s="5">
        <f t="shared" si="2"/>
        <v>-3.1974423109204508E-12</v>
      </c>
      <c r="AM29" s="5">
        <f t="shared" si="2"/>
        <v>1.127773430198431E-10</v>
      </c>
      <c r="AN29" s="5">
        <f t="shared" si="2"/>
        <v>3.3764990803319961E-11</v>
      </c>
      <c r="AO29" s="5">
        <f t="shared" si="2"/>
        <v>0</v>
      </c>
      <c r="AP29" s="5">
        <f t="shared" si="2"/>
        <v>4.765752237290144E-10</v>
      </c>
      <c r="AQ29" s="5">
        <f t="shared" si="2"/>
        <v>-1.4551915228366852E-11</v>
      </c>
      <c r="AR29" s="5">
        <f t="shared" si="2"/>
        <v>7.276845792603126E-12</v>
      </c>
      <c r="AS29" s="5">
        <f t="shared" si="2"/>
        <v>3.4924596548080444E-10</v>
      </c>
      <c r="AT29" s="5">
        <f t="shared" si="2"/>
        <v>3.808509063674137E-12</v>
      </c>
      <c r="AU29" s="5">
        <f t="shared" si="2"/>
        <v>-1.7053025658242404E-13</v>
      </c>
      <c r="AV29" s="5">
        <f t="shared" si="2"/>
        <v>3.2014213502407074E-10</v>
      </c>
      <c r="AW29" s="5">
        <f>SUM(AW5:AW28)</f>
        <v>-1.9099388737231493E-11</v>
      </c>
      <c r="AX29" s="19">
        <f>SUM(AX5:AX28)</f>
        <v>-3.7199999978765845</v>
      </c>
    </row>
    <row r="30" spans="1:50">
      <c r="AX30" s="3"/>
    </row>
    <row r="33" spans="1:5">
      <c r="A33" t="s">
        <v>24</v>
      </c>
    </row>
    <row r="34" spans="1:5">
      <c r="A34" s="4" t="s">
        <v>17</v>
      </c>
      <c r="E34" s="4" t="s">
        <v>21</v>
      </c>
    </row>
    <row r="36" spans="1:5">
      <c r="A36" t="s">
        <v>5</v>
      </c>
      <c r="B36" s="8"/>
    </row>
    <row r="37" spans="1:5">
      <c r="A37">
        <v>1</v>
      </c>
      <c r="B37" s="8" t="s">
        <v>6</v>
      </c>
      <c r="C37">
        <f>AX5</f>
        <v>215067.18000000005</v>
      </c>
      <c r="E37" s="9">
        <f>C51+C37</f>
        <v>-71288.895000000019</v>
      </c>
    </row>
    <row r="38" spans="1:5">
      <c r="A38">
        <v>2</v>
      </c>
      <c r="B38" s="8" t="s">
        <v>7</v>
      </c>
      <c r="C38">
        <f t="shared" ref="C38:C46" si="3">AX6</f>
        <v>92463.629999999946</v>
      </c>
      <c r="E38" s="9">
        <f t="shared" ref="E38:E46" si="4">C52+C38</f>
        <v>-150915.61499999999</v>
      </c>
    </row>
    <row r="39" spans="1:5">
      <c r="A39">
        <v>3</v>
      </c>
      <c r="B39" s="8" t="s">
        <v>8</v>
      </c>
      <c r="C39">
        <f t="shared" si="3"/>
        <v>81325.965000000011</v>
      </c>
      <c r="E39" s="9">
        <f t="shared" si="4"/>
        <v>-30023.864999999976</v>
      </c>
    </row>
    <row r="40" spans="1:5">
      <c r="A40">
        <v>4</v>
      </c>
      <c r="B40" s="8" t="s">
        <v>9</v>
      </c>
      <c r="C40">
        <f t="shared" si="3"/>
        <v>85252.84500000051</v>
      </c>
      <c r="E40" s="10">
        <f t="shared" si="4"/>
        <v>-2613630.0899999975</v>
      </c>
    </row>
    <row r="41" spans="1:5">
      <c r="A41">
        <v>5</v>
      </c>
      <c r="B41" s="8" t="s">
        <v>10</v>
      </c>
      <c r="C41">
        <f t="shared" si="3"/>
        <v>1457161.26</v>
      </c>
      <c r="E41" s="9">
        <f t="shared" si="4"/>
        <v>430292.42999999982</v>
      </c>
    </row>
    <row r="42" spans="1:5">
      <c r="A42">
        <v>6</v>
      </c>
      <c r="B42" s="8" t="s">
        <v>11</v>
      </c>
      <c r="C42">
        <f t="shared" si="3"/>
        <v>91060.845000000001</v>
      </c>
      <c r="E42" s="9">
        <f t="shared" si="4"/>
        <v>65145.510000000009</v>
      </c>
    </row>
    <row r="43" spans="1:5">
      <c r="A43">
        <v>7</v>
      </c>
      <c r="B43" s="8" t="s">
        <v>12</v>
      </c>
      <c r="C43">
        <f t="shared" si="3"/>
        <v>2624537.1749999998</v>
      </c>
      <c r="E43" s="10">
        <f t="shared" si="4"/>
        <v>2624537.1749999998</v>
      </c>
    </row>
    <row r="44" spans="1:5">
      <c r="A44">
        <v>8</v>
      </c>
      <c r="B44" s="8" t="s">
        <v>13</v>
      </c>
      <c r="C44">
        <f t="shared" si="3"/>
        <v>22255.484999999993</v>
      </c>
      <c r="E44" s="9">
        <f t="shared" si="4"/>
        <v>19502.324999999993</v>
      </c>
    </row>
    <row r="45" spans="1:5">
      <c r="A45">
        <v>9</v>
      </c>
      <c r="B45" s="8" t="s">
        <v>14</v>
      </c>
      <c r="C45">
        <f t="shared" si="3"/>
        <v>28486.290000000088</v>
      </c>
      <c r="E45" s="9">
        <f t="shared" si="4"/>
        <v>16552.830000000085</v>
      </c>
    </row>
    <row r="46" spans="1:5">
      <c r="A46">
        <v>10</v>
      </c>
      <c r="B46" s="8" t="s">
        <v>15</v>
      </c>
      <c r="C46">
        <f t="shared" si="3"/>
        <v>65854.86</v>
      </c>
      <c r="E46" s="9">
        <f t="shared" si="4"/>
        <v>-290175.5250000002</v>
      </c>
    </row>
    <row r="47" spans="1:5">
      <c r="C47" s="11">
        <f>SUM(C37:C46)</f>
        <v>4763465.5350000011</v>
      </c>
      <c r="E47" s="9"/>
    </row>
    <row r="48" spans="1:5">
      <c r="A48" s="4" t="s">
        <v>18</v>
      </c>
    </row>
    <row r="50" spans="1:3">
      <c r="A50" t="s">
        <v>5</v>
      </c>
      <c r="B50" s="8"/>
    </row>
    <row r="51" spans="1:3">
      <c r="A51">
        <v>1</v>
      </c>
      <c r="B51" s="8" t="s">
        <v>6</v>
      </c>
      <c r="C51">
        <f t="shared" ref="C51:C60" si="5">AX19</f>
        <v>-286356.07500000007</v>
      </c>
    </row>
    <row r="52" spans="1:3">
      <c r="A52">
        <v>2</v>
      </c>
      <c r="B52" s="8" t="s">
        <v>7</v>
      </c>
      <c r="C52">
        <f t="shared" si="5"/>
        <v>-243379.24499999994</v>
      </c>
    </row>
    <row r="53" spans="1:3">
      <c r="A53">
        <v>3</v>
      </c>
      <c r="B53" s="8" t="s">
        <v>8</v>
      </c>
      <c r="C53">
        <f t="shared" si="5"/>
        <v>-111349.82999999999</v>
      </c>
    </row>
    <row r="54" spans="1:3">
      <c r="A54">
        <v>4</v>
      </c>
      <c r="B54" s="8" t="s">
        <v>9</v>
      </c>
      <c r="C54">
        <f t="shared" si="5"/>
        <v>-2698882.9349999982</v>
      </c>
    </row>
    <row r="55" spans="1:3">
      <c r="A55">
        <v>5</v>
      </c>
      <c r="B55" s="8" t="s">
        <v>10</v>
      </c>
      <c r="C55">
        <f t="shared" si="5"/>
        <v>-1026868.8300000002</v>
      </c>
    </row>
    <row r="56" spans="1:3">
      <c r="A56">
        <v>6</v>
      </c>
      <c r="B56" s="8" t="s">
        <v>11</v>
      </c>
      <c r="C56">
        <f t="shared" si="5"/>
        <v>-25915.334999999995</v>
      </c>
    </row>
    <row r="57" spans="1:3">
      <c r="A57">
        <v>7</v>
      </c>
      <c r="B57" s="8" t="s">
        <v>12</v>
      </c>
      <c r="C57">
        <f t="shared" si="5"/>
        <v>0</v>
      </c>
    </row>
    <row r="58" spans="1:3">
      <c r="A58">
        <v>8</v>
      </c>
      <c r="B58" s="8" t="s">
        <v>13</v>
      </c>
      <c r="C58">
        <f t="shared" si="5"/>
        <v>-2753.16</v>
      </c>
    </row>
    <row r="59" spans="1:3">
      <c r="A59">
        <v>9</v>
      </c>
      <c r="B59" s="8" t="s">
        <v>14</v>
      </c>
      <c r="C59">
        <f t="shared" si="5"/>
        <v>-11933.460000000003</v>
      </c>
    </row>
    <row r="60" spans="1:3">
      <c r="A60">
        <v>10</v>
      </c>
      <c r="B60" s="8" t="s">
        <v>15</v>
      </c>
      <c r="C60">
        <f t="shared" si="5"/>
        <v>-356030.38500000018</v>
      </c>
    </row>
    <row r="61" spans="1:3">
      <c r="C61" s="11">
        <f>SUM(C51:C60)</f>
        <v>-4763469.254999998</v>
      </c>
    </row>
  </sheetData>
  <pageMargins left="0.7" right="0.7" top="0.75" bottom="0.75" header="0.3" footer="0.3"/>
  <headerFooter>
    <oddFooter>&amp;R_x000D_&amp;1#&amp;"Calibri"&amp;10&amp;K000000 Official Use Only</oddFooter>
  </headerFooter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688498-09AC-4D49-8F43-962704A0F947}">
  <dimension ref="A1:N80"/>
  <sheetViews>
    <sheetView workbookViewId="0">
      <selection activeCell="N16" sqref="N16"/>
    </sheetView>
  </sheetViews>
  <sheetFormatPr defaultColWidth="10.6640625" defaultRowHeight="14.25"/>
  <cols>
    <col min="1" max="1" width="25.1328125" customWidth="1"/>
    <col min="2" max="2" width="19.796875" customWidth="1"/>
    <col min="3" max="4" width="11.6640625" bestFit="1" customWidth="1"/>
    <col min="5" max="5" width="11" bestFit="1" customWidth="1"/>
    <col min="6" max="6" width="12.6640625" bestFit="1" customWidth="1"/>
    <col min="7" max="7" width="13" customWidth="1"/>
    <col min="8" max="8" width="11" bestFit="1" customWidth="1"/>
    <col min="9" max="9" width="13.46484375" customWidth="1"/>
    <col min="10" max="12" width="11.6640625" bestFit="1" customWidth="1"/>
    <col min="13" max="13" width="12.6640625" bestFit="1" customWidth="1"/>
  </cols>
  <sheetData>
    <row r="1" spans="1:14">
      <c r="A1" s="4" t="s">
        <v>56</v>
      </c>
      <c r="N1" t="s">
        <v>48</v>
      </c>
    </row>
    <row r="2" spans="1:14">
      <c r="N2" t="s">
        <v>49</v>
      </c>
    </row>
    <row r="3" spans="1:14">
      <c r="A3" s="15"/>
      <c r="M3" s="29" t="s">
        <v>51</v>
      </c>
    </row>
    <row r="4" spans="1:14" ht="28.5">
      <c r="A4" s="30" t="s">
        <v>39</v>
      </c>
      <c r="B4" s="18"/>
      <c r="C4" s="17" t="s">
        <v>6</v>
      </c>
      <c r="D4" s="17" t="s">
        <v>7</v>
      </c>
      <c r="E4" s="17" t="s">
        <v>8</v>
      </c>
      <c r="F4" s="17" t="s">
        <v>9</v>
      </c>
      <c r="G4" s="17" t="s">
        <v>10</v>
      </c>
      <c r="H4" s="17" t="s">
        <v>11</v>
      </c>
      <c r="I4" s="17" t="s">
        <v>12</v>
      </c>
      <c r="J4" s="17" t="s">
        <v>13</v>
      </c>
      <c r="K4" s="17" t="s">
        <v>14</v>
      </c>
      <c r="L4" s="17" t="s">
        <v>38</v>
      </c>
    </row>
    <row r="5" spans="1:14">
      <c r="A5" s="15" t="s">
        <v>37</v>
      </c>
      <c r="B5" s="15"/>
      <c r="C5" s="22">
        <v>2313375.3333333302</v>
      </c>
      <c r="D5" s="22">
        <v>992850</v>
      </c>
      <c r="E5" s="22">
        <v>502429.66666666599</v>
      </c>
      <c r="F5" s="22">
        <v>34342618.333333299</v>
      </c>
      <c r="G5" s="22">
        <v>9541876</v>
      </c>
      <c r="H5" s="22">
        <v>258512.66666666599</v>
      </c>
      <c r="I5" s="22">
        <v>3601633.3333333302</v>
      </c>
      <c r="J5" s="22">
        <v>25651.666666666599</v>
      </c>
      <c r="K5" s="22">
        <v>1209835</v>
      </c>
      <c r="L5" s="22">
        <v>6415006.3333333302</v>
      </c>
      <c r="M5" s="25">
        <f>SUM(C5:L5)</f>
        <v>59203788.333333284</v>
      </c>
    </row>
    <row r="6" spans="1:14">
      <c r="A6" s="13" t="s">
        <v>36</v>
      </c>
      <c r="B6" s="13"/>
      <c r="C6" s="23"/>
      <c r="D6" s="23"/>
      <c r="E6" s="23"/>
      <c r="F6" s="23"/>
      <c r="G6" s="23"/>
      <c r="H6" s="23"/>
      <c r="I6" s="23"/>
      <c r="J6" s="23"/>
      <c r="K6" s="23"/>
      <c r="L6" s="23"/>
    </row>
    <row r="7" spans="1:14">
      <c r="A7" s="15"/>
      <c r="B7" t="s">
        <v>35</v>
      </c>
      <c r="C7" s="22" t="s">
        <v>26</v>
      </c>
      <c r="D7" s="22" t="s">
        <v>26</v>
      </c>
      <c r="E7" s="22" t="s">
        <v>26</v>
      </c>
      <c r="F7" s="22" t="s">
        <v>26</v>
      </c>
      <c r="G7" s="22" t="s">
        <v>26</v>
      </c>
      <c r="H7" s="22" t="s">
        <v>26</v>
      </c>
      <c r="I7" s="22" t="s">
        <v>26</v>
      </c>
      <c r="J7" s="22" t="s">
        <v>26</v>
      </c>
      <c r="K7" s="22" t="s">
        <v>26</v>
      </c>
      <c r="L7" s="22" t="s">
        <v>26</v>
      </c>
    </row>
    <row r="8" spans="1:14">
      <c r="A8" s="13"/>
      <c r="B8" s="12" t="s">
        <v>34</v>
      </c>
      <c r="C8" s="23" t="s">
        <v>26</v>
      </c>
      <c r="D8" s="23" t="s">
        <v>26</v>
      </c>
      <c r="E8" s="23" t="s">
        <v>26</v>
      </c>
      <c r="F8" s="23" t="s">
        <v>26</v>
      </c>
      <c r="G8" s="23" t="s">
        <v>26</v>
      </c>
      <c r="H8" s="23" t="s">
        <v>26</v>
      </c>
      <c r="I8" s="23" t="s">
        <v>26</v>
      </c>
      <c r="J8" s="23" t="s">
        <v>26</v>
      </c>
      <c r="K8" s="23" t="s">
        <v>26</v>
      </c>
      <c r="L8" s="23" t="s">
        <v>26</v>
      </c>
    </row>
    <row r="9" spans="1:14">
      <c r="A9" s="15"/>
      <c r="B9" t="s">
        <v>33</v>
      </c>
      <c r="C9" s="22" t="s">
        <v>26</v>
      </c>
      <c r="D9" s="22" t="s">
        <v>26</v>
      </c>
      <c r="E9" s="22" t="s">
        <v>26</v>
      </c>
      <c r="F9" s="22" t="s">
        <v>26</v>
      </c>
      <c r="G9" s="22" t="s">
        <v>26</v>
      </c>
      <c r="H9" s="22" t="s">
        <v>26</v>
      </c>
      <c r="I9" s="22" t="s">
        <v>26</v>
      </c>
      <c r="J9" s="22" t="s">
        <v>26</v>
      </c>
      <c r="K9" s="22" t="s">
        <v>26</v>
      </c>
      <c r="L9" s="22" t="s">
        <v>26</v>
      </c>
    </row>
    <row r="10" spans="1:14">
      <c r="A10" s="12"/>
      <c r="B10" s="16" t="s">
        <v>32</v>
      </c>
      <c r="C10" s="22">
        <v>215067.18000000005</v>
      </c>
      <c r="D10" s="22">
        <v>92463.629999999946</v>
      </c>
      <c r="E10" s="22">
        <v>81325.965000000011</v>
      </c>
      <c r="F10" s="22">
        <v>85252.84500000051</v>
      </c>
      <c r="G10" s="22">
        <v>1457161.26</v>
      </c>
      <c r="H10" s="22">
        <v>91060.845000000001</v>
      </c>
      <c r="I10" s="22">
        <v>2624537.1749999998</v>
      </c>
      <c r="J10" s="22">
        <v>22255.484999999993</v>
      </c>
      <c r="K10" s="22">
        <v>28486.290000000088</v>
      </c>
      <c r="L10" s="22">
        <v>65854.86</v>
      </c>
    </row>
    <row r="11" spans="1:14">
      <c r="A11" s="15" t="s">
        <v>31</v>
      </c>
      <c r="C11" s="22"/>
      <c r="D11" s="22"/>
      <c r="E11" s="22"/>
      <c r="F11" s="22"/>
      <c r="G11" s="22"/>
      <c r="H11" s="22"/>
      <c r="I11" s="22"/>
      <c r="J11" s="22"/>
      <c r="K11" s="22"/>
      <c r="L11" s="22"/>
    </row>
    <row r="12" spans="1:14">
      <c r="A12" s="12"/>
      <c r="B12" s="12" t="s">
        <v>30</v>
      </c>
      <c r="C12" s="23" t="s">
        <v>26</v>
      </c>
      <c r="D12" s="23" t="s">
        <v>26</v>
      </c>
      <c r="E12" s="23" t="s">
        <v>26</v>
      </c>
      <c r="F12" s="23" t="s">
        <v>26</v>
      </c>
      <c r="G12" s="23" t="s">
        <v>26</v>
      </c>
      <c r="H12" s="23" t="s">
        <v>26</v>
      </c>
      <c r="I12" s="23" t="s">
        <v>26</v>
      </c>
      <c r="J12" s="23" t="s">
        <v>26</v>
      </c>
      <c r="K12" s="23" t="s">
        <v>26</v>
      </c>
      <c r="L12" s="23" t="s">
        <v>26</v>
      </c>
    </row>
    <row r="13" spans="1:14">
      <c r="B13" t="s">
        <v>29</v>
      </c>
      <c r="C13" s="22" t="s">
        <v>26</v>
      </c>
      <c r="D13" s="22" t="s">
        <v>26</v>
      </c>
      <c r="E13" s="22" t="s">
        <v>26</v>
      </c>
      <c r="F13" s="22" t="s">
        <v>26</v>
      </c>
      <c r="G13" s="22" t="s">
        <v>26</v>
      </c>
      <c r="H13" s="22" t="s">
        <v>26</v>
      </c>
      <c r="I13" s="22" t="s">
        <v>26</v>
      </c>
      <c r="J13" s="22" t="s">
        <v>26</v>
      </c>
      <c r="K13" s="22" t="s">
        <v>26</v>
      </c>
      <c r="L13" s="22"/>
    </row>
    <row r="14" spans="1:14">
      <c r="A14" s="12"/>
      <c r="B14" s="12" t="s">
        <v>28</v>
      </c>
      <c r="C14" s="23" t="s">
        <v>26</v>
      </c>
      <c r="D14" s="23" t="s">
        <v>26</v>
      </c>
      <c r="E14" s="23" t="s">
        <v>26</v>
      </c>
      <c r="F14" s="23" t="s">
        <v>26</v>
      </c>
      <c r="G14" s="23" t="s">
        <v>26</v>
      </c>
      <c r="H14" s="23" t="s">
        <v>26</v>
      </c>
      <c r="I14" s="23" t="s">
        <v>26</v>
      </c>
      <c r="J14" s="23" t="s">
        <v>26</v>
      </c>
      <c r="K14" s="23" t="s">
        <v>26</v>
      </c>
      <c r="L14" s="23" t="s">
        <v>26</v>
      </c>
    </row>
    <row r="15" spans="1:14">
      <c r="B15" s="14" t="s">
        <v>27</v>
      </c>
      <c r="C15" s="22">
        <v>286356.07500000001</v>
      </c>
      <c r="D15" s="22">
        <v>243379.245</v>
      </c>
      <c r="E15" s="22">
        <v>111349.83</v>
      </c>
      <c r="F15" s="22">
        <v>2698882.9350000001</v>
      </c>
      <c r="G15" s="22">
        <v>1026868.83</v>
      </c>
      <c r="H15" s="22">
        <v>25915.334999999999</v>
      </c>
      <c r="I15" s="22">
        <v>0</v>
      </c>
      <c r="J15" s="22">
        <v>2753.16</v>
      </c>
      <c r="K15" s="22">
        <v>11933.46</v>
      </c>
      <c r="L15" s="22">
        <v>356030.38500000001</v>
      </c>
    </row>
    <row r="16" spans="1:14">
      <c r="A16" s="20" t="s">
        <v>58</v>
      </c>
      <c r="B16" s="12"/>
      <c r="C16" s="22">
        <f>C10-C15</f>
        <v>-71288.89499999996</v>
      </c>
      <c r="D16" s="22">
        <f t="shared" ref="D16:L16" si="0">D10-D15</f>
        <v>-150915.61500000005</v>
      </c>
      <c r="E16" s="22">
        <f t="shared" si="0"/>
        <v>-30023.864999999991</v>
      </c>
      <c r="F16" s="22">
        <f t="shared" si="0"/>
        <v>-2613630.0899999994</v>
      </c>
      <c r="G16" s="22">
        <f t="shared" si="0"/>
        <v>430292.43000000005</v>
      </c>
      <c r="H16" s="22">
        <f t="shared" si="0"/>
        <v>65145.51</v>
      </c>
      <c r="I16" s="22">
        <f t="shared" si="0"/>
        <v>2624537.1749999998</v>
      </c>
      <c r="J16" s="22">
        <f t="shared" si="0"/>
        <v>19502.324999999993</v>
      </c>
      <c r="K16" s="22">
        <f t="shared" si="0"/>
        <v>16552.830000000089</v>
      </c>
      <c r="L16" s="22">
        <f t="shared" si="0"/>
        <v>-290175.52500000002</v>
      </c>
      <c r="M16" s="25">
        <f>SUM(C16:L16)</f>
        <v>-3.7199999995646067</v>
      </c>
    </row>
    <row r="17" spans="1:13">
      <c r="A17" s="4" t="s">
        <v>25</v>
      </c>
      <c r="C17" s="22">
        <f>C5+C16</f>
        <v>2242086.4383333302</v>
      </c>
      <c r="D17" s="22">
        <f t="shared" ref="D17:L17" si="1">D5+D16</f>
        <v>841934.38500000001</v>
      </c>
      <c r="E17" s="22">
        <f t="shared" si="1"/>
        <v>472405.801666666</v>
      </c>
      <c r="F17" s="22">
        <f t="shared" si="1"/>
        <v>31728988.243333299</v>
      </c>
      <c r="G17" s="22">
        <f t="shared" si="1"/>
        <v>9972168.4299999997</v>
      </c>
      <c r="H17" s="22">
        <f t="shared" si="1"/>
        <v>323658.176666666</v>
      </c>
      <c r="I17" s="22">
        <f t="shared" si="1"/>
        <v>6226170.50833333</v>
      </c>
      <c r="J17" s="22">
        <f t="shared" si="1"/>
        <v>45153.991666666596</v>
      </c>
      <c r="K17" s="22">
        <f t="shared" si="1"/>
        <v>1226387.83</v>
      </c>
      <c r="L17" s="22">
        <f t="shared" si="1"/>
        <v>6124830.8083333299</v>
      </c>
      <c r="M17" s="25">
        <f>SUM(C17:L17)</f>
        <v>59203784.613333292</v>
      </c>
    </row>
    <row r="20" spans="1:13">
      <c r="A20" t="s">
        <v>50</v>
      </c>
      <c r="B20" t="s">
        <v>40</v>
      </c>
      <c r="C20" s="22">
        <v>215067.18000000005</v>
      </c>
      <c r="D20" s="22">
        <v>92463.629999999946</v>
      </c>
      <c r="E20" s="22">
        <v>81325.965000000011</v>
      </c>
      <c r="F20" s="22">
        <v>85252.84500000051</v>
      </c>
      <c r="G20" s="22">
        <v>1457161.26</v>
      </c>
      <c r="H20" s="22">
        <v>91060.845000000001</v>
      </c>
      <c r="I20" s="22">
        <v>2624537.1749999998</v>
      </c>
      <c r="J20" s="22">
        <v>22255.484999999993</v>
      </c>
      <c r="K20" s="22">
        <v>28486.290000000088</v>
      </c>
      <c r="L20" s="22">
        <v>65854.86</v>
      </c>
    </row>
    <row r="21" spans="1:13">
      <c r="B21" t="s">
        <v>45</v>
      </c>
      <c r="C21" s="22">
        <v>286356.07500000001</v>
      </c>
      <c r="D21" s="22">
        <v>243379.245</v>
      </c>
      <c r="E21" s="22">
        <v>111349.83</v>
      </c>
      <c r="F21" s="22">
        <v>2698882.9350000001</v>
      </c>
      <c r="G21" s="22">
        <v>1026868.83</v>
      </c>
      <c r="H21" s="22">
        <v>25915.334999999999</v>
      </c>
      <c r="I21" s="22">
        <v>0</v>
      </c>
      <c r="J21" s="22">
        <v>2753.16</v>
      </c>
      <c r="K21" s="22">
        <v>11933.46</v>
      </c>
      <c r="L21" s="22">
        <v>356030.38500000001</v>
      </c>
    </row>
    <row r="22" spans="1:13">
      <c r="B22" t="s">
        <v>41</v>
      </c>
      <c r="C22" s="22">
        <f t="shared" ref="C22:L22" si="2">C20-C21</f>
        <v>-71288.89499999996</v>
      </c>
      <c r="D22" s="22">
        <f t="shared" si="2"/>
        <v>-150915.61500000005</v>
      </c>
      <c r="E22" s="22">
        <f t="shared" si="2"/>
        <v>-30023.864999999991</v>
      </c>
      <c r="F22" s="22">
        <f t="shared" si="2"/>
        <v>-2613630.0899999994</v>
      </c>
      <c r="G22" s="22">
        <f t="shared" si="2"/>
        <v>430292.43000000005</v>
      </c>
      <c r="H22" s="22">
        <f t="shared" si="2"/>
        <v>65145.51</v>
      </c>
      <c r="I22" s="22">
        <f t="shared" si="2"/>
        <v>2624537.1749999998</v>
      </c>
      <c r="J22" s="22">
        <f t="shared" si="2"/>
        <v>19502.324999999993</v>
      </c>
      <c r="K22" s="22">
        <f t="shared" si="2"/>
        <v>16552.830000000089</v>
      </c>
      <c r="L22" s="22">
        <f t="shared" si="2"/>
        <v>-290175.52500000002</v>
      </c>
    </row>
    <row r="23" spans="1:13">
      <c r="B23" t="s">
        <v>42</v>
      </c>
      <c r="C23" s="22">
        <f t="shared" ref="C23:L23" si="3">C5+C22</f>
        <v>2242086.4383333302</v>
      </c>
      <c r="D23" s="22">
        <f t="shared" si="3"/>
        <v>841934.38500000001</v>
      </c>
      <c r="E23" s="22">
        <f t="shared" si="3"/>
        <v>472405.801666666</v>
      </c>
      <c r="F23" s="22">
        <f t="shared" si="3"/>
        <v>31728988.243333299</v>
      </c>
      <c r="G23" s="22">
        <f t="shared" si="3"/>
        <v>9972168.4299999997</v>
      </c>
      <c r="H23" s="22">
        <f t="shared" si="3"/>
        <v>323658.176666666</v>
      </c>
      <c r="I23" s="22">
        <f t="shared" si="3"/>
        <v>6226170.50833333</v>
      </c>
      <c r="J23" s="22">
        <f t="shared" si="3"/>
        <v>45153.991666666596</v>
      </c>
      <c r="K23" s="22">
        <f t="shared" si="3"/>
        <v>1226387.83</v>
      </c>
      <c r="L23" s="22">
        <f t="shared" si="3"/>
        <v>6124830.8083333299</v>
      </c>
    </row>
    <row r="24" spans="1:13">
      <c r="C24" s="22"/>
      <c r="D24" s="22"/>
      <c r="E24" s="22"/>
      <c r="F24" s="22"/>
      <c r="G24" s="22"/>
      <c r="H24" s="22"/>
      <c r="I24" s="22"/>
      <c r="J24" s="22"/>
      <c r="K24" s="22"/>
      <c r="L24" s="22"/>
    </row>
    <row r="25" spans="1:13">
      <c r="B25" s="32" t="s">
        <v>43</v>
      </c>
      <c r="C25" s="22">
        <f t="shared" ref="C25:L25" si="4">C23-C47</f>
        <v>2346941.7716666632</v>
      </c>
      <c r="D25" s="22">
        <f t="shared" si="4"/>
        <v>1051272.885</v>
      </c>
      <c r="E25" s="22">
        <f t="shared" si="4"/>
        <v>543657.46833333268</v>
      </c>
      <c r="F25" s="22">
        <f t="shared" si="4"/>
        <v>34124878.076666638</v>
      </c>
      <c r="G25" s="22">
        <f t="shared" si="4"/>
        <v>9831124.9299999997</v>
      </c>
      <c r="H25" s="22">
        <f t="shared" si="4"/>
        <v>283216.34333333268</v>
      </c>
      <c r="I25" s="22">
        <f t="shared" si="4"/>
        <v>3372650.8416666635</v>
      </c>
      <c r="J25" s="22">
        <f t="shared" si="4"/>
        <v>29616.658333333264</v>
      </c>
      <c r="K25" s="22">
        <f t="shared" si="4"/>
        <v>1211958.33</v>
      </c>
      <c r="L25" s="22">
        <f t="shared" si="4"/>
        <v>6408467.1416666629</v>
      </c>
      <c r="M25" s="25">
        <f>SUM(C25:L25)</f>
        <v>59203784.446666628</v>
      </c>
    </row>
    <row r="26" spans="1:13">
      <c r="B26" s="33"/>
      <c r="C26" s="24">
        <f t="shared" ref="C26:L26" si="5">(C17-C47)/C17</f>
        <v>1.0467668558805778</v>
      </c>
      <c r="D26" s="24">
        <f t="shared" si="5"/>
        <v>1.2486399222191169</v>
      </c>
      <c r="E26" s="24">
        <f t="shared" si="5"/>
        <v>1.1508272472846186</v>
      </c>
      <c r="F26" s="24">
        <f t="shared" si="5"/>
        <v>1.0755110694031269</v>
      </c>
      <c r="G26" s="24">
        <f t="shared" si="5"/>
        <v>0.98585628582288198</v>
      </c>
      <c r="H26" s="24">
        <f t="shared" si="5"/>
        <v>0.8750477007877846</v>
      </c>
      <c r="I26" s="24">
        <f t="shared" si="5"/>
        <v>0.54168944412180597</v>
      </c>
      <c r="J26" s="24">
        <f t="shared" si="5"/>
        <v>0.65590343710845744</v>
      </c>
      <c r="K26" s="24">
        <f t="shared" si="5"/>
        <v>0.98823414612651528</v>
      </c>
      <c r="L26" s="24">
        <f t="shared" si="5"/>
        <v>1.046309251995569</v>
      </c>
    </row>
    <row r="29" spans="1:13">
      <c r="A29" s="26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</row>
    <row r="33" spans="1:13">
      <c r="A33" s="29" t="s">
        <v>59</v>
      </c>
    </row>
    <row r="34" spans="1:13">
      <c r="A34" s="4" t="s">
        <v>57</v>
      </c>
    </row>
    <row r="35" spans="1:13" ht="28.5">
      <c r="A35" s="30" t="s">
        <v>39</v>
      </c>
      <c r="B35" s="18"/>
      <c r="C35" s="17" t="s">
        <v>6</v>
      </c>
      <c r="D35" s="17" t="s">
        <v>7</v>
      </c>
      <c r="E35" s="17" t="s">
        <v>8</v>
      </c>
      <c r="F35" s="17" t="s">
        <v>9</v>
      </c>
      <c r="G35" s="17" t="s">
        <v>10</v>
      </c>
      <c r="H35" s="17" t="s">
        <v>11</v>
      </c>
      <c r="I35" s="17" t="s">
        <v>12</v>
      </c>
      <c r="J35" s="17" t="s">
        <v>13</v>
      </c>
      <c r="K35" s="17" t="s">
        <v>14</v>
      </c>
      <c r="L35" s="17" t="s">
        <v>38</v>
      </c>
    </row>
    <row r="36" spans="1:13">
      <c r="A36" s="15" t="s">
        <v>37</v>
      </c>
      <c r="B36" s="15"/>
      <c r="C36" s="11">
        <v>2313375.3333333302</v>
      </c>
      <c r="D36" s="11">
        <v>992850</v>
      </c>
      <c r="E36" s="11">
        <v>502429.66666666599</v>
      </c>
      <c r="F36" s="11">
        <v>34342618.333333299</v>
      </c>
      <c r="G36" s="11">
        <v>9541876</v>
      </c>
      <c r="H36" s="11">
        <v>258512.66666666599</v>
      </c>
      <c r="I36" s="11">
        <v>3601633.3333333302</v>
      </c>
      <c r="J36" s="11">
        <v>25651.666666666599</v>
      </c>
      <c r="K36" s="11">
        <v>1209835</v>
      </c>
      <c r="L36" s="11">
        <v>6415006.3333333302</v>
      </c>
      <c r="M36" s="25">
        <f>SUM(C36:L36)</f>
        <v>59203788.333333284</v>
      </c>
    </row>
    <row r="37" spans="1:13">
      <c r="A37" s="13" t="s">
        <v>36</v>
      </c>
      <c r="B37" s="13"/>
      <c r="C37" s="21"/>
      <c r="D37" s="21"/>
      <c r="E37" s="21"/>
      <c r="F37" s="21"/>
      <c r="G37" s="21"/>
      <c r="H37" s="21"/>
      <c r="I37" s="21"/>
      <c r="J37" s="21"/>
      <c r="K37" s="21"/>
      <c r="L37" s="21"/>
    </row>
    <row r="38" spans="1:13">
      <c r="A38" s="15"/>
      <c r="B38" t="s">
        <v>35</v>
      </c>
      <c r="C38" s="11" t="s">
        <v>26</v>
      </c>
      <c r="D38" s="11" t="s">
        <v>26</v>
      </c>
      <c r="E38" s="11" t="s">
        <v>26</v>
      </c>
      <c r="F38" s="11" t="s">
        <v>26</v>
      </c>
      <c r="G38" s="11" t="s">
        <v>26</v>
      </c>
      <c r="H38" s="11" t="s">
        <v>26</v>
      </c>
      <c r="I38" s="11" t="s">
        <v>26</v>
      </c>
      <c r="J38" s="11" t="s">
        <v>26</v>
      </c>
      <c r="K38" s="11" t="s">
        <v>26</v>
      </c>
      <c r="L38" s="11" t="s">
        <v>26</v>
      </c>
    </row>
    <row r="39" spans="1:13">
      <c r="A39" s="13"/>
      <c r="B39" s="12" t="s">
        <v>34</v>
      </c>
      <c r="C39" s="21" t="s">
        <v>26</v>
      </c>
      <c r="D39" s="21" t="s">
        <v>26</v>
      </c>
      <c r="E39" s="21" t="s">
        <v>26</v>
      </c>
      <c r="F39" s="21" t="s">
        <v>26</v>
      </c>
      <c r="G39" s="21" t="s">
        <v>26</v>
      </c>
      <c r="H39" s="21" t="s">
        <v>26</v>
      </c>
      <c r="I39" s="21" t="s">
        <v>26</v>
      </c>
      <c r="J39" s="21" t="s">
        <v>26</v>
      </c>
      <c r="K39" s="21" t="s">
        <v>26</v>
      </c>
      <c r="L39" s="21" t="s">
        <v>26</v>
      </c>
    </row>
    <row r="40" spans="1:13">
      <c r="A40" s="15"/>
      <c r="B40" t="s">
        <v>33</v>
      </c>
      <c r="C40" s="11" t="s">
        <v>26</v>
      </c>
      <c r="D40" s="11" t="s">
        <v>26</v>
      </c>
      <c r="E40" s="11" t="s">
        <v>26</v>
      </c>
      <c r="F40" s="11" t="s">
        <v>26</v>
      </c>
      <c r="G40" s="11" t="s">
        <v>26</v>
      </c>
      <c r="H40" s="11" t="s">
        <v>26</v>
      </c>
      <c r="I40" s="11" t="s">
        <v>26</v>
      </c>
      <c r="J40" s="11" t="s">
        <v>26</v>
      </c>
      <c r="K40" s="11" t="s">
        <v>26</v>
      </c>
      <c r="L40" s="11" t="s">
        <v>26</v>
      </c>
    </row>
    <row r="41" spans="1:13">
      <c r="A41" s="12"/>
      <c r="B41" s="16" t="s">
        <v>46</v>
      </c>
      <c r="C41" s="21"/>
      <c r="D41" s="21" t="s">
        <v>26</v>
      </c>
      <c r="E41" s="21" t="s">
        <v>26</v>
      </c>
      <c r="F41" s="21" t="s">
        <v>26</v>
      </c>
      <c r="G41" s="21">
        <v>141043.5</v>
      </c>
      <c r="H41" s="21">
        <v>40441.833333333343</v>
      </c>
      <c r="I41" s="21">
        <v>2853519.6666666665</v>
      </c>
      <c r="J41" s="21">
        <v>15537.333333333332</v>
      </c>
      <c r="K41" s="21">
        <v>14429.5</v>
      </c>
      <c r="L41" s="21" t="s">
        <v>26</v>
      </c>
    </row>
    <row r="42" spans="1:13">
      <c r="A42" s="15" t="s">
        <v>31</v>
      </c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spans="1:13">
      <c r="A43" s="12"/>
      <c r="B43" s="12" t="s">
        <v>30</v>
      </c>
      <c r="C43" s="21" t="s">
        <v>26</v>
      </c>
      <c r="D43" s="21" t="s">
        <v>26</v>
      </c>
      <c r="E43" s="21" t="s">
        <v>26</v>
      </c>
      <c r="F43" s="21" t="s">
        <v>26</v>
      </c>
      <c r="G43" s="21" t="s">
        <v>26</v>
      </c>
      <c r="H43" s="21" t="s">
        <v>26</v>
      </c>
      <c r="I43" s="21" t="s">
        <v>26</v>
      </c>
      <c r="J43" s="21" t="s">
        <v>26</v>
      </c>
      <c r="K43" s="21" t="s">
        <v>26</v>
      </c>
      <c r="L43" s="21" t="s">
        <v>26</v>
      </c>
    </row>
    <row r="44" spans="1:13">
      <c r="B44" t="s">
        <v>29</v>
      </c>
      <c r="C44" s="11" t="s">
        <v>26</v>
      </c>
      <c r="D44" s="11" t="s">
        <v>26</v>
      </c>
      <c r="E44" s="11" t="s">
        <v>26</v>
      </c>
      <c r="F44" s="11" t="s">
        <v>26</v>
      </c>
      <c r="G44" s="11" t="s">
        <v>26</v>
      </c>
      <c r="H44" s="11" t="s">
        <v>26</v>
      </c>
      <c r="I44" s="11" t="s">
        <v>26</v>
      </c>
      <c r="J44" s="11" t="s">
        <v>26</v>
      </c>
      <c r="K44" s="11" t="s">
        <v>26</v>
      </c>
      <c r="L44" s="11"/>
    </row>
    <row r="45" spans="1:13">
      <c r="A45" s="12"/>
      <c r="B45" s="12" t="s">
        <v>28</v>
      </c>
      <c r="C45" s="21" t="s">
        <v>26</v>
      </c>
      <c r="D45" s="21" t="s">
        <v>26</v>
      </c>
      <c r="E45" s="21" t="s">
        <v>26</v>
      </c>
      <c r="F45" s="21" t="s">
        <v>26</v>
      </c>
      <c r="G45" s="21" t="s">
        <v>26</v>
      </c>
      <c r="H45" s="21" t="s">
        <v>26</v>
      </c>
      <c r="I45" s="21" t="s">
        <v>26</v>
      </c>
      <c r="J45" s="21" t="s">
        <v>26</v>
      </c>
      <c r="K45" s="21" t="s">
        <v>26</v>
      </c>
      <c r="L45" s="21" t="s">
        <v>26</v>
      </c>
    </row>
    <row r="46" spans="1:13">
      <c r="B46" s="14" t="s">
        <v>47</v>
      </c>
      <c r="C46" s="11">
        <v>104855.33333333299</v>
      </c>
      <c r="D46" s="11">
        <v>209338.5</v>
      </c>
      <c r="E46" s="11">
        <v>71251.666666666701</v>
      </c>
      <c r="F46" s="11">
        <v>2395889.83333334</v>
      </c>
      <c r="G46" s="11"/>
      <c r="H46" s="11" t="s">
        <v>26</v>
      </c>
      <c r="I46" s="11" t="s">
        <v>26</v>
      </c>
      <c r="J46" s="11" t="s">
        <v>26</v>
      </c>
      <c r="K46" s="11" t="s">
        <v>26</v>
      </c>
      <c r="L46" s="27">
        <v>283636.33333333302</v>
      </c>
    </row>
    <row r="47" spans="1:13">
      <c r="A47" s="13" t="s">
        <v>44</v>
      </c>
      <c r="B47" s="12"/>
      <c r="C47" s="9">
        <f>C46*(-1)</f>
        <v>-104855.33333333299</v>
      </c>
      <c r="D47" s="9">
        <f t="shared" ref="D47:F47" si="6">D46*(-1)</f>
        <v>-209338.5</v>
      </c>
      <c r="E47" s="9">
        <f t="shared" si="6"/>
        <v>-71251.666666666701</v>
      </c>
      <c r="F47" s="9">
        <f t="shared" si="6"/>
        <v>-2395889.83333334</v>
      </c>
      <c r="G47" s="9">
        <f>G41</f>
        <v>141043.5</v>
      </c>
      <c r="H47" s="9">
        <f t="shared" ref="H47:K47" si="7">H41</f>
        <v>40441.833333333343</v>
      </c>
      <c r="I47" s="9">
        <f t="shared" si="7"/>
        <v>2853519.6666666665</v>
      </c>
      <c r="J47" s="9">
        <f t="shared" si="7"/>
        <v>15537.333333333332</v>
      </c>
      <c r="K47" s="9">
        <f t="shared" si="7"/>
        <v>14429.5</v>
      </c>
      <c r="L47" s="9">
        <f>L46*(-1)</f>
        <v>-283636.33333333302</v>
      </c>
      <c r="M47" s="11"/>
    </row>
    <row r="48" spans="1:13">
      <c r="A48" s="15" t="s">
        <v>52</v>
      </c>
      <c r="C48" s="11">
        <f>C36+C47</f>
        <v>2208519.9999999972</v>
      </c>
      <c r="D48" s="11">
        <f t="shared" ref="D48:L48" si="8">D36+D47</f>
        <v>783511.5</v>
      </c>
      <c r="E48" s="11">
        <f t="shared" si="8"/>
        <v>431177.9999999993</v>
      </c>
      <c r="F48" s="11">
        <f t="shared" si="8"/>
        <v>31946728.499999959</v>
      </c>
      <c r="G48" s="11">
        <f t="shared" si="8"/>
        <v>9682919.5</v>
      </c>
      <c r="H48" s="11">
        <f t="shared" si="8"/>
        <v>298954.4999999993</v>
      </c>
      <c r="I48" s="11">
        <f>I36+I47</f>
        <v>6455152.9999999963</v>
      </c>
      <c r="J48" s="11">
        <f t="shared" si="8"/>
        <v>41188.999999999927</v>
      </c>
      <c r="K48" s="11">
        <f t="shared" si="8"/>
        <v>1224264.5</v>
      </c>
      <c r="L48" s="11">
        <f t="shared" si="8"/>
        <v>6131369.9999999972</v>
      </c>
      <c r="M48" s="25">
        <f>SUM(C48:L48)</f>
        <v>59203788.499999955</v>
      </c>
    </row>
    <row r="49" spans="1:14">
      <c r="A49" t="s">
        <v>61</v>
      </c>
    </row>
    <row r="51" spans="1:14">
      <c r="A51" s="29" t="s">
        <v>55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</row>
    <row r="52" spans="1:14">
      <c r="A52" s="4" t="s">
        <v>54</v>
      </c>
    </row>
    <row r="53" spans="1:14" ht="28.5">
      <c r="A53" s="30" t="s">
        <v>39</v>
      </c>
      <c r="B53" s="18"/>
      <c r="C53" s="17" t="s">
        <v>6</v>
      </c>
      <c r="D53" s="17" t="s">
        <v>7</v>
      </c>
      <c r="E53" s="17" t="s">
        <v>8</v>
      </c>
      <c r="F53" s="17" t="s">
        <v>9</v>
      </c>
      <c r="G53" s="17" t="s">
        <v>10</v>
      </c>
      <c r="H53" s="17" t="s">
        <v>11</v>
      </c>
      <c r="I53" s="17" t="s">
        <v>12</v>
      </c>
      <c r="J53" s="17" t="s">
        <v>13</v>
      </c>
      <c r="K53" s="17" t="s">
        <v>14</v>
      </c>
      <c r="L53" s="17" t="s">
        <v>38</v>
      </c>
    </row>
    <row r="54" spans="1:14">
      <c r="A54" s="15" t="s">
        <v>37</v>
      </c>
      <c r="B54" s="15"/>
      <c r="C54" s="11">
        <v>2299533.27</v>
      </c>
      <c r="D54" s="11">
        <v>1024626.6299999999</v>
      </c>
      <c r="E54" s="11">
        <v>539418.39</v>
      </c>
      <c r="F54" s="11">
        <v>34113646.259999998</v>
      </c>
      <c r="G54" s="11">
        <v>9693476.9399999995</v>
      </c>
      <c r="H54" s="11">
        <v>267169.23</v>
      </c>
      <c r="I54" s="11">
        <v>3535283.82</v>
      </c>
      <c r="J54" s="11">
        <v>26557.05</v>
      </c>
      <c r="K54" s="11">
        <v>1204361.6399999999</v>
      </c>
      <c r="L54" s="11">
        <v>6384423.2699999996</v>
      </c>
      <c r="M54" s="25">
        <f>SUM(C54:L54)</f>
        <v>59088496.499999985</v>
      </c>
    </row>
    <row r="55" spans="1:14">
      <c r="A55" s="13" t="s">
        <v>36</v>
      </c>
      <c r="B55" s="13"/>
      <c r="C55" s="21"/>
      <c r="D55" s="21"/>
      <c r="E55" s="21"/>
      <c r="F55" s="21"/>
      <c r="G55" s="21"/>
      <c r="H55" s="21"/>
      <c r="I55" s="21"/>
      <c r="J55" s="21"/>
      <c r="K55" s="21"/>
      <c r="L55" s="21"/>
      <c r="N55" s="11"/>
    </row>
    <row r="56" spans="1:14">
      <c r="A56" s="15"/>
      <c r="B56" t="s">
        <v>35</v>
      </c>
      <c r="C56" s="11" t="s">
        <v>26</v>
      </c>
      <c r="D56" s="11" t="s">
        <v>26</v>
      </c>
      <c r="E56" s="11" t="s">
        <v>26</v>
      </c>
      <c r="F56" s="11" t="s">
        <v>26</v>
      </c>
      <c r="G56" s="11" t="s">
        <v>26</v>
      </c>
      <c r="H56" s="11" t="s">
        <v>26</v>
      </c>
      <c r="I56" s="11" t="s">
        <v>26</v>
      </c>
      <c r="J56" s="11" t="s">
        <v>26</v>
      </c>
      <c r="K56" s="11" t="s">
        <v>26</v>
      </c>
      <c r="L56" s="11" t="s">
        <v>26</v>
      </c>
    </row>
    <row r="57" spans="1:14">
      <c r="A57" s="13"/>
      <c r="B57" s="12" t="s">
        <v>34</v>
      </c>
      <c r="C57" s="21" t="s">
        <v>26</v>
      </c>
      <c r="D57" s="21" t="s">
        <v>26</v>
      </c>
      <c r="E57" s="21" t="s">
        <v>26</v>
      </c>
      <c r="F57" s="21" t="s">
        <v>26</v>
      </c>
      <c r="G57" s="21" t="s">
        <v>26</v>
      </c>
      <c r="H57" s="21" t="s">
        <v>26</v>
      </c>
      <c r="I57" s="21" t="s">
        <v>26</v>
      </c>
      <c r="J57" s="21" t="s">
        <v>26</v>
      </c>
      <c r="K57" s="21" t="s">
        <v>26</v>
      </c>
      <c r="L57" s="21" t="s">
        <v>26</v>
      </c>
    </row>
    <row r="58" spans="1:14">
      <c r="A58" s="15"/>
      <c r="B58" t="s">
        <v>33</v>
      </c>
      <c r="C58" s="11" t="s">
        <v>26</v>
      </c>
      <c r="D58" s="11" t="s">
        <v>26</v>
      </c>
      <c r="E58" s="11" t="s">
        <v>26</v>
      </c>
      <c r="F58" s="11" t="s">
        <v>26</v>
      </c>
      <c r="G58" s="11" t="s">
        <v>26</v>
      </c>
      <c r="H58" s="11" t="s">
        <v>26</v>
      </c>
      <c r="I58" s="11" t="s">
        <v>26</v>
      </c>
      <c r="J58" s="11" t="s">
        <v>26</v>
      </c>
      <c r="K58" s="11" t="s">
        <v>26</v>
      </c>
      <c r="L58" s="11" t="s">
        <v>26</v>
      </c>
    </row>
    <row r="59" spans="1:14">
      <c r="A59" s="12"/>
      <c r="B59" s="16" t="s">
        <v>46</v>
      </c>
      <c r="C59" s="21"/>
      <c r="D59" s="21" t="s">
        <v>26</v>
      </c>
      <c r="E59" s="21" t="s">
        <v>26</v>
      </c>
      <c r="F59" s="21" t="s">
        <v>26</v>
      </c>
      <c r="G59" s="21">
        <v>432214.39500000142</v>
      </c>
      <c r="H59" s="21">
        <v>65126.205000000016</v>
      </c>
      <c r="I59" s="21">
        <v>2623943.6249999995</v>
      </c>
      <c r="J59" s="21">
        <v>19210.424999999999</v>
      </c>
      <c r="K59" s="21">
        <v>18189.270000000251</v>
      </c>
      <c r="L59" s="21" t="s">
        <v>26</v>
      </c>
    </row>
    <row r="60" spans="1:14">
      <c r="A60" s="15" t="s">
        <v>31</v>
      </c>
      <c r="C60" s="11"/>
      <c r="D60" s="11"/>
      <c r="E60" s="11"/>
      <c r="F60" s="11"/>
      <c r="G60" s="11"/>
      <c r="H60" s="11"/>
      <c r="I60" s="11"/>
      <c r="J60" s="11"/>
      <c r="K60" s="11"/>
      <c r="L60" s="11"/>
    </row>
    <row r="61" spans="1:14">
      <c r="A61" s="12"/>
      <c r="B61" s="12" t="s">
        <v>30</v>
      </c>
      <c r="C61" s="21" t="s">
        <v>26</v>
      </c>
      <c r="D61" s="21" t="s">
        <v>26</v>
      </c>
      <c r="E61" s="21" t="s">
        <v>26</v>
      </c>
      <c r="F61" s="21" t="s">
        <v>26</v>
      </c>
      <c r="G61" s="21" t="s">
        <v>26</v>
      </c>
      <c r="H61" s="21" t="s">
        <v>26</v>
      </c>
      <c r="I61" s="21" t="s">
        <v>26</v>
      </c>
      <c r="J61" s="21" t="s">
        <v>26</v>
      </c>
      <c r="K61" s="21" t="s">
        <v>26</v>
      </c>
      <c r="L61" s="21" t="s">
        <v>26</v>
      </c>
    </row>
    <row r="62" spans="1:14">
      <c r="B62" t="s">
        <v>29</v>
      </c>
      <c r="C62" s="11" t="s">
        <v>26</v>
      </c>
      <c r="D62" s="11" t="s">
        <v>26</v>
      </c>
      <c r="E62" s="11" t="s">
        <v>26</v>
      </c>
      <c r="F62" s="11" t="s">
        <v>26</v>
      </c>
      <c r="G62" s="11" t="s">
        <v>26</v>
      </c>
      <c r="H62" s="11" t="s">
        <v>26</v>
      </c>
      <c r="I62" s="11" t="s">
        <v>26</v>
      </c>
      <c r="J62" s="11" t="s">
        <v>26</v>
      </c>
      <c r="K62" s="11" t="s">
        <v>26</v>
      </c>
      <c r="L62" s="11"/>
    </row>
    <row r="63" spans="1:14">
      <c r="A63" s="12"/>
      <c r="B63" s="12" t="s">
        <v>28</v>
      </c>
      <c r="C63" s="21" t="s">
        <v>26</v>
      </c>
      <c r="D63" s="21" t="s">
        <v>26</v>
      </c>
      <c r="E63" s="21" t="s">
        <v>26</v>
      </c>
      <c r="F63" s="21" t="s">
        <v>26</v>
      </c>
      <c r="G63" s="21" t="s">
        <v>26</v>
      </c>
      <c r="H63" s="21" t="s">
        <v>26</v>
      </c>
      <c r="I63" s="21" t="s">
        <v>26</v>
      </c>
      <c r="J63" s="21" t="s">
        <v>26</v>
      </c>
      <c r="K63" s="21" t="s">
        <v>26</v>
      </c>
      <c r="L63" s="21" t="s">
        <v>26</v>
      </c>
    </row>
    <row r="64" spans="1:14">
      <c r="B64" s="14" t="s">
        <v>47</v>
      </c>
      <c r="C64" s="11">
        <v>-70442.250000000466</v>
      </c>
      <c r="D64" s="11">
        <v>-150678.11999999988</v>
      </c>
      <c r="E64" s="11">
        <v>-29984.055000000051</v>
      </c>
      <c r="F64" s="11">
        <v>-2618601.8849999979</v>
      </c>
      <c r="G64" s="11" t="s">
        <v>26</v>
      </c>
      <c r="H64" s="11" t="s">
        <v>26</v>
      </c>
      <c r="I64" s="11" t="s">
        <v>26</v>
      </c>
      <c r="J64" s="11" t="s">
        <v>26</v>
      </c>
      <c r="K64" s="11" t="s">
        <v>26</v>
      </c>
      <c r="L64" s="11">
        <v>-288977.6099999994</v>
      </c>
    </row>
    <row r="65" spans="1:13">
      <c r="A65" s="13" t="s">
        <v>44</v>
      </c>
      <c r="B65" s="12"/>
      <c r="C65" s="31">
        <v>-70442.250000000466</v>
      </c>
      <c r="D65" s="31">
        <v>-150678.11999999988</v>
      </c>
      <c r="E65" s="31">
        <v>-29984.055000000051</v>
      </c>
      <c r="F65" s="31">
        <v>-2618601.8849999979</v>
      </c>
      <c r="G65" s="31">
        <v>432214.39500000142</v>
      </c>
      <c r="H65" s="31">
        <v>65126.205000000016</v>
      </c>
      <c r="I65" s="31">
        <v>2623943.6249999995</v>
      </c>
      <c r="J65" s="31">
        <v>19210.424999999999</v>
      </c>
      <c r="K65" s="31">
        <v>18189.270000000251</v>
      </c>
      <c r="L65" s="31">
        <v>-288977.6099999994</v>
      </c>
      <c r="M65" s="11"/>
    </row>
    <row r="66" spans="1:13">
      <c r="A66" s="15" t="s">
        <v>52</v>
      </c>
      <c r="C66" s="11">
        <v>2229091.0199999996</v>
      </c>
      <c r="D66" s="11">
        <v>873948.51</v>
      </c>
      <c r="E66" s="11">
        <v>509434.33499999996</v>
      </c>
      <c r="F66" s="11">
        <v>31495044.375</v>
      </c>
      <c r="G66" s="11">
        <v>10125691.335000001</v>
      </c>
      <c r="H66" s="11">
        <v>332295.435</v>
      </c>
      <c r="I66" s="11">
        <v>6159227.4449999994</v>
      </c>
      <c r="J66" s="11">
        <v>45767.474999999999</v>
      </c>
      <c r="K66" s="11">
        <v>1222550.9100000001</v>
      </c>
      <c r="L66" s="11">
        <v>6095445.6600000001</v>
      </c>
      <c r="M66" s="25">
        <f>SUM(C66:L66)</f>
        <v>59088496.5</v>
      </c>
    </row>
    <row r="68" spans="1:13">
      <c r="A68" t="s">
        <v>53</v>
      </c>
    </row>
    <row r="70" spans="1:13">
      <c r="C70" s="11"/>
      <c r="D70" s="11"/>
      <c r="E70" s="11"/>
      <c r="F70" s="11"/>
      <c r="G70" s="11"/>
      <c r="H70" s="11"/>
      <c r="I70" s="11"/>
      <c r="J70" s="11"/>
      <c r="K70" s="11"/>
      <c r="L70" s="11"/>
    </row>
    <row r="71" spans="1:13">
      <c r="C71" t="s">
        <v>6</v>
      </c>
      <c r="D71" t="s">
        <v>7</v>
      </c>
      <c r="E71" t="s">
        <v>8</v>
      </c>
      <c r="F71" t="s">
        <v>9</v>
      </c>
      <c r="G71" t="s">
        <v>10</v>
      </c>
      <c r="H71" t="s">
        <v>11</v>
      </c>
      <c r="I71" t="s">
        <v>12</v>
      </c>
      <c r="J71" t="s">
        <v>13</v>
      </c>
      <c r="K71" t="s">
        <v>14</v>
      </c>
      <c r="L71" t="s">
        <v>38</v>
      </c>
    </row>
    <row r="72" spans="1:13">
      <c r="B72" t="s">
        <v>37</v>
      </c>
      <c r="C72">
        <v>2299533.27</v>
      </c>
      <c r="D72">
        <v>1024626.6299999999</v>
      </c>
      <c r="E72">
        <v>539418.39</v>
      </c>
      <c r="F72">
        <v>34113646.259999998</v>
      </c>
      <c r="G72">
        <v>9693476.9399999995</v>
      </c>
      <c r="H72">
        <v>267169.23</v>
      </c>
      <c r="I72">
        <v>3535283.82</v>
      </c>
      <c r="J72">
        <v>26557.05</v>
      </c>
      <c r="K72">
        <v>1204361.6399999999</v>
      </c>
      <c r="L72">
        <v>6384423.2699999996</v>
      </c>
    </row>
    <row r="73" spans="1:13">
      <c r="B73" t="s">
        <v>52</v>
      </c>
      <c r="C73">
        <v>2229091.0199999996</v>
      </c>
      <c r="D73">
        <v>873948.51</v>
      </c>
      <c r="E73">
        <v>509434.33499999996</v>
      </c>
      <c r="F73">
        <v>31495044.375</v>
      </c>
      <c r="G73">
        <v>10125691.335000001</v>
      </c>
      <c r="H73">
        <v>332295.435</v>
      </c>
      <c r="I73">
        <v>6159227.4449999994</v>
      </c>
      <c r="J73">
        <v>45767.474999999999</v>
      </c>
      <c r="K73">
        <v>1222550.9100000001</v>
      </c>
      <c r="L73">
        <v>6095445.6600000001</v>
      </c>
    </row>
    <row r="74" spans="1:13">
      <c r="C74" t="s">
        <v>6</v>
      </c>
      <c r="D74" t="s">
        <v>7</v>
      </c>
      <c r="E74" t="s">
        <v>8</v>
      </c>
      <c r="F74" t="s">
        <v>9</v>
      </c>
      <c r="G74" t="s">
        <v>10</v>
      </c>
      <c r="H74" t="s">
        <v>11</v>
      </c>
      <c r="I74" t="s">
        <v>12</v>
      </c>
      <c r="J74" t="s">
        <v>13</v>
      </c>
      <c r="K74" t="s">
        <v>14</v>
      </c>
      <c r="L74" t="s">
        <v>38</v>
      </c>
    </row>
    <row r="75" spans="1:13">
      <c r="B75" t="s">
        <v>60</v>
      </c>
      <c r="C75" s="9">
        <f>C73-C72</f>
        <v>-70442.250000000466</v>
      </c>
      <c r="D75" s="9">
        <f t="shared" ref="D75:L75" si="9">D73-D72</f>
        <v>-150678.11999999988</v>
      </c>
      <c r="E75" s="9">
        <f t="shared" si="9"/>
        <v>-29984.055000000051</v>
      </c>
      <c r="F75" s="9">
        <f t="shared" si="9"/>
        <v>-2618601.8849999979</v>
      </c>
      <c r="G75" s="9">
        <f t="shared" si="9"/>
        <v>432214.39500000142</v>
      </c>
      <c r="H75" s="9">
        <f t="shared" si="9"/>
        <v>65126.205000000016</v>
      </c>
      <c r="I75" s="9">
        <f t="shared" si="9"/>
        <v>2623943.6249999995</v>
      </c>
      <c r="J75" s="9">
        <f t="shared" si="9"/>
        <v>19210.424999999999</v>
      </c>
      <c r="K75" s="9">
        <f t="shared" si="9"/>
        <v>18189.270000000251</v>
      </c>
      <c r="L75" s="9">
        <f t="shared" si="9"/>
        <v>-288977.6099999994</v>
      </c>
    </row>
    <row r="79" spans="1:13">
      <c r="J79" s="11">
        <f>I65/I54*100</f>
        <v>74.221583290022792</v>
      </c>
    </row>
    <row r="80" spans="1:13">
      <c r="J80">
        <f>J79/I54</f>
        <v>2.0994518988866584E-5</v>
      </c>
    </row>
  </sheetData>
  <mergeCells count="1">
    <mergeCell ref="B25:B26"/>
  </mergeCells>
  <pageMargins left="0.7" right="0.7" top="0.75" bottom="0.75" header="0.3" footer="0.3"/>
  <headerFooter>
    <oddFooter>&amp;R_x000D_&amp;1#&amp;"Calibri"&amp;10&amp;K000000 Official Use Only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original</vt:lpstr>
      <vt:lpstr>Split between ad and reg</vt:lpstr>
      <vt:lpstr>Draft asset account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François Soulard</dc:creator>
  <cp:lastModifiedBy>Khyati Rathore</cp:lastModifiedBy>
  <dcterms:created xsi:type="dcterms:W3CDTF">2025-05-02T18:50:06Z</dcterms:created>
  <dcterms:modified xsi:type="dcterms:W3CDTF">2025-11-14T08:27:38Z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1bf45b6-5649-4236-82a3-f45024cd282e_Enabled">
    <vt:lpwstr>true</vt:lpwstr>
  </property>
  <property fmtid="{D5CDD505-2E9C-101B-9397-08002B2CF9AE}" pid="3" name="MSIP_Label_f1bf45b6-5649-4236-82a3-f45024cd282e_SetDate">
    <vt:lpwstr>2025-11-13T15:43:17Z</vt:lpwstr>
  </property>
  <property fmtid="{D5CDD505-2E9C-101B-9397-08002B2CF9AE}" pid="4" name="MSIP_Label_f1bf45b6-5649-4236-82a3-f45024cd282e_Method">
    <vt:lpwstr>Standard</vt:lpwstr>
  </property>
  <property fmtid="{D5CDD505-2E9C-101B-9397-08002B2CF9AE}" pid="5" name="MSIP_Label_f1bf45b6-5649-4236-82a3-f45024cd282e_Name">
    <vt:lpwstr>Official Use Only</vt:lpwstr>
  </property>
  <property fmtid="{D5CDD505-2E9C-101B-9397-08002B2CF9AE}" pid="6" name="MSIP_Label_f1bf45b6-5649-4236-82a3-f45024cd282e_SiteId">
    <vt:lpwstr>31a2fec0-266b-4c67-b56e-2796d8f59c36</vt:lpwstr>
  </property>
  <property fmtid="{D5CDD505-2E9C-101B-9397-08002B2CF9AE}" pid="7" name="MSIP_Label_f1bf45b6-5649-4236-82a3-f45024cd282e_ActionId">
    <vt:lpwstr>069d1ce0-ac80-4adb-92e2-efd1d8406968</vt:lpwstr>
  </property>
  <property fmtid="{D5CDD505-2E9C-101B-9397-08002B2CF9AE}" pid="8" name="MSIP_Label_f1bf45b6-5649-4236-82a3-f45024cd282e_ContentBits">
    <vt:lpwstr>2</vt:lpwstr>
  </property>
  <property fmtid="{D5CDD505-2E9C-101B-9397-08002B2CF9AE}" pid="9" name="MSIP_Label_f1bf45b6-5649-4236-82a3-f45024cd282e_Tag">
    <vt:lpwstr>10, 3, 0, 1</vt:lpwstr>
  </property>
</Properties>
</file>