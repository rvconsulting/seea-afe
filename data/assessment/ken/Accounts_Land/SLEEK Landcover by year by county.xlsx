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e46015b40f0158/Kenya/Kenya_GPS/Accounts/Land/Land Cover/By County/"/>
    </mc:Choice>
  </mc:AlternateContent>
  <xr:revisionPtr revIDLastSave="1833" documentId="8_{C70218FC-C10C-434D-A7C9-D5FA2B2E4A8E}" xr6:coauthVersionLast="47" xr6:coauthVersionMax="47" xr10:uidLastSave="{5C7E803E-0D16-D346-8CF0-4E7E2F27263F}"/>
  <bookViews>
    <workbookView xWindow="0" yWindow="480" windowWidth="51200" windowHeight="21120" firstSheet="1" activeTab="25" xr2:uid="{ADDF0738-8101-6649-AA56-C471AD863F1A}"/>
  </bookViews>
  <sheets>
    <sheet name="Readme" sheetId="72" r:id="rId1"/>
    <sheet name="Totals" sheetId="73" r:id="rId2"/>
    <sheet name="Baringo" sheetId="62" r:id="rId3"/>
    <sheet name="Bomet" sheetId="63" r:id="rId4"/>
    <sheet name="Bungoma" sheetId="65" r:id="rId5"/>
    <sheet name="Busia" sheetId="66" r:id="rId6"/>
    <sheet name="Elgeyo-Marakwet" sheetId="68" r:id="rId7"/>
    <sheet name="Embu" sheetId="69" r:id="rId8"/>
    <sheet name="Garissa" sheetId="70" r:id="rId9"/>
    <sheet name="Homa Bay" sheetId="51" r:id="rId10"/>
    <sheet name="Isiolo" sheetId="52" r:id="rId11"/>
    <sheet name="Kajiado" sheetId="53" r:id="rId12"/>
    <sheet name="Kakamega" sheetId="54" r:id="rId13"/>
    <sheet name="Kericho" sheetId="56" r:id="rId14"/>
    <sheet name="Kiambu" sheetId="57" r:id="rId15"/>
    <sheet name="Kilifi" sheetId="58" r:id="rId16"/>
    <sheet name="Kirinyaga" sheetId="59" r:id="rId17"/>
    <sheet name="Kisii" sheetId="71" r:id="rId18"/>
    <sheet name="Kisumu" sheetId="60" r:id="rId19"/>
    <sheet name="Kitui" sheetId="61" r:id="rId20"/>
    <sheet name="Kwale" sheetId="40" r:id="rId21"/>
    <sheet name="Laikipia" sheetId="41" r:id="rId22"/>
    <sheet name="Lamu" sheetId="42" r:id="rId23"/>
    <sheet name="Machakos" sheetId="44" r:id="rId24"/>
    <sheet name="Makueni" sheetId="45" r:id="rId25"/>
    <sheet name="Mandera" sheetId="47" r:id="rId26"/>
    <sheet name="Marsabit" sheetId="26" r:id="rId27"/>
    <sheet name="Meru" sheetId="28" r:id="rId28"/>
    <sheet name="Migori" sheetId="31" r:id="rId29"/>
    <sheet name="Mombasa" sheetId="32" r:id="rId30"/>
    <sheet name="Murang'a" sheetId="33" r:id="rId31"/>
    <sheet name="Nairobi" sheetId="34" r:id="rId32"/>
    <sheet name="Nakuru" sheetId="35" r:id="rId33"/>
    <sheet name="Nandi" sheetId="36" r:id="rId34"/>
    <sheet name="Narok" sheetId="37" r:id="rId35"/>
    <sheet name="Nyamira" sheetId="14" r:id="rId36"/>
    <sheet name="Nyandarua" sheetId="15" r:id="rId37"/>
    <sheet name="Nyeri" sheetId="16" r:id="rId38"/>
    <sheet name="Samburu" sheetId="17" r:id="rId39"/>
    <sheet name="Siaya" sheetId="18" r:id="rId40"/>
    <sheet name="Taita Taveta" sheetId="19" r:id="rId41"/>
    <sheet name="Tana River" sheetId="20" r:id="rId42"/>
    <sheet name="Tharaka-Nithi" sheetId="21" r:id="rId43"/>
    <sheet name="Trans Nzoia" sheetId="22" r:id="rId44"/>
    <sheet name="Turkana" sheetId="23" r:id="rId45"/>
    <sheet name="Uasin Gishu" sheetId="24" r:id="rId46"/>
    <sheet name="Vihiga" sheetId="25" r:id="rId47"/>
    <sheet name="Wajir" sheetId="8" r:id="rId48"/>
    <sheet name="West Pokot" sheetId="9" r:id="rId4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73" l="1"/>
  <c r="AW29" i="73"/>
  <c r="AV29" i="73"/>
  <c r="AU29" i="73"/>
  <c r="AT29" i="73"/>
  <c r="AS29" i="73"/>
  <c r="AR29" i="73"/>
  <c r="AQ29" i="73"/>
  <c r="AP29" i="73"/>
  <c r="AO29" i="73"/>
  <c r="AN29" i="73"/>
  <c r="AM29" i="73"/>
  <c r="AL29" i="73"/>
  <c r="AK29" i="73"/>
  <c r="AJ29" i="73"/>
  <c r="AI29" i="73"/>
  <c r="AH29" i="73"/>
  <c r="AG29" i="73"/>
  <c r="AF29" i="73"/>
  <c r="AE29" i="73"/>
  <c r="AD29" i="73"/>
  <c r="AC29" i="73"/>
  <c r="AB29" i="73"/>
  <c r="AA29" i="73"/>
  <c r="Z29" i="73"/>
  <c r="Y29" i="73"/>
  <c r="X29" i="73"/>
  <c r="W29" i="73"/>
  <c r="V29" i="73"/>
  <c r="U29" i="73"/>
  <c r="T29" i="73"/>
  <c r="S29" i="73"/>
  <c r="R29" i="73"/>
  <c r="Q29" i="73"/>
  <c r="P29" i="73"/>
  <c r="O29" i="73"/>
  <c r="AW28" i="73"/>
  <c r="AV28" i="73"/>
  <c r="AU28" i="73"/>
  <c r="AT28" i="73"/>
  <c r="AS28" i="73"/>
  <c r="AR28" i="73"/>
  <c r="AQ28" i="73"/>
  <c r="AP28" i="73"/>
  <c r="AO28" i="73"/>
  <c r="AN28" i="73"/>
  <c r="AM28" i="73"/>
  <c r="AL28" i="73"/>
  <c r="AK28" i="73"/>
  <c r="AJ28" i="73"/>
  <c r="AI28" i="73"/>
  <c r="AH28" i="73"/>
  <c r="AG28" i="73"/>
  <c r="AF28" i="73"/>
  <c r="AE28" i="73"/>
  <c r="AD28" i="73"/>
  <c r="AC28" i="73"/>
  <c r="AB28" i="73"/>
  <c r="AA28" i="73"/>
  <c r="Z28" i="73"/>
  <c r="Y28" i="73"/>
  <c r="X28" i="73"/>
  <c r="W28" i="73"/>
  <c r="V28" i="73"/>
  <c r="U28" i="73"/>
  <c r="T28" i="73"/>
  <c r="S28" i="73"/>
  <c r="R28" i="73"/>
  <c r="Q28" i="73"/>
  <c r="P28" i="73"/>
  <c r="O28" i="73"/>
  <c r="AW27" i="73"/>
  <c r="AV27" i="73"/>
  <c r="AU27" i="73"/>
  <c r="AT27" i="73"/>
  <c r="AS27" i="73"/>
  <c r="AR27" i="73"/>
  <c r="AQ27" i="73"/>
  <c r="AP27" i="73"/>
  <c r="AO27" i="73"/>
  <c r="AN27" i="73"/>
  <c r="AM27" i="73"/>
  <c r="AL27" i="73"/>
  <c r="AK27" i="73"/>
  <c r="AJ27" i="73"/>
  <c r="AI27" i="73"/>
  <c r="AH27" i="73"/>
  <c r="AG27" i="73"/>
  <c r="AF27" i="73"/>
  <c r="AE27" i="73"/>
  <c r="AD27" i="73"/>
  <c r="AC27" i="73"/>
  <c r="AB27" i="73"/>
  <c r="AA27" i="73"/>
  <c r="Z27" i="73"/>
  <c r="Y27" i="73"/>
  <c r="X27" i="73"/>
  <c r="W27" i="73"/>
  <c r="V27" i="73"/>
  <c r="U27" i="73"/>
  <c r="S27" i="73"/>
  <c r="R27" i="73"/>
  <c r="Q27" i="73"/>
  <c r="P27" i="73"/>
  <c r="O27" i="73"/>
  <c r="AW26" i="73"/>
  <c r="AV26" i="73"/>
  <c r="AU26" i="73"/>
  <c r="AT26" i="73"/>
  <c r="AS26" i="73"/>
  <c r="AR26" i="73"/>
  <c r="AQ26" i="73"/>
  <c r="AP26" i="73"/>
  <c r="AO26" i="73"/>
  <c r="AN26" i="73"/>
  <c r="AM26" i="73"/>
  <c r="AL26" i="73"/>
  <c r="AK26" i="73"/>
  <c r="AJ26" i="73"/>
  <c r="AI26" i="73"/>
  <c r="AH26" i="73"/>
  <c r="AG26" i="73"/>
  <c r="AF26" i="73"/>
  <c r="AE26" i="73"/>
  <c r="AD26" i="73"/>
  <c r="AC26" i="73"/>
  <c r="AB26" i="73"/>
  <c r="AA26" i="73"/>
  <c r="Z26" i="73"/>
  <c r="Y26" i="73"/>
  <c r="X26" i="73"/>
  <c r="W26" i="73"/>
  <c r="V26" i="73"/>
  <c r="U26" i="73"/>
  <c r="T26" i="73"/>
  <c r="S26" i="73"/>
  <c r="R26" i="73"/>
  <c r="Q26" i="73"/>
  <c r="P26" i="73"/>
  <c r="O26" i="73"/>
  <c r="AW25" i="73"/>
  <c r="AV25" i="73"/>
  <c r="AU25" i="73"/>
  <c r="AT25" i="73"/>
  <c r="AS25" i="73"/>
  <c r="AR25" i="73"/>
  <c r="AQ25" i="73"/>
  <c r="AO25" i="73"/>
  <c r="AN25" i="73"/>
  <c r="AM25" i="73"/>
  <c r="AL25" i="73"/>
  <c r="AK25" i="73"/>
  <c r="AJ25" i="73"/>
  <c r="AI25" i="73"/>
  <c r="AH25" i="73"/>
  <c r="AG25" i="73"/>
  <c r="AF25" i="73"/>
  <c r="AE25" i="73"/>
  <c r="AD25" i="73"/>
  <c r="AC25" i="73"/>
  <c r="AB25" i="73"/>
  <c r="AA25" i="73"/>
  <c r="Z25" i="73"/>
  <c r="Y25" i="73"/>
  <c r="X25" i="73"/>
  <c r="W25" i="73"/>
  <c r="V25" i="73"/>
  <c r="U25" i="73"/>
  <c r="T25" i="73"/>
  <c r="S25" i="73"/>
  <c r="R25" i="73"/>
  <c r="Q25" i="73"/>
  <c r="P25" i="73"/>
  <c r="O25" i="73"/>
  <c r="AW24" i="73"/>
  <c r="AV24" i="73"/>
  <c r="AU24" i="73"/>
  <c r="AT24" i="73"/>
  <c r="AS24" i="73"/>
  <c r="AR24" i="73"/>
  <c r="AQ24" i="73"/>
  <c r="AP24" i="73"/>
  <c r="AO24" i="73"/>
  <c r="AN24" i="73"/>
  <c r="AM24" i="73"/>
  <c r="AL24" i="73"/>
  <c r="AK24" i="73"/>
  <c r="AJ24" i="73"/>
  <c r="AI24" i="73"/>
  <c r="AH24" i="73"/>
  <c r="AG24" i="73"/>
  <c r="AF24" i="73"/>
  <c r="AE24" i="73"/>
  <c r="AD24" i="73"/>
  <c r="AC24" i="73"/>
  <c r="AB24" i="73"/>
  <c r="AA24" i="73"/>
  <c r="Z24" i="73"/>
  <c r="Y24" i="73"/>
  <c r="X24" i="73"/>
  <c r="W24" i="73"/>
  <c r="V24" i="73"/>
  <c r="U24" i="73"/>
  <c r="T24" i="73"/>
  <c r="S24" i="73"/>
  <c r="R24" i="73"/>
  <c r="Q24" i="73"/>
  <c r="P24" i="73"/>
  <c r="O24" i="73"/>
  <c r="AW23" i="73"/>
  <c r="AV23" i="73"/>
  <c r="AU23" i="73"/>
  <c r="AT23" i="73"/>
  <c r="AS23" i="73"/>
  <c r="AR23" i="73"/>
  <c r="AQ23" i="73"/>
  <c r="AP23" i="73"/>
  <c r="AO23" i="73"/>
  <c r="AN23" i="73"/>
  <c r="AM23" i="73"/>
  <c r="AL23" i="73"/>
  <c r="AK23" i="73"/>
  <c r="AJ23" i="73"/>
  <c r="AI23" i="73"/>
  <c r="AH23" i="73"/>
  <c r="AG23" i="73"/>
  <c r="AF23" i="73"/>
  <c r="AE23" i="73"/>
  <c r="AD23" i="73"/>
  <c r="AC23" i="73"/>
  <c r="AB23" i="73"/>
  <c r="AA23" i="73"/>
  <c r="Z23" i="73"/>
  <c r="Y23" i="73"/>
  <c r="X23" i="73"/>
  <c r="W23" i="73"/>
  <c r="V23" i="73"/>
  <c r="U23" i="73"/>
  <c r="T23" i="73"/>
  <c r="S23" i="73"/>
  <c r="R23" i="73"/>
  <c r="Q23" i="73"/>
  <c r="P23" i="73"/>
  <c r="O23" i="73"/>
  <c r="AW22" i="73"/>
  <c r="AV22" i="73"/>
  <c r="AU22" i="73"/>
  <c r="AT22" i="73"/>
  <c r="AS22" i="73"/>
  <c r="AR22" i="73"/>
  <c r="AQ22" i="73"/>
  <c r="AP22" i="73"/>
  <c r="AO22" i="73"/>
  <c r="AN22" i="73"/>
  <c r="AM22" i="73"/>
  <c r="AL22" i="73"/>
  <c r="AK22" i="73"/>
  <c r="AJ22" i="73"/>
  <c r="AI22" i="73"/>
  <c r="AH22" i="73"/>
  <c r="AG22" i="73"/>
  <c r="AF22" i="73"/>
  <c r="AE22" i="73"/>
  <c r="AD22" i="73"/>
  <c r="AC22" i="73"/>
  <c r="AB22" i="73"/>
  <c r="AA22" i="73"/>
  <c r="Z22" i="73"/>
  <c r="Y22" i="73"/>
  <c r="X22" i="73"/>
  <c r="W22" i="73"/>
  <c r="V22" i="73"/>
  <c r="U22" i="73"/>
  <c r="T22" i="73"/>
  <c r="S22" i="73"/>
  <c r="R22" i="73"/>
  <c r="Q22" i="73"/>
  <c r="P22" i="73"/>
  <c r="O22" i="73"/>
  <c r="AW21" i="73"/>
  <c r="AV21" i="73"/>
  <c r="AU21" i="73"/>
  <c r="AT21" i="73"/>
  <c r="AS21" i="73"/>
  <c r="AR21" i="73"/>
  <c r="AQ21" i="73"/>
  <c r="AP21" i="73"/>
  <c r="AO21" i="73"/>
  <c r="AN21" i="73"/>
  <c r="AM21" i="73"/>
  <c r="AL21" i="73"/>
  <c r="AK21" i="73"/>
  <c r="AJ21" i="73"/>
  <c r="AI21" i="73"/>
  <c r="AH21" i="73"/>
  <c r="AG21" i="73"/>
  <c r="AF21" i="73"/>
  <c r="AE21" i="73"/>
  <c r="AD21" i="73"/>
  <c r="AC21" i="73"/>
  <c r="AB21" i="73"/>
  <c r="AA21" i="73"/>
  <c r="Z21" i="73"/>
  <c r="Y21" i="73"/>
  <c r="X21" i="73"/>
  <c r="W21" i="73"/>
  <c r="V21" i="73"/>
  <c r="U21" i="73"/>
  <c r="T21" i="73"/>
  <c r="S21" i="73"/>
  <c r="R21" i="73"/>
  <c r="Q21" i="73"/>
  <c r="P21" i="73"/>
  <c r="O21" i="73"/>
  <c r="AW20" i="73"/>
  <c r="AV20" i="73"/>
  <c r="AU20" i="73"/>
  <c r="AT20" i="73"/>
  <c r="AS20" i="73"/>
  <c r="AR20" i="73"/>
  <c r="AQ20" i="73"/>
  <c r="AP20" i="73"/>
  <c r="AO20" i="73"/>
  <c r="AN20" i="73"/>
  <c r="AM20" i="73"/>
  <c r="AL20" i="73"/>
  <c r="AK20" i="73"/>
  <c r="AJ20" i="73"/>
  <c r="AI20" i="73"/>
  <c r="AH20" i="73"/>
  <c r="AG20" i="73"/>
  <c r="AF20" i="73"/>
  <c r="AE20" i="73"/>
  <c r="AD20" i="73"/>
  <c r="AC20" i="73"/>
  <c r="AB20" i="73"/>
  <c r="AA20" i="73"/>
  <c r="Z20" i="73"/>
  <c r="Y20" i="73"/>
  <c r="X20" i="73"/>
  <c r="W20" i="73"/>
  <c r="V20" i="73"/>
  <c r="U20" i="73"/>
  <c r="T20" i="73"/>
  <c r="S20" i="73"/>
  <c r="R20" i="73"/>
  <c r="Q20" i="73"/>
  <c r="P20" i="73"/>
  <c r="O20" i="73"/>
  <c r="N29" i="73"/>
  <c r="M29" i="73"/>
  <c r="L29" i="73"/>
  <c r="K29" i="73"/>
  <c r="J29" i="73"/>
  <c r="I29" i="73"/>
  <c r="H29" i="73"/>
  <c r="G29" i="73"/>
  <c r="F29" i="73"/>
  <c r="N28" i="73"/>
  <c r="M28" i="73"/>
  <c r="L28" i="73"/>
  <c r="K28" i="73"/>
  <c r="J28" i="73"/>
  <c r="I28" i="73"/>
  <c r="H28" i="73"/>
  <c r="G28" i="73"/>
  <c r="F28" i="73"/>
  <c r="N27" i="73"/>
  <c r="M27" i="73"/>
  <c r="L27" i="73"/>
  <c r="K27" i="73"/>
  <c r="J27" i="73"/>
  <c r="I27" i="73"/>
  <c r="H27" i="73"/>
  <c r="G27" i="73"/>
  <c r="F27" i="73"/>
  <c r="N26" i="73"/>
  <c r="M26" i="73"/>
  <c r="L26" i="73"/>
  <c r="K26" i="73"/>
  <c r="J26" i="73"/>
  <c r="I26" i="73"/>
  <c r="H26" i="73"/>
  <c r="G26" i="73"/>
  <c r="F26" i="73"/>
  <c r="N25" i="73"/>
  <c r="M25" i="73"/>
  <c r="L25" i="73"/>
  <c r="J25" i="73"/>
  <c r="H25" i="73"/>
  <c r="G25" i="73"/>
  <c r="F25" i="73"/>
  <c r="N24" i="73"/>
  <c r="M24" i="73"/>
  <c r="L24" i="73"/>
  <c r="K24" i="73"/>
  <c r="J24" i="73"/>
  <c r="I24" i="73"/>
  <c r="H24" i="73"/>
  <c r="G24" i="73"/>
  <c r="F24" i="73"/>
  <c r="N23" i="73"/>
  <c r="M23" i="73"/>
  <c r="L23" i="73"/>
  <c r="K23" i="73"/>
  <c r="J23" i="73"/>
  <c r="I23" i="73"/>
  <c r="H23" i="73"/>
  <c r="G23" i="73"/>
  <c r="F23" i="73"/>
  <c r="N22" i="73"/>
  <c r="M22" i="73"/>
  <c r="L22" i="73"/>
  <c r="K22" i="73"/>
  <c r="J22" i="73"/>
  <c r="I22" i="73"/>
  <c r="H22" i="73"/>
  <c r="G22" i="73"/>
  <c r="F22" i="73"/>
  <c r="N21" i="73"/>
  <c r="M21" i="73"/>
  <c r="L21" i="73"/>
  <c r="K21" i="73"/>
  <c r="J21" i="73"/>
  <c r="I21" i="73"/>
  <c r="H21" i="73"/>
  <c r="G21" i="73"/>
  <c r="F21" i="73"/>
  <c r="N20" i="73"/>
  <c r="M20" i="73"/>
  <c r="L20" i="73"/>
  <c r="K20" i="73"/>
  <c r="J20" i="73"/>
  <c r="I20" i="73"/>
  <c r="H20" i="73"/>
  <c r="G20" i="73"/>
  <c r="F20" i="73"/>
  <c r="E29" i="73"/>
  <c r="E28" i="73"/>
  <c r="E27" i="73"/>
  <c r="E26" i="73"/>
  <c r="E25" i="73"/>
  <c r="E24" i="73"/>
  <c r="E23" i="73"/>
  <c r="E22" i="73"/>
  <c r="E21" i="73"/>
  <c r="E20" i="73"/>
  <c r="E40" i="9"/>
  <c r="E39" i="9"/>
  <c r="E37" i="9"/>
  <c r="E36" i="9"/>
  <c r="E35" i="9"/>
  <c r="E34" i="9"/>
  <c r="E33" i="9"/>
  <c r="E32" i="9"/>
  <c r="E31" i="9"/>
  <c r="E40" i="8"/>
  <c r="E39" i="8"/>
  <c r="E35" i="8"/>
  <c r="E34" i="8"/>
  <c r="E33" i="8"/>
  <c r="E32" i="8"/>
  <c r="E31" i="8"/>
  <c r="E40" i="25"/>
  <c r="E39" i="25"/>
  <c r="E38" i="25"/>
  <c r="E37" i="25"/>
  <c r="E36" i="25"/>
  <c r="E35" i="25"/>
  <c r="E34" i="25"/>
  <c r="E33" i="25"/>
  <c r="E32" i="25"/>
  <c r="E31" i="25"/>
  <c r="E40" i="24"/>
  <c r="E39" i="24"/>
  <c r="E38" i="24"/>
  <c r="E37" i="24"/>
  <c r="E36" i="24"/>
  <c r="E35" i="24"/>
  <c r="E34" i="24"/>
  <c r="E33" i="24"/>
  <c r="E32" i="24"/>
  <c r="E31" i="24"/>
  <c r="E40" i="23"/>
  <c r="E39" i="23"/>
  <c r="E38" i="23"/>
  <c r="E37" i="23"/>
  <c r="E35" i="23"/>
  <c r="E34" i="23"/>
  <c r="E33" i="23"/>
  <c r="E32" i="23"/>
  <c r="E31" i="23"/>
  <c r="E40" i="22"/>
  <c r="E39" i="22"/>
  <c r="E38" i="22"/>
  <c r="E37" i="22"/>
  <c r="E36" i="22"/>
  <c r="E35" i="22"/>
  <c r="E34" i="22"/>
  <c r="E33" i="22"/>
  <c r="E32" i="22"/>
  <c r="E31" i="22"/>
  <c r="E40" i="21"/>
  <c r="E39" i="21"/>
  <c r="E38" i="21"/>
  <c r="E37" i="21"/>
  <c r="E36" i="21"/>
  <c r="E35" i="21"/>
  <c r="E34" i="21"/>
  <c r="E33" i="21"/>
  <c r="E32" i="21"/>
  <c r="E31" i="21"/>
  <c r="E40" i="20"/>
  <c r="E39" i="20"/>
  <c r="E38" i="20"/>
  <c r="E37" i="20"/>
  <c r="E35" i="20"/>
  <c r="E34" i="20"/>
  <c r="E33" i="20"/>
  <c r="E32" i="20"/>
  <c r="E31" i="20"/>
  <c r="E40" i="19"/>
  <c r="E39" i="19"/>
  <c r="E38" i="19"/>
  <c r="E37" i="19"/>
  <c r="E36" i="19"/>
  <c r="E35" i="19"/>
  <c r="E34" i="19"/>
  <c r="E33" i="19"/>
  <c r="E32" i="19"/>
  <c r="E31" i="19"/>
  <c r="E40" i="18"/>
  <c r="E39" i="18"/>
  <c r="E38" i="18"/>
  <c r="E37" i="18"/>
  <c r="E36" i="18"/>
  <c r="E35" i="18"/>
  <c r="E34" i="18"/>
  <c r="E33" i="18"/>
  <c r="E32" i="18"/>
  <c r="E31" i="18"/>
  <c r="E40" i="17"/>
  <c r="E39" i="17"/>
  <c r="E38" i="17"/>
  <c r="E37" i="17"/>
  <c r="E35" i="17"/>
  <c r="E34" i="17"/>
  <c r="E33" i="17"/>
  <c r="E32" i="17"/>
  <c r="E31" i="17"/>
  <c r="E40" i="16"/>
  <c r="E39" i="16"/>
  <c r="E38" i="16"/>
  <c r="E37" i="16"/>
  <c r="E36" i="16"/>
  <c r="E35" i="16"/>
  <c r="E34" i="16"/>
  <c r="E33" i="16"/>
  <c r="E32" i="16"/>
  <c r="E31" i="16"/>
  <c r="E40" i="15"/>
  <c r="E39" i="15"/>
  <c r="E38" i="15"/>
  <c r="E37" i="15"/>
  <c r="E36" i="15"/>
  <c r="E35" i="15"/>
  <c r="E34" i="15"/>
  <c r="E33" i="15"/>
  <c r="E32" i="15"/>
  <c r="E31" i="15"/>
  <c r="E40" i="14"/>
  <c r="E39" i="14"/>
  <c r="E38" i="14"/>
  <c r="E37" i="14"/>
  <c r="E36" i="14"/>
  <c r="E35" i="14"/>
  <c r="E34" i="14"/>
  <c r="E33" i="14"/>
  <c r="E32" i="14"/>
  <c r="E31" i="14"/>
  <c r="E40" i="37"/>
  <c r="E39" i="37"/>
  <c r="E38" i="37"/>
  <c r="E37" i="37"/>
  <c r="E36" i="37"/>
  <c r="E35" i="37"/>
  <c r="E34" i="37"/>
  <c r="E33" i="37"/>
  <c r="E32" i="37"/>
  <c r="E31" i="37"/>
  <c r="E40" i="36"/>
  <c r="E39" i="36"/>
  <c r="E38" i="36"/>
  <c r="E37" i="36"/>
  <c r="E36" i="36"/>
  <c r="E35" i="36"/>
  <c r="E34" i="36"/>
  <c r="E33" i="36"/>
  <c r="E32" i="36"/>
  <c r="E31" i="36"/>
  <c r="E40" i="35"/>
  <c r="E39" i="35"/>
  <c r="E38" i="35"/>
  <c r="E37" i="35"/>
  <c r="E36" i="35"/>
  <c r="E35" i="35"/>
  <c r="E34" i="35"/>
  <c r="E33" i="35"/>
  <c r="E32" i="35"/>
  <c r="E31" i="35"/>
  <c r="E40" i="34"/>
  <c r="E39" i="34"/>
  <c r="E38" i="34"/>
  <c r="E37" i="34"/>
  <c r="E36" i="34"/>
  <c r="E35" i="34"/>
  <c r="E34" i="34"/>
  <c r="E33" i="34"/>
  <c r="E32" i="34"/>
  <c r="E31" i="34"/>
  <c r="E40" i="33"/>
  <c r="E39" i="33"/>
  <c r="E38" i="33"/>
  <c r="E37" i="33"/>
  <c r="E36" i="33"/>
  <c r="E35" i="33"/>
  <c r="E34" i="33"/>
  <c r="E33" i="33"/>
  <c r="E32" i="33"/>
  <c r="E31" i="33"/>
  <c r="E40" i="32"/>
  <c r="E39" i="32"/>
  <c r="E37" i="32"/>
  <c r="E36" i="32"/>
  <c r="E35" i="32"/>
  <c r="E34" i="32"/>
  <c r="E33" i="32"/>
  <c r="E32" i="32"/>
  <c r="E31" i="32"/>
  <c r="E40" i="31"/>
  <c r="E39" i="31"/>
  <c r="E38" i="31"/>
  <c r="E37" i="31"/>
  <c r="E36" i="31"/>
  <c r="E35" i="31"/>
  <c r="E34" i="31"/>
  <c r="E33" i="31"/>
  <c r="E32" i="31"/>
  <c r="E31" i="31"/>
  <c r="E40" i="28"/>
  <c r="E39" i="28"/>
  <c r="E38" i="28"/>
  <c r="E37" i="28"/>
  <c r="E36" i="28"/>
  <c r="E35" i="28"/>
  <c r="E34" i="28"/>
  <c r="E33" i="28"/>
  <c r="E32" i="28"/>
  <c r="E31" i="28"/>
  <c r="E40" i="26"/>
  <c r="E39" i="26"/>
  <c r="E38" i="26"/>
  <c r="E37" i="26"/>
  <c r="E35" i="26"/>
  <c r="E34" i="26"/>
  <c r="E33" i="26"/>
  <c r="E32" i="26"/>
  <c r="E31" i="26"/>
  <c r="E40" i="47"/>
  <c r="E39" i="47"/>
  <c r="E37" i="47"/>
  <c r="E35" i="47"/>
  <c r="E34" i="47"/>
  <c r="E33" i="47"/>
  <c r="E32" i="47"/>
  <c r="E31" i="47"/>
  <c r="E40" i="45"/>
  <c r="E39" i="45"/>
  <c r="E38" i="45"/>
  <c r="E37" i="45"/>
  <c r="E36" i="45"/>
  <c r="E35" i="45"/>
  <c r="E34" i="45"/>
  <c r="E33" i="45"/>
  <c r="E32" i="45"/>
  <c r="E31" i="45"/>
  <c r="E40" i="44"/>
  <c r="E39" i="44"/>
  <c r="E38" i="44"/>
  <c r="E37" i="44"/>
  <c r="E36" i="44"/>
  <c r="E35" i="44"/>
  <c r="E34" i="44"/>
  <c r="E33" i="44"/>
  <c r="E32" i="44"/>
  <c r="E31" i="44"/>
  <c r="E40" i="42"/>
  <c r="E39" i="42"/>
  <c r="E38" i="42"/>
  <c r="E37" i="42"/>
  <c r="E35" i="42"/>
  <c r="E34" i="42"/>
  <c r="E33" i="42"/>
  <c r="E32" i="42"/>
  <c r="E31" i="42"/>
  <c r="E40" i="41"/>
  <c r="E39" i="41"/>
  <c r="E38" i="41"/>
  <c r="E37" i="41"/>
  <c r="E36" i="41"/>
  <c r="E35" i="41"/>
  <c r="E34" i="41"/>
  <c r="E33" i="41"/>
  <c r="E32" i="41"/>
  <c r="E31" i="41"/>
  <c r="E40" i="40"/>
  <c r="E39" i="40"/>
  <c r="E37" i="40"/>
  <c r="E36" i="40"/>
  <c r="E35" i="40"/>
  <c r="E34" i="40"/>
  <c r="E33" i="40"/>
  <c r="E32" i="40"/>
  <c r="E31" i="40"/>
  <c r="E40" i="61"/>
  <c r="E39" i="61"/>
  <c r="E37" i="61"/>
  <c r="E36" i="61"/>
  <c r="E35" i="61"/>
  <c r="E34" i="61"/>
  <c r="E33" i="61"/>
  <c r="E32" i="61"/>
  <c r="E31" i="61"/>
  <c r="E40" i="60"/>
  <c r="E39" i="60"/>
  <c r="E38" i="60"/>
  <c r="E37" i="60"/>
  <c r="E36" i="60"/>
  <c r="E35" i="60"/>
  <c r="E34" i="60"/>
  <c r="E33" i="60"/>
  <c r="E32" i="60"/>
  <c r="E31" i="60"/>
  <c r="E40" i="71"/>
  <c r="E39" i="71"/>
  <c r="E38" i="71"/>
  <c r="E37" i="71"/>
  <c r="E36" i="71"/>
  <c r="E35" i="71"/>
  <c r="E34" i="71"/>
  <c r="E33" i="71"/>
  <c r="E32" i="71"/>
  <c r="E31" i="71"/>
  <c r="E40" i="59"/>
  <c r="E39" i="59"/>
  <c r="E38" i="59"/>
  <c r="E37" i="59"/>
  <c r="E36" i="59"/>
  <c r="E35" i="59"/>
  <c r="E34" i="59"/>
  <c r="E33" i="59"/>
  <c r="E32" i="59"/>
  <c r="E31" i="59"/>
  <c r="E40" i="58"/>
  <c r="E39" i="58"/>
  <c r="E38" i="58"/>
  <c r="E37" i="58"/>
  <c r="E36" i="58"/>
  <c r="E35" i="58"/>
  <c r="E34" i="58"/>
  <c r="E33" i="58"/>
  <c r="E32" i="58"/>
  <c r="E31" i="58"/>
  <c r="E40" i="57"/>
  <c r="E39" i="57"/>
  <c r="E38" i="57"/>
  <c r="E37" i="57"/>
  <c r="E36" i="57"/>
  <c r="E35" i="57"/>
  <c r="E34" i="57"/>
  <c r="E33" i="57"/>
  <c r="E32" i="57"/>
  <c r="E31" i="57"/>
  <c r="E40" i="56"/>
  <c r="E39" i="56"/>
  <c r="E38" i="56"/>
  <c r="E37" i="56"/>
  <c r="E36" i="56"/>
  <c r="E35" i="56"/>
  <c r="E34" i="56"/>
  <c r="E33" i="56"/>
  <c r="E32" i="56"/>
  <c r="E31" i="56"/>
  <c r="E40" i="54"/>
  <c r="E39" i="54"/>
  <c r="E38" i="54"/>
  <c r="E37" i="54"/>
  <c r="E36" i="54"/>
  <c r="E35" i="54"/>
  <c r="E34" i="54"/>
  <c r="E33" i="54"/>
  <c r="E32" i="54"/>
  <c r="E31" i="54"/>
  <c r="E40" i="53"/>
  <c r="E39" i="53"/>
  <c r="E38" i="53"/>
  <c r="E37" i="53"/>
  <c r="E36" i="53"/>
  <c r="E35" i="53"/>
  <c r="E34" i="53"/>
  <c r="E33" i="53"/>
  <c r="E32" i="53"/>
  <c r="E31" i="53"/>
  <c r="E40" i="52"/>
  <c r="E39" i="52"/>
  <c r="E38" i="52"/>
  <c r="E37" i="52"/>
  <c r="E35" i="52"/>
  <c r="E34" i="52"/>
  <c r="E33" i="52"/>
  <c r="E32" i="52"/>
  <c r="E31" i="52"/>
  <c r="E40" i="51"/>
  <c r="E39" i="51"/>
  <c r="E38" i="51"/>
  <c r="E37" i="51"/>
  <c r="E36" i="51"/>
  <c r="E35" i="51"/>
  <c r="E34" i="51"/>
  <c r="E33" i="51"/>
  <c r="E32" i="51"/>
  <c r="E31" i="51"/>
  <c r="E40" i="70"/>
  <c r="E39" i="70"/>
  <c r="E38" i="70"/>
  <c r="E37" i="70"/>
  <c r="E35" i="70"/>
  <c r="E34" i="70"/>
  <c r="E33" i="70"/>
  <c r="E32" i="70"/>
  <c r="E31" i="70"/>
  <c r="E40" i="69"/>
  <c r="E39" i="69"/>
  <c r="E38" i="69"/>
  <c r="E37" i="69"/>
  <c r="E36" i="69"/>
  <c r="E35" i="69"/>
  <c r="E34" i="69"/>
  <c r="E33" i="69"/>
  <c r="E32" i="69"/>
  <c r="E31" i="69"/>
  <c r="D29" i="73"/>
  <c r="D28" i="73"/>
  <c r="D27" i="73"/>
  <c r="D26" i="73"/>
  <c r="D25" i="73"/>
  <c r="D24" i="73"/>
  <c r="D23" i="73"/>
  <c r="D22" i="73"/>
  <c r="D21" i="73"/>
  <c r="D20" i="73"/>
  <c r="E40" i="68"/>
  <c r="E39" i="68"/>
  <c r="E38" i="68"/>
  <c r="E37" i="68"/>
  <c r="E36" i="68"/>
  <c r="E35" i="68"/>
  <c r="E34" i="68"/>
  <c r="E33" i="68"/>
  <c r="E32" i="68"/>
  <c r="E31" i="68"/>
  <c r="E31" i="66"/>
  <c r="E40" i="66"/>
  <c r="E39" i="66"/>
  <c r="E38" i="66"/>
  <c r="E37" i="66"/>
  <c r="E36" i="66"/>
  <c r="E35" i="66"/>
  <c r="E34" i="66"/>
  <c r="E33" i="66"/>
  <c r="E32" i="66"/>
  <c r="E40" i="65"/>
  <c r="E39" i="65"/>
  <c r="E38" i="65"/>
  <c r="E37" i="65"/>
  <c r="E36" i="65"/>
  <c r="E35" i="65"/>
  <c r="E34" i="65"/>
  <c r="E33" i="65"/>
  <c r="E32" i="65"/>
  <c r="E31" i="65"/>
  <c r="E40" i="63"/>
  <c r="E39" i="63"/>
  <c r="E38" i="63"/>
  <c r="E37" i="63"/>
  <c r="E36" i="63"/>
  <c r="E35" i="63"/>
  <c r="E34" i="63"/>
  <c r="E33" i="63"/>
  <c r="E32" i="63"/>
  <c r="E31" i="63"/>
  <c r="C29" i="73"/>
  <c r="C28" i="73"/>
  <c r="C27" i="73"/>
  <c r="C26" i="73"/>
  <c r="C25" i="73"/>
  <c r="C24" i="73"/>
  <c r="C23" i="73"/>
  <c r="C22" i="73"/>
  <c r="C21" i="73"/>
  <c r="C20" i="73"/>
  <c r="C16" i="73"/>
  <c r="D16" i="73"/>
  <c r="E16" i="73"/>
  <c r="F16" i="73"/>
  <c r="G16" i="73"/>
  <c r="H16" i="73"/>
  <c r="I16" i="73"/>
  <c r="J16" i="73"/>
  <c r="L16" i="73"/>
  <c r="M16" i="73"/>
  <c r="N16" i="73"/>
  <c r="O16" i="73"/>
  <c r="P16" i="73"/>
  <c r="Q16" i="73"/>
  <c r="R16" i="73"/>
  <c r="S16" i="73"/>
  <c r="U16" i="73"/>
  <c r="V16" i="73"/>
  <c r="X16" i="73"/>
  <c r="Y16" i="73"/>
  <c r="Z16" i="73"/>
  <c r="AA16" i="73"/>
  <c r="AB16" i="73"/>
  <c r="AC16" i="73"/>
  <c r="AD16" i="73"/>
  <c r="AE16" i="73"/>
  <c r="AF16" i="73"/>
  <c r="AG16" i="73"/>
  <c r="AH16" i="73"/>
  <c r="AI16" i="73"/>
  <c r="AJ16" i="73"/>
  <c r="AK16" i="73"/>
  <c r="AL16" i="73"/>
  <c r="AM16" i="73"/>
  <c r="AN16" i="73"/>
  <c r="AO16" i="73"/>
  <c r="AQ16" i="73"/>
  <c r="AR16" i="73"/>
  <c r="AS16" i="73"/>
  <c r="AT16" i="73"/>
  <c r="AU16" i="73"/>
  <c r="AV16" i="73"/>
  <c r="AN7" i="73"/>
  <c r="AO7" i="73"/>
  <c r="AP7" i="73"/>
  <c r="AQ7" i="73"/>
  <c r="AR7" i="73"/>
  <c r="AS7" i="73"/>
  <c r="AT7" i="73"/>
  <c r="AU7" i="73"/>
  <c r="AV7" i="73"/>
  <c r="AW7" i="73"/>
  <c r="AN8" i="73"/>
  <c r="AO8" i="73"/>
  <c r="AP8" i="73"/>
  <c r="AQ8" i="73"/>
  <c r="AR8" i="73"/>
  <c r="AS8" i="73"/>
  <c r="AT8" i="73"/>
  <c r="AU8" i="73"/>
  <c r="AV8" i="73"/>
  <c r="AW8" i="73"/>
  <c r="AN9" i="73"/>
  <c r="AO9" i="73"/>
  <c r="AP9" i="73"/>
  <c r="AQ9" i="73"/>
  <c r="AR9" i="73"/>
  <c r="AS9" i="73"/>
  <c r="AT9" i="73"/>
  <c r="AU9" i="73"/>
  <c r="AV9" i="73"/>
  <c r="AW9" i="73"/>
  <c r="AN10" i="73"/>
  <c r="AO10" i="73"/>
  <c r="AP10" i="73"/>
  <c r="AQ10" i="73"/>
  <c r="AR10" i="73"/>
  <c r="AS10" i="73"/>
  <c r="AT10" i="73"/>
  <c r="AU10" i="73"/>
  <c r="AV10" i="73"/>
  <c r="AW10" i="73"/>
  <c r="AN11" i="73"/>
  <c r="AO11" i="73"/>
  <c r="AQ11" i="73"/>
  <c r="AR11" i="73"/>
  <c r="AS11" i="73"/>
  <c r="AT11" i="73"/>
  <c r="AU11" i="73"/>
  <c r="AV11" i="73"/>
  <c r="AW11" i="73"/>
  <c r="AN12" i="73"/>
  <c r="AO12" i="73"/>
  <c r="AP12" i="73"/>
  <c r="AQ12" i="73"/>
  <c r="AR12" i="73"/>
  <c r="AS12" i="73"/>
  <c r="AT12" i="73"/>
  <c r="AU12" i="73"/>
  <c r="AV12" i="73"/>
  <c r="AW12" i="73"/>
  <c r="AN13" i="73"/>
  <c r="AO13" i="73"/>
  <c r="AP13" i="73"/>
  <c r="AQ13" i="73"/>
  <c r="AR13" i="73"/>
  <c r="AS13" i="73"/>
  <c r="AT13" i="73"/>
  <c r="AU13" i="73"/>
  <c r="AV13" i="73"/>
  <c r="AN14" i="73"/>
  <c r="AO14" i="73"/>
  <c r="AP14" i="73"/>
  <c r="AQ14" i="73"/>
  <c r="AR14" i="73"/>
  <c r="AS14" i="73"/>
  <c r="AT14" i="73"/>
  <c r="AU14" i="73"/>
  <c r="AV14" i="73"/>
  <c r="AW14" i="73"/>
  <c r="AN15" i="73"/>
  <c r="AO15" i="73"/>
  <c r="AP15" i="73"/>
  <c r="AQ15" i="73"/>
  <c r="AR15" i="73"/>
  <c r="AS15" i="73"/>
  <c r="AT15" i="73"/>
  <c r="AU15" i="73"/>
  <c r="AV15" i="73"/>
  <c r="AW15" i="73"/>
  <c r="AC7" i="73"/>
  <c r="AD7" i="73"/>
  <c r="AE7" i="73"/>
  <c r="AF7" i="73"/>
  <c r="AG7" i="73"/>
  <c r="AH7" i="73"/>
  <c r="AI7" i="73"/>
  <c r="AJ7" i="73"/>
  <c r="AK7" i="73"/>
  <c r="AL7" i="73"/>
  <c r="AM7" i="73"/>
  <c r="AC8" i="73"/>
  <c r="AD8" i="73"/>
  <c r="AE8" i="73"/>
  <c r="AF8" i="73"/>
  <c r="AG8" i="73"/>
  <c r="AH8" i="73"/>
  <c r="AI8" i="73"/>
  <c r="AJ8" i="73"/>
  <c r="AK8" i="73"/>
  <c r="AL8" i="73"/>
  <c r="AM8" i="73"/>
  <c r="AC9" i="73"/>
  <c r="AD9" i="73"/>
  <c r="AE9" i="73"/>
  <c r="AF9" i="73"/>
  <c r="AG9" i="73"/>
  <c r="AH9" i="73"/>
  <c r="AI9" i="73"/>
  <c r="AJ9" i="73"/>
  <c r="AK9" i="73"/>
  <c r="AL9" i="73"/>
  <c r="AM9" i="73"/>
  <c r="AC10" i="73"/>
  <c r="AD10" i="73"/>
  <c r="AE10" i="73"/>
  <c r="AF10" i="73"/>
  <c r="AG10" i="73"/>
  <c r="AH10" i="73"/>
  <c r="AI10" i="73"/>
  <c r="AJ10" i="73"/>
  <c r="AK10" i="73"/>
  <c r="AL10" i="73"/>
  <c r="AM10" i="73"/>
  <c r="AC11" i="73"/>
  <c r="AD11" i="73"/>
  <c r="AE11" i="73"/>
  <c r="AF11" i="73"/>
  <c r="AG11" i="73"/>
  <c r="AH11" i="73"/>
  <c r="AI11" i="73"/>
  <c r="AJ11" i="73"/>
  <c r="AK11" i="73"/>
  <c r="AL11" i="73"/>
  <c r="AM11" i="73"/>
  <c r="AC12" i="73"/>
  <c r="AD12" i="73"/>
  <c r="AE12" i="73"/>
  <c r="AF12" i="73"/>
  <c r="AG12" i="73"/>
  <c r="AH12" i="73"/>
  <c r="AI12" i="73"/>
  <c r="AJ12" i="73"/>
  <c r="AK12" i="73"/>
  <c r="AL12" i="73"/>
  <c r="AM12" i="73"/>
  <c r="AC13" i="73"/>
  <c r="AD13" i="73"/>
  <c r="AE13" i="73"/>
  <c r="AF13" i="73"/>
  <c r="AG13" i="73"/>
  <c r="AH13" i="73"/>
  <c r="AI13" i="73"/>
  <c r="AJ13" i="73"/>
  <c r="AK13" i="73"/>
  <c r="AL13" i="73"/>
  <c r="AM13" i="73"/>
  <c r="AC14" i="73"/>
  <c r="AD14" i="73"/>
  <c r="AE14" i="73"/>
  <c r="AF14" i="73"/>
  <c r="AG14" i="73"/>
  <c r="AH14" i="73"/>
  <c r="AI14" i="73"/>
  <c r="AJ14" i="73"/>
  <c r="AK14" i="73"/>
  <c r="AL14" i="73"/>
  <c r="AM14" i="73"/>
  <c r="AC15" i="73"/>
  <c r="AD15" i="73"/>
  <c r="AE15" i="73"/>
  <c r="AF15" i="73"/>
  <c r="AG15" i="73"/>
  <c r="AH15" i="73"/>
  <c r="AI15" i="73"/>
  <c r="AJ15" i="73"/>
  <c r="AK15" i="73"/>
  <c r="AL15" i="73"/>
  <c r="AM15" i="73"/>
  <c r="V7" i="73"/>
  <c r="W7" i="73"/>
  <c r="X7" i="73"/>
  <c r="Y7" i="73"/>
  <c r="Z7" i="73"/>
  <c r="AA7" i="73"/>
  <c r="AB7" i="73"/>
  <c r="V8" i="73"/>
  <c r="W8" i="73"/>
  <c r="X8" i="73"/>
  <c r="Y8" i="73"/>
  <c r="Z8" i="73"/>
  <c r="AA8" i="73"/>
  <c r="AB8" i="73"/>
  <c r="V9" i="73"/>
  <c r="W9" i="73"/>
  <c r="X9" i="73"/>
  <c r="Y9" i="73"/>
  <c r="Z9" i="73"/>
  <c r="AA9" i="73"/>
  <c r="AB9" i="73"/>
  <c r="V10" i="73"/>
  <c r="W10" i="73"/>
  <c r="X10" i="73"/>
  <c r="Y10" i="73"/>
  <c r="Z10" i="73"/>
  <c r="AA10" i="73"/>
  <c r="AB10" i="73"/>
  <c r="V11" i="73"/>
  <c r="X11" i="73"/>
  <c r="Y11" i="73"/>
  <c r="Z11" i="73"/>
  <c r="AA11" i="73"/>
  <c r="AB11" i="73"/>
  <c r="V12" i="73"/>
  <c r="W12" i="73"/>
  <c r="X12" i="73"/>
  <c r="Y12" i="73"/>
  <c r="Z12" i="73"/>
  <c r="AA12" i="73"/>
  <c r="AB12" i="73"/>
  <c r="V13" i="73"/>
  <c r="W13" i="73"/>
  <c r="X13" i="73"/>
  <c r="Y13" i="73"/>
  <c r="Z13" i="73"/>
  <c r="AA13" i="73"/>
  <c r="AB13" i="73"/>
  <c r="V14" i="73"/>
  <c r="W14" i="73"/>
  <c r="X14" i="73"/>
  <c r="Y14" i="73"/>
  <c r="Z14" i="73"/>
  <c r="AA14" i="73"/>
  <c r="AB14" i="73"/>
  <c r="V15" i="73"/>
  <c r="W15" i="73"/>
  <c r="X15" i="73"/>
  <c r="Y15" i="73"/>
  <c r="Z15" i="73"/>
  <c r="AA15" i="73"/>
  <c r="AB15" i="73"/>
  <c r="T7" i="73"/>
  <c r="U7" i="73"/>
  <c r="T8" i="73"/>
  <c r="U8" i="73"/>
  <c r="T9" i="73"/>
  <c r="U9" i="73"/>
  <c r="T10" i="73"/>
  <c r="U10" i="73"/>
  <c r="T11" i="73"/>
  <c r="U11" i="73"/>
  <c r="T12" i="73"/>
  <c r="U12" i="73"/>
  <c r="U13" i="73"/>
  <c r="T14" i="73"/>
  <c r="U14" i="73"/>
  <c r="T15" i="73"/>
  <c r="U15" i="73"/>
  <c r="U6" i="73"/>
  <c r="V6" i="73"/>
  <c r="W6" i="73"/>
  <c r="X6" i="73"/>
  <c r="Y6" i="73"/>
  <c r="Z6" i="73"/>
  <c r="AA6" i="73"/>
  <c r="AB6" i="73"/>
  <c r="AC6" i="73"/>
  <c r="AD6" i="73"/>
  <c r="AE6" i="73"/>
  <c r="AF6" i="73"/>
  <c r="AG6" i="73"/>
  <c r="AH6" i="73"/>
  <c r="AI6" i="73"/>
  <c r="AJ6" i="73"/>
  <c r="AK6" i="73"/>
  <c r="AL6" i="73"/>
  <c r="AM6" i="73"/>
  <c r="AN6" i="73"/>
  <c r="AO6" i="73"/>
  <c r="AP6" i="73"/>
  <c r="AQ6" i="73"/>
  <c r="AR6" i="73"/>
  <c r="AS6" i="73"/>
  <c r="AT6" i="73"/>
  <c r="AU6" i="73"/>
  <c r="F7" i="73"/>
  <c r="G7" i="73"/>
  <c r="H7" i="73"/>
  <c r="I7" i="73"/>
  <c r="J7" i="73"/>
  <c r="K7" i="73"/>
  <c r="L7" i="73"/>
  <c r="M7" i="73"/>
  <c r="N7" i="73"/>
  <c r="O7" i="73"/>
  <c r="P7" i="73"/>
  <c r="Q7" i="73"/>
  <c r="R7" i="73"/>
  <c r="S7" i="73"/>
  <c r="F8" i="73"/>
  <c r="G8" i="73"/>
  <c r="H8" i="73"/>
  <c r="I8" i="73"/>
  <c r="J8" i="73"/>
  <c r="K8" i="73"/>
  <c r="L8" i="73"/>
  <c r="M8" i="73"/>
  <c r="N8" i="73"/>
  <c r="O8" i="73"/>
  <c r="P8" i="73"/>
  <c r="Q8" i="73"/>
  <c r="R8" i="73"/>
  <c r="S8" i="73"/>
  <c r="F9" i="73"/>
  <c r="G9" i="73"/>
  <c r="H9" i="73"/>
  <c r="I9" i="73"/>
  <c r="J9" i="73"/>
  <c r="K9" i="73"/>
  <c r="L9" i="73"/>
  <c r="M9" i="73"/>
  <c r="N9" i="73"/>
  <c r="O9" i="73"/>
  <c r="P9" i="73"/>
  <c r="Q9" i="73"/>
  <c r="R9" i="73"/>
  <c r="S9" i="73"/>
  <c r="F10" i="73"/>
  <c r="G10" i="73"/>
  <c r="H10" i="73"/>
  <c r="I10" i="73"/>
  <c r="J10" i="73"/>
  <c r="K10" i="73"/>
  <c r="L10" i="73"/>
  <c r="M10" i="73"/>
  <c r="N10" i="73"/>
  <c r="O10" i="73"/>
  <c r="P10" i="73"/>
  <c r="Q10" i="73"/>
  <c r="R10" i="73"/>
  <c r="S10" i="73"/>
  <c r="F11" i="73"/>
  <c r="G11" i="73"/>
  <c r="H11" i="73"/>
  <c r="I11" i="73"/>
  <c r="J11" i="73"/>
  <c r="L11" i="73"/>
  <c r="M11" i="73"/>
  <c r="N11" i="73"/>
  <c r="O11" i="73"/>
  <c r="P11" i="73"/>
  <c r="Q11" i="73"/>
  <c r="R11" i="73"/>
  <c r="S11" i="73"/>
  <c r="F12" i="73"/>
  <c r="G12" i="73"/>
  <c r="H12" i="73"/>
  <c r="I12" i="73"/>
  <c r="J12" i="73"/>
  <c r="K12" i="73"/>
  <c r="L12" i="73"/>
  <c r="M12" i="73"/>
  <c r="N12" i="73"/>
  <c r="O12" i="73"/>
  <c r="P12" i="73"/>
  <c r="Q12" i="73"/>
  <c r="R12" i="73"/>
  <c r="S12" i="73"/>
  <c r="F13" i="73"/>
  <c r="G13" i="73"/>
  <c r="H13" i="73"/>
  <c r="I13" i="73"/>
  <c r="J13" i="73"/>
  <c r="K13" i="73"/>
  <c r="L13" i="73"/>
  <c r="M13" i="73"/>
  <c r="N13" i="73"/>
  <c r="O13" i="73"/>
  <c r="P13" i="73"/>
  <c r="Q13" i="73"/>
  <c r="R13" i="73"/>
  <c r="S13" i="73"/>
  <c r="F14" i="73"/>
  <c r="G14" i="73"/>
  <c r="H14" i="73"/>
  <c r="I14" i="73"/>
  <c r="J14" i="73"/>
  <c r="K14" i="73"/>
  <c r="L14" i="73"/>
  <c r="M14" i="73"/>
  <c r="N14" i="73"/>
  <c r="O14" i="73"/>
  <c r="P14" i="73"/>
  <c r="Q14" i="73"/>
  <c r="R14" i="73"/>
  <c r="S14" i="73"/>
  <c r="F15" i="73"/>
  <c r="G15" i="73"/>
  <c r="H15" i="73"/>
  <c r="I15" i="73"/>
  <c r="J15" i="73"/>
  <c r="K15" i="73"/>
  <c r="L15" i="73"/>
  <c r="M15" i="73"/>
  <c r="N15" i="73"/>
  <c r="O15" i="73"/>
  <c r="P15" i="73"/>
  <c r="Q15" i="73"/>
  <c r="R15" i="73"/>
  <c r="S15" i="73"/>
  <c r="D7" i="73"/>
  <c r="E7" i="73"/>
  <c r="D8" i="73"/>
  <c r="E8" i="73"/>
  <c r="D9" i="73"/>
  <c r="E9" i="73"/>
  <c r="D10" i="73"/>
  <c r="E10" i="73"/>
  <c r="D11" i="73"/>
  <c r="E11" i="73"/>
  <c r="D12" i="73"/>
  <c r="E12" i="73"/>
  <c r="D13" i="73"/>
  <c r="E13" i="73"/>
  <c r="D14" i="73"/>
  <c r="E14" i="73"/>
  <c r="D15" i="73"/>
  <c r="E15" i="73"/>
  <c r="AW6" i="73"/>
  <c r="AV6" i="73"/>
  <c r="E32" i="62"/>
  <c r="E33" i="62"/>
  <c r="E34" i="62"/>
  <c r="E35" i="62"/>
  <c r="E36" i="62"/>
  <c r="E37" i="62"/>
  <c r="E38" i="62"/>
  <c r="E39" i="62"/>
  <c r="E40" i="62"/>
  <c r="E31" i="62"/>
  <c r="T6" i="73"/>
  <c r="S6" i="73"/>
  <c r="R6" i="73"/>
  <c r="Q6" i="73"/>
  <c r="P6" i="73"/>
  <c r="O6" i="73"/>
  <c r="N6" i="73"/>
  <c r="M6" i="73"/>
  <c r="L6" i="73"/>
  <c r="K6" i="73"/>
  <c r="J6" i="73"/>
  <c r="I6" i="73"/>
  <c r="H6" i="73"/>
  <c r="G6" i="73"/>
  <c r="F6" i="73"/>
  <c r="E6" i="73"/>
  <c r="D6" i="73"/>
  <c r="C7" i="73"/>
  <c r="C8" i="73"/>
  <c r="C9" i="73"/>
  <c r="C10" i="73"/>
  <c r="C11" i="73"/>
  <c r="C12" i="73"/>
  <c r="C13" i="73"/>
  <c r="C14" i="73"/>
  <c r="C15" i="73"/>
  <c r="C6" i="73"/>
  <c r="E27" i="62" l="1"/>
  <c r="D17" i="62"/>
  <c r="C26" i="62"/>
  <c r="C20" i="62"/>
  <c r="C19" i="62"/>
  <c r="C18" i="62"/>
  <c r="C17" i="62"/>
  <c r="U2" i="62"/>
  <c r="D17" i="63"/>
  <c r="C17" i="63"/>
  <c r="E12" i="41"/>
  <c r="C12" i="9" l="1"/>
  <c r="C12" i="8"/>
  <c r="C12" i="25"/>
  <c r="C12" i="24"/>
  <c r="C12" i="23"/>
  <c r="C12" i="22"/>
  <c r="C12" i="21"/>
  <c r="C12" i="20"/>
  <c r="C12" i="19"/>
  <c r="C12" i="18"/>
  <c r="C12" i="17"/>
  <c r="C12" i="16"/>
  <c r="C12" i="15"/>
  <c r="C12" i="14"/>
  <c r="C12" i="37"/>
  <c r="C12" i="36"/>
  <c r="C12" i="35"/>
  <c r="C12" i="34"/>
  <c r="C12" i="33"/>
  <c r="C12" i="32"/>
  <c r="C12" i="31"/>
  <c r="C12" i="28"/>
  <c r="C12" i="26"/>
  <c r="C12" i="47"/>
  <c r="C12" i="45"/>
  <c r="C12" i="44"/>
  <c r="C12" i="41"/>
  <c r="C12" i="40"/>
  <c r="C12" i="61"/>
  <c r="C12" i="60"/>
  <c r="C12" i="71"/>
  <c r="C12" i="59"/>
  <c r="C12" i="58"/>
  <c r="C12" i="57"/>
  <c r="C12" i="56"/>
  <c r="C12" i="54"/>
  <c r="E17" i="54"/>
  <c r="E18" i="54"/>
  <c r="E19" i="54"/>
  <c r="E20" i="54"/>
  <c r="E21" i="54"/>
  <c r="E22" i="54"/>
  <c r="E23" i="54"/>
  <c r="E24" i="54"/>
  <c r="E25" i="54"/>
  <c r="E26" i="54"/>
  <c r="C12" i="53"/>
  <c r="C12" i="52"/>
  <c r="C12" i="51"/>
  <c r="C12" i="70"/>
  <c r="C12" i="69"/>
  <c r="C12" i="68"/>
  <c r="C12" i="66"/>
  <c r="C12" i="65"/>
  <c r="C12" i="63"/>
  <c r="C12" i="62"/>
  <c r="E17" i="62" l="1"/>
  <c r="E17" i="42"/>
  <c r="D17" i="42"/>
  <c r="C17" i="42"/>
  <c r="C18" i="42"/>
  <c r="C19" i="42"/>
  <c r="C20" i="42"/>
  <c r="C21" i="42"/>
  <c r="C22" i="42"/>
  <c r="C23" i="42"/>
  <c r="C24" i="42"/>
  <c r="C25" i="42"/>
  <c r="C26" i="42"/>
  <c r="T12" i="42" l="1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E12" i="42"/>
  <c r="D12" i="42"/>
  <c r="C12" i="42"/>
  <c r="C3" i="72" s="1"/>
  <c r="D26" i="42"/>
  <c r="E17" i="9" l="1"/>
  <c r="E18" i="9"/>
  <c r="E19" i="9"/>
  <c r="E20" i="9"/>
  <c r="E21" i="9"/>
  <c r="E22" i="9"/>
  <c r="E23" i="9"/>
  <c r="E24" i="9"/>
  <c r="E25" i="9"/>
  <c r="E26" i="9"/>
  <c r="E17" i="19"/>
  <c r="E18" i="19"/>
  <c r="E19" i="19"/>
  <c r="E20" i="19"/>
  <c r="E21" i="19"/>
  <c r="E22" i="19"/>
  <c r="E23" i="19"/>
  <c r="E24" i="19"/>
  <c r="E25" i="19"/>
  <c r="E26" i="19"/>
  <c r="D22" i="9"/>
  <c r="C22" i="9"/>
  <c r="D17" i="9"/>
  <c r="C17" i="9"/>
  <c r="D26" i="9"/>
  <c r="C26" i="9"/>
  <c r="D25" i="9"/>
  <c r="C25" i="9"/>
  <c r="D24" i="9"/>
  <c r="C24" i="9"/>
  <c r="D23" i="9"/>
  <c r="C23" i="9"/>
  <c r="D21" i="9"/>
  <c r="C21" i="9"/>
  <c r="D20" i="9"/>
  <c r="C20" i="9"/>
  <c r="D19" i="9"/>
  <c r="C19" i="9"/>
  <c r="D18" i="9"/>
  <c r="C18" i="9"/>
  <c r="D26" i="8"/>
  <c r="C26" i="8"/>
  <c r="E26" i="8" s="1"/>
  <c r="D25" i="8"/>
  <c r="C25" i="8"/>
  <c r="E25" i="8" s="1"/>
  <c r="E24" i="8"/>
  <c r="D24" i="8"/>
  <c r="C24" i="8"/>
  <c r="D23" i="8"/>
  <c r="C23" i="8"/>
  <c r="E23" i="8" s="1"/>
  <c r="D22" i="8"/>
  <c r="C22" i="8"/>
  <c r="E22" i="8" s="1"/>
  <c r="E21" i="8"/>
  <c r="D21" i="8"/>
  <c r="C21" i="8"/>
  <c r="D20" i="8"/>
  <c r="C20" i="8"/>
  <c r="E20" i="8" s="1"/>
  <c r="D19" i="8"/>
  <c r="E19" i="8" s="1"/>
  <c r="C19" i="8"/>
  <c r="D18" i="8"/>
  <c r="C18" i="8"/>
  <c r="E18" i="8" s="1"/>
  <c r="D17" i="8"/>
  <c r="C17" i="8"/>
  <c r="E17" i="8" s="1"/>
  <c r="D26" i="25"/>
  <c r="C26" i="25"/>
  <c r="E26" i="25" s="1"/>
  <c r="D25" i="25"/>
  <c r="C25" i="25"/>
  <c r="E25" i="25" s="1"/>
  <c r="E24" i="25"/>
  <c r="D24" i="25"/>
  <c r="C24" i="25"/>
  <c r="D23" i="25"/>
  <c r="C23" i="25"/>
  <c r="E23" i="25" s="1"/>
  <c r="D22" i="25"/>
  <c r="C22" i="25"/>
  <c r="E22" i="25" s="1"/>
  <c r="E21" i="25"/>
  <c r="D21" i="25"/>
  <c r="C21" i="25"/>
  <c r="D20" i="25"/>
  <c r="C20" i="25"/>
  <c r="E20" i="25" s="1"/>
  <c r="D19" i="25"/>
  <c r="E19" i="25" s="1"/>
  <c r="C19" i="25"/>
  <c r="D18" i="25"/>
  <c r="C18" i="25"/>
  <c r="E18" i="25" s="1"/>
  <c r="D17" i="25"/>
  <c r="C17" i="25"/>
  <c r="E17" i="25" s="1"/>
  <c r="D26" i="24"/>
  <c r="C26" i="24"/>
  <c r="E26" i="24" s="1"/>
  <c r="D25" i="24"/>
  <c r="C25" i="24"/>
  <c r="E25" i="24" s="1"/>
  <c r="D24" i="24"/>
  <c r="E24" i="24" s="1"/>
  <c r="C24" i="24"/>
  <c r="D23" i="24"/>
  <c r="C23" i="24"/>
  <c r="E23" i="24" s="1"/>
  <c r="D22" i="24"/>
  <c r="E22" i="24" s="1"/>
  <c r="C22" i="24"/>
  <c r="E21" i="24"/>
  <c r="D21" i="24"/>
  <c r="C21" i="24"/>
  <c r="D20" i="24"/>
  <c r="C20" i="24"/>
  <c r="E20" i="24" s="1"/>
  <c r="E19" i="24"/>
  <c r="D19" i="24"/>
  <c r="C19" i="24"/>
  <c r="D18" i="24"/>
  <c r="C18" i="24"/>
  <c r="E18" i="24" s="1"/>
  <c r="D17" i="24"/>
  <c r="C17" i="24"/>
  <c r="E17" i="24" s="1"/>
  <c r="D26" i="23"/>
  <c r="C26" i="23"/>
  <c r="E26" i="23" s="1"/>
  <c r="E25" i="23"/>
  <c r="D25" i="23"/>
  <c r="C25" i="23"/>
  <c r="D24" i="23"/>
  <c r="E24" i="23" s="1"/>
  <c r="C24" i="23"/>
  <c r="D23" i="23"/>
  <c r="C23" i="23"/>
  <c r="E23" i="23" s="1"/>
  <c r="D22" i="23"/>
  <c r="E22" i="23" s="1"/>
  <c r="C22" i="23"/>
  <c r="E21" i="23"/>
  <c r="D21" i="23"/>
  <c r="C21" i="23"/>
  <c r="D20" i="23"/>
  <c r="C20" i="23"/>
  <c r="E20" i="23" s="1"/>
  <c r="E19" i="23"/>
  <c r="D19" i="23"/>
  <c r="C19" i="23"/>
  <c r="D18" i="23"/>
  <c r="C18" i="23"/>
  <c r="E18" i="23" s="1"/>
  <c r="D17" i="23"/>
  <c r="C17" i="23"/>
  <c r="E17" i="23" s="1"/>
  <c r="D26" i="22"/>
  <c r="C26" i="22"/>
  <c r="E26" i="22" s="1"/>
  <c r="D25" i="22"/>
  <c r="C25" i="22"/>
  <c r="E25" i="22" s="1"/>
  <c r="D24" i="22"/>
  <c r="E24" i="22" s="1"/>
  <c r="C24" i="22"/>
  <c r="D23" i="22"/>
  <c r="C23" i="22"/>
  <c r="E23" i="22" s="1"/>
  <c r="D22" i="22"/>
  <c r="E22" i="22" s="1"/>
  <c r="C22" i="22"/>
  <c r="E21" i="22"/>
  <c r="D21" i="22"/>
  <c r="C21" i="22"/>
  <c r="D20" i="22"/>
  <c r="C20" i="22"/>
  <c r="E20" i="22" s="1"/>
  <c r="E19" i="22"/>
  <c r="D19" i="22"/>
  <c r="C19" i="22"/>
  <c r="D18" i="22"/>
  <c r="C18" i="22"/>
  <c r="E18" i="22" s="1"/>
  <c r="D17" i="22"/>
  <c r="C17" i="22"/>
  <c r="E17" i="22" s="1"/>
  <c r="D26" i="21"/>
  <c r="C26" i="21"/>
  <c r="E26" i="21" s="1"/>
  <c r="D25" i="21"/>
  <c r="C25" i="21"/>
  <c r="E25" i="21" s="1"/>
  <c r="E24" i="21"/>
  <c r="D24" i="21"/>
  <c r="C24" i="21"/>
  <c r="D23" i="21"/>
  <c r="C23" i="21"/>
  <c r="E23" i="21" s="1"/>
  <c r="D22" i="21"/>
  <c r="C22" i="21"/>
  <c r="E22" i="21" s="1"/>
  <c r="E21" i="21"/>
  <c r="D21" i="21"/>
  <c r="C21" i="21"/>
  <c r="D20" i="21"/>
  <c r="C20" i="21"/>
  <c r="E20" i="21" s="1"/>
  <c r="D19" i="21"/>
  <c r="E19" i="21" s="1"/>
  <c r="C19" i="21"/>
  <c r="D18" i="21"/>
  <c r="C18" i="21"/>
  <c r="E18" i="21" s="1"/>
  <c r="D17" i="21"/>
  <c r="C17" i="21"/>
  <c r="E17" i="21" s="1"/>
  <c r="D26" i="20"/>
  <c r="C26" i="20"/>
  <c r="E26" i="20" s="1"/>
  <c r="D25" i="20"/>
  <c r="C25" i="20"/>
  <c r="E25" i="20" s="1"/>
  <c r="E24" i="20"/>
  <c r="D24" i="20"/>
  <c r="C24" i="20"/>
  <c r="D23" i="20"/>
  <c r="C23" i="20"/>
  <c r="E23" i="20" s="1"/>
  <c r="D22" i="20"/>
  <c r="C22" i="20"/>
  <c r="E21" i="20"/>
  <c r="D21" i="20"/>
  <c r="C21" i="20"/>
  <c r="D20" i="20"/>
  <c r="C20" i="20"/>
  <c r="E20" i="20" s="1"/>
  <c r="D19" i="20"/>
  <c r="E19" i="20" s="1"/>
  <c r="C19" i="20"/>
  <c r="D18" i="20"/>
  <c r="C18" i="20"/>
  <c r="E18" i="20" s="1"/>
  <c r="D17" i="20"/>
  <c r="C17" i="20"/>
  <c r="E17" i="20" s="1"/>
  <c r="D26" i="19"/>
  <c r="C26" i="19"/>
  <c r="D25" i="19"/>
  <c r="C25" i="19"/>
  <c r="D24" i="19"/>
  <c r="C24" i="19"/>
  <c r="D23" i="19"/>
  <c r="C23" i="19"/>
  <c r="D22" i="19"/>
  <c r="C22" i="19"/>
  <c r="D21" i="19"/>
  <c r="C21" i="19"/>
  <c r="D20" i="19"/>
  <c r="C20" i="19"/>
  <c r="D19" i="19"/>
  <c r="C19" i="19"/>
  <c r="D18" i="19"/>
  <c r="C18" i="19"/>
  <c r="D17" i="19"/>
  <c r="C17" i="19"/>
  <c r="D26" i="18"/>
  <c r="C26" i="18"/>
  <c r="E26" i="18" s="1"/>
  <c r="D25" i="18"/>
  <c r="C25" i="18"/>
  <c r="E25" i="18" s="1"/>
  <c r="D24" i="18"/>
  <c r="E24" i="18" s="1"/>
  <c r="C24" i="18"/>
  <c r="D23" i="18"/>
  <c r="C23" i="18"/>
  <c r="E23" i="18" s="1"/>
  <c r="D22" i="18"/>
  <c r="E22" i="18" s="1"/>
  <c r="C22" i="18"/>
  <c r="E21" i="18"/>
  <c r="D21" i="18"/>
  <c r="C21" i="18"/>
  <c r="D20" i="18"/>
  <c r="C20" i="18"/>
  <c r="E20" i="18" s="1"/>
  <c r="E19" i="18"/>
  <c r="D19" i="18"/>
  <c r="C19" i="18"/>
  <c r="D18" i="18"/>
  <c r="C18" i="18"/>
  <c r="E18" i="18" s="1"/>
  <c r="D17" i="18"/>
  <c r="C17" i="18"/>
  <c r="E17" i="18" s="1"/>
  <c r="D26" i="17"/>
  <c r="C26" i="17"/>
  <c r="E26" i="17" s="1"/>
  <c r="D25" i="17"/>
  <c r="C25" i="17"/>
  <c r="E25" i="17" s="1"/>
  <c r="E24" i="17"/>
  <c r="D24" i="17"/>
  <c r="C24" i="17"/>
  <c r="D23" i="17"/>
  <c r="C23" i="17"/>
  <c r="E23" i="17" s="1"/>
  <c r="D22" i="17"/>
  <c r="C22" i="17"/>
  <c r="E22" i="17" s="1"/>
  <c r="E21" i="17"/>
  <c r="D21" i="17"/>
  <c r="C21" i="17"/>
  <c r="D20" i="17"/>
  <c r="C20" i="17"/>
  <c r="E20" i="17" s="1"/>
  <c r="D19" i="17"/>
  <c r="E19" i="17" s="1"/>
  <c r="C19" i="17"/>
  <c r="D18" i="17"/>
  <c r="C18" i="17"/>
  <c r="E18" i="17" s="1"/>
  <c r="D17" i="17"/>
  <c r="C17" i="17"/>
  <c r="E17" i="17" s="1"/>
  <c r="D26" i="16"/>
  <c r="C26" i="16"/>
  <c r="E26" i="16" s="1"/>
  <c r="D25" i="16"/>
  <c r="C25" i="16"/>
  <c r="E25" i="16" s="1"/>
  <c r="E24" i="16"/>
  <c r="D24" i="16"/>
  <c r="C24" i="16"/>
  <c r="D23" i="16"/>
  <c r="C23" i="16"/>
  <c r="E23" i="16" s="1"/>
  <c r="D22" i="16"/>
  <c r="C22" i="16"/>
  <c r="E22" i="16" s="1"/>
  <c r="E21" i="16"/>
  <c r="D21" i="16"/>
  <c r="C21" i="16"/>
  <c r="D20" i="16"/>
  <c r="C20" i="16"/>
  <c r="E20" i="16" s="1"/>
  <c r="D19" i="16"/>
  <c r="E19" i="16" s="1"/>
  <c r="C19" i="16"/>
  <c r="D18" i="16"/>
  <c r="C18" i="16"/>
  <c r="E18" i="16" s="1"/>
  <c r="D17" i="16"/>
  <c r="C17" i="16"/>
  <c r="E17" i="16" s="1"/>
  <c r="D26" i="15"/>
  <c r="C26" i="15"/>
  <c r="E26" i="15" s="1"/>
  <c r="D25" i="15"/>
  <c r="C25" i="15"/>
  <c r="E25" i="15" s="1"/>
  <c r="D24" i="15"/>
  <c r="E24" i="15" s="1"/>
  <c r="C24" i="15"/>
  <c r="D23" i="15"/>
  <c r="C23" i="15"/>
  <c r="E23" i="15" s="1"/>
  <c r="D22" i="15"/>
  <c r="E22" i="15" s="1"/>
  <c r="C22" i="15"/>
  <c r="E21" i="15"/>
  <c r="D21" i="15"/>
  <c r="C21" i="15"/>
  <c r="D20" i="15"/>
  <c r="C20" i="15"/>
  <c r="E20" i="15" s="1"/>
  <c r="E19" i="15"/>
  <c r="D19" i="15"/>
  <c r="C19" i="15"/>
  <c r="D18" i="15"/>
  <c r="C18" i="15"/>
  <c r="E18" i="15" s="1"/>
  <c r="D17" i="15"/>
  <c r="C17" i="15"/>
  <c r="E17" i="15" s="1"/>
  <c r="D26" i="14"/>
  <c r="C26" i="14"/>
  <c r="E26" i="14" s="1"/>
  <c r="D25" i="14"/>
  <c r="C25" i="14"/>
  <c r="E25" i="14" s="1"/>
  <c r="E24" i="14"/>
  <c r="D24" i="14"/>
  <c r="C24" i="14"/>
  <c r="D23" i="14"/>
  <c r="C23" i="14"/>
  <c r="E23" i="14" s="1"/>
  <c r="D22" i="14"/>
  <c r="C22" i="14"/>
  <c r="E22" i="14" s="1"/>
  <c r="E21" i="14"/>
  <c r="D21" i="14"/>
  <c r="C21" i="14"/>
  <c r="D20" i="14"/>
  <c r="C20" i="14"/>
  <c r="E20" i="14" s="1"/>
  <c r="D19" i="14"/>
  <c r="E19" i="14" s="1"/>
  <c r="C19" i="14"/>
  <c r="D18" i="14"/>
  <c r="C18" i="14"/>
  <c r="E18" i="14" s="1"/>
  <c r="D17" i="14"/>
  <c r="C17" i="14"/>
  <c r="E17" i="14" s="1"/>
  <c r="D26" i="37"/>
  <c r="C26" i="37"/>
  <c r="E26" i="37" s="1"/>
  <c r="D25" i="37"/>
  <c r="C25" i="37"/>
  <c r="E25" i="37" s="1"/>
  <c r="D24" i="37"/>
  <c r="E24" i="37" s="1"/>
  <c r="C24" i="37"/>
  <c r="D23" i="37"/>
  <c r="C23" i="37"/>
  <c r="E23" i="37" s="1"/>
  <c r="D22" i="37"/>
  <c r="E22" i="37" s="1"/>
  <c r="C22" i="37"/>
  <c r="E21" i="37"/>
  <c r="D21" i="37"/>
  <c r="C21" i="37"/>
  <c r="D20" i="37"/>
  <c r="C20" i="37"/>
  <c r="E20" i="37" s="1"/>
  <c r="D19" i="37"/>
  <c r="C19" i="37"/>
  <c r="E19" i="37" s="1"/>
  <c r="D18" i="37"/>
  <c r="C18" i="37"/>
  <c r="E18" i="37" s="1"/>
  <c r="D17" i="37"/>
  <c r="C17" i="37"/>
  <c r="E17" i="37" s="1"/>
  <c r="D26" i="36"/>
  <c r="C26" i="36"/>
  <c r="E26" i="36" s="1"/>
  <c r="D25" i="36"/>
  <c r="C25" i="36"/>
  <c r="E25" i="36" s="1"/>
  <c r="E24" i="36"/>
  <c r="D24" i="36"/>
  <c r="C24" i="36"/>
  <c r="D23" i="36"/>
  <c r="C23" i="36"/>
  <c r="E23" i="36" s="1"/>
  <c r="D22" i="36"/>
  <c r="C22" i="36"/>
  <c r="E22" i="36" s="1"/>
  <c r="E21" i="36"/>
  <c r="D21" i="36"/>
  <c r="C21" i="36"/>
  <c r="D20" i="36"/>
  <c r="C20" i="36"/>
  <c r="E20" i="36" s="1"/>
  <c r="D19" i="36"/>
  <c r="E19" i="36" s="1"/>
  <c r="C19" i="36"/>
  <c r="D18" i="36"/>
  <c r="C18" i="36"/>
  <c r="E18" i="36" s="1"/>
  <c r="D17" i="36"/>
  <c r="C17" i="36"/>
  <c r="E17" i="36" s="1"/>
  <c r="D26" i="35"/>
  <c r="C26" i="35"/>
  <c r="E26" i="35" s="1"/>
  <c r="D25" i="35"/>
  <c r="C25" i="35"/>
  <c r="E25" i="35" s="1"/>
  <c r="E24" i="35"/>
  <c r="D24" i="35"/>
  <c r="C24" i="35"/>
  <c r="D23" i="35"/>
  <c r="C23" i="35"/>
  <c r="E23" i="35" s="1"/>
  <c r="D22" i="35"/>
  <c r="C22" i="35"/>
  <c r="E22" i="35" s="1"/>
  <c r="E21" i="35"/>
  <c r="D21" i="35"/>
  <c r="C21" i="35"/>
  <c r="D20" i="35"/>
  <c r="C20" i="35"/>
  <c r="E20" i="35" s="1"/>
  <c r="D19" i="35"/>
  <c r="E19" i="35" s="1"/>
  <c r="C19" i="35"/>
  <c r="D18" i="35"/>
  <c r="C18" i="35"/>
  <c r="E18" i="35" s="1"/>
  <c r="D17" i="35"/>
  <c r="C17" i="35"/>
  <c r="E17" i="35" s="1"/>
  <c r="D26" i="34"/>
  <c r="C26" i="34"/>
  <c r="D25" i="34"/>
  <c r="C25" i="34"/>
  <c r="E25" i="34" s="1"/>
  <c r="D24" i="34"/>
  <c r="E24" i="34" s="1"/>
  <c r="C24" i="34"/>
  <c r="D23" i="34"/>
  <c r="C23" i="34"/>
  <c r="E23" i="34" s="1"/>
  <c r="D22" i="34"/>
  <c r="E22" i="34" s="1"/>
  <c r="C22" i="34"/>
  <c r="E21" i="34"/>
  <c r="D21" i="34"/>
  <c r="C21" i="34"/>
  <c r="D20" i="34"/>
  <c r="C20" i="34"/>
  <c r="E20" i="34" s="1"/>
  <c r="E19" i="34"/>
  <c r="D19" i="34"/>
  <c r="C19" i="34"/>
  <c r="D18" i="34"/>
  <c r="C18" i="34"/>
  <c r="E18" i="34" s="1"/>
  <c r="E17" i="34"/>
  <c r="D17" i="34"/>
  <c r="C17" i="34"/>
  <c r="D26" i="33"/>
  <c r="C26" i="33"/>
  <c r="E26" i="33" s="1"/>
  <c r="E25" i="33"/>
  <c r="D25" i="33"/>
  <c r="C25" i="33"/>
  <c r="D24" i="33"/>
  <c r="E24" i="33" s="1"/>
  <c r="C24" i="33"/>
  <c r="D23" i="33"/>
  <c r="C23" i="33"/>
  <c r="E23" i="33" s="1"/>
  <c r="D22" i="33"/>
  <c r="E22" i="33" s="1"/>
  <c r="C22" i="33"/>
  <c r="E21" i="33"/>
  <c r="D21" i="33"/>
  <c r="C21" i="33"/>
  <c r="D20" i="33"/>
  <c r="C20" i="33"/>
  <c r="E20" i="33" s="1"/>
  <c r="E19" i="33"/>
  <c r="D19" i="33"/>
  <c r="C19" i="33"/>
  <c r="D18" i="33"/>
  <c r="C18" i="33"/>
  <c r="E18" i="33" s="1"/>
  <c r="D17" i="33"/>
  <c r="C17" i="33"/>
  <c r="E17" i="33" s="1"/>
  <c r="D26" i="32"/>
  <c r="C26" i="32"/>
  <c r="E26" i="32" s="1"/>
  <c r="E25" i="32"/>
  <c r="D25" i="32"/>
  <c r="C25" i="32"/>
  <c r="E24" i="32"/>
  <c r="D24" i="32"/>
  <c r="C24" i="32"/>
  <c r="D23" i="32"/>
  <c r="C23" i="32"/>
  <c r="E23" i="32" s="1"/>
  <c r="D22" i="32"/>
  <c r="C22" i="32"/>
  <c r="E22" i="32" s="1"/>
  <c r="E21" i="32"/>
  <c r="D21" i="32"/>
  <c r="C21" i="32"/>
  <c r="D20" i="32"/>
  <c r="C20" i="32"/>
  <c r="E20" i="32" s="1"/>
  <c r="D19" i="32"/>
  <c r="E19" i="32" s="1"/>
  <c r="C19" i="32"/>
  <c r="D18" i="32"/>
  <c r="C18" i="32"/>
  <c r="E18" i="32" s="1"/>
  <c r="D17" i="32"/>
  <c r="C17" i="32"/>
  <c r="E17" i="32" s="1"/>
  <c r="E26" i="31"/>
  <c r="D26" i="31"/>
  <c r="C26" i="31"/>
  <c r="D25" i="31"/>
  <c r="E25" i="31" s="1"/>
  <c r="C25" i="31"/>
  <c r="E24" i="31"/>
  <c r="D24" i="31"/>
  <c r="C24" i="31"/>
  <c r="D23" i="31"/>
  <c r="C23" i="31"/>
  <c r="E23" i="31" s="1"/>
  <c r="D22" i="31"/>
  <c r="C22" i="31"/>
  <c r="E22" i="31" s="1"/>
  <c r="D21" i="31"/>
  <c r="E21" i="31" s="1"/>
  <c r="C21" i="31"/>
  <c r="D20" i="31"/>
  <c r="C20" i="31"/>
  <c r="E20" i="31" s="1"/>
  <c r="D19" i="31"/>
  <c r="C19" i="31"/>
  <c r="E19" i="31" s="1"/>
  <c r="E18" i="31"/>
  <c r="D18" i="31"/>
  <c r="C18" i="31"/>
  <c r="D17" i="31"/>
  <c r="E17" i="31" s="1"/>
  <c r="C17" i="31"/>
  <c r="D17" i="28"/>
  <c r="C17" i="28"/>
  <c r="D26" i="28"/>
  <c r="C26" i="28"/>
  <c r="E26" i="28" s="1"/>
  <c r="D25" i="28"/>
  <c r="C25" i="28"/>
  <c r="E25" i="28" s="1"/>
  <c r="D24" i="28"/>
  <c r="E24" i="28" s="1"/>
  <c r="C24" i="28"/>
  <c r="D23" i="28"/>
  <c r="C23" i="28"/>
  <c r="E23" i="28" s="1"/>
  <c r="D22" i="28"/>
  <c r="E22" i="28" s="1"/>
  <c r="C22" i="28"/>
  <c r="E21" i="28"/>
  <c r="D21" i="28"/>
  <c r="C21" i="28"/>
  <c r="D20" i="28"/>
  <c r="C20" i="28"/>
  <c r="E20" i="28" s="1"/>
  <c r="E19" i="28"/>
  <c r="D19" i="28"/>
  <c r="C19" i="28"/>
  <c r="D18" i="28"/>
  <c r="C18" i="28"/>
  <c r="E18" i="28" s="1"/>
  <c r="E17" i="28"/>
  <c r="D26" i="26"/>
  <c r="C26" i="26"/>
  <c r="E26" i="26" s="1"/>
  <c r="E25" i="26"/>
  <c r="D25" i="26"/>
  <c r="C25" i="26"/>
  <c r="D24" i="26"/>
  <c r="E24" i="26" s="1"/>
  <c r="C24" i="26"/>
  <c r="D23" i="26"/>
  <c r="C23" i="26"/>
  <c r="E23" i="26" s="1"/>
  <c r="D22" i="26"/>
  <c r="C22" i="26"/>
  <c r="E22" i="26" s="1"/>
  <c r="E21" i="26"/>
  <c r="D21" i="26"/>
  <c r="C21" i="26"/>
  <c r="D20" i="26"/>
  <c r="C20" i="26"/>
  <c r="E20" i="26" s="1"/>
  <c r="D19" i="26"/>
  <c r="C19" i="26"/>
  <c r="E19" i="26" s="1"/>
  <c r="D18" i="26"/>
  <c r="C18" i="26"/>
  <c r="E18" i="26" s="1"/>
  <c r="D17" i="26"/>
  <c r="C17" i="26"/>
  <c r="E17" i="26" s="1"/>
  <c r="D26" i="47"/>
  <c r="C26" i="47"/>
  <c r="E26" i="47" s="1"/>
  <c r="D25" i="47"/>
  <c r="C25" i="47"/>
  <c r="E25" i="47" s="1"/>
  <c r="E24" i="47"/>
  <c r="D24" i="47"/>
  <c r="C24" i="47"/>
  <c r="D23" i="47"/>
  <c r="C23" i="47"/>
  <c r="E23" i="47" s="1"/>
  <c r="D22" i="47"/>
  <c r="C22" i="47"/>
  <c r="E22" i="47" s="1"/>
  <c r="E21" i="47"/>
  <c r="D21" i="47"/>
  <c r="C21" i="47"/>
  <c r="D20" i="47"/>
  <c r="C20" i="47"/>
  <c r="E20" i="47" s="1"/>
  <c r="D19" i="47"/>
  <c r="E19" i="47" s="1"/>
  <c r="C19" i="47"/>
  <c r="D18" i="47"/>
  <c r="C18" i="47"/>
  <c r="E18" i="47" s="1"/>
  <c r="D17" i="47"/>
  <c r="C17" i="47"/>
  <c r="E17" i="47" s="1"/>
  <c r="D26" i="45"/>
  <c r="C26" i="45"/>
  <c r="E26" i="45" s="1"/>
  <c r="D25" i="45"/>
  <c r="C25" i="45"/>
  <c r="E25" i="45" s="1"/>
  <c r="E24" i="45"/>
  <c r="D24" i="45"/>
  <c r="C24" i="45"/>
  <c r="D23" i="45"/>
  <c r="C23" i="45"/>
  <c r="E23" i="45" s="1"/>
  <c r="D22" i="45"/>
  <c r="C22" i="45"/>
  <c r="E22" i="45" s="1"/>
  <c r="E21" i="45"/>
  <c r="D21" i="45"/>
  <c r="C21" i="45"/>
  <c r="D20" i="45"/>
  <c r="C20" i="45"/>
  <c r="E20" i="45" s="1"/>
  <c r="D19" i="45"/>
  <c r="E19" i="45" s="1"/>
  <c r="C19" i="45"/>
  <c r="D18" i="45"/>
  <c r="C18" i="45"/>
  <c r="E18" i="45" s="1"/>
  <c r="D17" i="45"/>
  <c r="C17" i="45"/>
  <c r="E17" i="45" s="1"/>
  <c r="D26" i="44"/>
  <c r="C26" i="44"/>
  <c r="E26" i="44" s="1"/>
  <c r="D25" i="44"/>
  <c r="C25" i="44"/>
  <c r="E25" i="44" s="1"/>
  <c r="E24" i="44"/>
  <c r="D24" i="44"/>
  <c r="C24" i="44"/>
  <c r="D23" i="44"/>
  <c r="C23" i="44"/>
  <c r="E23" i="44" s="1"/>
  <c r="D22" i="44"/>
  <c r="C22" i="44"/>
  <c r="E22" i="44" s="1"/>
  <c r="D21" i="44"/>
  <c r="C21" i="44"/>
  <c r="E21" i="44" s="1"/>
  <c r="D20" i="44"/>
  <c r="C20" i="44"/>
  <c r="E20" i="44" s="1"/>
  <c r="D19" i="44"/>
  <c r="E19" i="44" s="1"/>
  <c r="C19" i="44"/>
  <c r="D18" i="44"/>
  <c r="C18" i="44"/>
  <c r="E18" i="44" s="1"/>
  <c r="D17" i="44"/>
  <c r="C17" i="44"/>
  <c r="E17" i="44" s="1"/>
  <c r="E26" i="42"/>
  <c r="D25" i="42"/>
  <c r="E25" i="42"/>
  <c r="D24" i="42"/>
  <c r="E24" i="42" s="1"/>
  <c r="D23" i="42"/>
  <c r="D22" i="42"/>
  <c r="D21" i="42"/>
  <c r="E21" i="42" s="1"/>
  <c r="D20" i="42"/>
  <c r="D19" i="42"/>
  <c r="E19" i="42" s="1"/>
  <c r="D18" i="42"/>
  <c r="D26" i="41"/>
  <c r="C26" i="41"/>
  <c r="E25" i="41"/>
  <c r="D25" i="41"/>
  <c r="C25" i="41"/>
  <c r="D24" i="41"/>
  <c r="E24" i="41" s="1"/>
  <c r="C24" i="41"/>
  <c r="D23" i="41"/>
  <c r="C23" i="41"/>
  <c r="E23" i="41" s="1"/>
  <c r="D22" i="41"/>
  <c r="C22" i="41"/>
  <c r="E22" i="41" s="1"/>
  <c r="E21" i="41"/>
  <c r="D21" i="41"/>
  <c r="C21" i="41"/>
  <c r="D20" i="41"/>
  <c r="C20" i="41"/>
  <c r="E20" i="41" s="1"/>
  <c r="D19" i="41"/>
  <c r="C19" i="41"/>
  <c r="E19" i="41" s="1"/>
  <c r="D18" i="41"/>
  <c r="C18" i="41"/>
  <c r="E18" i="41" s="1"/>
  <c r="D17" i="41"/>
  <c r="E17" i="41" s="1"/>
  <c r="C17" i="41"/>
  <c r="D26" i="40"/>
  <c r="C26" i="40"/>
  <c r="E26" i="40" s="1"/>
  <c r="D25" i="40"/>
  <c r="C25" i="40"/>
  <c r="E25" i="40" s="1"/>
  <c r="E24" i="40"/>
  <c r="D24" i="40"/>
  <c r="C24" i="40"/>
  <c r="D23" i="40"/>
  <c r="C23" i="40"/>
  <c r="E23" i="40" s="1"/>
  <c r="D22" i="40"/>
  <c r="C22" i="40"/>
  <c r="E22" i="40" s="1"/>
  <c r="E21" i="40"/>
  <c r="D21" i="40"/>
  <c r="C21" i="40"/>
  <c r="D20" i="40"/>
  <c r="C20" i="40"/>
  <c r="E20" i="40" s="1"/>
  <c r="D19" i="40"/>
  <c r="E19" i="40" s="1"/>
  <c r="C19" i="40"/>
  <c r="D18" i="40"/>
  <c r="C18" i="40"/>
  <c r="E18" i="40" s="1"/>
  <c r="D17" i="40"/>
  <c r="C17" i="40"/>
  <c r="E17" i="40" s="1"/>
  <c r="D26" i="61"/>
  <c r="C26" i="61"/>
  <c r="E26" i="61" s="1"/>
  <c r="D25" i="61"/>
  <c r="C25" i="61"/>
  <c r="E25" i="61" s="1"/>
  <c r="D24" i="61"/>
  <c r="E24" i="61" s="1"/>
  <c r="C24" i="61"/>
  <c r="D23" i="61"/>
  <c r="C23" i="61"/>
  <c r="E23" i="61" s="1"/>
  <c r="D22" i="61"/>
  <c r="C22" i="61"/>
  <c r="E22" i="61" s="1"/>
  <c r="E21" i="61"/>
  <c r="D21" i="61"/>
  <c r="C21" i="61"/>
  <c r="D20" i="61"/>
  <c r="C20" i="61"/>
  <c r="E20" i="61" s="1"/>
  <c r="D19" i="61"/>
  <c r="E19" i="61" s="1"/>
  <c r="C19" i="61"/>
  <c r="D18" i="61"/>
  <c r="C18" i="61"/>
  <c r="E18" i="61" s="1"/>
  <c r="D17" i="61"/>
  <c r="C17" i="61"/>
  <c r="E17" i="61" s="1"/>
  <c r="D26" i="60"/>
  <c r="C26" i="60"/>
  <c r="E26" i="60" s="1"/>
  <c r="D25" i="60"/>
  <c r="C25" i="60"/>
  <c r="E25" i="60" s="1"/>
  <c r="D24" i="60"/>
  <c r="E24" i="60" s="1"/>
  <c r="C24" i="60"/>
  <c r="D23" i="60"/>
  <c r="C23" i="60"/>
  <c r="E23" i="60" s="1"/>
  <c r="D22" i="60"/>
  <c r="E22" i="60" s="1"/>
  <c r="C22" i="60"/>
  <c r="E21" i="60"/>
  <c r="D21" i="60"/>
  <c r="C21" i="60"/>
  <c r="D20" i="60"/>
  <c r="C20" i="60"/>
  <c r="E20" i="60" s="1"/>
  <c r="E19" i="60"/>
  <c r="D19" i="60"/>
  <c r="C19" i="60"/>
  <c r="D18" i="60"/>
  <c r="C18" i="60"/>
  <c r="E18" i="60" s="1"/>
  <c r="D17" i="60"/>
  <c r="C17" i="60"/>
  <c r="E17" i="60" s="1"/>
  <c r="D26" i="71"/>
  <c r="C26" i="71"/>
  <c r="E26" i="71" s="1"/>
  <c r="D25" i="71"/>
  <c r="C25" i="71"/>
  <c r="E25" i="71" s="1"/>
  <c r="E24" i="71"/>
  <c r="D24" i="71"/>
  <c r="C24" i="71"/>
  <c r="D23" i="71"/>
  <c r="C23" i="71"/>
  <c r="E23" i="71" s="1"/>
  <c r="D22" i="71"/>
  <c r="C22" i="71"/>
  <c r="E22" i="71" s="1"/>
  <c r="E21" i="71"/>
  <c r="D21" i="71"/>
  <c r="C21" i="71"/>
  <c r="D20" i="71"/>
  <c r="C20" i="71"/>
  <c r="E20" i="71" s="1"/>
  <c r="E19" i="71"/>
  <c r="D19" i="71"/>
  <c r="C19" i="71"/>
  <c r="D18" i="71"/>
  <c r="C18" i="71"/>
  <c r="E18" i="71" s="1"/>
  <c r="D17" i="71"/>
  <c r="C17" i="71"/>
  <c r="E17" i="71" s="1"/>
  <c r="D26" i="59"/>
  <c r="C26" i="59"/>
  <c r="D17" i="59"/>
  <c r="C17" i="59"/>
  <c r="E26" i="59"/>
  <c r="D25" i="59"/>
  <c r="C25" i="59"/>
  <c r="E25" i="59" s="1"/>
  <c r="E24" i="59"/>
  <c r="D24" i="59"/>
  <c r="C24" i="59"/>
  <c r="D23" i="59"/>
  <c r="C23" i="59"/>
  <c r="E23" i="59" s="1"/>
  <c r="D22" i="59"/>
  <c r="C22" i="59"/>
  <c r="E22" i="59" s="1"/>
  <c r="E21" i="59"/>
  <c r="D21" i="59"/>
  <c r="C21" i="59"/>
  <c r="D20" i="59"/>
  <c r="C20" i="59"/>
  <c r="E20" i="59" s="1"/>
  <c r="D19" i="59"/>
  <c r="E19" i="59" s="1"/>
  <c r="C19" i="59"/>
  <c r="D18" i="59"/>
  <c r="C18" i="59"/>
  <c r="E18" i="59" s="1"/>
  <c r="E17" i="59"/>
  <c r="D26" i="58"/>
  <c r="C26" i="58"/>
  <c r="E26" i="58" s="1"/>
  <c r="D25" i="58"/>
  <c r="C25" i="58"/>
  <c r="E25" i="58" s="1"/>
  <c r="E24" i="58"/>
  <c r="D24" i="58"/>
  <c r="C24" i="58"/>
  <c r="D23" i="58"/>
  <c r="C23" i="58"/>
  <c r="E23" i="58" s="1"/>
  <c r="D22" i="58"/>
  <c r="C22" i="58"/>
  <c r="E22" i="58" s="1"/>
  <c r="E21" i="58"/>
  <c r="D21" i="58"/>
  <c r="C21" i="58"/>
  <c r="D20" i="58"/>
  <c r="C20" i="58"/>
  <c r="E20" i="58" s="1"/>
  <c r="D19" i="58"/>
  <c r="E19" i="58" s="1"/>
  <c r="C19" i="58"/>
  <c r="D18" i="58"/>
  <c r="C18" i="58"/>
  <c r="E18" i="58" s="1"/>
  <c r="D17" i="58"/>
  <c r="C17" i="58"/>
  <c r="E17" i="58" s="1"/>
  <c r="D26" i="57"/>
  <c r="C26" i="57"/>
  <c r="E26" i="57" s="1"/>
  <c r="D25" i="57"/>
  <c r="C25" i="57"/>
  <c r="E25" i="57" s="1"/>
  <c r="D24" i="57"/>
  <c r="E24" i="57" s="1"/>
  <c r="C24" i="57"/>
  <c r="D23" i="57"/>
  <c r="C23" i="57"/>
  <c r="E23" i="57" s="1"/>
  <c r="D22" i="57"/>
  <c r="E22" i="57" s="1"/>
  <c r="C22" i="57"/>
  <c r="E21" i="57"/>
  <c r="D21" i="57"/>
  <c r="C21" i="57"/>
  <c r="D20" i="57"/>
  <c r="C20" i="57"/>
  <c r="E20" i="57" s="1"/>
  <c r="E19" i="57"/>
  <c r="D19" i="57"/>
  <c r="C19" i="57"/>
  <c r="D18" i="57"/>
  <c r="C18" i="57"/>
  <c r="E18" i="57" s="1"/>
  <c r="D17" i="57"/>
  <c r="C17" i="57"/>
  <c r="E17" i="57" s="1"/>
  <c r="D26" i="56"/>
  <c r="C26" i="56"/>
  <c r="E26" i="56" s="1"/>
  <c r="D25" i="56"/>
  <c r="C25" i="56"/>
  <c r="E25" i="56" s="1"/>
  <c r="D24" i="56"/>
  <c r="E24" i="56" s="1"/>
  <c r="C24" i="56"/>
  <c r="D23" i="56"/>
  <c r="C23" i="56"/>
  <c r="E23" i="56" s="1"/>
  <c r="D22" i="56"/>
  <c r="E22" i="56" s="1"/>
  <c r="C22" i="56"/>
  <c r="E21" i="56"/>
  <c r="D21" i="56"/>
  <c r="C21" i="56"/>
  <c r="D20" i="56"/>
  <c r="C20" i="56"/>
  <c r="E20" i="56" s="1"/>
  <c r="E19" i="56"/>
  <c r="D19" i="56"/>
  <c r="C19" i="56"/>
  <c r="D18" i="56"/>
  <c r="C18" i="56"/>
  <c r="E18" i="56" s="1"/>
  <c r="D17" i="56"/>
  <c r="C17" i="56"/>
  <c r="E17" i="56" s="1"/>
  <c r="D26" i="54"/>
  <c r="C26" i="54"/>
  <c r="D25" i="54"/>
  <c r="C25" i="54"/>
  <c r="D24" i="54"/>
  <c r="C24" i="54"/>
  <c r="D23" i="54"/>
  <c r="C23" i="54"/>
  <c r="D22" i="54"/>
  <c r="C22" i="54"/>
  <c r="D21" i="54"/>
  <c r="C21" i="54"/>
  <c r="D20" i="54"/>
  <c r="C20" i="54"/>
  <c r="D19" i="54"/>
  <c r="C19" i="54"/>
  <c r="D18" i="54"/>
  <c r="C18" i="54"/>
  <c r="D17" i="54"/>
  <c r="C17" i="54"/>
  <c r="D26" i="53"/>
  <c r="C26" i="53"/>
  <c r="E26" i="53" s="1"/>
  <c r="D25" i="53"/>
  <c r="C25" i="53"/>
  <c r="E25" i="53" s="1"/>
  <c r="E24" i="53"/>
  <c r="D24" i="53"/>
  <c r="C24" i="53"/>
  <c r="D23" i="53"/>
  <c r="C23" i="53"/>
  <c r="E23" i="53" s="1"/>
  <c r="D22" i="53"/>
  <c r="C22" i="53"/>
  <c r="E22" i="53" s="1"/>
  <c r="E21" i="53"/>
  <c r="D21" i="53"/>
  <c r="C21" i="53"/>
  <c r="D20" i="53"/>
  <c r="C20" i="53"/>
  <c r="E20" i="53" s="1"/>
  <c r="D19" i="53"/>
  <c r="E19" i="53" s="1"/>
  <c r="C19" i="53"/>
  <c r="D18" i="53"/>
  <c r="C18" i="53"/>
  <c r="E18" i="53" s="1"/>
  <c r="D17" i="53"/>
  <c r="C17" i="53"/>
  <c r="E17" i="53" s="1"/>
  <c r="D26" i="52"/>
  <c r="C26" i="52"/>
  <c r="E26" i="52" s="1"/>
  <c r="D25" i="52"/>
  <c r="C25" i="52"/>
  <c r="E25" i="52" s="1"/>
  <c r="D24" i="52"/>
  <c r="E24" i="52" s="1"/>
  <c r="C24" i="52"/>
  <c r="D23" i="52"/>
  <c r="C23" i="52"/>
  <c r="E23" i="52" s="1"/>
  <c r="D22" i="52"/>
  <c r="E22" i="52" s="1"/>
  <c r="C22" i="52"/>
  <c r="E21" i="52"/>
  <c r="D21" i="52"/>
  <c r="C21" i="52"/>
  <c r="D20" i="52"/>
  <c r="C20" i="52"/>
  <c r="E20" i="52" s="1"/>
  <c r="E19" i="52"/>
  <c r="D19" i="52"/>
  <c r="C19" i="52"/>
  <c r="D18" i="52"/>
  <c r="C18" i="52"/>
  <c r="E18" i="52" s="1"/>
  <c r="D17" i="52"/>
  <c r="C17" i="52"/>
  <c r="E17" i="52" s="1"/>
  <c r="D26" i="51"/>
  <c r="C26" i="51"/>
  <c r="E26" i="51" s="1"/>
  <c r="D25" i="51"/>
  <c r="C25" i="51"/>
  <c r="E25" i="51" s="1"/>
  <c r="E24" i="51"/>
  <c r="D24" i="51"/>
  <c r="C24" i="51"/>
  <c r="D23" i="51"/>
  <c r="C23" i="51"/>
  <c r="E23" i="51" s="1"/>
  <c r="D22" i="51"/>
  <c r="C22" i="51"/>
  <c r="E22" i="51" s="1"/>
  <c r="E21" i="51"/>
  <c r="D21" i="51"/>
  <c r="C21" i="51"/>
  <c r="D20" i="51"/>
  <c r="C20" i="51"/>
  <c r="E20" i="51" s="1"/>
  <c r="D19" i="51"/>
  <c r="E19" i="51" s="1"/>
  <c r="C19" i="51"/>
  <c r="D18" i="51"/>
  <c r="C18" i="51"/>
  <c r="E18" i="51" s="1"/>
  <c r="D17" i="51"/>
  <c r="C17" i="51"/>
  <c r="E17" i="51" s="1"/>
  <c r="D26" i="70"/>
  <c r="C26" i="70"/>
  <c r="E26" i="70" s="1"/>
  <c r="E25" i="70"/>
  <c r="D25" i="70"/>
  <c r="C25" i="70"/>
  <c r="D24" i="70"/>
  <c r="E24" i="70" s="1"/>
  <c r="C24" i="70"/>
  <c r="D23" i="70"/>
  <c r="C23" i="70"/>
  <c r="E23" i="70" s="1"/>
  <c r="D22" i="70"/>
  <c r="C22" i="70"/>
  <c r="E22" i="70" s="1"/>
  <c r="E21" i="70"/>
  <c r="D21" i="70"/>
  <c r="C21" i="70"/>
  <c r="D20" i="70"/>
  <c r="C20" i="70"/>
  <c r="E20" i="70" s="1"/>
  <c r="D19" i="70"/>
  <c r="C19" i="70"/>
  <c r="E19" i="70" s="1"/>
  <c r="D18" i="70"/>
  <c r="C18" i="70"/>
  <c r="E18" i="70" s="1"/>
  <c r="D17" i="70"/>
  <c r="C17" i="70"/>
  <c r="E17" i="70" s="1"/>
  <c r="D26" i="69"/>
  <c r="C26" i="69"/>
  <c r="E26" i="69" s="1"/>
  <c r="D25" i="69"/>
  <c r="E25" i="69" s="1"/>
  <c r="C25" i="69"/>
  <c r="D24" i="69"/>
  <c r="C24" i="69"/>
  <c r="E24" i="69" s="1"/>
  <c r="D23" i="69"/>
  <c r="C23" i="69"/>
  <c r="E23" i="69" s="1"/>
  <c r="E22" i="69"/>
  <c r="D22" i="69"/>
  <c r="C22" i="69"/>
  <c r="D21" i="69"/>
  <c r="E21" i="69" s="1"/>
  <c r="C21" i="69"/>
  <c r="D20" i="69"/>
  <c r="C20" i="69"/>
  <c r="E20" i="69" s="1"/>
  <c r="D19" i="69"/>
  <c r="C19" i="69"/>
  <c r="E19" i="69" s="1"/>
  <c r="E18" i="69"/>
  <c r="D18" i="69"/>
  <c r="C18" i="69"/>
  <c r="D17" i="69"/>
  <c r="E17" i="69" s="1"/>
  <c r="C17" i="69"/>
  <c r="C26" i="68"/>
  <c r="D26" i="68"/>
  <c r="D25" i="68"/>
  <c r="C25" i="68"/>
  <c r="E25" i="68" s="1"/>
  <c r="D24" i="68"/>
  <c r="E24" i="68" s="1"/>
  <c r="C24" i="68"/>
  <c r="D23" i="68"/>
  <c r="C23" i="68"/>
  <c r="E23" i="68" s="1"/>
  <c r="D22" i="68"/>
  <c r="C22" i="68"/>
  <c r="E22" i="68" s="1"/>
  <c r="E21" i="68"/>
  <c r="D21" i="68"/>
  <c r="C21" i="68"/>
  <c r="D20" i="68"/>
  <c r="C20" i="68"/>
  <c r="E20" i="68" s="1"/>
  <c r="D19" i="68"/>
  <c r="C19" i="68"/>
  <c r="E19" i="68" s="1"/>
  <c r="D18" i="68"/>
  <c r="C18" i="68"/>
  <c r="E18" i="68" s="1"/>
  <c r="D17" i="68"/>
  <c r="C17" i="68"/>
  <c r="E17" i="68" s="1"/>
  <c r="D26" i="66"/>
  <c r="C26" i="66"/>
  <c r="E26" i="66" s="1"/>
  <c r="D25" i="66"/>
  <c r="C25" i="66"/>
  <c r="E25" i="66" s="1"/>
  <c r="E24" i="66"/>
  <c r="D24" i="66"/>
  <c r="C24" i="66"/>
  <c r="D23" i="66"/>
  <c r="C23" i="66"/>
  <c r="E23" i="66" s="1"/>
  <c r="D22" i="66"/>
  <c r="C22" i="66"/>
  <c r="E22" i="66" s="1"/>
  <c r="E21" i="66"/>
  <c r="D21" i="66"/>
  <c r="C21" i="66"/>
  <c r="D20" i="66"/>
  <c r="C20" i="66"/>
  <c r="E20" i="66" s="1"/>
  <c r="D19" i="66"/>
  <c r="E19" i="66" s="1"/>
  <c r="C19" i="66"/>
  <c r="D18" i="66"/>
  <c r="C18" i="66"/>
  <c r="E18" i="66" s="1"/>
  <c r="D17" i="66"/>
  <c r="C17" i="66"/>
  <c r="E17" i="66" s="1"/>
  <c r="D26" i="65"/>
  <c r="C26" i="65"/>
  <c r="E26" i="65" s="1"/>
  <c r="D25" i="65"/>
  <c r="C25" i="65"/>
  <c r="E25" i="65" s="1"/>
  <c r="D24" i="65"/>
  <c r="E24" i="65" s="1"/>
  <c r="C24" i="65"/>
  <c r="D23" i="65"/>
  <c r="C23" i="65"/>
  <c r="E23" i="65" s="1"/>
  <c r="D22" i="65"/>
  <c r="E22" i="65" s="1"/>
  <c r="C22" i="65"/>
  <c r="E21" i="65"/>
  <c r="D21" i="65"/>
  <c r="C21" i="65"/>
  <c r="D20" i="65"/>
  <c r="C20" i="65"/>
  <c r="E20" i="65" s="1"/>
  <c r="E19" i="65"/>
  <c r="D19" i="65"/>
  <c r="C19" i="65"/>
  <c r="D18" i="65"/>
  <c r="C18" i="65"/>
  <c r="E18" i="65" s="1"/>
  <c r="D17" i="65"/>
  <c r="C17" i="65"/>
  <c r="E17" i="65" s="1"/>
  <c r="D26" i="63"/>
  <c r="C26" i="63"/>
  <c r="E26" i="63" s="1"/>
  <c r="D25" i="63"/>
  <c r="C25" i="63"/>
  <c r="E25" i="63" s="1"/>
  <c r="D24" i="63"/>
  <c r="C24" i="63"/>
  <c r="E24" i="63" s="1"/>
  <c r="D23" i="63"/>
  <c r="C23" i="63"/>
  <c r="E23" i="63" s="1"/>
  <c r="D22" i="63"/>
  <c r="E22" i="63" s="1"/>
  <c r="C22" i="63"/>
  <c r="E21" i="63"/>
  <c r="D21" i="63"/>
  <c r="C21" i="63"/>
  <c r="D20" i="63"/>
  <c r="C20" i="63"/>
  <c r="E20" i="63" s="1"/>
  <c r="E19" i="63"/>
  <c r="D19" i="63"/>
  <c r="C19" i="63"/>
  <c r="D18" i="63"/>
  <c r="C18" i="63"/>
  <c r="E18" i="63" s="1"/>
  <c r="E17" i="63"/>
  <c r="D26" i="62"/>
  <c r="D18" i="62"/>
  <c r="D19" i="62"/>
  <c r="D20" i="62"/>
  <c r="D21" i="62"/>
  <c r="D22" i="62"/>
  <c r="D23" i="62"/>
  <c r="D24" i="62"/>
  <c r="D25" i="62"/>
  <c r="E19" i="62"/>
  <c r="E20" i="62"/>
  <c r="C21" i="62"/>
  <c r="C22" i="62"/>
  <c r="C23" i="62"/>
  <c r="C24" i="62"/>
  <c r="C25" i="62"/>
  <c r="E22" i="20" l="1"/>
  <c r="E38" i="61"/>
  <c r="T27" i="73" s="1"/>
  <c r="T13" i="73"/>
  <c r="T16" i="73" s="1"/>
  <c r="K11" i="73"/>
  <c r="K16" i="73" s="1"/>
  <c r="E36" i="52"/>
  <c r="K25" i="73" s="1"/>
  <c r="AW13" i="73"/>
  <c r="AW16" i="73" s="1"/>
  <c r="E38" i="9"/>
  <c r="E18" i="62"/>
  <c r="C28" i="62"/>
  <c r="E24" i="62"/>
  <c r="E22" i="62"/>
  <c r="E23" i="62"/>
  <c r="E21" i="62"/>
  <c r="E26" i="62"/>
  <c r="E25" i="62"/>
  <c r="D28" i="62"/>
  <c r="E20" i="42"/>
  <c r="E18" i="42"/>
  <c r="E22" i="42"/>
  <c r="E23" i="42"/>
  <c r="E26" i="34"/>
  <c r="E26" i="41"/>
  <c r="E26" i="68"/>
  <c r="E36" i="20" l="1"/>
  <c r="AP25" i="73" s="1"/>
  <c r="AP11" i="73"/>
  <c r="AP16" i="73" s="1"/>
  <c r="E36" i="42"/>
  <c r="W11" i="73"/>
  <c r="W16" i="73" s="1"/>
  <c r="E28" i="62"/>
  <c r="E27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François Soulard</author>
  </authors>
  <commentList>
    <comment ref="C7" authorId="0" shapeId="0" xr:uid="{83A71C75-3D92-DB46-B5C9-C9D41B3C67EB}">
      <text>
        <r>
          <rPr>
            <b/>
            <sz val="10"/>
            <color rgb="FF000000"/>
            <rFont val="Tahoma"/>
            <family val="2"/>
          </rPr>
          <t>François Soulard: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j'ai mis 0.1 pour ne pas avoir d'erreur dans le calcul en %
</t>
        </r>
      </text>
    </comment>
  </commentList>
</comments>
</file>

<file path=xl/sharedStrings.xml><?xml version="1.0" encoding="utf-8"?>
<sst xmlns="http://schemas.openxmlformats.org/spreadsheetml/2006/main" count="1818" uniqueCount="69">
  <si>
    <t>Land Cover</t>
  </si>
  <si>
    <t>Dense Forest</t>
  </si>
  <si>
    <t>Moderate Forest</t>
  </si>
  <si>
    <t>Open Forest</t>
  </si>
  <si>
    <t>Wooded Grassland</t>
  </si>
  <si>
    <t>Open Grassland</t>
  </si>
  <si>
    <t>Perennial Cropland</t>
  </si>
  <si>
    <t>Annual Cropland</t>
  </si>
  <si>
    <t>Vegetated Wetland</t>
  </si>
  <si>
    <t>Open Water</t>
  </si>
  <si>
    <t>Other land</t>
  </si>
  <si>
    <t>The following worksheets contain SLEEK land cover data by county, in hectares, for the whole SLEEK data series. I used the QGIS Zonal Histograms function to generate the data in pixel counts then converted in hectares (cell *0.09)</t>
  </si>
  <si>
    <t>moyenne 1990-2000</t>
  </si>
  <si>
    <t>moyenne 2015-2018</t>
  </si>
  <si>
    <t>Sleek Class</t>
  </si>
  <si>
    <t>Closing</t>
  </si>
  <si>
    <t>Opening</t>
  </si>
  <si>
    <t>Check de la superficie totale</t>
  </si>
  <si>
    <t xml:space="preserve">Results are analysed in "Asset account additions and reductions v2.xls". 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</si>
  <si>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</si>
  <si>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</si>
  <si>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</si>
  <si>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</si>
  <si>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</si>
  <si>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</si>
  <si>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</si>
  <si>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</si>
  <si>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</si>
  <si>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</si>
  <si>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</si>
  <si>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</si>
  <si>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</si>
  <si>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</si>
  <si>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</si>
  <si>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</si>
  <si>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</si>
  <si>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</si>
  <si>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</si>
  <si>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</si>
  <si>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</si>
  <si>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</si>
  <si>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</si>
  <si>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</si>
  <si>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</si>
  <si>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</si>
  <si>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</si>
  <si>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</si>
  <si>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</si>
  <si>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</si>
  <si>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</si>
  <si>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</si>
  <si>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</si>
  <si>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</si>
  <si>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</si>
  <si>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</si>
  <si>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</si>
  <si>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</si>
  <si>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</si>
  <si>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Tharaka-Nithi</t>
  </si>
  <si>
    <t>Trans Nzoia</t>
  </si>
  <si>
    <t>Turkana</t>
  </si>
  <si>
    <t>Uasin Gishu</t>
  </si>
  <si>
    <t>Vihiga</t>
  </si>
  <si>
    <t>Wajir</t>
  </si>
  <si>
    <t>West Pokot</t>
  </si>
  <si>
    <t>Nakuru</t>
  </si>
  <si>
    <t>Results of the 1990-2000 / 2015-2018 reconciliation accounts: Net Change</t>
  </si>
  <si>
    <t>As % of opening area</t>
  </si>
  <si>
    <t>Absolute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</si>
</sst>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4" fontId="0" fillId="0" borderId="0" xfId="0" applyNumberFormat="1"/>
    <xf numFmtId="4" fontId="0" fillId="3" borderId="0" xfId="0" applyNumberFormat="1" applyFill="1"/>
    <xf numFmtId="0" fontId="0" fillId="3" borderId="0" xfId="0" applyFill="1"/>
    <xf numFmtId="0" fontId="1" fillId="0" borderId="0" xfId="0" applyFont="1" applyAlignment="1">
      <alignment vertical="center"/>
    </xf>
    <xf numFmtId="2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0" fillId="4" borderId="0" xfId="0" applyFill="1"/>
    <xf numFmtId="0" fontId="3" fillId="5" borderId="0" xfId="0" applyFont="1" applyFill="1"/>
    <xf numFmtId="0" fontId="0" fillId="6" borderId="0" xfId="0" applyFill="1"/>
    <xf numFmtId="2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Mandera!$B$10</c:f>
              <c:strCache>
                <c:ptCount val="1"/>
                <c:pt idx="0">
                  <c:v>Open Water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Mandera!$C$10:$T$10</c:f>
              <c:numCache>
                <c:formatCode>General</c:formatCode>
                <c:ptCount val="18"/>
                <c:pt idx="0">
                  <c:v>11.52</c:v>
                </c:pt>
                <c:pt idx="1">
                  <c:v>25.919999999999998</c:v>
                </c:pt>
                <c:pt idx="2">
                  <c:v>5.13</c:v>
                </c:pt>
                <c:pt idx="3">
                  <c:v>985.58999999999992</c:v>
                </c:pt>
                <c:pt idx="4">
                  <c:v>186.21</c:v>
                </c:pt>
                <c:pt idx="5">
                  <c:v>31.32</c:v>
                </c:pt>
                <c:pt idx="6">
                  <c:v>531.72</c:v>
                </c:pt>
                <c:pt idx="7">
                  <c:v>820.17</c:v>
                </c:pt>
                <c:pt idx="8">
                  <c:v>749.43</c:v>
                </c:pt>
                <c:pt idx="9">
                  <c:v>448.47</c:v>
                </c:pt>
                <c:pt idx="10">
                  <c:v>728.28</c:v>
                </c:pt>
                <c:pt idx="11">
                  <c:v>479.7</c:v>
                </c:pt>
                <c:pt idx="12">
                  <c:v>681.3</c:v>
                </c:pt>
                <c:pt idx="13">
                  <c:v>948.69</c:v>
                </c:pt>
                <c:pt idx="14">
                  <c:v>1122.3899999999999</c:v>
                </c:pt>
                <c:pt idx="15">
                  <c:v>786.06</c:v>
                </c:pt>
                <c:pt idx="16">
                  <c:v>933.21</c:v>
                </c:pt>
                <c:pt idx="17">
                  <c:v>1071.18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F-3F4F-A37F-FF872A162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6537760"/>
        <c:axId val="439137551"/>
      </c:lineChart>
      <c:catAx>
        <c:axId val="2146537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37551"/>
        <c:crosses val="autoZero"/>
        <c:auto val="1"/>
        <c:lblAlgn val="ctr"/>
        <c:lblOffset val="100"/>
        <c:noMultiLvlLbl val="0"/>
      </c:catAx>
      <c:valAx>
        <c:axId val="43913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53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615950</xdr:colOff>
      <xdr:row>18</xdr:row>
      <xdr:rowOff>6350</xdr:rowOff>
    </xdr:from>
    <xdr:to>
      <xdr:col>22</xdr:col>
      <xdr:colOff>234950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E712B-A5E8-52EA-22A2-2736598BB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DEC8-17BB-B74D-94F9-0CAA712E945C}">
  <dimension ref="A1:C5"/>
  <sheetViews>
    <sheetView workbookViewId="0">
      <selection activeCell="C17" sqref="C17"/>
    </sheetView>
  </sheetViews>
  <sheetFormatPr baseColWidth="10" defaultRowHeight="15" x14ac:dyDescent="0.2"/>
  <cols>
    <col min="3" max="3" width="12.6640625" bestFit="1" customWidth="1"/>
  </cols>
  <sheetData>
    <row r="1" spans="1:3" x14ac:dyDescent="0.2">
      <c r="A1" t="s">
        <v>11</v>
      </c>
    </row>
    <row r="3" spans="1:3" x14ac:dyDescent="0.2">
      <c r="A3" t="s">
        <v>17</v>
      </c>
      <c r="C3" s="10">
        <f>Baringo!C12+Bomet!C12+Bungoma!C12+Busia!C12+'Elgeyo-Marakwet'!C12+Embu!C12+Garissa!C12+'Homa Bay'!C12+Isiolo!C12+Kajiado!C12+Kakamega!C12+Kericho!C12+Kiambu!C12+Kilifi!C12+Kirinyaga!C12+Kisii!C12+Kisumu!C12+Kitui!C12+Kwale!C12+Laikipia!C12+Lamu!C12+Machakos!C12+Makueni!C12+Mandera!C12+Marsabit!C12+Meru!C12+Migori!C12+Mombasa!C12+'Murang''a'!C12+Nairobi!C12+Nakuru!C12+Nandi!C12+Narok!C12+Nyamira!C12+Nyandarua!C12+Nyeri!C12+Samburu!C12+Samburu!C12+Siaya!C12+'Taita Taveta'!C12+'Tana River'!C12+'Tharaka-Nithi'!C12+'Trans Nzoia'!C12+Turkana!C12+'Uasin Gishu'!C12+Vihiga!C12+Wajir!C12+'West Pokot'!C12</f>
        <v>61277341.470000006</v>
      </c>
    </row>
    <row r="5" spans="1:3" x14ac:dyDescent="0.2">
      <c r="A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E489-326C-3A4D-9C62-998C2743C586}">
  <dimension ref="A1:AW31"/>
  <sheetViews>
    <sheetView zoomScaleNormal="100" workbookViewId="0">
      <selection activeCell="J42" sqref="J42"/>
    </sheetView>
  </sheetViews>
  <sheetFormatPr baseColWidth="10" defaultRowHeight="15" x14ac:dyDescent="0.2"/>
  <cols>
    <col min="2" max="2" width="17.33203125" bestFit="1" customWidth="1"/>
    <col min="49" max="49" width="12.6640625" bestFit="1" customWidth="1"/>
  </cols>
  <sheetData>
    <row r="1" spans="1:49" x14ac:dyDescent="0.2">
      <c r="A1" t="s">
        <v>66</v>
      </c>
    </row>
    <row r="3" spans="1:49" x14ac:dyDescent="0.2">
      <c r="A3" s="15" t="s">
        <v>68</v>
      </c>
    </row>
    <row r="4" spans="1:49" x14ac:dyDescent="0.2"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39</v>
      </c>
      <c r="X4" t="s">
        <v>40</v>
      </c>
      <c r="Y4" t="s">
        <v>41</v>
      </c>
      <c r="Z4" t="s">
        <v>42</v>
      </c>
      <c r="AA4" t="s">
        <v>43</v>
      </c>
      <c r="AB4" t="s">
        <v>44</v>
      </c>
      <c r="AC4" t="s">
        <v>45</v>
      </c>
      <c r="AD4" t="s">
        <v>46</v>
      </c>
      <c r="AE4" t="s">
        <v>47</v>
      </c>
      <c r="AF4" t="s">
        <v>48</v>
      </c>
      <c r="AG4" t="s">
        <v>65</v>
      </c>
      <c r="AH4" t="s">
        <v>49</v>
      </c>
      <c r="AI4" t="s">
        <v>50</v>
      </c>
      <c r="AJ4" t="s">
        <v>51</v>
      </c>
      <c r="AK4" t="s">
        <v>52</v>
      </c>
      <c r="AL4" t="s">
        <v>53</v>
      </c>
      <c r="AM4" t="s">
        <v>54</v>
      </c>
      <c r="AN4" t="s">
        <v>55</v>
      </c>
      <c r="AO4" t="s">
        <v>56</v>
      </c>
      <c r="AP4" t="s">
        <v>57</v>
      </c>
      <c r="AQ4" t="s">
        <v>58</v>
      </c>
      <c r="AR4" t="s">
        <v>59</v>
      </c>
      <c r="AS4" t="s">
        <v>60</v>
      </c>
      <c r="AT4" t="s">
        <v>61</v>
      </c>
      <c r="AU4" t="s">
        <v>62</v>
      </c>
      <c r="AV4" t="s">
        <v>63</v>
      </c>
      <c r="AW4" t="s">
        <v>64</v>
      </c>
    </row>
    <row r="5" spans="1:49" ht="16" x14ac:dyDescent="0.2">
      <c r="A5" s="18" t="s">
        <v>14</v>
      </c>
      <c r="B5" s="19" t="s">
        <v>0</v>
      </c>
    </row>
    <row r="6" spans="1:49" ht="16" x14ac:dyDescent="0.2">
      <c r="A6" s="16">
        <v>1</v>
      </c>
      <c r="B6" s="17" t="s">
        <v>1</v>
      </c>
      <c r="C6">
        <f>Baringo!E17</f>
        <v>-4742.4749999999985</v>
      </c>
      <c r="D6">
        <f>Bomet!E17</f>
        <v>-2296.7999999999956</v>
      </c>
      <c r="E6">
        <f>Bungoma!E17</f>
        <v>-2279.4450000000033</v>
      </c>
      <c r="F6">
        <f>Busia!E17</f>
        <v>-339.76499999999999</v>
      </c>
      <c r="G6">
        <f>'Elgeyo-Marakwet'!E17</f>
        <v>-3666.1499999999942</v>
      </c>
      <c r="H6">
        <f>Embu!E17</f>
        <v>-3491.9850000000006</v>
      </c>
      <c r="I6">
        <f>Garissa!E17</f>
        <v>-32236.335000000006</v>
      </c>
      <c r="J6">
        <f>'Homa Bay'!E17</f>
        <v>-1778.13</v>
      </c>
      <c r="K6">
        <f>Isiolo!E17</f>
        <v>33352.305</v>
      </c>
      <c r="L6">
        <f>Kajiado!E17</f>
        <v>-3048.7199999999993</v>
      </c>
      <c r="M6">
        <f>Kakamega!E17</f>
        <v>794.80500000000393</v>
      </c>
      <c r="N6">
        <f>Kericho!E17</f>
        <v>-6495.6450000000041</v>
      </c>
      <c r="O6">
        <f>Kiambu!E17</f>
        <v>7089.6899999999951</v>
      </c>
      <c r="P6">
        <f>Kilifi!E17</f>
        <v>-6087.3150000000096</v>
      </c>
      <c r="Q6">
        <f>Kirinyaga!E17</f>
        <v>1241.6249999999964</v>
      </c>
      <c r="R6">
        <f>Kisii!E17</f>
        <v>1436.9250000000006</v>
      </c>
      <c r="S6">
        <f>Kisumu!E17</f>
        <v>-60.030000000000058</v>
      </c>
      <c r="T6">
        <f>Kitui!E17</f>
        <v>173.35500000003958</v>
      </c>
      <c r="U6">
        <f>Kwale!E17</f>
        <v>-5966.6100000000006</v>
      </c>
      <c r="V6">
        <f>Laikipia!E17</f>
        <v>-6616.6050000000032</v>
      </c>
      <c r="W6">
        <f>Lamu!E17</f>
        <v>29100.029999999984</v>
      </c>
      <c r="X6">
        <f>Machakos!E17</f>
        <v>4828.0199999999986</v>
      </c>
      <c r="Y6">
        <f>Makueni!E17</f>
        <v>-24375.119999999995</v>
      </c>
      <c r="Z6">
        <f>Mandera!E17</f>
        <v>-11649.269999999997</v>
      </c>
      <c r="AA6">
        <f>Marsabit!E17</f>
        <v>11775.044999999998</v>
      </c>
      <c r="AB6">
        <f>Meru!E17</f>
        <v>-10017.555000000008</v>
      </c>
      <c r="AC6">
        <f>Migori!E17</f>
        <v>-1833.27</v>
      </c>
      <c r="AD6">
        <f>Mombasa!E17</f>
        <v>-765</v>
      </c>
      <c r="AE6">
        <f>'Murang''a'!E17</f>
        <v>5248.0649999999951</v>
      </c>
      <c r="AF6">
        <f>Nairobi!E17</f>
        <v>-214.70999999999958</v>
      </c>
      <c r="AG6">
        <f>Nakuru!E17</f>
        <v>-37619.084999999992</v>
      </c>
      <c r="AH6">
        <f>Nandi!E17</f>
        <v>3426.510000000002</v>
      </c>
      <c r="AI6">
        <f>Narok!E17</f>
        <v>-78904.904999999999</v>
      </c>
      <c r="AJ6">
        <f>Nyamira!E17</f>
        <v>2434.4399999999996</v>
      </c>
      <c r="AK6">
        <f>Nyandarua!E17</f>
        <v>6385.9050000000061</v>
      </c>
      <c r="AL6">
        <f>Nyeri!E17</f>
        <v>2438.0849999999919</v>
      </c>
      <c r="AM6">
        <f>Samburu!E17</f>
        <v>80834.235000000001</v>
      </c>
      <c r="AN6">
        <f>Siaya!E17</f>
        <v>-137.39999999999998</v>
      </c>
      <c r="AO6">
        <f>'Taita Taveta'!E17</f>
        <v>-10344.974999999999</v>
      </c>
      <c r="AP6">
        <f>'Tana River'!E17</f>
        <v>21531.990000000005</v>
      </c>
      <c r="AQ6">
        <f>'Tharaka-Nithi'!E17</f>
        <v>-9808.0950000000084</v>
      </c>
      <c r="AR6">
        <f>'Trans Nzoia'!E17</f>
        <v>-1715.2049999999981</v>
      </c>
      <c r="AS6">
        <f>Turkana!E17</f>
        <v>-5953.0950000000048</v>
      </c>
      <c r="AT6">
        <f>'Uasin Gishu'!E17</f>
        <v>-7691.3400000000038</v>
      </c>
      <c r="AU6">
        <f>Vihiga!E17</f>
        <v>1308.105</v>
      </c>
      <c r="AV6">
        <f>Wajir!E17</f>
        <v>1668.0450000000001</v>
      </c>
      <c r="AW6">
        <f>'West Pokot'!E17</f>
        <v>-6221.0399999999972</v>
      </c>
    </row>
    <row r="7" spans="1:49" ht="16" x14ac:dyDescent="0.2">
      <c r="A7" s="16">
        <v>2</v>
      </c>
      <c r="B7" s="17" t="s">
        <v>2</v>
      </c>
      <c r="C7">
        <f>Baringo!E18</f>
        <v>1204.3949999999986</v>
      </c>
      <c r="D7">
        <f>Bomet!E18</f>
        <v>8638.23</v>
      </c>
      <c r="E7">
        <f>Bungoma!E18</f>
        <v>1447.395</v>
      </c>
      <c r="F7">
        <f>Busia!E18</f>
        <v>268.71000000000004</v>
      </c>
      <c r="G7">
        <f>'Elgeyo-Marakwet'!E18</f>
        <v>-19120.305000000004</v>
      </c>
      <c r="H7">
        <f>Embu!E18</f>
        <v>-1347.2999999999997</v>
      </c>
      <c r="I7">
        <f>Garissa!E18</f>
        <v>-44837.819999999978</v>
      </c>
      <c r="J7">
        <f>'Homa Bay'!E18</f>
        <v>1594.02</v>
      </c>
      <c r="K7">
        <f>Isiolo!E18</f>
        <v>18358.785</v>
      </c>
      <c r="L7">
        <f>Kajiado!E18</f>
        <v>362.46000000000276</v>
      </c>
      <c r="M7">
        <f>Kakamega!E18</f>
        <v>-211.48500000000013</v>
      </c>
      <c r="N7">
        <f>Kericho!E18</f>
        <v>2135.5199999999995</v>
      </c>
      <c r="O7">
        <f>Kiambu!E18</f>
        <v>-5301.24</v>
      </c>
      <c r="P7">
        <f>Kilifi!E18</f>
        <v>-46466.804999999993</v>
      </c>
      <c r="Q7">
        <f>Kirinyaga!E18</f>
        <v>398.88</v>
      </c>
      <c r="R7">
        <f>Kisii!E18</f>
        <v>382.21500000000003</v>
      </c>
      <c r="S7">
        <f>Kisumu!E18</f>
        <v>292.69500000000005</v>
      </c>
      <c r="T7">
        <f>Kitui!E18</f>
        <v>-3373.6649999999936</v>
      </c>
      <c r="U7">
        <f>Kwale!E18</f>
        <v>-10252.23</v>
      </c>
      <c r="V7">
        <f>Laikipia!E18</f>
        <v>9724.83</v>
      </c>
      <c r="W7">
        <f>Lamu!E18</f>
        <v>-41172.150000000009</v>
      </c>
      <c r="X7">
        <f>Machakos!E18</f>
        <v>-562.15500000000065</v>
      </c>
      <c r="Y7">
        <f>Makueni!E18</f>
        <v>10694.474999999999</v>
      </c>
      <c r="Z7">
        <f>Mandera!E18</f>
        <v>4554.4799999999996</v>
      </c>
      <c r="AA7">
        <f>Marsabit!E18</f>
        <v>1902.9149999999972</v>
      </c>
      <c r="AB7">
        <f>Meru!E18</f>
        <v>6745.2000000000007</v>
      </c>
      <c r="AC7">
        <f>Migori!E18</f>
        <v>269.25</v>
      </c>
      <c r="AD7">
        <f>Mombasa!E18</f>
        <v>122.29499999999996</v>
      </c>
      <c r="AE7">
        <f>'Murang''a'!E18</f>
        <v>-4346.369999999999</v>
      </c>
      <c r="AF7">
        <f>Nairobi!E18</f>
        <v>-512.23500000000013</v>
      </c>
      <c r="AG7">
        <f>Nakuru!E18</f>
        <v>932.11499999999614</v>
      </c>
      <c r="AH7">
        <f>Nandi!E18</f>
        <v>26.610000000000582</v>
      </c>
      <c r="AI7">
        <f>Narok!E18</f>
        <v>-27404.789999999994</v>
      </c>
      <c r="AJ7">
        <f>Nyamira!E18</f>
        <v>893.05499999999995</v>
      </c>
      <c r="AK7">
        <f>Nyandarua!E18</f>
        <v>-735.19500000000005</v>
      </c>
      <c r="AL7">
        <f>Nyeri!E18</f>
        <v>2105.9999999999995</v>
      </c>
      <c r="AM7">
        <f>Samburu!E18</f>
        <v>5568.9899999999907</v>
      </c>
      <c r="AN7">
        <f>Siaya!E18</f>
        <v>-142.08000000000004</v>
      </c>
      <c r="AO7">
        <f>'Taita Taveta'!E18</f>
        <v>10172.924999999999</v>
      </c>
      <c r="AP7">
        <f>'Tana River'!E18</f>
        <v>-26852.039999999994</v>
      </c>
      <c r="AQ7">
        <f>'Tharaka-Nithi'!E18</f>
        <v>-502.73999999999978</v>
      </c>
      <c r="AR7">
        <f>'Trans Nzoia'!E18</f>
        <v>1455.9449999999997</v>
      </c>
      <c r="AS7">
        <f>Turkana!E18</f>
        <v>38.759999999994761</v>
      </c>
      <c r="AT7">
        <f>'Uasin Gishu'!E18</f>
        <v>-986.81999999999994</v>
      </c>
      <c r="AU7">
        <f>Vihiga!E18</f>
        <v>-501.41999999999996</v>
      </c>
      <c r="AV7">
        <f>Wajir!E18</f>
        <v>2172.4800000000005</v>
      </c>
      <c r="AW7">
        <f>'West Pokot'!E18</f>
        <v>-8750.4000000000015</v>
      </c>
    </row>
    <row r="8" spans="1:49" ht="16" x14ac:dyDescent="0.2">
      <c r="A8" s="16">
        <v>3</v>
      </c>
      <c r="B8" s="17" t="s">
        <v>3</v>
      </c>
      <c r="C8">
        <f>Baringo!E19</f>
        <v>-6255.5249999999996</v>
      </c>
      <c r="D8">
        <f>Bomet!E19</f>
        <v>975.73500000000058</v>
      </c>
      <c r="E8">
        <f>Bungoma!E19</f>
        <v>-881.35499999999956</v>
      </c>
      <c r="F8">
        <f>Busia!E19</f>
        <v>263.59500000000003</v>
      </c>
      <c r="G8">
        <f>'Elgeyo-Marakwet'!E19</f>
        <v>-441.52499999999941</v>
      </c>
      <c r="H8">
        <f>Embu!E19</f>
        <v>-519.07500000000005</v>
      </c>
      <c r="I8">
        <f>Garissa!E19</f>
        <v>-14001.764999999999</v>
      </c>
      <c r="J8">
        <f>'Homa Bay'!E19</f>
        <v>25.259999999999998</v>
      </c>
      <c r="K8">
        <f>Isiolo!E19</f>
        <v>-2076.42</v>
      </c>
      <c r="L8">
        <f>Kajiado!E19</f>
        <v>-8071.2000000000007</v>
      </c>
      <c r="M8">
        <f>Kakamega!E19</f>
        <v>1395.6</v>
      </c>
      <c r="N8">
        <f>Kericho!E19</f>
        <v>110.2949999999999</v>
      </c>
      <c r="O8">
        <f>Kiambu!E19</f>
        <v>-2389.605</v>
      </c>
      <c r="P8">
        <f>Kilifi!E19</f>
        <v>8398.9349999999995</v>
      </c>
      <c r="Q8">
        <f>Kirinyaga!E19</f>
        <v>-388.55999999999995</v>
      </c>
      <c r="R8">
        <f>Kisii!E19</f>
        <v>-216.19500000000005</v>
      </c>
      <c r="S8">
        <f>Kisumu!E19</f>
        <v>102.795</v>
      </c>
      <c r="T8">
        <f>Kitui!E19</f>
        <v>29381.94</v>
      </c>
      <c r="U8">
        <f>Kwale!E19</f>
        <v>-5959.8150000000005</v>
      </c>
      <c r="V8">
        <f>Laikipia!E19</f>
        <v>-647.9699999999998</v>
      </c>
      <c r="W8">
        <f>Lamu!E19</f>
        <v>-721.09500000000025</v>
      </c>
      <c r="X8">
        <f>Machakos!E19</f>
        <v>-1279.7399999999998</v>
      </c>
      <c r="Y8">
        <f>Makueni!E19</f>
        <v>2573.5500000000011</v>
      </c>
      <c r="Z8">
        <f>Mandera!E19</f>
        <v>3528.8549999999996</v>
      </c>
      <c r="AA8">
        <f>Marsabit!E19</f>
        <v>-1890.375</v>
      </c>
      <c r="AB8">
        <f>Meru!E19</f>
        <v>-3888.6449999999995</v>
      </c>
      <c r="AC8">
        <f>Migori!E19</f>
        <v>1416.8250000000003</v>
      </c>
      <c r="AD8">
        <f>Mombasa!E19</f>
        <v>-62.504999999999995</v>
      </c>
      <c r="AE8">
        <f>'Murang''a'!E19</f>
        <v>-1947.8700000000001</v>
      </c>
      <c r="AF8">
        <f>Nairobi!E19</f>
        <v>-474.43499999999995</v>
      </c>
      <c r="AG8">
        <f>Nakuru!E19</f>
        <v>-652.0649999999996</v>
      </c>
      <c r="AH8">
        <f>Nandi!E19</f>
        <v>1918.77</v>
      </c>
      <c r="AI8">
        <f>Narok!E19</f>
        <v>-20122.994999999995</v>
      </c>
      <c r="AJ8">
        <f>Nyamira!E19</f>
        <v>-428.14499999999998</v>
      </c>
      <c r="AK8">
        <f>Nyandarua!E19</f>
        <v>-665.56499999999994</v>
      </c>
      <c r="AL8">
        <f>Nyeri!E19</f>
        <v>-1500.9749999999999</v>
      </c>
      <c r="AM8">
        <f>Samburu!E19</f>
        <v>4806.9149999999972</v>
      </c>
      <c r="AN8">
        <f>Siaya!E19</f>
        <v>236.07</v>
      </c>
      <c r="AO8">
        <f>'Taita Taveta'!E19</f>
        <v>-1904.67</v>
      </c>
      <c r="AP8">
        <f>'Tana River'!E19</f>
        <v>5908.5899999999983</v>
      </c>
      <c r="AQ8">
        <f>'Tharaka-Nithi'!E19</f>
        <v>-284.34000000000003</v>
      </c>
      <c r="AR8">
        <f>'Trans Nzoia'!E19</f>
        <v>-4410.8249999999989</v>
      </c>
      <c r="AS8">
        <f>Turkana!E19</f>
        <v>18582.210000000021</v>
      </c>
      <c r="AT8">
        <f>'Uasin Gishu'!E19</f>
        <v>629.54999999999984</v>
      </c>
      <c r="AU8">
        <f>Vihiga!E19</f>
        <v>1070.4749999999999</v>
      </c>
      <c r="AV8">
        <f>Wajir!E19</f>
        <v>-19030.560000000001</v>
      </c>
      <c r="AW8">
        <f>'West Pokot'!E19</f>
        <v>-10236.014999999999</v>
      </c>
    </row>
    <row r="9" spans="1:49" ht="16" x14ac:dyDescent="0.2">
      <c r="A9" s="16">
        <v>4</v>
      </c>
      <c r="B9" s="17" t="s">
        <v>4</v>
      </c>
      <c r="C9">
        <f>Baringo!E20</f>
        <v>-14174.849999999977</v>
      </c>
      <c r="D9">
        <f>Bomet!E20</f>
        <v>-441.62999999999738</v>
      </c>
      <c r="E9">
        <f>Bungoma!E20</f>
        <v>-38010.209999999992</v>
      </c>
      <c r="F9">
        <f>Busia!E20</f>
        <v>-33703.544999999998</v>
      </c>
      <c r="G9">
        <f>'Elgeyo-Marakwet'!E20</f>
        <v>-25727.669999999984</v>
      </c>
      <c r="H9">
        <f>Embu!E20</f>
        <v>-49686.09</v>
      </c>
      <c r="I9">
        <f>Garissa!E20</f>
        <v>-160754.35499999998</v>
      </c>
      <c r="J9">
        <f>'Homa Bay'!E20</f>
        <v>-29474.804999999993</v>
      </c>
      <c r="K9">
        <f>Isiolo!E20</f>
        <v>-124284.04499999993</v>
      </c>
      <c r="L9">
        <f>Kajiado!E20</f>
        <v>-47215.020000000019</v>
      </c>
      <c r="M9">
        <f>Kakamega!E20</f>
        <v>-30529.05</v>
      </c>
      <c r="N9">
        <f>Kericho!E20</f>
        <v>-34202.354999999996</v>
      </c>
      <c r="O9">
        <f>Kiambu!E20</f>
        <v>-7359.7649999999994</v>
      </c>
      <c r="P9">
        <f>Kilifi!E20</f>
        <v>-36213.480000000098</v>
      </c>
      <c r="Q9">
        <f>Kirinyaga!E20</f>
        <v>-17487.585000000003</v>
      </c>
      <c r="R9">
        <f>Kisii!E20</f>
        <v>3474.3599999999988</v>
      </c>
      <c r="S9">
        <f>Kisumu!E20</f>
        <v>-26188.11</v>
      </c>
      <c r="T9">
        <f>Kitui!E20</f>
        <v>-401765.36999999965</v>
      </c>
      <c r="U9">
        <f>Kwale!E20</f>
        <v>-105859.81500000006</v>
      </c>
      <c r="V9">
        <f>Laikipia!E20</f>
        <v>-26311.665000000095</v>
      </c>
      <c r="W9">
        <f>Lamu!E20</f>
        <v>1850.429999999993</v>
      </c>
      <c r="X9">
        <f>Machakos!E20</f>
        <v>-89403.18</v>
      </c>
      <c r="Y9">
        <f>Makueni!E20</f>
        <v>-142112.5199999999</v>
      </c>
      <c r="Z9">
        <f>Mandera!E20</f>
        <v>-114468.97500000009</v>
      </c>
      <c r="AA9">
        <f>Marsabit!E20</f>
        <v>-88146.884999999776</v>
      </c>
      <c r="AB9">
        <f>Meru!E20</f>
        <v>-59308.979999999952</v>
      </c>
      <c r="AC9">
        <f>Migori!E20</f>
        <v>-38644.590000000011</v>
      </c>
      <c r="AD9">
        <f>Mombasa!E20</f>
        <v>-5819.8499999999985</v>
      </c>
      <c r="AE9">
        <f>'Murang''a'!E20</f>
        <v>-23068.65</v>
      </c>
      <c r="AF9">
        <f>Nairobi!E20</f>
        <v>562.84500000000116</v>
      </c>
      <c r="AG9">
        <f>Nakuru!E20</f>
        <v>-1986.6299999999756</v>
      </c>
      <c r="AH9">
        <f>Nandi!E20</f>
        <v>-30068.07</v>
      </c>
      <c r="AI9">
        <f>Narok!E20</f>
        <v>51207.82500000007</v>
      </c>
      <c r="AJ9">
        <f>Nyamira!E20</f>
        <v>946.40999999999985</v>
      </c>
      <c r="AK9">
        <f>Nyandarua!E20</f>
        <v>-14636.759999999995</v>
      </c>
      <c r="AL9">
        <f>Nyeri!E20</f>
        <v>-7077.0450000000055</v>
      </c>
      <c r="AM9">
        <f>Samburu!E20</f>
        <v>-144162.25499999989</v>
      </c>
      <c r="AN9">
        <f>Siaya!E20</f>
        <v>-46007.594999999994</v>
      </c>
      <c r="AO9">
        <f>'Taita Taveta'!E20</f>
        <v>-53841.375</v>
      </c>
      <c r="AP9">
        <f>'Tana River'!E20</f>
        <v>15296.250000000466</v>
      </c>
      <c r="AQ9">
        <f>'Tharaka-Nithi'!E20</f>
        <v>-28510.095000000001</v>
      </c>
      <c r="AR9">
        <f>'Trans Nzoia'!E20</f>
        <v>-56006.174999999988</v>
      </c>
      <c r="AS9">
        <f>Turkana!E20</f>
        <v>-281791.07999999961</v>
      </c>
      <c r="AT9">
        <f>'Uasin Gishu'!E20</f>
        <v>-48633.119999999988</v>
      </c>
      <c r="AU9">
        <f>Vihiga!E20</f>
        <v>-8456.07</v>
      </c>
      <c r="AV9">
        <f>Wajir!E20</f>
        <v>-207343.61999999965</v>
      </c>
      <c r="AW9">
        <f>'West Pokot'!E20</f>
        <v>11914.724999999977</v>
      </c>
    </row>
    <row r="10" spans="1:49" ht="16" x14ac:dyDescent="0.2">
      <c r="A10" s="16">
        <v>5</v>
      </c>
      <c r="B10" s="17" t="s">
        <v>5</v>
      </c>
      <c r="C10">
        <f>Baringo!E21</f>
        <v>-7593.3150000000169</v>
      </c>
      <c r="D10">
        <f>Bomet!E21</f>
        <v>-77761.679999999993</v>
      </c>
      <c r="E10">
        <f>Bungoma!E21</f>
        <v>-25958.879999999994</v>
      </c>
      <c r="F10">
        <f>Busia!E21</f>
        <v>-1421.1000000000004</v>
      </c>
      <c r="G10">
        <f>'Elgeyo-Marakwet'!E21</f>
        <v>-25356.404999999995</v>
      </c>
      <c r="H10">
        <f>Embu!E21</f>
        <v>-3403.3350000000009</v>
      </c>
      <c r="I10">
        <f>Garissa!E21</f>
        <v>265310.35499999992</v>
      </c>
      <c r="J10">
        <f>'Homa Bay'!E21</f>
        <v>-32805.465000000011</v>
      </c>
      <c r="K10">
        <f>Isiolo!E21</f>
        <v>171973.41000000003</v>
      </c>
      <c r="L10">
        <f>Kajiado!E21</f>
        <v>35938.290000000037</v>
      </c>
      <c r="M10">
        <f>Kakamega!E21</f>
        <v>-26513.279999999995</v>
      </c>
      <c r="N10">
        <f>Kericho!E21</f>
        <v>-42596.925000000003</v>
      </c>
      <c r="O10">
        <f>Kiambu!E21</f>
        <v>-14781.570000000003</v>
      </c>
      <c r="P10">
        <f>Kilifi!E21</f>
        <v>-574.69499999999243</v>
      </c>
      <c r="Q10">
        <f>Kirinyaga!E21</f>
        <v>-2858.7449999999994</v>
      </c>
      <c r="R10">
        <f>Kisii!E21</f>
        <v>-13547.204999999998</v>
      </c>
      <c r="S10">
        <f>Kisumu!E21</f>
        <v>-19094.460000000003</v>
      </c>
      <c r="T10">
        <f>Kitui!E21</f>
        <v>-10428.285000000003</v>
      </c>
      <c r="U10">
        <f>Kwale!E21</f>
        <v>26415.225000000006</v>
      </c>
      <c r="V10">
        <f>Laikipia!E21</f>
        <v>-35900.59500000003</v>
      </c>
      <c r="W10">
        <f>Lamu!E21</f>
        <v>-1169.6400000000012</v>
      </c>
      <c r="X10">
        <f>Machakos!E21</f>
        <v>-32208.764999999999</v>
      </c>
      <c r="Y10">
        <f>Makueni!E21</f>
        <v>-1670.3399999999965</v>
      </c>
      <c r="Z10">
        <f>Mandera!E21</f>
        <v>127775.19000000002</v>
      </c>
      <c r="AA10">
        <f>Marsabit!E21</f>
        <v>190635.81000000006</v>
      </c>
      <c r="AB10">
        <f>Meru!E21</f>
        <v>-25624.920000000013</v>
      </c>
      <c r="AC10">
        <f>Migori!E21</f>
        <v>-39489.330000000009</v>
      </c>
      <c r="AD10">
        <f>Mombasa!E21</f>
        <v>1758.2999999999997</v>
      </c>
      <c r="AE10">
        <f>'Murang''a'!E21</f>
        <v>-13379.445</v>
      </c>
      <c r="AF10">
        <f>Nairobi!E21</f>
        <v>-9368.9399999999987</v>
      </c>
      <c r="AG10">
        <f>Nakuru!E21</f>
        <v>-94366.64999999998</v>
      </c>
      <c r="AH10">
        <f>Nandi!E21</f>
        <v>-40678.619999999995</v>
      </c>
      <c r="AI10">
        <f>Narok!E21</f>
        <v>-131201.84999999998</v>
      </c>
      <c r="AJ10">
        <f>Nyamira!E21</f>
        <v>-14484.255000000001</v>
      </c>
      <c r="AK10">
        <f>Nyandarua!E21</f>
        <v>-64025.61</v>
      </c>
      <c r="AL10">
        <f>Nyeri!E21</f>
        <v>-39292.334999999992</v>
      </c>
      <c r="AM10">
        <f>Samburu!E21</f>
        <v>74526.765000000014</v>
      </c>
      <c r="AN10">
        <f>Siaya!E21</f>
        <v>-23427.045000000006</v>
      </c>
      <c r="AO10">
        <f>'Taita Taveta'!E21</f>
        <v>25809.014999999985</v>
      </c>
      <c r="AP10">
        <f>'Tana River'!E21</f>
        <v>-35516.684999999998</v>
      </c>
      <c r="AQ10">
        <f>'Tharaka-Nithi'!E21</f>
        <v>-231.25500000000102</v>
      </c>
      <c r="AR10">
        <f>'Trans Nzoia'!E21</f>
        <v>-30123.674999999996</v>
      </c>
      <c r="AS10">
        <f>Turkana!E21</f>
        <v>302545.78499999992</v>
      </c>
      <c r="AT10">
        <f>'Uasin Gishu'!E21</f>
        <v>-55631.699999999983</v>
      </c>
      <c r="AU10">
        <f>Vihiga!E21</f>
        <v>-456.04499999999962</v>
      </c>
      <c r="AV10">
        <f>Wajir!E21</f>
        <v>234473.11499999999</v>
      </c>
      <c r="AW10">
        <f>'West Pokot'!E21</f>
        <v>-33925.785000000003</v>
      </c>
    </row>
    <row r="11" spans="1:49" ht="16" x14ac:dyDescent="0.2">
      <c r="A11" s="16">
        <v>6</v>
      </c>
      <c r="B11" s="17" t="s">
        <v>6</v>
      </c>
      <c r="C11">
        <f>Baringo!E22</f>
        <v>1012.9050000000002</v>
      </c>
      <c r="D11">
        <f>Bomet!E22</f>
        <v>5249.2800000000007</v>
      </c>
      <c r="E11">
        <f>Bungoma!E22</f>
        <v>-3022.6800000000003</v>
      </c>
      <c r="F11">
        <f>Busia!E22</f>
        <v>467.57999999999993</v>
      </c>
      <c r="G11">
        <f>'Elgeyo-Marakwet'!E22</f>
        <v>629.38499999999999</v>
      </c>
      <c r="H11">
        <f>Embu!E22</f>
        <v>6524.6100000000006</v>
      </c>
      <c r="I11">
        <f>Garissa!E22</f>
        <v>0</v>
      </c>
      <c r="J11">
        <f>'Homa Bay'!E22</f>
        <v>92.429999999999836</v>
      </c>
      <c r="K11">
        <f>Isiolo!E22</f>
        <v>0.73166666666666669</v>
      </c>
      <c r="L11">
        <f>Kajiado!E22</f>
        <v>535.42499999999995</v>
      </c>
      <c r="M11">
        <f>Kakamega!E22</f>
        <v>-9163.77</v>
      </c>
      <c r="N11">
        <f>Kericho!E22</f>
        <v>6672.0750000000025</v>
      </c>
      <c r="O11">
        <f>Kiambu!E22</f>
        <v>-10570.214999999997</v>
      </c>
      <c r="P11">
        <f>Kilifi!E22</f>
        <v>1947.0300000000002</v>
      </c>
      <c r="Q11">
        <f>Kirinyaga!E22</f>
        <v>3735.0149999999976</v>
      </c>
      <c r="R11">
        <f>Kisii!E22</f>
        <v>2256.2249999999999</v>
      </c>
      <c r="S11">
        <f>Kisumu!E22</f>
        <v>-273.68999999999869</v>
      </c>
      <c r="T11">
        <f>Kitui!E22</f>
        <v>82.605000000000004</v>
      </c>
      <c r="U11">
        <f>Kwale!E22</f>
        <v>748.67999999999984</v>
      </c>
      <c r="V11">
        <f>Laikipia!E22</f>
        <v>60.85499999999999</v>
      </c>
      <c r="W11">
        <f>Lamu!E22</f>
        <v>4.0166666666666666</v>
      </c>
      <c r="X11">
        <f>Machakos!E22</f>
        <v>270.51</v>
      </c>
      <c r="Y11">
        <f>Makueni!E22</f>
        <v>1205.4300000000003</v>
      </c>
      <c r="Z11">
        <f>Mandera!E22</f>
        <v>0</v>
      </c>
      <c r="AA11">
        <f>Marsabit!E22</f>
        <v>0</v>
      </c>
      <c r="AB11">
        <f>Meru!E22</f>
        <v>9344.6100000000042</v>
      </c>
      <c r="AC11">
        <f>Migori!E22</f>
        <v>8205.7649999999994</v>
      </c>
      <c r="AD11">
        <f>Mombasa!E22</f>
        <v>0.43500000000000005</v>
      </c>
      <c r="AE11">
        <f>'Murang''a'!E22</f>
        <v>6079.9800000000032</v>
      </c>
      <c r="AF11">
        <f>Nairobi!E22</f>
        <v>-733.63499999999988</v>
      </c>
      <c r="AG11">
        <f>Nakuru!E22</f>
        <v>-1800.2550000000001</v>
      </c>
      <c r="AH11">
        <f>Nandi!E22</f>
        <v>6139.6200000000008</v>
      </c>
      <c r="AI11">
        <f>Narok!E22</f>
        <v>6052.5899999999992</v>
      </c>
      <c r="AJ11">
        <f>Nyamira!E22</f>
        <v>2548.3800000000006</v>
      </c>
      <c r="AK11">
        <f>Nyandarua!E22</f>
        <v>205.87500000000006</v>
      </c>
      <c r="AL11">
        <f>Nyeri!E22</f>
        <v>12985.769999999999</v>
      </c>
      <c r="AM11">
        <f>Samburu!E22</f>
        <v>0</v>
      </c>
      <c r="AN11">
        <f>Siaya!E22</f>
        <v>-280.38</v>
      </c>
      <c r="AO11">
        <f>'Taita Taveta'!E22</f>
        <v>3389.1149999999998</v>
      </c>
      <c r="AP11">
        <f>'Tana River'!E22</f>
        <v>9.9566666666666652</v>
      </c>
      <c r="AQ11">
        <f>'Tharaka-Nithi'!E22</f>
        <v>3071.3700000000008</v>
      </c>
      <c r="AR11">
        <f>'Trans Nzoia'!E22</f>
        <v>406.12499999999994</v>
      </c>
      <c r="AS11">
        <f>Turkana!E22</f>
        <v>0</v>
      </c>
      <c r="AT11">
        <f>'Uasin Gishu'!E22</f>
        <v>180.13499999999999</v>
      </c>
      <c r="AU11">
        <f>Vihiga!E22</f>
        <v>-70.70999999999998</v>
      </c>
      <c r="AV11">
        <f>Wajir!E22</f>
        <v>0</v>
      </c>
      <c r="AW11">
        <f>'West Pokot'!E22</f>
        <v>946.23</v>
      </c>
    </row>
    <row r="12" spans="1:49" ht="16" x14ac:dyDescent="0.2">
      <c r="A12" s="16">
        <v>7</v>
      </c>
      <c r="B12" s="17" t="s">
        <v>7</v>
      </c>
      <c r="C12">
        <f>Baringo!E23</f>
        <v>36084.030000000006</v>
      </c>
      <c r="D12">
        <f>Bomet!E23</f>
        <v>65497.154999999992</v>
      </c>
      <c r="E12">
        <f>Bungoma!E23</f>
        <v>65344.59</v>
      </c>
      <c r="F12">
        <f>Busia!E23</f>
        <v>31393.544999999984</v>
      </c>
      <c r="G12">
        <f>'Elgeyo-Marakwet'!E23</f>
        <v>72966.945000000007</v>
      </c>
      <c r="H12">
        <f>Embu!E23</f>
        <v>52849.740000000005</v>
      </c>
      <c r="I12">
        <f>Garissa!E23</f>
        <v>709.18499999999995</v>
      </c>
      <c r="J12">
        <f>'Homa Bay'!E23</f>
        <v>59349.899999999994</v>
      </c>
      <c r="K12">
        <f>Isiolo!E23</f>
        <v>1286.3699999999999</v>
      </c>
      <c r="L12">
        <f>Kajiado!E23</f>
        <v>34751.114999999998</v>
      </c>
      <c r="M12">
        <f>Kakamega!E23</f>
        <v>63080.51999999999</v>
      </c>
      <c r="N12">
        <f>Kericho!E23</f>
        <v>73257.3</v>
      </c>
      <c r="O12">
        <f>Kiambu!E23</f>
        <v>32953.544999999998</v>
      </c>
      <c r="P12">
        <f>Kilifi!E23</f>
        <v>69534.465000000011</v>
      </c>
      <c r="Q12">
        <f>Kirinyaga!E23</f>
        <v>14828.879999999983</v>
      </c>
      <c r="R12">
        <f>Kisii!E23</f>
        <v>5193.0149999999994</v>
      </c>
      <c r="S12">
        <f>Kisumu!E23</f>
        <v>41251.110000000015</v>
      </c>
      <c r="T12">
        <f>Kitui!E23</f>
        <v>379650.06000000006</v>
      </c>
      <c r="U12">
        <f>Kwale!E23</f>
        <v>98631.525000000009</v>
      </c>
      <c r="V12">
        <f>Laikipia!E23</f>
        <v>58156.140000000007</v>
      </c>
      <c r="W12">
        <f>Lamu!E23</f>
        <v>10838.835000000003</v>
      </c>
      <c r="X12">
        <f>Machakos!E23</f>
        <v>117917.25000000003</v>
      </c>
      <c r="Y12">
        <f>Makueni!E23</f>
        <v>151878.64499999999</v>
      </c>
      <c r="Z12">
        <f>Mandera!E23</f>
        <v>2403.8999999999996</v>
      </c>
      <c r="AA12">
        <f>Marsabit!E23</f>
        <v>3124.9949999999999</v>
      </c>
      <c r="AB12">
        <f>Meru!E23</f>
        <v>79896.225000000006</v>
      </c>
      <c r="AC12">
        <f>Migori!E23</f>
        <v>69361.185000000012</v>
      </c>
      <c r="AD12">
        <f>Mombasa!E23</f>
        <v>2359.7699999999995</v>
      </c>
      <c r="AE12">
        <f>'Murang''a'!E23</f>
        <v>31241.369999999981</v>
      </c>
      <c r="AF12">
        <f>Nairobi!E23</f>
        <v>6491.279999999997</v>
      </c>
      <c r="AG12">
        <f>Nakuru!E23</f>
        <v>127108.78499999997</v>
      </c>
      <c r="AH12">
        <f>Nandi!E23</f>
        <v>58834.275000000009</v>
      </c>
      <c r="AI12">
        <f>Narok!E23</f>
        <v>198571.65000000005</v>
      </c>
      <c r="AJ12">
        <f>Nyamira!E23</f>
        <v>7799.0849999999919</v>
      </c>
      <c r="AK12">
        <f>Nyandarua!E23</f>
        <v>71082.105000000025</v>
      </c>
      <c r="AL12">
        <f>Nyeri!E23</f>
        <v>29379.255000000005</v>
      </c>
      <c r="AM12">
        <f>Samburu!E23</f>
        <v>1122.7649999999999</v>
      </c>
      <c r="AN12">
        <f>Siaya!E23</f>
        <v>65980.185000000012</v>
      </c>
      <c r="AO12">
        <f>'Taita Taveta'!E23</f>
        <v>25232.415000000001</v>
      </c>
      <c r="AP12">
        <f>'Tana River'!E23</f>
        <v>16285.470000000001</v>
      </c>
      <c r="AQ12">
        <f>'Tharaka-Nithi'!E23</f>
        <v>35644.799999999988</v>
      </c>
      <c r="AR12">
        <f>'Trans Nzoia'!E23</f>
        <v>88679.79</v>
      </c>
      <c r="AS12">
        <f>Turkana!E23</f>
        <v>1226.01</v>
      </c>
      <c r="AT12">
        <f>'Uasin Gishu'!E23</f>
        <v>109861.37999999999</v>
      </c>
      <c r="AU12">
        <f>Vihiga!E23</f>
        <v>7072.5149999999994</v>
      </c>
      <c r="AV12">
        <f>Wajir!E23</f>
        <v>0</v>
      </c>
      <c r="AW12">
        <f>'West Pokot'!E23</f>
        <v>48374.100000000006</v>
      </c>
    </row>
    <row r="13" spans="1:49" ht="16" x14ac:dyDescent="0.2">
      <c r="A13" s="16">
        <v>8</v>
      </c>
      <c r="B13" s="17" t="s">
        <v>8</v>
      </c>
      <c r="C13">
        <f>Baringo!E24</f>
        <v>185.47500000000002</v>
      </c>
      <c r="D13">
        <f>Bomet!E24</f>
        <v>-16.829999999999998</v>
      </c>
      <c r="E13">
        <f>Bungoma!E24</f>
        <v>9.9899999999999984</v>
      </c>
      <c r="F13">
        <f>Busia!E24</f>
        <v>2357.7600000000002</v>
      </c>
      <c r="G13">
        <f>'Elgeyo-Marakwet'!E24</f>
        <v>-105.32999999999998</v>
      </c>
      <c r="H13">
        <f>Embu!E24</f>
        <v>10.139999999999999</v>
      </c>
      <c r="I13">
        <f>Garissa!E24</f>
        <v>-18.12</v>
      </c>
      <c r="J13">
        <f>'Homa Bay'!E24</f>
        <v>2410.0499999999997</v>
      </c>
      <c r="K13">
        <f>Isiolo!E24</f>
        <v>130.78500000000003</v>
      </c>
      <c r="L13">
        <f>Kajiado!E24</f>
        <v>-1290.7349999999997</v>
      </c>
      <c r="M13">
        <f>Kakamega!E24</f>
        <v>66.27</v>
      </c>
      <c r="N13">
        <f>Kericho!E24</f>
        <v>-23.100000000000005</v>
      </c>
      <c r="O13">
        <f>Kiambu!E24</f>
        <v>-103.53</v>
      </c>
      <c r="P13">
        <f>Kilifi!E24</f>
        <v>1267.8300000000002</v>
      </c>
      <c r="Q13">
        <f>Kirinyaga!E24</f>
        <v>17.055</v>
      </c>
      <c r="R13">
        <f>Kisii!E24</f>
        <v>14.715000000000002</v>
      </c>
      <c r="S13">
        <f>Kisumu!E24</f>
        <v>2466.9899999999989</v>
      </c>
      <c r="T13">
        <f>Kitui!E24</f>
        <v>168.44666666666666</v>
      </c>
      <c r="U13">
        <f>Kwale!E24</f>
        <v>0.58499999999999996</v>
      </c>
      <c r="V13">
        <f>Laikipia!E24</f>
        <v>-400.88999999999987</v>
      </c>
      <c r="W13">
        <f>Lamu!E24</f>
        <v>293.20500000000004</v>
      </c>
      <c r="X13">
        <f>Machakos!E24</f>
        <v>-20.399999999999999</v>
      </c>
      <c r="Y13">
        <f>Makueni!E24</f>
        <v>-10.74</v>
      </c>
      <c r="Z13">
        <f>Mandera!E24</f>
        <v>0</v>
      </c>
      <c r="AA13">
        <f>Marsabit!E24</f>
        <v>691.40999999999985</v>
      </c>
      <c r="AB13">
        <f>Meru!E24</f>
        <v>182.97000000000003</v>
      </c>
      <c r="AC13">
        <f>Migori!E24</f>
        <v>-214.40999999999997</v>
      </c>
      <c r="AD13">
        <f>Mombasa!E24</f>
        <v>0</v>
      </c>
      <c r="AE13">
        <f>'Murang''a'!E24</f>
        <v>-61.38</v>
      </c>
      <c r="AF13">
        <f>Nairobi!E24</f>
        <v>6.7199999999999989</v>
      </c>
      <c r="AG13">
        <f>Nakuru!E24</f>
        <v>-30.855000000000018</v>
      </c>
      <c r="AH13">
        <f>Nandi!E24</f>
        <v>21.449999999999989</v>
      </c>
      <c r="AI13">
        <f>Narok!E24</f>
        <v>148.59</v>
      </c>
      <c r="AJ13">
        <f>Nyamira!E24</f>
        <v>-3.7200000000000006</v>
      </c>
      <c r="AK13">
        <f>Nyandarua!E24</f>
        <v>413.55000000000007</v>
      </c>
      <c r="AL13">
        <f>Nyeri!E24</f>
        <v>-17.519999999999996</v>
      </c>
      <c r="AM13">
        <f>Samburu!E24</f>
        <v>5.8350000000000009</v>
      </c>
      <c r="AN13">
        <f>Siaya!E24</f>
        <v>2437.8000000000002</v>
      </c>
      <c r="AO13">
        <f>'Taita Taveta'!E24</f>
        <v>764.56500000000051</v>
      </c>
      <c r="AP13">
        <f>'Tana River'!E24</f>
        <v>951.14999999999986</v>
      </c>
      <c r="AQ13">
        <f>'Tharaka-Nithi'!E24</f>
        <v>5.9250000000000007</v>
      </c>
      <c r="AR13">
        <f>'Trans Nzoia'!E24</f>
        <v>-7.4999999999999991</v>
      </c>
      <c r="AS13">
        <f>Turkana!E24</f>
        <v>7180.7699999999986</v>
      </c>
      <c r="AT13">
        <f>'Uasin Gishu'!E24</f>
        <v>-391.96499999999997</v>
      </c>
      <c r="AU13">
        <f>Vihiga!E24</f>
        <v>-36.134999999999991</v>
      </c>
      <c r="AV13">
        <f>Wajir!E24</f>
        <v>0</v>
      </c>
      <c r="AW13">
        <f>'West Pokot'!E24</f>
        <v>49.106666666666662</v>
      </c>
    </row>
    <row r="14" spans="1:49" ht="16" x14ac:dyDescent="0.2">
      <c r="A14" s="16">
        <v>9</v>
      </c>
      <c r="B14" s="17" t="s">
        <v>9</v>
      </c>
      <c r="C14">
        <f>Baringo!E25</f>
        <v>6528.9299999999985</v>
      </c>
      <c r="D14">
        <f>Bomet!E25</f>
        <v>77.73</v>
      </c>
      <c r="E14">
        <f>Bungoma!E25</f>
        <v>77.759999999999991</v>
      </c>
      <c r="F14">
        <f>Busia!E25</f>
        <v>-47.055000000000291</v>
      </c>
      <c r="G14">
        <f>'Elgeyo-Marakwet'!E25</f>
        <v>146.53499999999997</v>
      </c>
      <c r="H14">
        <f>Embu!E25</f>
        <v>-1377.0900000000001</v>
      </c>
      <c r="I14">
        <f>Garissa!E25</f>
        <v>367.48500000000001</v>
      </c>
      <c r="J14">
        <f>'Homa Bay'!E25</f>
        <v>-564.83999999999651</v>
      </c>
      <c r="K14">
        <f>Isiolo!E25</f>
        <v>-171.28500000000008</v>
      </c>
      <c r="L14">
        <f>Kajiado!E25</f>
        <v>-1453.3950000000004</v>
      </c>
      <c r="M14">
        <f>Kakamega!E25</f>
        <v>250.24499999999995</v>
      </c>
      <c r="N14">
        <f>Kericho!E25</f>
        <v>126.03</v>
      </c>
      <c r="O14">
        <f>Kiambu!E25</f>
        <v>-248.63999999999993</v>
      </c>
      <c r="P14">
        <f>Kilifi!E25</f>
        <v>1008.4650000000006</v>
      </c>
      <c r="Q14">
        <f>Kirinyaga!E25</f>
        <v>-164.83499999999998</v>
      </c>
      <c r="R14">
        <f>Kisii!E25</f>
        <v>-25.724999999999998</v>
      </c>
      <c r="S14">
        <f>Kisumu!E25</f>
        <v>-1499.385000000002</v>
      </c>
      <c r="T14">
        <f>Kitui!E25</f>
        <v>425.91000000000031</v>
      </c>
      <c r="U14">
        <f>Kwale!E25</f>
        <v>193.245</v>
      </c>
      <c r="V14">
        <f>Laikipia!E25</f>
        <v>138.7949999999999</v>
      </c>
      <c r="W14">
        <f>Lamu!E25</f>
        <v>-419.9849999999999</v>
      </c>
      <c r="X14">
        <f>Machakos!E25</f>
        <v>-1768.4099999999999</v>
      </c>
      <c r="Y14">
        <f>Makueni!E25</f>
        <v>421.20000000000005</v>
      </c>
      <c r="Z14">
        <f>Mandera!E25</f>
        <v>988.005</v>
      </c>
      <c r="AA14">
        <f>Marsabit!E25</f>
        <v>5076.1800000000512</v>
      </c>
      <c r="AB14">
        <f>Meru!E25</f>
        <v>56.52000000000001</v>
      </c>
      <c r="AC14">
        <f>Migori!E25</f>
        <v>-344.26500000000669</v>
      </c>
      <c r="AD14">
        <f>Mombasa!E25</f>
        <v>210.17999999999995</v>
      </c>
      <c r="AE14">
        <f>'Murang''a'!E25</f>
        <v>-166.79999999999995</v>
      </c>
      <c r="AF14">
        <f>Nairobi!E25</f>
        <v>-52.259999999999991</v>
      </c>
      <c r="AG14">
        <f>Nakuru!E25</f>
        <v>4083.5999999999985</v>
      </c>
      <c r="AH14">
        <f>Nandi!E25</f>
        <v>31.5</v>
      </c>
      <c r="AI14">
        <f>Narok!E25</f>
        <v>929.33999999999992</v>
      </c>
      <c r="AJ14">
        <f>Nyamira!E25</f>
        <v>3.345000000000006</v>
      </c>
      <c r="AK14">
        <f>Nyandarua!E25</f>
        <v>1055.8500000000001</v>
      </c>
      <c r="AL14">
        <f>Nyeri!E25</f>
        <v>43.740000000000009</v>
      </c>
      <c r="AM14">
        <f>Samburu!E25</f>
        <v>-9.0749999999999886</v>
      </c>
      <c r="AN14">
        <f>Siaya!E25</f>
        <v>-25.139999999999418</v>
      </c>
      <c r="AO14">
        <f>'Taita Taveta'!E25</f>
        <v>685.27499999999975</v>
      </c>
      <c r="AP14">
        <f>'Tana River'!E25</f>
        <v>-3595.2749999999978</v>
      </c>
      <c r="AQ14">
        <f>'Tharaka-Nithi'!E25</f>
        <v>176.98499999999996</v>
      </c>
      <c r="AR14">
        <f>'Trans Nzoia'!E25</f>
        <v>73.154999999999987</v>
      </c>
      <c r="AS14">
        <f>Turkana!E25</f>
        <v>3446.5350000000326</v>
      </c>
      <c r="AT14">
        <f>'Uasin Gishu'!E25</f>
        <v>49.125</v>
      </c>
      <c r="AU14">
        <f>Vihiga!E25</f>
        <v>13.094999999999999</v>
      </c>
      <c r="AV14">
        <f>Wajir!E25</f>
        <v>235.93499999999997</v>
      </c>
      <c r="AW14">
        <f>'West Pokot'!E25</f>
        <v>1565.5949999999996</v>
      </c>
    </row>
    <row r="15" spans="1:49" ht="16" x14ac:dyDescent="0.2">
      <c r="A15" s="16">
        <v>10</v>
      </c>
      <c r="B15" s="17" t="s">
        <v>10</v>
      </c>
      <c r="C15">
        <f>Baringo!E26</f>
        <v>-12249.57</v>
      </c>
      <c r="D15">
        <f>Bomet!E26</f>
        <v>78.809999999999988</v>
      </c>
      <c r="E15">
        <f>Bungoma!E26</f>
        <v>3272.835</v>
      </c>
      <c r="F15">
        <f>Busia!E26</f>
        <v>760.27500000000009</v>
      </c>
      <c r="G15">
        <f>'Elgeyo-Marakwet'!E26</f>
        <v>674.52</v>
      </c>
      <c r="H15">
        <f>Embu!E26</f>
        <v>440.38499999999988</v>
      </c>
      <c r="I15">
        <f>Garissa!E26</f>
        <v>-14538.629999999997</v>
      </c>
      <c r="J15">
        <f>'Homa Bay'!E26</f>
        <v>1151.58</v>
      </c>
      <c r="K15">
        <f>Isiolo!E26</f>
        <v>-98570.669999999984</v>
      </c>
      <c r="L15">
        <f>Kajiado!E26</f>
        <v>-10508.220000000001</v>
      </c>
      <c r="M15">
        <f>Kakamega!E26</f>
        <v>830.1450000000001</v>
      </c>
      <c r="N15">
        <f>Kericho!E26</f>
        <v>1016.8050000000001</v>
      </c>
      <c r="O15">
        <f>Kiambu!E26</f>
        <v>711.32999999999993</v>
      </c>
      <c r="P15">
        <f>Kilifi!E26</f>
        <v>7185.57</v>
      </c>
      <c r="Q15">
        <f>Kirinyaga!E26</f>
        <v>678.27000000000021</v>
      </c>
      <c r="R15">
        <f>Kisii!E26</f>
        <v>1031.67</v>
      </c>
      <c r="S15">
        <f>Kisumu!E26</f>
        <v>3002.085</v>
      </c>
      <c r="T15">
        <f>Kitui!E26</f>
        <v>5684.9700000000012</v>
      </c>
      <c r="U15">
        <f>Kwale!E26</f>
        <v>2049.21</v>
      </c>
      <c r="V15">
        <f>Laikipia!E26</f>
        <v>1797.1049999999998</v>
      </c>
      <c r="W15">
        <f>Lamu!E26</f>
        <v>1396.3200000000002</v>
      </c>
      <c r="X15">
        <f>Machakos!E26</f>
        <v>2226.8699999999994</v>
      </c>
      <c r="Y15">
        <f>Makueni!E26</f>
        <v>1395.42</v>
      </c>
      <c r="Z15">
        <f>Mandera!E26</f>
        <v>-13132.184999999998</v>
      </c>
      <c r="AA15">
        <f>Marsabit!E26</f>
        <v>-123169.0950000002</v>
      </c>
      <c r="AB15">
        <f>Meru!E26</f>
        <v>2614.5749999999989</v>
      </c>
      <c r="AC15">
        <f>Migori!E26</f>
        <v>1272.8400000000001</v>
      </c>
      <c r="AD15">
        <f>Mombasa!E26</f>
        <v>2196.375</v>
      </c>
      <c r="AE15">
        <f>'Murang''a'!E26</f>
        <v>401.1</v>
      </c>
      <c r="AF15">
        <f>Nairobi!E26</f>
        <v>4295.37</v>
      </c>
      <c r="AG15">
        <f>Nakuru!E26</f>
        <v>4331.04</v>
      </c>
      <c r="AH15">
        <f>Nandi!E26</f>
        <v>347.95500000000004</v>
      </c>
      <c r="AI15">
        <f>Narok!E26</f>
        <v>724.54500000000007</v>
      </c>
      <c r="AJ15">
        <f>Nyamira!E26</f>
        <v>291.40499999999997</v>
      </c>
      <c r="AK15">
        <f>Nyandarua!E26</f>
        <v>919.8449999999998</v>
      </c>
      <c r="AL15">
        <f>Nyeri!E26</f>
        <v>935.02499999999986</v>
      </c>
      <c r="AM15">
        <f>Samburu!E26</f>
        <v>-22694.175000000003</v>
      </c>
      <c r="AN15">
        <f>Siaya!E26</f>
        <v>1365.5849999999996</v>
      </c>
      <c r="AO15">
        <f>'Taita Taveta'!E26</f>
        <v>37.710000000000036</v>
      </c>
      <c r="AP15">
        <f>'Tana River'!E26</f>
        <v>5980.5599999999977</v>
      </c>
      <c r="AQ15">
        <f>'Tharaka-Nithi'!E26</f>
        <v>437.44499999999994</v>
      </c>
      <c r="AR15">
        <f>'Trans Nzoia'!E26</f>
        <v>1648.3650000000002</v>
      </c>
      <c r="AS15">
        <f>Turkana!E26</f>
        <v>-45275.895000000019</v>
      </c>
      <c r="AT15">
        <f>'Uasin Gishu'!E26</f>
        <v>2614.7549999999997</v>
      </c>
      <c r="AU15">
        <f>Vihiga!E26</f>
        <v>56.19</v>
      </c>
      <c r="AV15">
        <f>Wajir!E26</f>
        <v>-12175.395000000019</v>
      </c>
      <c r="AW15">
        <f>'West Pokot'!E26</f>
        <v>-3716.55</v>
      </c>
    </row>
    <row r="16" spans="1:49" ht="16" x14ac:dyDescent="0.2">
      <c r="A16" s="16"/>
      <c r="B16" s="17"/>
      <c r="C16" s="14">
        <f t="shared" ref="C16:AV16" si="0">SUM(C6:C15)</f>
        <v>0</v>
      </c>
      <c r="D16" s="14">
        <f t="shared" si="0"/>
        <v>8.8107299234252423E-13</v>
      </c>
      <c r="E16" s="14">
        <f t="shared" si="0"/>
        <v>8.1854523159563541E-12</v>
      </c>
      <c r="F16" s="14">
        <f t="shared" si="0"/>
        <v>-1.0459189070388675E-11</v>
      </c>
      <c r="G16" s="14">
        <f t="shared" si="0"/>
        <v>2.3305801732931286E-11</v>
      </c>
      <c r="H16" s="14">
        <f t="shared" si="0"/>
        <v>9.3223206931725144E-12</v>
      </c>
      <c r="I16" s="14">
        <f t="shared" si="0"/>
        <v>-4.0017766878008842E-11</v>
      </c>
      <c r="J16" s="14">
        <f t="shared" si="0"/>
        <v>-5.0022208597511053E-12</v>
      </c>
      <c r="K16" s="14">
        <f t="shared" si="0"/>
        <v>-3.333333320915699E-2</v>
      </c>
      <c r="L16" s="14">
        <f t="shared" si="0"/>
        <v>1.4551915228366852E-11</v>
      </c>
      <c r="M16" s="14">
        <f t="shared" si="0"/>
        <v>-3.5242919693700969E-12</v>
      </c>
      <c r="N16" s="14">
        <f t="shared" si="0"/>
        <v>0</v>
      </c>
      <c r="O16" s="14">
        <f t="shared" si="0"/>
        <v>-3.4106051316484809E-12</v>
      </c>
      <c r="P16" s="14">
        <f t="shared" si="0"/>
        <v>-7.8216544352471828E-11</v>
      </c>
      <c r="Q16" s="14">
        <f t="shared" si="0"/>
        <v>-2.5011104298755527E-11</v>
      </c>
      <c r="R16" s="14">
        <f t="shared" si="0"/>
        <v>2.0463630789890885E-12</v>
      </c>
      <c r="S16" s="14">
        <f t="shared" si="0"/>
        <v>9.0949470177292824E-12</v>
      </c>
      <c r="T16" s="14">
        <f t="shared" si="0"/>
        <v>-3.3333332852635067E-2</v>
      </c>
      <c r="U16" s="14">
        <f t="shared" si="0"/>
        <v>-5.184119800105691E-11</v>
      </c>
      <c r="V16" s="14">
        <f t="shared" si="0"/>
        <v>-1.1868905858136714E-10</v>
      </c>
      <c r="W16" s="14">
        <f t="shared" si="0"/>
        <v>-3.3333333364225837E-2</v>
      </c>
      <c r="X16" s="14">
        <f t="shared" si="0"/>
        <v>3.092281986027956E-11</v>
      </c>
      <c r="Y16" s="14">
        <f t="shared" si="0"/>
        <v>8.276401786133647E-11</v>
      </c>
      <c r="Z16" s="14">
        <f t="shared" si="0"/>
        <v>-7.2759576141834259E-11</v>
      </c>
      <c r="AA16" s="14">
        <f t="shared" si="0"/>
        <v>1.1641532182693481E-10</v>
      </c>
      <c r="AB16" s="14">
        <f t="shared" si="0"/>
        <v>4.0472514228895307E-11</v>
      </c>
      <c r="AC16" s="14">
        <f t="shared" si="0"/>
        <v>-1.4551915228366852E-11</v>
      </c>
      <c r="AD16" s="14">
        <f t="shared" si="0"/>
        <v>0</v>
      </c>
      <c r="AE16" s="14">
        <f t="shared" si="0"/>
        <v>-2.0008883439004421E-11</v>
      </c>
      <c r="AF16" s="14">
        <f t="shared" si="0"/>
        <v>0</v>
      </c>
      <c r="AG16" s="14">
        <f t="shared" si="0"/>
        <v>2.4556356947869062E-11</v>
      </c>
      <c r="AH16" s="14">
        <f t="shared" si="0"/>
        <v>2.3021584638627246E-11</v>
      </c>
      <c r="AI16" s="14">
        <f t="shared" si="0"/>
        <v>1.3960743672214448E-10</v>
      </c>
      <c r="AJ16" s="14">
        <f t="shared" si="0"/>
        <v>-9.7770680440589786E-12</v>
      </c>
      <c r="AK16" s="14">
        <f t="shared" si="0"/>
        <v>3.3878677641041577E-11</v>
      </c>
      <c r="AL16" s="14">
        <f t="shared" si="0"/>
        <v>-2.7284841053187847E-12</v>
      </c>
      <c r="AM16" s="14">
        <f t="shared" si="0"/>
        <v>1.0550138540565968E-10</v>
      </c>
      <c r="AN16" s="14">
        <f t="shared" si="0"/>
        <v>5.0022208597511053E-12</v>
      </c>
      <c r="AO16" s="14">
        <f t="shared" si="0"/>
        <v>-1.716671249596402E-11</v>
      </c>
      <c r="AP16" s="14">
        <f t="shared" si="0"/>
        <v>-3.3333332858092035E-2</v>
      </c>
      <c r="AQ16" s="14">
        <f t="shared" si="0"/>
        <v>-1.7905676941154525E-11</v>
      </c>
      <c r="AR16" s="14">
        <f t="shared" si="0"/>
        <v>1.0686562745831907E-11</v>
      </c>
      <c r="AS16" s="14">
        <f t="shared" si="0"/>
        <v>3.2014213502407074E-10</v>
      </c>
      <c r="AT16" s="14">
        <f t="shared" si="0"/>
        <v>2.0463630789890885E-11</v>
      </c>
      <c r="AU16" s="14">
        <f t="shared" si="0"/>
        <v>-5.4001247917767614E-13</v>
      </c>
      <c r="AV16" s="14">
        <f t="shared" si="0"/>
        <v>3.219611244276166E-10</v>
      </c>
      <c r="AW16" s="14">
        <f>SUM(AW6:AW15)</f>
        <v>-3.3333333353766648E-2</v>
      </c>
    </row>
    <row r="17" spans="1:49" ht="16" x14ac:dyDescent="0.2">
      <c r="A17" s="16"/>
      <c r="B17" s="17"/>
    </row>
    <row r="18" spans="1:49" ht="16" x14ac:dyDescent="0.2">
      <c r="A18" s="15" t="s">
        <v>67</v>
      </c>
      <c r="B18" s="16"/>
    </row>
    <row r="19" spans="1:49" ht="16" x14ac:dyDescent="0.2">
      <c r="A19" s="18" t="s">
        <v>14</v>
      </c>
      <c r="B19" s="19" t="s">
        <v>0</v>
      </c>
    </row>
    <row r="20" spans="1:49" ht="16" x14ac:dyDescent="0.2">
      <c r="A20" s="16">
        <v>1</v>
      </c>
      <c r="B20" s="17" t="s">
        <v>1</v>
      </c>
      <c r="C20" s="14">
        <f>Baringo!E31</f>
        <v>-7.7857044355355027</v>
      </c>
      <c r="D20" s="14">
        <f>Bomet!E31</f>
        <v>-4.9474047450109051</v>
      </c>
      <c r="E20" s="14">
        <f>Bungoma!E31</f>
        <v>-8.5527285907412303</v>
      </c>
      <c r="F20" s="14">
        <f>Busia!E31</f>
        <v>-76.148053519800982</v>
      </c>
      <c r="G20" s="14">
        <f>'Elgeyo-Marakwet'!E31</f>
        <v>-5.4985030465499793</v>
      </c>
      <c r="H20" s="14">
        <f>Embu!E31</f>
        <v>-12.139046913863501</v>
      </c>
      <c r="I20" s="14">
        <f>Garissa!E31</f>
        <v>-21.217611408579778</v>
      </c>
      <c r="J20" s="14">
        <f>'Homa Bay'!E31</f>
        <v>-28.318951925006452</v>
      </c>
      <c r="K20" s="14">
        <f>Isiolo!E31</f>
        <v>97.899733531526238</v>
      </c>
      <c r="L20" s="14">
        <f>Kajiado!E31</f>
        <v>-18.77277924841642</v>
      </c>
      <c r="M20" s="14">
        <f>Kakamega!E31</f>
        <v>4.2121304141142799</v>
      </c>
      <c r="N20" s="14">
        <f>Kericho!E31</f>
        <v>-15.757194464497809</v>
      </c>
      <c r="O20" s="14">
        <f>Kiambu!E31</f>
        <v>20.23758652374708</v>
      </c>
      <c r="P20" s="14">
        <f>Kilifi!E31</f>
        <v>-10.951394301036055</v>
      </c>
      <c r="Q20" s="14">
        <f>Kirinyaga!E31</f>
        <v>3.8834846692082592</v>
      </c>
      <c r="R20" s="14">
        <f>Kisii!E31</f>
        <v>38.324438505668972</v>
      </c>
      <c r="S20" s="14">
        <f>Kisumu!E31</f>
        <v>-22.503373819163311</v>
      </c>
      <c r="T20" s="14">
        <f>Kitui!E31</f>
        <v>5.4436748050331829E-2</v>
      </c>
      <c r="U20" s="14">
        <f>Kwale!E31</f>
        <v>-25.671948110619901</v>
      </c>
      <c r="V20" s="14">
        <f>Laikipia!E31</f>
        <v>-17.62956988688639</v>
      </c>
      <c r="W20" s="14">
        <f>Lamu!E31</f>
        <v>27.734528795130377</v>
      </c>
      <c r="X20" s="14">
        <f>Machakos!E31</f>
        <v>232.97094630785034</v>
      </c>
      <c r="Y20" s="14">
        <f>Makueni!E31</f>
        <v>-42.31945956362992</v>
      </c>
      <c r="Z20" s="14">
        <f>Mandera!E31</f>
        <v>-22.333230766576271</v>
      </c>
      <c r="AA20" s="14">
        <f>Marsabit!E31</f>
        <v>36.917863945258297</v>
      </c>
      <c r="AB20" s="14">
        <f>Meru!E31</f>
        <v>-8.5898394954321322</v>
      </c>
      <c r="AC20" s="14">
        <f>Migori!E31</f>
        <v>-79.183403737009883</v>
      </c>
      <c r="AD20" s="14">
        <f>Mombasa!E31</f>
        <v>-77.597224758079236</v>
      </c>
      <c r="AE20" s="14">
        <f>'Murang''a'!E31</f>
        <v>14.291216974095569</v>
      </c>
      <c r="AF20" s="14">
        <f>Nairobi!E31</f>
        <v>-8.8036311749655418</v>
      </c>
      <c r="AG20" s="14">
        <f>Nakuru!E31</f>
        <v>-47.519562506229043</v>
      </c>
      <c r="AH20" s="14">
        <f>Nandi!E31</f>
        <v>8.2060990548584485</v>
      </c>
      <c r="AI20" s="14">
        <f>Narok!E31</f>
        <v>-40.685898401715939</v>
      </c>
      <c r="AJ20" s="14">
        <f>Nyamira!E31</f>
        <v>45.100512985822014</v>
      </c>
      <c r="AK20" s="14">
        <f>Nyandarua!E31</f>
        <v>12.203635575598417</v>
      </c>
      <c r="AL20" s="14">
        <f>Nyeri!E31</f>
        <v>2.0174158647759488</v>
      </c>
      <c r="AM20" s="14">
        <f>Samburu!E31</f>
        <v>74.925414512893994</v>
      </c>
      <c r="AN20" s="14">
        <f>Siaya!E31</f>
        <v>-40.530973451327426</v>
      </c>
      <c r="AO20" s="14">
        <f>'Taita Taveta'!E31</f>
        <v>-32.246141675145132</v>
      </c>
      <c r="AP20" s="14">
        <f>'Tana River'!E31</f>
        <v>21.87167460393886</v>
      </c>
      <c r="AQ20" s="14">
        <f>'Tharaka-Nithi'!E31</f>
        <v>-17.95994209952401</v>
      </c>
      <c r="AR20" s="14">
        <f>'Trans Nzoia'!E31</f>
        <v>-7.89319641769944</v>
      </c>
      <c r="AS20" s="14">
        <f>Turkana!E31</f>
        <v>-25.699848859843748</v>
      </c>
      <c r="AT20" s="14">
        <f>'Uasin Gishu'!E31</f>
        <v>-30.477832131669842</v>
      </c>
      <c r="AU20" s="14">
        <f>Vihiga!E31</f>
        <v>44.206028163873597</v>
      </c>
      <c r="AV20" s="14">
        <f>Wajir!E31</f>
        <v>44.363016922917353</v>
      </c>
      <c r="AW20" s="14">
        <f>'West Pokot'!E31</f>
        <v>-25.151185101990809</v>
      </c>
    </row>
    <row r="21" spans="1:49" ht="16" x14ac:dyDescent="0.2">
      <c r="A21" s="16">
        <v>2</v>
      </c>
      <c r="B21" s="17" t="s">
        <v>2</v>
      </c>
      <c r="C21" s="14">
        <f>Baringo!E32</f>
        <v>10.282321061771006</v>
      </c>
      <c r="D21" s="14">
        <f>Bomet!E32</f>
        <v>121.83079819755021</v>
      </c>
      <c r="E21" s="14">
        <f>Bungoma!E32</f>
        <v>185.69916477425812</v>
      </c>
      <c r="F21" s="14">
        <f>Busia!E32</f>
        <v>153.87390482734929</v>
      </c>
      <c r="G21" s="14">
        <f>'Elgeyo-Marakwet'!E32</f>
        <v>-84.119987857350267</v>
      </c>
      <c r="H21" s="14">
        <f>Embu!E32</f>
        <v>-33.686626611759934</v>
      </c>
      <c r="I21" s="14">
        <f>Garissa!E32</f>
        <v>-25.40847785674395</v>
      </c>
      <c r="J21" s="14">
        <f>'Homa Bay'!E32</f>
        <v>565.3756118323048</v>
      </c>
      <c r="K21" s="14">
        <f>Isiolo!E32</f>
        <v>667.82288426911123</v>
      </c>
      <c r="L21" s="14">
        <f>Kajiado!E32</f>
        <v>1.4111403233172302</v>
      </c>
      <c r="M21" s="14">
        <f>Kakamega!E32</f>
        <v>-6.1092815668602158</v>
      </c>
      <c r="N21" s="14">
        <f>Kericho!E32</f>
        <v>55.86213391091438</v>
      </c>
      <c r="O21" s="14">
        <f>Kiambu!E32</f>
        <v>-61.117144537059453</v>
      </c>
      <c r="P21" s="14">
        <f>Kilifi!E32</f>
        <v>-34.313293715627573</v>
      </c>
      <c r="Q21" s="14">
        <f>Kirinyaga!E32</f>
        <v>182.31180584121759</v>
      </c>
      <c r="R21" s="14">
        <f>Kisii!E32</f>
        <v>537.1205733558179</v>
      </c>
      <c r="S21" s="14">
        <f>Kisumu!E32</f>
        <v>194.58516154766659</v>
      </c>
      <c r="T21" s="14">
        <f>Kitui!E32</f>
        <v>-4.2023085595474727</v>
      </c>
      <c r="U21" s="14">
        <f>Kwale!E32</f>
        <v>-34.507407044644218</v>
      </c>
      <c r="V21" s="14">
        <f>Laikipia!E32</f>
        <v>262.55720337267036</v>
      </c>
      <c r="W21" s="14">
        <f>Lamu!E32</f>
        <v>-44.483400951702762</v>
      </c>
      <c r="X21" s="14">
        <f>Machakos!E32</f>
        <v>-13.20496106550158</v>
      </c>
      <c r="Y21" s="14">
        <f>Makueni!E32</f>
        <v>79.076522769167283</v>
      </c>
      <c r="Z21" s="14">
        <f>Mandera!E32</f>
        <v>416.31063701428684</v>
      </c>
      <c r="AA21" s="14">
        <f>Marsabit!E32</f>
        <v>9.5472792049164266</v>
      </c>
      <c r="AB21" s="14">
        <f>Meru!E32</f>
        <v>251.14211355233618</v>
      </c>
      <c r="AC21" s="14">
        <f>Migori!E32</f>
        <v>533.90838786436643</v>
      </c>
      <c r="AD21" s="14">
        <f>Mombasa!E32</f>
        <v>19.77443609022556</v>
      </c>
      <c r="AE21" s="14">
        <f>'Murang''a'!E32</f>
        <v>-67.958965410486613</v>
      </c>
      <c r="AF21" s="14">
        <f>Nairobi!E32</f>
        <v>-23.876746234844994</v>
      </c>
      <c r="AG21" s="14">
        <f>Nakuru!E32</f>
        <v>8.1202891581378953</v>
      </c>
      <c r="AH21" s="14">
        <f>Nandi!E32</f>
        <v>1.2341899845552597</v>
      </c>
      <c r="AI21" s="14">
        <f>Narok!E32</f>
        <v>-32.935377661891145</v>
      </c>
      <c r="AJ21" s="14">
        <f>Nyamira!E32</f>
        <v>1380.7282003710575</v>
      </c>
      <c r="AK21" s="14">
        <f>Nyandarua!E32</f>
        <v>-45.298521256931615</v>
      </c>
      <c r="AL21" s="14">
        <f>Nyeri!E32</f>
        <v>72.175441843249729</v>
      </c>
      <c r="AM21" s="14">
        <f>Samburu!E32</f>
        <v>6.545003887168102</v>
      </c>
      <c r="AN21" s="14">
        <f>Siaya!E32</f>
        <v>-16.98830619126193</v>
      </c>
      <c r="AO21" s="14">
        <f>'Taita Taveta'!E32</f>
        <v>105.98651639036831</v>
      </c>
      <c r="AP21" s="14">
        <f>'Tana River'!E32</f>
        <v>-32.834000968437728</v>
      </c>
      <c r="AQ21" s="14">
        <f>'Tharaka-Nithi'!E32</f>
        <v>-17.234357645316543</v>
      </c>
      <c r="AR21" s="14">
        <f>'Trans Nzoia'!E32</f>
        <v>59.375917588333159</v>
      </c>
      <c r="AS21" s="14">
        <f>Turkana!E32</f>
        <v>0.10728464393038999</v>
      </c>
      <c r="AT21" s="14">
        <f>'Uasin Gishu'!E32</f>
        <v>-47.431867339581828</v>
      </c>
      <c r="AU21" s="14">
        <f>Vihiga!E32</f>
        <v>-48.085387957075866</v>
      </c>
      <c r="AV21" s="14">
        <f>Wajir!E32</f>
        <v>30.290583132207594</v>
      </c>
      <c r="AW21" s="14">
        <f>'West Pokot'!E32</f>
        <v>-25.162853734011183</v>
      </c>
    </row>
    <row r="22" spans="1:49" ht="16" x14ac:dyDescent="0.2">
      <c r="A22" s="16">
        <v>3</v>
      </c>
      <c r="B22" s="17" t="s">
        <v>3</v>
      </c>
      <c r="C22" s="14">
        <f>Baringo!E33</f>
        <v>-63.399605952069663</v>
      </c>
      <c r="D22" s="14">
        <f>Bomet!E33</f>
        <v>19.179669532604475</v>
      </c>
      <c r="E22" s="14">
        <f>Bungoma!E33</f>
        <v>-6.1590017630990266</v>
      </c>
      <c r="F22" s="14">
        <f>Busia!E33</f>
        <v>5668.709677419356</v>
      </c>
      <c r="G22" s="14">
        <f>'Elgeyo-Marakwet'!E33</f>
        <v>-22.900555495044088</v>
      </c>
      <c r="H22" s="14">
        <f>Embu!E33</f>
        <v>-99.611398963730579</v>
      </c>
      <c r="I22" s="14">
        <f>Garissa!E33</f>
        <v>-80.323945795055195</v>
      </c>
      <c r="J22" s="14">
        <f>'Homa Bay'!E33</f>
        <v>93.451720310765808</v>
      </c>
      <c r="K22" s="14">
        <f>Isiolo!E33</f>
        <v>-31.195464051344924</v>
      </c>
      <c r="L22" s="14">
        <f>Kajiado!E33</f>
        <v>-32.051923544296564</v>
      </c>
      <c r="M22" s="14">
        <f>Kakamega!E33</f>
        <v>454.296875</v>
      </c>
      <c r="N22" s="14">
        <f>Kericho!E33</f>
        <v>24.114521841794545</v>
      </c>
      <c r="O22" s="14">
        <f>Kiambu!E33</f>
        <v>-95.279306220095691</v>
      </c>
      <c r="P22" s="14">
        <f>Kilifi!E33</f>
        <v>70.48611373369485</v>
      </c>
      <c r="Q22" s="14">
        <f>Kirinyaga!E33</f>
        <v>-99.815043156596786</v>
      </c>
      <c r="R22" s="14">
        <f>Kisii!E33</f>
        <v>-60.788696752425139</v>
      </c>
      <c r="S22" s="14">
        <f>Kisumu!E33</f>
        <v>4031.1764705882351</v>
      </c>
      <c r="T22" s="14">
        <f>Kitui!E33</f>
        <v>410.71105072463763</v>
      </c>
      <c r="U22" s="14">
        <f>Kwale!E33</f>
        <v>-46.080093709408054</v>
      </c>
      <c r="V22" s="14">
        <f>Laikipia!E33</f>
        <v>-28.726658509336588</v>
      </c>
      <c r="W22" s="14">
        <f>Lamu!E33</f>
        <v>-31.271059650035781</v>
      </c>
      <c r="X22" s="14">
        <f>Machakos!E33</f>
        <v>-31.172950023019077</v>
      </c>
      <c r="Y22" s="14">
        <f>Makueni!E33</f>
        <v>29.54608859176906</v>
      </c>
      <c r="Z22" s="14">
        <f>Mandera!E33</f>
        <v>251.94049990361754</v>
      </c>
      <c r="AA22" s="14">
        <f>Marsabit!E33</f>
        <v>-7.5550842224782713</v>
      </c>
      <c r="AB22" s="14">
        <f>Meru!E33</f>
        <v>-83.471678429756324</v>
      </c>
      <c r="AC22" s="14">
        <f>Migori!E33</f>
        <v>234.01962241712505</v>
      </c>
      <c r="AD22" s="14">
        <f>Mombasa!E33</f>
        <v>-34.707646176911538</v>
      </c>
      <c r="AE22" s="14">
        <f>'Murang''a'!E33</f>
        <v>-99.581301187080157</v>
      </c>
      <c r="AF22" s="14">
        <f>Nairobi!E33</f>
        <v>-91.18664590901227</v>
      </c>
      <c r="AG22" s="14">
        <f>Nakuru!E33</f>
        <v>-23.560240637363815</v>
      </c>
      <c r="AH22" s="14">
        <f>Nandi!E33</f>
        <v>251.69808350714254</v>
      </c>
      <c r="AI22" s="14">
        <f>Narok!E33</f>
        <v>-22.318323500092493</v>
      </c>
      <c r="AJ22" s="14">
        <f>Nyamira!E33</f>
        <v>-52.765556253928345</v>
      </c>
      <c r="AK22" s="14">
        <f>Nyandarua!E33</f>
        <v>-75.233137780189224</v>
      </c>
      <c r="AL22" s="14">
        <f>Nyeri!E33</f>
        <v>-75.273063729915151</v>
      </c>
      <c r="AM22" s="14">
        <f>Samburu!E33</f>
        <v>25.179301588099761</v>
      </c>
      <c r="AN22" s="14">
        <f>Siaya!E33</f>
        <v>262299.99999999994</v>
      </c>
      <c r="AO22" s="14">
        <f>'Taita Taveta'!E33</f>
        <v>-10.581976188928504</v>
      </c>
      <c r="AP22" s="14">
        <f>'Tana River'!E33</f>
        <v>51.193456070991317</v>
      </c>
      <c r="AQ22" s="14">
        <f>'Tharaka-Nithi'!E33</f>
        <v>-78.897860650961462</v>
      </c>
      <c r="AR22" s="14">
        <f>'Trans Nzoia'!E33</f>
        <v>-42.105300839084734</v>
      </c>
      <c r="AS22" s="14">
        <f>Turkana!E33</f>
        <v>13.316542725754143</v>
      </c>
      <c r="AT22" s="14">
        <f>'Uasin Gishu'!E33</f>
        <v>115.77292287322074</v>
      </c>
      <c r="AU22" s="14">
        <f>Vihiga!E33</f>
        <v>35682.5</v>
      </c>
      <c r="AV22" s="14">
        <f>Wajir!E33</f>
        <v>-77.234446929564498</v>
      </c>
      <c r="AW22" s="14">
        <f>'West Pokot'!E33</f>
        <v>-19.388330878542398</v>
      </c>
    </row>
    <row r="23" spans="1:49" ht="16" x14ac:dyDescent="0.2">
      <c r="A23" s="16">
        <v>4</v>
      </c>
      <c r="B23" s="17" t="s">
        <v>4</v>
      </c>
      <c r="C23" s="14">
        <f>Baringo!E34</f>
        <v>-1.7163392613473265</v>
      </c>
      <c r="D23" s="14">
        <f>Bomet!E34</f>
        <v>-2.5835154131676479</v>
      </c>
      <c r="E23" s="14">
        <f>Bungoma!E34</f>
        <v>-70.993232987072801</v>
      </c>
      <c r="F23" s="14">
        <f>Busia!E34</f>
        <v>-57.219199996740365</v>
      </c>
      <c r="G23" s="14">
        <f>'Elgeyo-Marakwet'!E34</f>
        <v>-18.621625899852315</v>
      </c>
      <c r="H23" s="14">
        <f>Embu!E34</f>
        <v>-38.797031828641209</v>
      </c>
      <c r="I23" s="14">
        <f>Garissa!E34</f>
        <v>-4.4649947795973155</v>
      </c>
      <c r="J23" s="14">
        <f>'Homa Bay'!E34</f>
        <v>-33.718053434459556</v>
      </c>
      <c r="K23" s="14">
        <f>Isiolo!E34</f>
        <v>-8.6262411877672633</v>
      </c>
      <c r="L23" s="14">
        <f>Kajiado!E34</f>
        <v>-3.3969160346599701</v>
      </c>
      <c r="M23" s="14">
        <f>Kakamega!E34</f>
        <v>-56.714242721476658</v>
      </c>
      <c r="N23" s="14">
        <f>Kericho!E34</f>
        <v>-66.931389482162842</v>
      </c>
      <c r="O23" s="14">
        <f>Kiambu!E34</f>
        <v>-15.352004971204686</v>
      </c>
      <c r="P23" s="14">
        <f>Kilifi!E34</f>
        <v>-3.7258108693466201</v>
      </c>
      <c r="Q23" s="14">
        <f>Kirinyaga!E34</f>
        <v>-54.230871209478224</v>
      </c>
      <c r="R23" s="14">
        <f>Kisii!E34</f>
        <v>37.400453409289057</v>
      </c>
      <c r="S23" s="14">
        <f>Kisumu!E34</f>
        <v>-48.226591840996555</v>
      </c>
      <c r="T23" s="14">
        <f>Kitui!E34</f>
        <v>-18.131389267858395</v>
      </c>
      <c r="U23" s="14">
        <f>Kwale!E34</f>
        <v>-15.440556561128552</v>
      </c>
      <c r="V23" s="14">
        <f>Laikipia!E34</f>
        <v>-5.2685752079063457</v>
      </c>
      <c r="W23" s="14">
        <f>Lamu!E34</f>
        <v>0.50089531149125011</v>
      </c>
      <c r="X23" s="14">
        <f>Machakos!E34</f>
        <v>-30.859526323119852</v>
      </c>
      <c r="Y23" s="14">
        <f>Makueni!E34</f>
        <v>-27.318157117620473</v>
      </c>
      <c r="Z23" s="14">
        <f>Mandera!E34</f>
        <v>-4.8166716365468236</v>
      </c>
      <c r="AA23" s="14">
        <f>Marsabit!E34</f>
        <v>-3.5284939659419963</v>
      </c>
      <c r="AB23" s="14">
        <f>Meru!E34</f>
        <v>-23.072874189634497</v>
      </c>
      <c r="AC23" s="14">
        <f>Migori!E34</f>
        <v>-55.38318202220912</v>
      </c>
      <c r="AD23" s="14">
        <f>Mombasa!E34</f>
        <v>-40.272907882690703</v>
      </c>
      <c r="AE23" s="14">
        <f>'Murang''a'!E34</f>
        <v>-50.153436755032757</v>
      </c>
      <c r="AF23" s="14">
        <f>Nairobi!E34</f>
        <v>2.7704354965416687</v>
      </c>
      <c r="AG23" s="14">
        <f>Nakuru!E34</f>
        <v>-1.0244461777843521</v>
      </c>
      <c r="AH23" s="14">
        <f>Nandi!E34</f>
        <v>-57.937336950458374</v>
      </c>
      <c r="AI23" s="14">
        <f>Narok!E34</f>
        <v>8.831944601538213</v>
      </c>
      <c r="AJ23" s="14">
        <f>Nyamira!E34</f>
        <v>15.709953239147648</v>
      </c>
      <c r="AK23" s="14">
        <f>Nyandarua!E34</f>
        <v>-20.765090582223696</v>
      </c>
      <c r="AL23" s="14">
        <f>Nyeri!E34</f>
        <v>-12.77949897531715</v>
      </c>
      <c r="AM23" s="14">
        <f>Samburu!E34</f>
        <v>-9.9374379273122724</v>
      </c>
      <c r="AN23" s="14">
        <f>Siaya!E34</f>
        <v>-57.310390290332592</v>
      </c>
      <c r="AO23" s="14">
        <f>'Taita Taveta'!E34</f>
        <v>-3.7616615516642073</v>
      </c>
      <c r="AP23" s="14">
        <f>'Tana River'!E34</f>
        <v>0.46665589312008643</v>
      </c>
      <c r="AQ23" s="14">
        <f>'Tharaka-Nithi'!E34</f>
        <v>-26.59322353567995</v>
      </c>
      <c r="AR23" s="14">
        <f>'Trans Nzoia'!E34</f>
        <v>-71.623811575459314</v>
      </c>
      <c r="AS23" s="14">
        <f>Turkana!E34</f>
        <v>-9.2236225878964149</v>
      </c>
      <c r="AT23" s="14">
        <f>'Uasin Gishu'!E34</f>
        <v>-61.438966709114048</v>
      </c>
      <c r="AU23" s="14">
        <f>Vihiga!E34</f>
        <v>-66.229707725455995</v>
      </c>
      <c r="AV23" s="14">
        <f>Wajir!E34</f>
        <v>-5.0237619379105034</v>
      </c>
      <c r="AW23" s="14">
        <f>'West Pokot'!E34</f>
        <v>1.7716348483963726</v>
      </c>
    </row>
    <row r="24" spans="1:49" ht="16" x14ac:dyDescent="0.2">
      <c r="A24" s="16">
        <v>5</v>
      </c>
      <c r="B24" s="17" t="s">
        <v>5</v>
      </c>
      <c r="C24" s="14">
        <f>Baringo!E35</f>
        <v>-8.9661669649951605</v>
      </c>
      <c r="D24" s="14">
        <f>Bomet!E35</f>
        <v>-81.540375140537705</v>
      </c>
      <c r="E24" s="14">
        <f>Bungoma!E35</f>
        <v>-46.830826982214695</v>
      </c>
      <c r="F24" s="14">
        <f>Busia!E35</f>
        <v>-11.37075576999244</v>
      </c>
      <c r="G24" s="14">
        <f>'Elgeyo-Marakwet'!E35</f>
        <v>-48.542401558477955</v>
      </c>
      <c r="H24" s="14">
        <f>Embu!E35</f>
        <v>-27.313909702024393</v>
      </c>
      <c r="I24" s="14">
        <f>Garissa!E35</f>
        <v>73.546629917518132</v>
      </c>
      <c r="J24" s="14">
        <f>'Homa Bay'!E35</f>
        <v>-43.90974276523459</v>
      </c>
      <c r="K24" s="14">
        <f>Isiolo!E35</f>
        <v>20.80610699457516</v>
      </c>
      <c r="L24" s="14">
        <f>Kajiado!E35</f>
        <v>5.454032971243592</v>
      </c>
      <c r="M24" s="14">
        <f>Kakamega!E35</f>
        <v>-59.398578105404084</v>
      </c>
      <c r="N24" s="14">
        <f>Kericho!E35</f>
        <v>-76.353148047073503</v>
      </c>
      <c r="O24" s="14">
        <f>Kiambu!E35</f>
        <v>-32.002948808298235</v>
      </c>
      <c r="P24" s="14">
        <f>Kilifi!E35</f>
        <v>-1.3585649911279816</v>
      </c>
      <c r="Q24" s="14">
        <f>Kirinyaga!E35</f>
        <v>-42.81051624294102</v>
      </c>
      <c r="R24" s="14">
        <f>Kisii!E35</f>
        <v>-76.216480333778904</v>
      </c>
      <c r="S24" s="14">
        <f>Kisumu!E35</f>
        <v>-54.620239151590255</v>
      </c>
      <c r="T24" s="14">
        <f>Kitui!E35</f>
        <v>-15.632496175179913</v>
      </c>
      <c r="U24" s="14">
        <f>Kwale!E35</f>
        <v>74.980775961393562</v>
      </c>
      <c r="V24" s="14">
        <f>Laikipia!E35</f>
        <v>-10.026470280694074</v>
      </c>
      <c r="W24" s="14">
        <f>Lamu!E35</f>
        <v>-7.4432563387380437</v>
      </c>
      <c r="X24" s="14">
        <f>Machakos!E35</f>
        <v>-28.410103976499773</v>
      </c>
      <c r="Y24" s="14">
        <f>Makueni!E35</f>
        <v>-4.4970918891937401</v>
      </c>
      <c r="Z24" s="14">
        <f>Mandera!E35</f>
        <v>104.89571439970761</v>
      </c>
      <c r="AA24" s="14">
        <f>Marsabit!E35</f>
        <v>15.642251450616044</v>
      </c>
      <c r="AB24" s="14">
        <f>Meru!E35</f>
        <v>-19.674837834681561</v>
      </c>
      <c r="AC24" s="14">
        <f>Migori!E35</f>
        <v>-55.287950242520679</v>
      </c>
      <c r="AD24" s="14">
        <f>Mombasa!E35</f>
        <v>388.60893780665691</v>
      </c>
      <c r="AE24" s="14">
        <f>'Murang''a'!E35</f>
        <v>-77.22984451221096</v>
      </c>
      <c r="AF24" s="14">
        <f>Nairobi!E35</f>
        <v>-35.29516804585802</v>
      </c>
      <c r="AG24" s="14">
        <f>Nakuru!E35</f>
        <v>-42.020499446749774</v>
      </c>
      <c r="AH24" s="14">
        <f>Nandi!E35</f>
        <v>-68.962897109563187</v>
      </c>
      <c r="AI24" s="14">
        <f>Narok!E35</f>
        <v>-18.496400844286761</v>
      </c>
      <c r="AJ24" s="14">
        <f>Nyamira!E35</f>
        <v>-82.536164495030491</v>
      </c>
      <c r="AK24" s="14">
        <f>Nyandarua!E35</f>
        <v>-59.785184377993019</v>
      </c>
      <c r="AL24" s="14">
        <f>Nyeri!E35</f>
        <v>-55.143839820945438</v>
      </c>
      <c r="AM24" s="14">
        <f>Samburu!E35</f>
        <v>23.804611964468808</v>
      </c>
      <c r="AN24" s="14">
        <f>Siaya!E35</f>
        <v>-52.986947688975562</v>
      </c>
      <c r="AO24" s="14">
        <f>'Taita Taveta'!E35</f>
        <v>13.429546358523559</v>
      </c>
      <c r="AP24" s="14">
        <f>'Tana River'!E35</f>
        <v>-8.893059986433812</v>
      </c>
      <c r="AQ24" s="14">
        <f>'Tharaka-Nithi'!E35</f>
        <v>-2.7713962142048332</v>
      </c>
      <c r="AR24" s="14">
        <f>'Trans Nzoia'!E35</f>
        <v>-55.747511238359813</v>
      </c>
      <c r="AS24" s="14">
        <f>Turkana!E35</f>
        <v>24.720374595984143</v>
      </c>
      <c r="AT24" s="14">
        <f>'Uasin Gishu'!E35</f>
        <v>-53.202037433274739</v>
      </c>
      <c r="AU24" s="14">
        <f>Vihiga!E35</f>
        <v>-14.499298951765963</v>
      </c>
      <c r="AV24" s="14">
        <f>Wajir!E35</f>
        <v>17.261122111890518</v>
      </c>
      <c r="AW24" s="14">
        <f>'West Pokot'!E35</f>
        <v>-26.54228422502392</v>
      </c>
    </row>
    <row r="25" spans="1:49" ht="16" x14ac:dyDescent="0.2">
      <c r="A25" s="16">
        <v>6</v>
      </c>
      <c r="B25" s="17" t="s">
        <v>6</v>
      </c>
      <c r="C25" s="14">
        <f>Baringo!E36</f>
        <v>112.23075388911053</v>
      </c>
      <c r="D25" s="14">
        <f>Bomet!E36</f>
        <v>53.437086760138421</v>
      </c>
      <c r="E25" s="14">
        <f>Bungoma!E36</f>
        <v>-41.818400660753639</v>
      </c>
      <c r="F25" s="14">
        <f>Busia!E36</f>
        <v>39.799800822246617</v>
      </c>
      <c r="G25" s="14">
        <f>'Elgeyo-Marakwet'!E36</f>
        <v>249.99404194470927</v>
      </c>
      <c r="H25" s="14">
        <f>Embu!E36</f>
        <v>66.424875846776928</v>
      </c>
      <c r="I25" s="14">
        <f>Garissa!E36</f>
        <v>0</v>
      </c>
      <c r="J25" s="14">
        <f>'Homa Bay'!E36</f>
        <v>5.1056425553069751</v>
      </c>
      <c r="K25" s="14">
        <f>Isiolo!E36</f>
        <v>2195</v>
      </c>
      <c r="L25" s="14">
        <f>Kajiado!E36</f>
        <v>200.1513962094875</v>
      </c>
      <c r="M25" s="14">
        <f>Kakamega!E36</f>
        <v>-62.93257790368272</v>
      </c>
      <c r="N25" s="14">
        <f>Kericho!E36</f>
        <v>60.378528941460118</v>
      </c>
      <c r="O25" s="14">
        <f>Kiambu!E36</f>
        <v>-23.734576487888535</v>
      </c>
      <c r="P25" s="14">
        <f>Kilifi!E36</f>
        <v>49.119049421024755</v>
      </c>
      <c r="Q25" s="14">
        <f>Kirinyaga!E36</f>
        <v>34.113744906934215</v>
      </c>
      <c r="R25" s="14">
        <f>Kisii!E36</f>
        <v>271.47781828682815</v>
      </c>
      <c r="S25" s="14">
        <f>Kisumu!E36</f>
        <v>-1.2969731606310368</v>
      </c>
      <c r="T25" s="14">
        <f>Kitui!E36</f>
        <v>19667.857142857145</v>
      </c>
      <c r="U25" s="14">
        <f>Kwale!E36</f>
        <v>29.884204097761913</v>
      </c>
      <c r="V25" s="14">
        <f>Laikipia!E36</f>
        <v>114.34611048478014</v>
      </c>
      <c r="W25" s="14">
        <f>Lamu!E36</f>
        <v>12050</v>
      </c>
      <c r="X25" s="14">
        <f>Machakos!E36</f>
        <v>16.985645933014354</v>
      </c>
      <c r="Y25" s="14">
        <f>Makueni!E36</f>
        <v>23.633101988001421</v>
      </c>
      <c r="Z25" s="14">
        <f>Mandera!E36</f>
        <v>0</v>
      </c>
      <c r="AA25" s="14">
        <f>Marsabit!E36</f>
        <v>0</v>
      </c>
      <c r="AB25" s="14">
        <f>Meru!E36</f>
        <v>32.453458860007764</v>
      </c>
      <c r="AC25" s="14">
        <f>Migori!E36</f>
        <v>198.24423442097785</v>
      </c>
      <c r="AD25" s="14">
        <f>Mombasa!E36</f>
        <v>38.15789473684211</v>
      </c>
      <c r="AE25" s="14">
        <f>'Murang''a'!E36</f>
        <v>18.062408202261622</v>
      </c>
      <c r="AF25" s="14">
        <f>Nairobi!E36</f>
        <v>-48.83769696243484</v>
      </c>
      <c r="AG25" s="14">
        <f>Nakuru!E36</f>
        <v>-24.617861831309483</v>
      </c>
      <c r="AH25" s="14">
        <f>Nandi!E36</f>
        <v>49.452325893277873</v>
      </c>
      <c r="AI25" s="14">
        <f>Narok!E36</f>
        <v>758.18489289740683</v>
      </c>
      <c r="AJ25" s="14">
        <f>Nyamira!E36</f>
        <v>94.704334641455617</v>
      </c>
      <c r="AK25" s="14">
        <f>Nyandarua!E36</f>
        <v>50.810750777432268</v>
      </c>
      <c r="AL25" s="14">
        <f>Nyeri!E36</f>
        <v>102.93030798790114</v>
      </c>
      <c r="AM25" s="14">
        <f>Samburu!E36</f>
        <v>0</v>
      </c>
      <c r="AN25" s="14">
        <f>Siaya!E36</f>
        <v>-29.934020882710911</v>
      </c>
      <c r="AO25" s="14">
        <f>'Taita Taveta'!E36</f>
        <v>39.471054571627221</v>
      </c>
      <c r="AP25" s="14">
        <f>'Tana River'!E36</f>
        <v>29870</v>
      </c>
      <c r="AQ25" s="14">
        <f>'Tharaka-Nithi'!E36</f>
        <v>61.074390025651745</v>
      </c>
      <c r="AR25" s="14">
        <f>'Trans Nzoia'!E36</f>
        <v>131.29182426534766</v>
      </c>
      <c r="AS25" s="14">
        <f>Turkana!E36</f>
        <v>0</v>
      </c>
      <c r="AT25" s="14">
        <f>'Uasin Gishu'!E36</f>
        <v>95.811393011010054</v>
      </c>
      <c r="AU25" s="14">
        <f>Vihiga!E36</f>
        <v>-29.286779324055662</v>
      </c>
      <c r="AV25" s="14">
        <f>Wajir!E36</f>
        <v>0</v>
      </c>
      <c r="AW25" s="14">
        <f>'West Pokot'!E36</f>
        <v>2366.1665416354085</v>
      </c>
    </row>
    <row r="26" spans="1:49" ht="16" x14ac:dyDescent="0.2">
      <c r="A26" s="16">
        <v>7</v>
      </c>
      <c r="B26" s="17" t="s">
        <v>7</v>
      </c>
      <c r="C26" s="14">
        <f>Baringo!E37</f>
        <v>65.312861268929908</v>
      </c>
      <c r="D26" s="14">
        <f>Bomet!E37</f>
        <v>102.79345903871541</v>
      </c>
      <c r="E26" s="14">
        <f>Bungoma!E37</f>
        <v>45.349135709935815</v>
      </c>
      <c r="F26" s="14">
        <f>Busia!E37</f>
        <v>33.735801453430817</v>
      </c>
      <c r="G26" s="14">
        <f>'Elgeyo-Marakwet'!E37</f>
        <v>376.18614182971169</v>
      </c>
      <c r="H26" s="14">
        <f>Embu!E37</f>
        <v>56.842566504516675</v>
      </c>
      <c r="I26" s="14">
        <f>Garissa!E37</f>
        <v>2569.5108695652175</v>
      </c>
      <c r="J26" s="14">
        <f>'Homa Bay'!E37</f>
        <v>42.270879517106913</v>
      </c>
      <c r="K26" s="14">
        <f>Isiolo!E37</f>
        <v>669.4613583138173</v>
      </c>
      <c r="L26" s="14">
        <f>Kajiado!E37</f>
        <v>238.31106310754512</v>
      </c>
      <c r="M26" s="14">
        <f>Kakamega!E37</f>
        <v>38.188478931157597</v>
      </c>
      <c r="N26" s="14">
        <f>Kericho!E37</f>
        <v>82.891196711929254</v>
      </c>
      <c r="O26" s="14">
        <f>Kiambu!E37</f>
        <v>49.093616296671719</v>
      </c>
      <c r="P26" s="14">
        <f>Kilifi!E37</f>
        <v>315.160808714251</v>
      </c>
      <c r="Q26" s="14">
        <f>Kirinyaga!E37</f>
        <v>23.280532927408206</v>
      </c>
      <c r="R26" s="14">
        <f>Kisii!E37</f>
        <v>5.2003667584864717</v>
      </c>
      <c r="S26" s="14">
        <f>Kisumu!E37</f>
        <v>44.221826148257179</v>
      </c>
      <c r="T26" s="14">
        <f>Kitui!E37</f>
        <v>109.85951440105654</v>
      </c>
      <c r="U26" s="14">
        <f>Kwale!E37</f>
        <v>322.75463533347806</v>
      </c>
      <c r="V26" s="14">
        <f>Laikipia!E37</f>
        <v>114.44344148917016</v>
      </c>
      <c r="W26" s="14">
        <f>Lamu!E37</f>
        <v>159.64090192075722</v>
      </c>
      <c r="X26" s="14">
        <f>Machakos!E37</f>
        <v>65.988151403361002</v>
      </c>
      <c r="Y26" s="14">
        <f>Makueni!E37</f>
        <v>88.225925095242502</v>
      </c>
      <c r="Z26" s="14">
        <f>Mandera!E37</f>
        <v>363.05559331249145</v>
      </c>
      <c r="AA26" s="14">
        <f>Marsabit!E37</f>
        <v>157.80412058778973</v>
      </c>
      <c r="AB26" s="14">
        <f>Meru!E37</f>
        <v>55.321409379146068</v>
      </c>
      <c r="AC26" s="14">
        <f>Migori!E37</f>
        <v>62.756916918264594</v>
      </c>
      <c r="AD26" s="14">
        <f>Mombasa!E37</f>
        <v>157.38725039017163</v>
      </c>
      <c r="AE26" s="14">
        <f>'Murang''a'!E37</f>
        <v>28.552334023531046</v>
      </c>
      <c r="AF26" s="14">
        <f>Nairobi!E37</f>
        <v>62.321173980040001</v>
      </c>
      <c r="AG26" s="14">
        <f>Nakuru!E37</f>
        <v>61.553777770287866</v>
      </c>
      <c r="AH26" s="14">
        <f>Nandi!E37</f>
        <v>50.545574181516315</v>
      </c>
      <c r="AI26" s="14">
        <f>Narok!E37</f>
        <v>148.26094426138155</v>
      </c>
      <c r="AJ26" s="14">
        <f>Nyamira!E37</f>
        <v>13.563241598542493</v>
      </c>
      <c r="AK26" s="14">
        <f>Nyandarua!E37</f>
        <v>77.115289041957737</v>
      </c>
      <c r="AL26" s="14">
        <f>Nyeri!E37</f>
        <v>43.761640772464688</v>
      </c>
      <c r="AM26" s="14">
        <f>Samburu!E37</f>
        <v>5278.6318758815223</v>
      </c>
      <c r="AN26" s="14">
        <f>Siaya!E37</f>
        <v>53.959047994304157</v>
      </c>
      <c r="AO26" s="14">
        <f>'Taita Taveta'!E37</f>
        <v>200.12527452132761</v>
      </c>
      <c r="AP26" s="14">
        <f>'Tana River'!E37</f>
        <v>257.49773500239547</v>
      </c>
      <c r="AQ26" s="14">
        <f>'Tharaka-Nithi'!E37</f>
        <v>45.5574786641033</v>
      </c>
      <c r="AR26" s="14">
        <f>'Trans Nzoia'!E37</f>
        <v>108.57701695326143</v>
      </c>
      <c r="AS26" s="14">
        <f>Turkana!E37</f>
        <v>519.6058486967579</v>
      </c>
      <c r="AT26" s="14">
        <f>'Uasin Gishu'!E37</f>
        <v>86.106810135457806</v>
      </c>
      <c r="AU26" s="14">
        <f>Vihiga!E37</f>
        <v>19.67445214173587</v>
      </c>
      <c r="AV26" s="14">
        <f>Wajir!E37</f>
        <v>0</v>
      </c>
      <c r="AW26" s="14">
        <f>'West Pokot'!E37</f>
        <v>473.95617477183561</v>
      </c>
    </row>
    <row r="27" spans="1:49" ht="16" x14ac:dyDescent="0.2">
      <c r="A27" s="16">
        <v>8</v>
      </c>
      <c r="B27" s="17" t="s">
        <v>8</v>
      </c>
      <c r="C27" s="14">
        <f>Baringo!E38</f>
        <v>22.714747593504303</v>
      </c>
      <c r="D27" s="14">
        <f>Bomet!E38</f>
        <v>-100</v>
      </c>
      <c r="E27" s="14">
        <f>Bungoma!E38</f>
        <v>60.326086956521728</v>
      </c>
      <c r="F27" s="14">
        <f>Busia!E38</f>
        <v>161.15816023130398</v>
      </c>
      <c r="G27" s="14">
        <f>'Elgeyo-Marakwet'!E38</f>
        <v>-100</v>
      </c>
      <c r="H27" s="14">
        <f>Embu!E38</f>
        <v>528.125</v>
      </c>
      <c r="I27" s="14">
        <f>Garissa!E38</f>
        <v>-100</v>
      </c>
      <c r="J27" s="14">
        <f>'Homa Bay'!E38</f>
        <v>359.07120189514148</v>
      </c>
      <c r="K27" s="14">
        <f>Isiolo!E38</f>
        <v>119.27496580027363</v>
      </c>
      <c r="L27" s="14">
        <f>Kajiado!E38</f>
        <v>-47.126380126182958</v>
      </c>
      <c r="M27" s="14">
        <f>Kakamega!E38</f>
        <v>82.302533532041735</v>
      </c>
      <c r="N27" s="14">
        <f>Kericho!E38</f>
        <v>-100</v>
      </c>
      <c r="O27" s="14">
        <f>Kiambu!E38</f>
        <v>-77.971079981924987</v>
      </c>
      <c r="P27" s="14">
        <f>Kilifi!E38</f>
        <v>2412.1575342465758</v>
      </c>
      <c r="Q27" s="14">
        <f>Kirinyaga!E38</f>
        <v>42.204899777282854</v>
      </c>
      <c r="R27" s="14">
        <f>Kisii!E38</f>
        <v>908.3333333333336</v>
      </c>
      <c r="S27" s="14">
        <f>Kisumu!E38</f>
        <v>52.998839907192554</v>
      </c>
      <c r="T27" s="14">
        <f>Kitui!E38</f>
        <v>505339.99999999994</v>
      </c>
      <c r="U27" s="14">
        <f>Kwale!E38</f>
        <v>0</v>
      </c>
      <c r="V27" s="14">
        <f>Laikipia!E38</f>
        <v>-45.581062182351531</v>
      </c>
      <c r="W27" s="14">
        <f>Lamu!E38</f>
        <v>221.3703284258211</v>
      </c>
      <c r="X27" s="14">
        <f>Machakos!E38</f>
        <v>-76.404494382022463</v>
      </c>
      <c r="Y27" s="14">
        <f>Makueni!E38</f>
        <v>-98.35164835164835</v>
      </c>
      <c r="Z27" s="14">
        <f>Mandera!E38</f>
        <v>0</v>
      </c>
      <c r="AA27" s="14">
        <f>Marsabit!E38</f>
        <v>74.465266558966064</v>
      </c>
      <c r="AB27" s="14">
        <f>Meru!E38</f>
        <v>185.49270072992704</v>
      </c>
      <c r="AC27" s="14">
        <f>Migori!E38</f>
        <v>-24.830629190841815</v>
      </c>
      <c r="AD27" s="14">
        <f>Mombasa!E38</f>
        <v>0</v>
      </c>
      <c r="AE27" s="14">
        <f>'Murang''a'!E38</f>
        <v>-76.116071428571431</v>
      </c>
      <c r="AF27" s="14">
        <f>Nairobi!E38</f>
        <v>22.399999999999995</v>
      </c>
      <c r="AG27" s="14">
        <f>Nakuru!E38</f>
        <v>-2.8575794621026911</v>
      </c>
      <c r="AH27" s="14">
        <f>Nandi!E38</f>
        <v>12.211784799316819</v>
      </c>
      <c r="AI27" s="14">
        <f>Narok!E38</f>
        <v>644.92187499999989</v>
      </c>
      <c r="AJ27" s="14">
        <f>Nyamira!E38</f>
        <v>-67.391304347826093</v>
      </c>
      <c r="AK27" s="14">
        <f>Nyandarua!E38</f>
        <v>63.997214484679688</v>
      </c>
      <c r="AL27" s="14">
        <f>Nyeri!E38</f>
        <v>-61.668426610348462</v>
      </c>
      <c r="AM27" s="14">
        <f>Samburu!E38</f>
        <v>55.099150141643072</v>
      </c>
      <c r="AN27" s="14">
        <f>Siaya!E38</f>
        <v>92.265419202470724</v>
      </c>
      <c r="AO27" s="14">
        <f>'Taita Taveta'!E38</f>
        <v>22.649348571834857</v>
      </c>
      <c r="AP27" s="14">
        <f>'Tana River'!E38</f>
        <v>58.920275041813788</v>
      </c>
      <c r="AQ27" s="14">
        <f>'Tharaka-Nithi'!E38</f>
        <v>184.5794392523365</v>
      </c>
      <c r="AR27" s="14">
        <f>'Trans Nzoia'!E38</f>
        <v>-98.814229249011859</v>
      </c>
      <c r="AS27" s="14">
        <f>Turkana!E38</f>
        <v>256.69076012354151</v>
      </c>
      <c r="AT27" s="14">
        <f>'Uasin Gishu'!E38</f>
        <v>-96.488442507938856</v>
      </c>
      <c r="AU27" s="14">
        <f>Vihiga!E38</f>
        <v>-60.558069381598777</v>
      </c>
      <c r="AV27" s="14">
        <f>Wajir!E38</f>
        <v>0</v>
      </c>
      <c r="AW27" s="14">
        <f>'West Pokot'!E38</f>
        <v>147319.99999999997</v>
      </c>
    </row>
    <row r="28" spans="1:49" ht="16" x14ac:dyDescent="0.2">
      <c r="A28" s="16">
        <v>9</v>
      </c>
      <c r="B28" s="17" t="s">
        <v>9</v>
      </c>
      <c r="C28" s="14">
        <f>Baringo!E39</f>
        <v>40.192549554823799</v>
      </c>
      <c r="D28" s="14">
        <f>Bomet!E39</f>
        <v>3159.7560975609758</v>
      </c>
      <c r="E28" s="14">
        <f>Bungoma!E39</f>
        <v>138.01916932907346</v>
      </c>
      <c r="F28" s="14">
        <f>Busia!E39</f>
        <v>-0.32952580637706697</v>
      </c>
      <c r="G28" s="14">
        <f>'Elgeyo-Marakwet'!E39</f>
        <v>449.35602575896951</v>
      </c>
      <c r="H28" s="14">
        <f>Embu!E39</f>
        <v>-27.752888469700544</v>
      </c>
      <c r="I28" s="14">
        <f>Garissa!E39</f>
        <v>159.29128738621588</v>
      </c>
      <c r="J28" s="14">
        <f>'Homa Bay'!E39</f>
        <v>-0.34438481546109823</v>
      </c>
      <c r="K28" s="14">
        <f>Isiolo!E39</f>
        <v>-15.071404059868549</v>
      </c>
      <c r="L28" s="14">
        <f>Kajiado!E39</f>
        <v>-14.528429196905183</v>
      </c>
      <c r="M28" s="14">
        <f>Kakamega!E39</f>
        <v>56.399594320486798</v>
      </c>
      <c r="N28" s="14">
        <f>Kericho!E39</f>
        <v>204.22946037919297</v>
      </c>
      <c r="O28" s="14">
        <f>Kiambu!E39</f>
        <v>-41.652427379636137</v>
      </c>
      <c r="P28" s="14">
        <f>Kilifi!E39</f>
        <v>26.669231867730847</v>
      </c>
      <c r="Q28" s="14">
        <f>Kirinyaga!E39</f>
        <v>-51.781170483460556</v>
      </c>
      <c r="R28" s="14">
        <f>Kisii!E39</f>
        <v>-82.53128007699712</v>
      </c>
      <c r="S28" s="14">
        <f>Kisumu!E39</f>
        <v>-2.5858812986862509</v>
      </c>
      <c r="T28" s="14">
        <f>Kitui!E39</f>
        <v>11.271038424896801</v>
      </c>
      <c r="U28" s="14">
        <f>Kwale!E39</f>
        <v>90.508641281438813</v>
      </c>
      <c r="V28" s="14">
        <f>Laikipia!E39</f>
        <v>29.712285659238301</v>
      </c>
      <c r="W28" s="14">
        <f>Lamu!E39</f>
        <v>-25.590896627364955</v>
      </c>
      <c r="X28" s="14">
        <f>Machakos!E39</f>
        <v>-21.422574982828362</v>
      </c>
      <c r="Y28" s="14">
        <f>Makueni!E39</f>
        <v>43.960172834867564</v>
      </c>
      <c r="Z28" s="14">
        <f>Mandera!E39</f>
        <v>6962.6849894291754</v>
      </c>
      <c r="AA28" s="14">
        <f>Marsabit!E39</f>
        <v>1.0321231447603962</v>
      </c>
      <c r="AB28" s="14">
        <f>Meru!E39</f>
        <v>39.974538510502875</v>
      </c>
      <c r="AC28" s="14">
        <f>Migori!E39</f>
        <v>-0.62182092662725597</v>
      </c>
      <c r="AD28" s="14">
        <f>Mombasa!E39</f>
        <v>50.075048245300536</v>
      </c>
      <c r="AE28" s="14">
        <f>'Murang''a'!E39</f>
        <v>-18.043746349062108</v>
      </c>
      <c r="AF28" s="14">
        <f>Nairobi!E39</f>
        <v>-14.939965694682675</v>
      </c>
      <c r="AG28" s="14">
        <f>Nakuru!E39</f>
        <v>21.804178867310384</v>
      </c>
      <c r="AH28" s="14">
        <f>Nandi!E39</f>
        <v>127.73722627737227</v>
      </c>
      <c r="AI28" s="14">
        <f>Narok!E39</f>
        <v>1905.1660516605164</v>
      </c>
      <c r="AJ28" s="14">
        <f>Nyamira!E39</f>
        <v>9.0798045602606035</v>
      </c>
      <c r="AK28" s="14">
        <f>Nyandarua!E39</f>
        <v>99.418095534024474</v>
      </c>
      <c r="AL28" s="14">
        <f>Nyeri!E39</f>
        <v>44.262295081967224</v>
      </c>
      <c r="AM28" s="14">
        <f>Samburu!E39</f>
        <v>-2.4120883502113042</v>
      </c>
      <c r="AN28" s="14">
        <f>Siaya!E39</f>
        <v>-2.470805866011502E-2</v>
      </c>
      <c r="AO28" s="14">
        <f>'Taita Taveta'!E39</f>
        <v>69.833384286150988</v>
      </c>
      <c r="AP28" s="14">
        <f>'Tana River'!E39</f>
        <v>-23.895761302594888</v>
      </c>
      <c r="AQ28" s="14">
        <f>'Tharaka-Nithi'!E39</f>
        <v>68.710691823899367</v>
      </c>
      <c r="AR28" s="14">
        <f>'Trans Nzoia'!E39</f>
        <v>309.45431472081214</v>
      </c>
      <c r="AS28" s="14">
        <f>Turkana!E39</f>
        <v>1.5005455721925249</v>
      </c>
      <c r="AT28" s="14">
        <f>'Uasin Gishu'!E39</f>
        <v>14.105435438022223</v>
      </c>
      <c r="AU28" s="14">
        <f>Vihiga!E39</f>
        <v>74.615384615384599</v>
      </c>
      <c r="AV28" s="14">
        <f>Wajir!E39</f>
        <v>2340.6249999999995</v>
      </c>
      <c r="AW28" s="14">
        <f>'West Pokot'!E39</f>
        <v>134.04870154889414</v>
      </c>
    </row>
    <row r="29" spans="1:49" ht="16" x14ac:dyDescent="0.2">
      <c r="A29" s="16">
        <v>10</v>
      </c>
      <c r="B29" s="17" t="s">
        <v>10</v>
      </c>
      <c r="C29" s="14">
        <f>Baringo!E40</f>
        <v>-49.184808467632649</v>
      </c>
      <c r="D29" s="14">
        <f>Bomet!E40</f>
        <v>255.79357351509248</v>
      </c>
      <c r="E29" s="14">
        <f>Bungoma!E40</f>
        <v>316.66569910887927</v>
      </c>
      <c r="F29" s="14">
        <f>Busia!E40</f>
        <v>256.45112325440198</v>
      </c>
      <c r="G29" s="14">
        <f>'Elgeyo-Marakwet'!E40</f>
        <v>350.65502183406113</v>
      </c>
      <c r="H29" s="14">
        <f>Embu!E40</f>
        <v>60.088006549324589</v>
      </c>
      <c r="I29" s="14">
        <f>Garissa!E40</f>
        <v>-28.326428359336088</v>
      </c>
      <c r="J29" s="14">
        <f>'Homa Bay'!E40</f>
        <v>333.32754428621041</v>
      </c>
      <c r="K29" s="14">
        <f>Isiolo!E40</f>
        <v>-43.612274340534199</v>
      </c>
      <c r="L29" s="14">
        <f>Kajiado!E40</f>
        <v>-22.716934289811256</v>
      </c>
      <c r="M29" s="14">
        <f>Kakamega!E40</f>
        <v>95.835353605319682</v>
      </c>
      <c r="N29" s="14">
        <f>Kericho!E40</f>
        <v>392.46757758221406</v>
      </c>
      <c r="O29" s="14">
        <f>Kiambu!E40</f>
        <v>40.893725638991405</v>
      </c>
      <c r="P29" s="14">
        <f>Kilifi!E40</f>
        <v>200.95898915998256</v>
      </c>
      <c r="Q29" s="14">
        <f>Kirinyaga!E40</f>
        <v>66.040601723382537</v>
      </c>
      <c r="R29" s="14">
        <f>Kisii!E40</f>
        <v>3685.852090032155</v>
      </c>
      <c r="S29" s="14">
        <f>Kisumu!E40</f>
        <v>297.29500891265604</v>
      </c>
      <c r="T29" s="14">
        <f>Kitui!E40</f>
        <v>97.269260185094907</v>
      </c>
      <c r="U29" s="14">
        <f>Kwale!E40</f>
        <v>131.70407218880146</v>
      </c>
      <c r="V29" s="14">
        <f>Laikipia!E40</f>
        <v>147.26988887796242</v>
      </c>
      <c r="W29" s="14">
        <f>Lamu!E40</f>
        <v>40.60332719770394</v>
      </c>
      <c r="X29" s="14">
        <f>Machakos!E40</f>
        <v>95.699091084896509</v>
      </c>
      <c r="Y29" s="14">
        <f>Makueni!E40</f>
        <v>76.845809446711499</v>
      </c>
      <c r="Z29" s="14">
        <f>Mandera!E40</f>
        <v>-29.416336319949892</v>
      </c>
      <c r="AA29" s="14">
        <f>Marsabit!E40</f>
        <v>-3.716124617921917</v>
      </c>
      <c r="AB29" s="14">
        <f>Meru!E40</f>
        <v>18.252635194427391</v>
      </c>
      <c r="AC29" s="14">
        <f>Migori!E40</f>
        <v>106.62980648404124</v>
      </c>
      <c r="AD29" s="14">
        <f>Mombasa!E40</f>
        <v>80.355280921074296</v>
      </c>
      <c r="AE29" s="14">
        <f>'Murang''a'!E40</f>
        <v>238.92065761258044</v>
      </c>
      <c r="AF29" s="14">
        <f>Nairobi!E40</f>
        <v>65.717328143718063</v>
      </c>
      <c r="AG29" s="14">
        <f>Nakuru!E40</f>
        <v>95.032090313662238</v>
      </c>
      <c r="AH29" s="14">
        <f>Nandi!E40</f>
        <v>323.70918224951163</v>
      </c>
      <c r="AI29" s="14">
        <f>Narok!E40</f>
        <v>28.835201833876571</v>
      </c>
      <c r="AJ29" s="14">
        <f>Nyamira!E40</f>
        <v>2728.5112359550558</v>
      </c>
      <c r="AK29" s="14">
        <f>Nyandarua!E40</f>
        <v>269.59905038248479</v>
      </c>
      <c r="AL29" s="14">
        <f>Nyeri!E40</f>
        <v>69.551682585021865</v>
      </c>
      <c r="AM29" s="14">
        <f>Samburu!E40</f>
        <v>-18.006902619224789</v>
      </c>
      <c r="AN29" s="14">
        <f>Siaya!E40</f>
        <v>145.45759570524697</v>
      </c>
      <c r="AO29" s="14">
        <f>'Taita Taveta'!E40</f>
        <v>1.1551610057344519</v>
      </c>
      <c r="AP29" s="14">
        <f>'Tana River'!E40</f>
        <v>28.577818044198761</v>
      </c>
      <c r="AQ29" s="14">
        <f>'Tharaka-Nithi'!E40</f>
        <v>42.688389249956082</v>
      </c>
      <c r="AR29" s="14">
        <f>'Trans Nzoia'!E40</f>
        <v>266.5057961876123</v>
      </c>
      <c r="AS29" s="14">
        <f>Turkana!E40</f>
        <v>-1.9474793336632139</v>
      </c>
      <c r="AT29" s="14">
        <f>'Uasin Gishu'!E40</f>
        <v>367.2150832104486</v>
      </c>
      <c r="AU29" s="14">
        <f>Vihiga!E40</f>
        <v>42.860411899313497</v>
      </c>
      <c r="AV29" s="14">
        <f>Wajir!E40</f>
        <v>-8.4940452221551688</v>
      </c>
      <c r="AW29" s="14">
        <f>'West Pokot'!E40</f>
        <v>-38.064819423704442</v>
      </c>
    </row>
    <row r="30" spans="1:49" ht="16" x14ac:dyDescent="0.2">
      <c r="A30" s="16"/>
      <c r="B30" s="17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</row>
    <row r="31" spans="1:49" ht="16" x14ac:dyDescent="0.2">
      <c r="A31" s="16"/>
      <c r="B3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1D01-CF78-3145-9021-75C7FF2FEEC3}">
  <dimension ref="A1:U40"/>
  <sheetViews>
    <sheetView workbookViewId="0">
      <selection activeCell="A30" sqref="A30:E40"/>
    </sheetView>
  </sheetViews>
  <sheetFormatPr baseColWidth="10" defaultRowHeight="15" x14ac:dyDescent="0.2"/>
  <cols>
    <col min="3" max="3" width="11.6640625" bestFit="1" customWidth="1"/>
  </cols>
  <sheetData>
    <row r="1" spans="1:21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1" ht="16" thickBot="1" x14ac:dyDescent="0.25">
      <c r="A2">
        <v>1</v>
      </c>
      <c r="B2" s="6" t="s">
        <v>1</v>
      </c>
      <c r="C2">
        <v>65660.31</v>
      </c>
      <c r="D2" s="7">
        <v>66940.47</v>
      </c>
      <c r="E2">
        <v>50137.02</v>
      </c>
      <c r="F2">
        <v>49188.78</v>
      </c>
      <c r="G2" s="7">
        <v>62064.09</v>
      </c>
      <c r="H2" s="7">
        <v>66620.789999999994</v>
      </c>
      <c r="I2" s="7">
        <v>58543.65</v>
      </c>
      <c r="J2">
        <v>55769.04</v>
      </c>
      <c r="K2">
        <v>63667.799999999996</v>
      </c>
      <c r="L2">
        <v>65757.78</v>
      </c>
      <c r="M2">
        <v>60063.21</v>
      </c>
      <c r="N2">
        <v>61879.049999999996</v>
      </c>
      <c r="O2" s="7">
        <v>53605.53</v>
      </c>
      <c r="P2">
        <v>58184.639999999999</v>
      </c>
      <c r="Q2" s="7">
        <v>56399.94</v>
      </c>
      <c r="R2" s="7">
        <v>68647.41</v>
      </c>
      <c r="S2">
        <v>63722.52</v>
      </c>
      <c r="T2">
        <v>48617.729999999996</v>
      </c>
      <c r="U2" s="12">
        <f>SUM(C2:T2)</f>
        <v>1075469.7600000002</v>
      </c>
    </row>
    <row r="3" spans="1:21" ht="16" thickBot="1" x14ac:dyDescent="0.25">
      <c r="A3">
        <v>2</v>
      </c>
      <c r="B3" s="6" t="s">
        <v>2</v>
      </c>
      <c r="C3">
        <v>12114.72</v>
      </c>
      <c r="D3" s="7">
        <v>11229.12</v>
      </c>
      <c r="E3">
        <v>11795.939999999999</v>
      </c>
      <c r="F3">
        <v>12447.449999999999</v>
      </c>
      <c r="G3" s="7">
        <v>14127.03</v>
      </c>
      <c r="H3" s="7">
        <v>8632.17</v>
      </c>
      <c r="I3" s="7">
        <v>10312.02</v>
      </c>
      <c r="J3">
        <v>11868.66</v>
      </c>
      <c r="K3">
        <v>19274.399999999998</v>
      </c>
      <c r="L3">
        <v>21374.1</v>
      </c>
      <c r="M3">
        <v>11033.189999999999</v>
      </c>
      <c r="N3">
        <v>15051.24</v>
      </c>
      <c r="O3" s="7">
        <v>27774.720000000001</v>
      </c>
      <c r="P3">
        <v>30769.739999999998</v>
      </c>
      <c r="Q3" s="7">
        <v>19000.259999999998</v>
      </c>
      <c r="R3" s="7">
        <v>14753.16</v>
      </c>
      <c r="S3">
        <v>13753.35</v>
      </c>
      <c r="T3">
        <v>12081.96</v>
      </c>
    </row>
    <row r="4" spans="1:21" ht="16" thickBot="1" x14ac:dyDescent="0.25">
      <c r="A4">
        <v>3</v>
      </c>
      <c r="B4" s="6" t="s">
        <v>3</v>
      </c>
      <c r="C4">
        <v>5605.65</v>
      </c>
      <c r="D4" s="7">
        <v>12717.72</v>
      </c>
      <c r="E4">
        <v>11277.09</v>
      </c>
      <c r="F4">
        <v>17709.21</v>
      </c>
      <c r="G4" s="7">
        <v>12828.87</v>
      </c>
      <c r="H4" s="7">
        <v>22040.639999999999</v>
      </c>
      <c r="I4" s="7">
        <v>18591.75</v>
      </c>
      <c r="J4">
        <v>16196.31</v>
      </c>
      <c r="K4">
        <v>14130.18</v>
      </c>
      <c r="L4">
        <v>16161.75</v>
      </c>
      <c r="M4">
        <v>11590.92</v>
      </c>
      <c r="N4">
        <v>15183.99</v>
      </c>
      <c r="O4" s="7">
        <v>8276.0400000000009</v>
      </c>
      <c r="P4">
        <v>13404.779999999999</v>
      </c>
      <c r="Q4" s="7">
        <v>11655</v>
      </c>
      <c r="R4" s="7">
        <v>7324.65</v>
      </c>
      <c r="S4">
        <v>4596.66</v>
      </c>
      <c r="T4">
        <v>2625.93</v>
      </c>
    </row>
    <row r="5" spans="1:21" ht="16" thickBot="1" x14ac:dyDescent="0.25">
      <c r="A5">
        <v>4</v>
      </c>
      <c r="B5" s="6" t="s">
        <v>4</v>
      </c>
      <c r="C5">
        <v>861771.15</v>
      </c>
      <c r="D5" s="7">
        <v>800888.04</v>
      </c>
      <c r="E5">
        <v>814971.6</v>
      </c>
      <c r="F5">
        <v>807094.71</v>
      </c>
      <c r="G5" s="7">
        <v>785359.17</v>
      </c>
      <c r="H5" s="7">
        <v>794836.71</v>
      </c>
      <c r="I5" s="7">
        <v>835436.61</v>
      </c>
      <c r="J5">
        <v>784490.13</v>
      </c>
      <c r="K5">
        <v>746630.90999999992</v>
      </c>
      <c r="L5">
        <v>756973.89</v>
      </c>
      <c r="M5">
        <v>799511.66999999993</v>
      </c>
      <c r="N5">
        <v>767950.2</v>
      </c>
      <c r="O5" s="7">
        <v>761107.86</v>
      </c>
      <c r="P5">
        <v>751866.29999999993</v>
      </c>
      <c r="Q5" s="7">
        <v>791339.49</v>
      </c>
      <c r="R5" s="7">
        <v>805477.68</v>
      </c>
      <c r="S5">
        <v>814131.63</v>
      </c>
      <c r="T5">
        <v>809272.53</v>
      </c>
    </row>
    <row r="6" spans="1:21" ht="16" thickBot="1" x14ac:dyDescent="0.25">
      <c r="A6">
        <v>5</v>
      </c>
      <c r="B6" s="6" t="s">
        <v>5</v>
      </c>
      <c r="C6">
        <v>75004.11</v>
      </c>
      <c r="D6" s="7">
        <v>90503.1</v>
      </c>
      <c r="E6">
        <v>88558.37999999999</v>
      </c>
      <c r="F6">
        <v>84540.33</v>
      </c>
      <c r="G6" s="7">
        <v>86058.54</v>
      </c>
      <c r="H6" s="7">
        <v>86171.85</v>
      </c>
      <c r="I6" s="7">
        <v>56996.82</v>
      </c>
      <c r="J6">
        <v>92604.78</v>
      </c>
      <c r="K6">
        <v>108265.95</v>
      </c>
      <c r="L6">
        <v>95103.9</v>
      </c>
      <c r="M6">
        <v>85311.81</v>
      </c>
      <c r="N6">
        <v>100941.20999999999</v>
      </c>
      <c r="O6" s="7">
        <v>105241.05</v>
      </c>
      <c r="P6">
        <v>110429.37</v>
      </c>
      <c r="Q6" s="7">
        <v>93768.03</v>
      </c>
      <c r="R6" s="7">
        <v>74674.98</v>
      </c>
      <c r="S6">
        <v>72522.36</v>
      </c>
      <c r="T6">
        <v>81668.069999999992</v>
      </c>
    </row>
    <row r="7" spans="1:21" ht="16" thickBot="1" x14ac:dyDescent="0.25">
      <c r="A7">
        <v>6</v>
      </c>
      <c r="B7" s="6" t="s">
        <v>6</v>
      </c>
      <c r="C7">
        <v>516.41999999999996</v>
      </c>
      <c r="D7" s="7">
        <v>1167.48</v>
      </c>
      <c r="E7">
        <v>1023.66</v>
      </c>
      <c r="F7">
        <v>2313.36</v>
      </c>
      <c r="G7" s="7">
        <v>1240.92</v>
      </c>
      <c r="H7" s="7">
        <v>2125.2600000000002</v>
      </c>
      <c r="I7" s="7">
        <v>3555.63</v>
      </c>
      <c r="J7">
        <v>1279.98</v>
      </c>
      <c r="K7">
        <v>186.84</v>
      </c>
      <c r="L7">
        <v>2554.38</v>
      </c>
      <c r="M7">
        <v>8182.17</v>
      </c>
      <c r="N7">
        <v>2634.93</v>
      </c>
      <c r="O7" s="7">
        <v>1430.82</v>
      </c>
      <c r="P7">
        <v>1989.36</v>
      </c>
      <c r="Q7" s="7">
        <v>2496.42</v>
      </c>
      <c r="R7" s="7">
        <v>3585.24</v>
      </c>
      <c r="S7">
        <v>2651.67</v>
      </c>
      <c r="T7">
        <v>1179.18</v>
      </c>
    </row>
    <row r="8" spans="1:21" ht="16" thickBot="1" x14ac:dyDescent="0.25">
      <c r="A8">
        <v>7</v>
      </c>
      <c r="B8" s="6" t="s">
        <v>7</v>
      </c>
      <c r="C8">
        <v>36639.18</v>
      </c>
      <c r="D8" s="7">
        <v>60773.13</v>
      </c>
      <c r="E8">
        <v>68331.599999999991</v>
      </c>
      <c r="F8">
        <v>72384.66</v>
      </c>
      <c r="G8" s="7">
        <v>65922.12</v>
      </c>
      <c r="H8" s="7">
        <v>72889.38</v>
      </c>
      <c r="I8" s="7">
        <v>76331.070000000007</v>
      </c>
      <c r="J8">
        <v>85949.459999999992</v>
      </c>
      <c r="K8">
        <v>57360.509999999995</v>
      </c>
      <c r="L8">
        <v>84051.72</v>
      </c>
      <c r="M8">
        <v>68963.58</v>
      </c>
      <c r="N8">
        <v>89517.06</v>
      </c>
      <c r="O8" s="7">
        <v>73397.7</v>
      </c>
      <c r="P8">
        <v>84984.3</v>
      </c>
      <c r="Q8" s="7">
        <v>78109.649999999994</v>
      </c>
      <c r="R8" s="7">
        <v>71752.5</v>
      </c>
      <c r="S8">
        <v>85141.89</v>
      </c>
      <c r="T8">
        <v>97522.11</v>
      </c>
    </row>
    <row r="9" spans="1:21" ht="16" thickBot="1" x14ac:dyDescent="0.25">
      <c r="A9">
        <v>8</v>
      </c>
      <c r="B9" s="6" t="s">
        <v>8</v>
      </c>
      <c r="C9">
        <v>1450.35</v>
      </c>
      <c r="D9" s="7">
        <v>845.82</v>
      </c>
      <c r="E9">
        <v>153.44999999999999</v>
      </c>
      <c r="F9">
        <v>1067.1299999999999</v>
      </c>
      <c r="G9" s="7">
        <v>1385.1</v>
      </c>
      <c r="H9" s="7">
        <v>311.85000000000002</v>
      </c>
      <c r="I9" s="7">
        <v>881.64</v>
      </c>
      <c r="J9">
        <v>1892.6999999999998</v>
      </c>
      <c r="K9">
        <v>2792.3399999999997</v>
      </c>
      <c r="L9">
        <v>445.85999999999996</v>
      </c>
      <c r="M9">
        <v>28.08</v>
      </c>
      <c r="N9">
        <v>1.26</v>
      </c>
      <c r="O9" s="7">
        <v>926.01</v>
      </c>
      <c r="P9">
        <v>1265.58</v>
      </c>
      <c r="Q9" s="7">
        <v>639.99</v>
      </c>
      <c r="R9" s="7">
        <v>1891.53</v>
      </c>
      <c r="S9">
        <v>268.02</v>
      </c>
      <c r="T9">
        <v>1736.01</v>
      </c>
    </row>
    <row r="10" spans="1:21" ht="16" thickBot="1" x14ac:dyDescent="0.25">
      <c r="A10">
        <v>9</v>
      </c>
      <c r="B10" s="6" t="s">
        <v>9</v>
      </c>
      <c r="C10">
        <v>17124.66</v>
      </c>
      <c r="D10" s="7">
        <v>15336.63</v>
      </c>
      <c r="E10">
        <v>16271.099999999999</v>
      </c>
      <c r="F10">
        <v>15550.47</v>
      </c>
      <c r="G10" s="7">
        <v>15051.78</v>
      </c>
      <c r="H10" s="7">
        <v>16206.48</v>
      </c>
      <c r="I10" s="7">
        <v>17521.560000000001</v>
      </c>
      <c r="J10">
        <v>16195.859999999999</v>
      </c>
      <c r="K10">
        <v>17181.63</v>
      </c>
      <c r="L10">
        <v>19002.78</v>
      </c>
      <c r="M10">
        <v>17555.489999999998</v>
      </c>
      <c r="N10">
        <v>17573.759999999998</v>
      </c>
      <c r="O10" s="7">
        <v>18126.27</v>
      </c>
      <c r="P10">
        <v>18396.899999999998</v>
      </c>
      <c r="Q10" s="7">
        <v>20764.53</v>
      </c>
      <c r="R10" s="7">
        <v>24003.9</v>
      </c>
      <c r="S10">
        <v>23033.34</v>
      </c>
      <c r="T10">
        <v>22512.78</v>
      </c>
    </row>
    <row r="11" spans="1:21" ht="16" thickBot="1" x14ac:dyDescent="0.25">
      <c r="A11">
        <v>10</v>
      </c>
      <c r="B11" s="6" t="s">
        <v>10</v>
      </c>
      <c r="C11">
        <v>15287.939999999999</v>
      </c>
      <c r="D11" s="7">
        <v>30772.98</v>
      </c>
      <c r="E11">
        <v>28654.649999999998</v>
      </c>
      <c r="F11">
        <v>28878.39</v>
      </c>
      <c r="G11" s="7">
        <v>47136.87</v>
      </c>
      <c r="H11" s="7">
        <v>21339.360000000001</v>
      </c>
      <c r="I11" s="7">
        <v>13003.74</v>
      </c>
      <c r="J11">
        <v>24927.57</v>
      </c>
      <c r="K11">
        <v>61683.93</v>
      </c>
      <c r="L11">
        <v>29748.329999999998</v>
      </c>
      <c r="M11">
        <v>28934.37</v>
      </c>
      <c r="N11">
        <v>20441.79</v>
      </c>
      <c r="O11" s="7">
        <v>41288.49</v>
      </c>
      <c r="P11">
        <v>19883.52</v>
      </c>
      <c r="Q11" s="7">
        <v>17001.18</v>
      </c>
      <c r="R11" s="7">
        <v>19063.439999999999</v>
      </c>
      <c r="S11">
        <v>11353.05</v>
      </c>
      <c r="T11">
        <v>13958.189999999999</v>
      </c>
    </row>
    <row r="12" spans="1:21" x14ac:dyDescent="0.2">
      <c r="C12" s="11">
        <f>SUM(C2:C11)</f>
        <v>1091174.49</v>
      </c>
    </row>
    <row r="14" spans="1:21" x14ac:dyDescent="0.2">
      <c r="C14" t="s">
        <v>15</v>
      </c>
      <c r="D14" t="s">
        <v>16</v>
      </c>
    </row>
    <row r="15" spans="1:21" ht="33" thickBot="1" x14ac:dyDescent="0.25">
      <c r="C15" s="8" t="s">
        <v>13</v>
      </c>
      <c r="D15" s="8" t="s">
        <v>12</v>
      </c>
    </row>
    <row r="16" spans="1:21" ht="16" thickBot="1" x14ac:dyDescent="0.25">
      <c r="A16" t="s">
        <v>14</v>
      </c>
      <c r="B16" s="1" t="s">
        <v>0</v>
      </c>
    </row>
    <row r="17" spans="1:7" ht="16" thickBot="1" x14ac:dyDescent="0.25">
      <c r="A17">
        <v>1</v>
      </c>
      <c r="B17" s="6" t="s">
        <v>1</v>
      </c>
      <c r="C17" s="10">
        <f>AVERAGE(S2:T2)</f>
        <v>56170.125</v>
      </c>
      <c r="D17" s="10">
        <f>AVERAGE(C2:E2)</f>
        <v>60912.6</v>
      </c>
      <c r="E17" s="10">
        <f t="shared" ref="E17:E26" si="0">C17-D17</f>
        <v>-4742.4749999999985</v>
      </c>
      <c r="G17" s="14"/>
    </row>
    <row r="18" spans="1:7" ht="16" thickBot="1" x14ac:dyDescent="0.25">
      <c r="A18">
        <v>2</v>
      </c>
      <c r="B18" s="6" t="s">
        <v>2</v>
      </c>
      <c r="C18" s="10">
        <f>AVERAGE(S3:T3)</f>
        <v>12917.654999999999</v>
      </c>
      <c r="D18" s="10">
        <f t="shared" ref="D18:D26" si="1">AVERAGE(C3:E3)</f>
        <v>11713.26</v>
      </c>
      <c r="E18" s="10">
        <f t="shared" si="0"/>
        <v>1204.3949999999986</v>
      </c>
      <c r="G18" s="14"/>
    </row>
    <row r="19" spans="1:7" ht="16" thickBot="1" x14ac:dyDescent="0.25">
      <c r="A19">
        <v>3</v>
      </c>
      <c r="B19" s="6" t="s">
        <v>3</v>
      </c>
      <c r="C19" s="10">
        <f>AVERAGE(S4:T4)</f>
        <v>3611.2950000000001</v>
      </c>
      <c r="D19" s="10">
        <f t="shared" si="1"/>
        <v>9866.82</v>
      </c>
      <c r="E19" s="10">
        <f t="shared" si="0"/>
        <v>-6255.5249999999996</v>
      </c>
      <c r="G19" s="14"/>
    </row>
    <row r="20" spans="1:7" ht="16" thickBot="1" x14ac:dyDescent="0.25">
      <c r="A20">
        <v>4</v>
      </c>
      <c r="B20" s="6" t="s">
        <v>4</v>
      </c>
      <c r="C20" s="10">
        <f>AVERAGE(S5:T5)</f>
        <v>811702.08000000007</v>
      </c>
      <c r="D20" s="10">
        <f t="shared" si="1"/>
        <v>825876.93</v>
      </c>
      <c r="E20" s="10">
        <f t="shared" si="0"/>
        <v>-14174.849999999977</v>
      </c>
      <c r="G20" s="14"/>
    </row>
    <row r="21" spans="1:7" ht="16" thickBot="1" x14ac:dyDescent="0.25">
      <c r="A21">
        <v>5</v>
      </c>
      <c r="B21" s="6" t="s">
        <v>5</v>
      </c>
      <c r="C21" s="10">
        <f t="shared" ref="C21:C25" si="2">AVERAGE(S6:T6)</f>
        <v>77095.214999999997</v>
      </c>
      <c r="D21" s="10">
        <f t="shared" si="1"/>
        <v>84688.530000000013</v>
      </c>
      <c r="E21" s="10">
        <f t="shared" si="0"/>
        <v>-7593.3150000000169</v>
      </c>
      <c r="G21" s="14"/>
    </row>
    <row r="22" spans="1:7" ht="16" thickBot="1" x14ac:dyDescent="0.25">
      <c r="A22">
        <v>6</v>
      </c>
      <c r="B22" s="6" t="s">
        <v>6</v>
      </c>
      <c r="C22" s="10">
        <f t="shared" si="2"/>
        <v>1915.4250000000002</v>
      </c>
      <c r="D22" s="10">
        <f t="shared" si="1"/>
        <v>902.52</v>
      </c>
      <c r="E22" s="10">
        <f t="shared" si="0"/>
        <v>1012.9050000000002</v>
      </c>
      <c r="G22" s="14"/>
    </row>
    <row r="23" spans="1:7" ht="16" thickBot="1" x14ac:dyDescent="0.25">
      <c r="A23">
        <v>7</v>
      </c>
      <c r="B23" s="6" t="s">
        <v>7</v>
      </c>
      <c r="C23" s="10">
        <f t="shared" si="2"/>
        <v>91332</v>
      </c>
      <c r="D23" s="10">
        <f t="shared" si="1"/>
        <v>55247.969999999994</v>
      </c>
      <c r="E23" s="10">
        <f t="shared" si="0"/>
        <v>36084.030000000006</v>
      </c>
      <c r="G23" s="14"/>
    </row>
    <row r="24" spans="1:7" ht="16" thickBot="1" x14ac:dyDescent="0.25">
      <c r="A24">
        <v>8</v>
      </c>
      <c r="B24" s="6" t="s">
        <v>8</v>
      </c>
      <c r="C24" s="10">
        <f t="shared" si="2"/>
        <v>1002.015</v>
      </c>
      <c r="D24" s="10">
        <f t="shared" si="1"/>
        <v>816.54</v>
      </c>
      <c r="E24" s="10">
        <f t="shared" si="0"/>
        <v>185.47500000000002</v>
      </c>
      <c r="G24" s="14"/>
    </row>
    <row r="25" spans="1:7" ht="16" thickBot="1" x14ac:dyDescent="0.25">
      <c r="A25">
        <v>9</v>
      </c>
      <c r="B25" s="6" t="s">
        <v>9</v>
      </c>
      <c r="C25" s="10">
        <f t="shared" si="2"/>
        <v>22773.059999999998</v>
      </c>
      <c r="D25" s="10">
        <f t="shared" si="1"/>
        <v>16244.13</v>
      </c>
      <c r="E25" s="10">
        <f t="shared" si="0"/>
        <v>6528.9299999999985</v>
      </c>
      <c r="G25" s="14"/>
    </row>
    <row r="26" spans="1:7" ht="16" thickBot="1" x14ac:dyDescent="0.25">
      <c r="A26">
        <v>10</v>
      </c>
      <c r="B26" s="6" t="s">
        <v>10</v>
      </c>
      <c r="C26" s="10">
        <f>AVERAGE(S11:T11)</f>
        <v>12655.619999999999</v>
      </c>
      <c r="D26" s="10">
        <f t="shared" si="1"/>
        <v>24905.19</v>
      </c>
      <c r="E26" s="10">
        <f t="shared" si="0"/>
        <v>-12249.57</v>
      </c>
      <c r="G26" s="14"/>
    </row>
    <row r="27" spans="1:7" x14ac:dyDescent="0.2">
      <c r="E27">
        <f>SUM(E17:E26)</f>
        <v>0</v>
      </c>
    </row>
    <row r="28" spans="1:7" x14ac:dyDescent="0.2">
      <c r="C28">
        <f>SUM(C17:C27)</f>
        <v>1091174.49</v>
      </c>
      <c r="D28">
        <f>SUM(D17:D27)</f>
        <v>1091174.49</v>
      </c>
      <c r="E28">
        <f>SUM(E17:E27)</f>
        <v>1.0913936421275139E-11</v>
      </c>
    </row>
    <row r="30" spans="1:7" x14ac:dyDescent="0.2">
      <c r="A30" t="s">
        <v>67</v>
      </c>
    </row>
    <row r="31" spans="1:7" x14ac:dyDescent="0.2">
      <c r="B31" s="13" t="s">
        <v>1</v>
      </c>
      <c r="E31" s="14">
        <f>(E17/D17)*100</f>
        <v>-7.7857044355355027</v>
      </c>
    </row>
    <row r="32" spans="1:7" x14ac:dyDescent="0.2">
      <c r="B32" s="13" t="s">
        <v>2</v>
      </c>
      <c r="E32" s="14">
        <f t="shared" ref="E32:E40" si="3">(E18/D18)*100</f>
        <v>10.282321061771006</v>
      </c>
    </row>
    <row r="33" spans="2:5" x14ac:dyDescent="0.2">
      <c r="B33" s="13" t="s">
        <v>3</v>
      </c>
      <c r="E33" s="14">
        <f t="shared" si="3"/>
        <v>-63.399605952069663</v>
      </c>
    </row>
    <row r="34" spans="2:5" x14ac:dyDescent="0.2">
      <c r="B34" s="13" t="s">
        <v>4</v>
      </c>
      <c r="E34" s="14">
        <f t="shared" si="3"/>
        <v>-1.7163392613473265</v>
      </c>
    </row>
    <row r="35" spans="2:5" x14ac:dyDescent="0.2">
      <c r="B35" s="13" t="s">
        <v>5</v>
      </c>
      <c r="E35" s="14">
        <f t="shared" si="3"/>
        <v>-8.9661669649951605</v>
      </c>
    </row>
    <row r="36" spans="2:5" x14ac:dyDescent="0.2">
      <c r="B36" s="13" t="s">
        <v>6</v>
      </c>
      <c r="E36" s="14">
        <f t="shared" si="3"/>
        <v>112.23075388911053</v>
      </c>
    </row>
    <row r="37" spans="2:5" x14ac:dyDescent="0.2">
      <c r="B37" s="13" t="s">
        <v>7</v>
      </c>
      <c r="E37" s="14">
        <f t="shared" si="3"/>
        <v>65.312861268929908</v>
      </c>
    </row>
    <row r="38" spans="2:5" x14ac:dyDescent="0.2">
      <c r="B38" s="13" t="s">
        <v>8</v>
      </c>
      <c r="E38" s="14">
        <f t="shared" si="3"/>
        <v>22.714747593504303</v>
      </c>
    </row>
    <row r="39" spans="2:5" x14ac:dyDescent="0.2">
      <c r="B39" s="13" t="s">
        <v>9</v>
      </c>
      <c r="E39" s="14">
        <f t="shared" si="3"/>
        <v>40.192549554823799</v>
      </c>
    </row>
    <row r="40" spans="2:5" x14ac:dyDescent="0.2">
      <c r="B40" s="13" t="s">
        <v>10</v>
      </c>
      <c r="E40" s="14">
        <f t="shared" si="3"/>
        <v>-49.184808467632649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9531-751D-A241-8808-B3106FB7711B}">
  <dimension ref="A1:T40"/>
  <sheetViews>
    <sheetView workbookViewId="0">
      <selection activeCell="C9" sqref="C9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 s="7">
        <v>43678.89</v>
      </c>
      <c r="D2">
        <v>60883.56</v>
      </c>
      <c r="E2">
        <v>34710.57</v>
      </c>
      <c r="F2" s="7">
        <v>48329.91</v>
      </c>
      <c r="G2" s="7">
        <v>33489.54</v>
      </c>
      <c r="H2">
        <v>47836.799999999996</v>
      </c>
      <c r="I2" s="7">
        <v>46014.3</v>
      </c>
      <c r="J2" s="7">
        <v>36918.54</v>
      </c>
      <c r="K2">
        <v>34316.1</v>
      </c>
      <c r="L2">
        <v>37413.269999999997</v>
      </c>
      <c r="M2" s="7">
        <v>37213.74</v>
      </c>
      <c r="N2" s="7">
        <v>38184.03</v>
      </c>
      <c r="O2">
        <v>39122.82</v>
      </c>
      <c r="P2">
        <v>35405.46</v>
      </c>
      <c r="Q2">
        <v>46830.15</v>
      </c>
      <c r="R2">
        <v>46380.509999999995</v>
      </c>
      <c r="S2" s="7">
        <v>42571.26</v>
      </c>
      <c r="T2">
        <v>45683.82</v>
      </c>
    </row>
    <row r="3" spans="1:20" ht="16" thickBot="1" x14ac:dyDescent="0.25">
      <c r="A3">
        <v>2</v>
      </c>
      <c r="B3" s="6" t="s">
        <v>2</v>
      </c>
      <c r="C3" s="7">
        <v>8937.9</v>
      </c>
      <c r="D3">
        <v>276.02999999999997</v>
      </c>
      <c r="E3">
        <v>12057.119999999999</v>
      </c>
      <c r="F3" s="7">
        <v>4130.01</v>
      </c>
      <c r="G3" s="7">
        <v>14799.78</v>
      </c>
      <c r="H3">
        <v>4051.35</v>
      </c>
      <c r="I3" s="7">
        <v>15087.33</v>
      </c>
      <c r="J3" s="7">
        <v>9618.57</v>
      </c>
      <c r="K3">
        <v>12088.619999999999</v>
      </c>
      <c r="L3">
        <v>11363.039999999999</v>
      </c>
      <c r="M3" s="7">
        <v>10740.69</v>
      </c>
      <c r="N3" s="7">
        <v>12306.87</v>
      </c>
      <c r="O3">
        <v>17016.66</v>
      </c>
      <c r="P3">
        <v>14594.76</v>
      </c>
      <c r="Q3">
        <v>18093.96</v>
      </c>
      <c r="R3">
        <v>16446.78</v>
      </c>
      <c r="S3" s="7">
        <v>14656.41</v>
      </c>
      <c r="T3">
        <v>16800.75</v>
      </c>
    </row>
    <row r="4" spans="1:20" ht="16" thickBot="1" x14ac:dyDescent="0.25">
      <c r="A4">
        <v>3</v>
      </c>
      <c r="B4" s="6" t="s">
        <v>3</v>
      </c>
      <c r="C4" s="7">
        <v>1602.09</v>
      </c>
      <c r="D4">
        <v>2078.37</v>
      </c>
      <c r="E4">
        <v>11581.56</v>
      </c>
      <c r="F4" s="7">
        <v>2469.33</v>
      </c>
      <c r="G4" s="7">
        <v>16191.36</v>
      </c>
      <c r="H4">
        <v>4591.53</v>
      </c>
      <c r="I4" s="7">
        <v>13665.69</v>
      </c>
      <c r="J4" s="7">
        <v>5448.06</v>
      </c>
      <c r="K4">
        <v>4230</v>
      </c>
      <c r="L4">
        <v>5537.88</v>
      </c>
      <c r="M4" s="7">
        <v>9326.25</v>
      </c>
      <c r="N4" s="7">
        <v>9740.7900000000009</v>
      </c>
      <c r="O4">
        <v>5144.04</v>
      </c>
      <c r="P4">
        <v>4784.3099999999995</v>
      </c>
      <c r="Q4">
        <v>3849.39</v>
      </c>
      <c r="R4">
        <v>9582.2099999999991</v>
      </c>
      <c r="S4" s="7">
        <v>5792.85</v>
      </c>
      <c r="T4">
        <v>6333.3</v>
      </c>
    </row>
    <row r="5" spans="1:20" ht="16" thickBot="1" x14ac:dyDescent="0.25">
      <c r="A5">
        <v>4</v>
      </c>
      <c r="B5" s="6" t="s">
        <v>4</v>
      </c>
      <c r="C5" s="7">
        <v>15090.03</v>
      </c>
      <c r="D5">
        <v>10859.4</v>
      </c>
      <c r="E5">
        <v>25333.02</v>
      </c>
      <c r="F5" s="7">
        <v>18545.849999999999</v>
      </c>
      <c r="G5" s="7">
        <v>41459.129999999997</v>
      </c>
      <c r="H5">
        <v>41980.59</v>
      </c>
      <c r="I5" s="7">
        <v>13861.26</v>
      </c>
      <c r="J5" s="7">
        <v>25943.4</v>
      </c>
      <c r="K5">
        <v>19043.28</v>
      </c>
      <c r="L5">
        <v>49391.64</v>
      </c>
      <c r="M5" s="7">
        <v>29038.59</v>
      </c>
      <c r="N5" s="7">
        <v>38956.5</v>
      </c>
      <c r="O5">
        <v>4279.2299999999996</v>
      </c>
      <c r="P5">
        <v>38454.57</v>
      </c>
      <c r="Q5">
        <v>26989.200000000001</v>
      </c>
      <c r="R5">
        <v>33105.42</v>
      </c>
      <c r="S5" s="7">
        <v>16027.65</v>
      </c>
      <c r="T5">
        <v>17277.39</v>
      </c>
    </row>
    <row r="6" spans="1:20" ht="16" thickBot="1" x14ac:dyDescent="0.25">
      <c r="A6">
        <v>5</v>
      </c>
      <c r="B6" s="6" t="s">
        <v>5</v>
      </c>
      <c r="C6" s="7">
        <v>120441.87</v>
      </c>
      <c r="D6">
        <v>89968.41</v>
      </c>
      <c r="E6">
        <v>75687.3</v>
      </c>
      <c r="F6" s="7">
        <v>56433.78</v>
      </c>
      <c r="G6" s="7">
        <v>62067.96</v>
      </c>
      <c r="H6">
        <v>42049.71</v>
      </c>
      <c r="I6" s="7">
        <v>38476.44</v>
      </c>
      <c r="J6" s="7">
        <v>36039.24</v>
      </c>
      <c r="K6">
        <v>28606.77</v>
      </c>
      <c r="L6">
        <v>35299.71</v>
      </c>
      <c r="M6" s="7">
        <v>33148.980000000003</v>
      </c>
      <c r="N6" s="7">
        <v>37316.07</v>
      </c>
      <c r="O6">
        <v>20153.43</v>
      </c>
      <c r="P6">
        <v>30712.14</v>
      </c>
      <c r="Q6">
        <v>32574.78</v>
      </c>
      <c r="R6">
        <v>33808.409999999996</v>
      </c>
      <c r="S6" s="7">
        <v>20854.349999999999</v>
      </c>
      <c r="T6">
        <v>14354.01</v>
      </c>
    </row>
    <row r="7" spans="1:20" ht="16" thickBot="1" x14ac:dyDescent="0.25">
      <c r="A7">
        <v>6</v>
      </c>
      <c r="B7" s="6" t="s">
        <v>6</v>
      </c>
      <c r="C7" s="7">
        <v>8872.92</v>
      </c>
      <c r="D7">
        <v>8813.8799999999992</v>
      </c>
      <c r="E7">
        <v>11783.07</v>
      </c>
      <c r="F7" s="7">
        <v>10899.36</v>
      </c>
      <c r="G7" s="7">
        <v>10219.59</v>
      </c>
      <c r="H7">
        <v>12977.73</v>
      </c>
      <c r="I7" s="7">
        <v>15229.35</v>
      </c>
      <c r="J7" s="7">
        <v>13129.65</v>
      </c>
      <c r="K7">
        <v>11137.23</v>
      </c>
      <c r="L7">
        <v>11084.13</v>
      </c>
      <c r="M7" s="7">
        <v>10731.51</v>
      </c>
      <c r="N7" s="7">
        <v>12632.4</v>
      </c>
      <c r="O7">
        <v>14784.119999999999</v>
      </c>
      <c r="P7">
        <v>12492.449999999999</v>
      </c>
      <c r="Q7">
        <v>14084.1</v>
      </c>
      <c r="R7">
        <v>11841.48</v>
      </c>
      <c r="S7" s="7">
        <v>17149.41</v>
      </c>
      <c r="T7">
        <v>12995.73</v>
      </c>
    </row>
    <row r="8" spans="1:20" ht="16" thickBot="1" x14ac:dyDescent="0.25">
      <c r="A8">
        <v>7</v>
      </c>
      <c r="B8" s="6" t="s">
        <v>7</v>
      </c>
      <c r="C8" s="7">
        <v>46019.16</v>
      </c>
      <c r="D8">
        <v>71680.59</v>
      </c>
      <c r="E8">
        <v>73451.97</v>
      </c>
      <c r="F8" s="7">
        <v>103659.57</v>
      </c>
      <c r="G8" s="7">
        <v>66417.929999999993</v>
      </c>
      <c r="H8">
        <v>90993.239999999991</v>
      </c>
      <c r="I8" s="7">
        <v>101825.73</v>
      </c>
      <c r="J8" s="7">
        <v>117335.34</v>
      </c>
      <c r="K8">
        <v>134818.19999999998</v>
      </c>
      <c r="L8">
        <v>94380.209999999992</v>
      </c>
      <c r="M8" s="7">
        <v>113401.8</v>
      </c>
      <c r="N8" s="7">
        <v>95130.18</v>
      </c>
      <c r="O8">
        <v>144140.57999999999</v>
      </c>
      <c r="P8">
        <v>108066.95999999999</v>
      </c>
      <c r="Q8">
        <v>102002.84999999999</v>
      </c>
      <c r="R8">
        <v>93329.91</v>
      </c>
      <c r="S8" s="7">
        <v>127480.68</v>
      </c>
      <c r="T8">
        <v>130948.11</v>
      </c>
    </row>
    <row r="9" spans="1:20" ht="16" thickBot="1" x14ac:dyDescent="0.25">
      <c r="A9">
        <v>8</v>
      </c>
      <c r="B9" s="6" t="s">
        <v>8</v>
      </c>
      <c r="C9" s="21">
        <v>1.44</v>
      </c>
      <c r="D9">
        <v>30.689999999999998</v>
      </c>
      <c r="E9">
        <v>18.36</v>
      </c>
      <c r="F9" s="7">
        <v>33.479999999999997</v>
      </c>
      <c r="G9" s="7">
        <v>3.96</v>
      </c>
      <c r="H9">
        <v>0</v>
      </c>
      <c r="I9" s="7">
        <v>8.19</v>
      </c>
      <c r="J9" s="7">
        <v>0.27</v>
      </c>
      <c r="K9">
        <v>340.11</v>
      </c>
      <c r="L9">
        <v>101.25</v>
      </c>
      <c r="M9" s="7">
        <v>913.5</v>
      </c>
      <c r="N9" s="7">
        <v>234.45</v>
      </c>
      <c r="O9">
        <v>0</v>
      </c>
      <c r="P9">
        <v>0</v>
      </c>
      <c r="Q9">
        <v>62.64</v>
      </c>
      <c r="R9">
        <v>15.12</v>
      </c>
      <c r="S9" s="7">
        <v>0</v>
      </c>
      <c r="T9">
        <v>0</v>
      </c>
    </row>
    <row r="10" spans="1:20" ht="16" thickBot="1" x14ac:dyDescent="0.25">
      <c r="A10">
        <v>9</v>
      </c>
      <c r="B10" s="6" t="s">
        <v>9</v>
      </c>
      <c r="C10" s="7">
        <v>1.71</v>
      </c>
      <c r="D10">
        <v>2.79</v>
      </c>
      <c r="E10">
        <v>2.88</v>
      </c>
      <c r="F10" s="7">
        <v>75.06</v>
      </c>
      <c r="G10" s="7">
        <v>0.27</v>
      </c>
      <c r="H10">
        <v>38.519999999999996</v>
      </c>
      <c r="I10" s="7">
        <v>186.39</v>
      </c>
      <c r="J10" s="7">
        <v>35.19</v>
      </c>
      <c r="K10">
        <v>8.91</v>
      </c>
      <c r="L10">
        <v>38.43</v>
      </c>
      <c r="M10" s="7">
        <v>30.33</v>
      </c>
      <c r="N10" s="7">
        <v>28.8</v>
      </c>
      <c r="O10">
        <v>1.6199999999999999</v>
      </c>
      <c r="P10">
        <v>1.53</v>
      </c>
      <c r="Q10">
        <v>40.229999999999997</v>
      </c>
      <c r="R10">
        <v>68.13</v>
      </c>
      <c r="S10" s="7">
        <v>55.71</v>
      </c>
      <c r="T10">
        <v>104.67</v>
      </c>
    </row>
    <row r="11" spans="1:20" ht="16" thickBot="1" x14ac:dyDescent="0.25">
      <c r="A11">
        <v>10</v>
      </c>
      <c r="B11" s="6" t="s">
        <v>10</v>
      </c>
      <c r="C11" s="7">
        <v>6.66</v>
      </c>
      <c r="D11">
        <v>58.949999999999996</v>
      </c>
      <c r="E11">
        <v>26.82</v>
      </c>
      <c r="F11" s="7">
        <v>76.319999999999993</v>
      </c>
      <c r="G11" s="7">
        <v>3.15</v>
      </c>
      <c r="H11">
        <v>133.19999999999999</v>
      </c>
      <c r="I11" s="7">
        <v>297.99</v>
      </c>
      <c r="J11" s="7">
        <v>184.41</v>
      </c>
      <c r="K11">
        <v>63.449999999999996</v>
      </c>
      <c r="L11">
        <v>43.11</v>
      </c>
      <c r="M11" s="7">
        <v>107.28</v>
      </c>
      <c r="N11" s="7">
        <v>122.58</v>
      </c>
      <c r="O11">
        <v>10.17</v>
      </c>
      <c r="P11">
        <v>140.48999999999998</v>
      </c>
      <c r="Q11">
        <v>125.36999999999999</v>
      </c>
      <c r="R11">
        <v>74.7</v>
      </c>
      <c r="S11" s="7">
        <v>64.349999999999994</v>
      </c>
      <c r="T11">
        <v>154.88999999999999</v>
      </c>
    </row>
    <row r="12" spans="1:20" x14ac:dyDescent="0.2">
      <c r="C12">
        <f>SUM(C2:C11)</f>
        <v>244652.67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44127.54</v>
      </c>
      <c r="D17">
        <f>AVERAGE(C2:E2)</f>
        <v>46424.34</v>
      </c>
      <c r="E17">
        <f>C17-D17</f>
        <v>-2296.7999999999956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15728.58</v>
      </c>
      <c r="D18">
        <f t="shared" ref="D18:D25" si="1">AVERAGE(C3:E3)</f>
        <v>7090.3499999999995</v>
      </c>
      <c r="E18">
        <f t="shared" ref="E18:E26" si="2">C18-D18</f>
        <v>8638.23</v>
      </c>
    </row>
    <row r="19" spans="1:5" ht="16" thickBot="1" x14ac:dyDescent="0.25">
      <c r="A19">
        <v>3</v>
      </c>
      <c r="B19" s="6" t="s">
        <v>3</v>
      </c>
      <c r="C19">
        <f t="shared" si="0"/>
        <v>6063.0750000000007</v>
      </c>
      <c r="D19">
        <f t="shared" si="1"/>
        <v>5087.34</v>
      </c>
      <c r="E19">
        <f t="shared" si="2"/>
        <v>975.73500000000058</v>
      </c>
    </row>
    <row r="20" spans="1:5" ht="16" thickBot="1" x14ac:dyDescent="0.25">
      <c r="A20">
        <v>4</v>
      </c>
      <c r="B20" s="6" t="s">
        <v>4</v>
      </c>
      <c r="C20">
        <f t="shared" si="0"/>
        <v>16652.52</v>
      </c>
      <c r="D20">
        <f t="shared" si="1"/>
        <v>17094.149999999998</v>
      </c>
      <c r="E20">
        <f t="shared" si="2"/>
        <v>-441.62999999999738</v>
      </c>
    </row>
    <row r="21" spans="1:5" ht="16" thickBot="1" x14ac:dyDescent="0.25">
      <c r="A21">
        <v>5</v>
      </c>
      <c r="B21" s="6" t="s">
        <v>5</v>
      </c>
      <c r="C21">
        <f t="shared" si="0"/>
        <v>17604.18</v>
      </c>
      <c r="D21">
        <f t="shared" si="1"/>
        <v>95365.86</v>
      </c>
      <c r="E21">
        <f t="shared" si="2"/>
        <v>-77761.679999999993</v>
      </c>
    </row>
    <row r="22" spans="1:5" ht="16" thickBot="1" x14ac:dyDescent="0.25">
      <c r="A22">
        <v>6</v>
      </c>
      <c r="B22" s="6" t="s">
        <v>6</v>
      </c>
      <c r="C22">
        <f t="shared" si="0"/>
        <v>15072.57</v>
      </c>
      <c r="D22">
        <f t="shared" si="1"/>
        <v>9823.2899999999991</v>
      </c>
      <c r="E22">
        <f t="shared" si="2"/>
        <v>5249.2800000000007</v>
      </c>
    </row>
    <row r="23" spans="1:5" ht="16" thickBot="1" x14ac:dyDescent="0.25">
      <c r="A23">
        <v>7</v>
      </c>
      <c r="B23" s="6" t="s">
        <v>7</v>
      </c>
      <c r="C23">
        <f t="shared" si="0"/>
        <v>129214.39499999999</v>
      </c>
      <c r="D23">
        <f t="shared" si="1"/>
        <v>63717.24</v>
      </c>
      <c r="E23">
        <f t="shared" si="2"/>
        <v>65497.154999999992</v>
      </c>
    </row>
    <row r="24" spans="1:5" ht="16" thickBot="1" x14ac:dyDescent="0.25">
      <c r="A24">
        <v>8</v>
      </c>
      <c r="B24" s="6" t="s">
        <v>8</v>
      </c>
      <c r="C24">
        <f t="shared" si="0"/>
        <v>0</v>
      </c>
      <c r="D24">
        <f t="shared" si="1"/>
        <v>16.829999999999998</v>
      </c>
      <c r="E24">
        <f t="shared" si="2"/>
        <v>-16.829999999999998</v>
      </c>
    </row>
    <row r="25" spans="1:5" ht="16" thickBot="1" x14ac:dyDescent="0.25">
      <c r="A25">
        <v>9</v>
      </c>
      <c r="B25" s="6" t="s">
        <v>9</v>
      </c>
      <c r="C25">
        <f t="shared" si="0"/>
        <v>80.19</v>
      </c>
      <c r="D25">
        <f t="shared" si="1"/>
        <v>2.46</v>
      </c>
      <c r="E25">
        <f t="shared" si="2"/>
        <v>77.73</v>
      </c>
    </row>
    <row r="26" spans="1:5" ht="16" thickBot="1" x14ac:dyDescent="0.25">
      <c r="A26">
        <v>10</v>
      </c>
      <c r="B26" s="6" t="s">
        <v>10</v>
      </c>
      <c r="C26">
        <f>AVERAGE(S11:T11)</f>
        <v>109.61999999999999</v>
      </c>
      <c r="D26">
        <f>AVERAGE(C11:E11)</f>
        <v>30.810000000000002</v>
      </c>
      <c r="E26">
        <f t="shared" si="2"/>
        <v>78.809999999999988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-4.9474047450109051</v>
      </c>
    </row>
    <row r="32" spans="1:5" x14ac:dyDescent="0.2">
      <c r="B32" s="13" t="s">
        <v>2</v>
      </c>
      <c r="E32" s="14">
        <f t="shared" ref="E32:E40" si="3">(E18/D18)*100</f>
        <v>121.83079819755021</v>
      </c>
    </row>
    <row r="33" spans="2:5" x14ac:dyDescent="0.2">
      <c r="B33" s="13" t="s">
        <v>3</v>
      </c>
      <c r="E33" s="14">
        <f t="shared" si="3"/>
        <v>19.179669532604475</v>
      </c>
    </row>
    <row r="34" spans="2:5" x14ac:dyDescent="0.2">
      <c r="B34" s="13" t="s">
        <v>4</v>
      </c>
      <c r="E34" s="14">
        <f t="shared" si="3"/>
        <v>-2.5835154131676479</v>
      </c>
    </row>
    <row r="35" spans="2:5" x14ac:dyDescent="0.2">
      <c r="B35" s="13" t="s">
        <v>5</v>
      </c>
      <c r="E35" s="14">
        <f t="shared" si="3"/>
        <v>-81.540375140537705</v>
      </c>
    </row>
    <row r="36" spans="2:5" x14ac:dyDescent="0.2">
      <c r="B36" s="13" t="s">
        <v>6</v>
      </c>
      <c r="E36" s="14">
        <f t="shared" si="3"/>
        <v>53.437086760138421</v>
      </c>
    </row>
    <row r="37" spans="2:5" x14ac:dyDescent="0.2">
      <c r="B37" s="13" t="s">
        <v>7</v>
      </c>
      <c r="E37" s="14">
        <f t="shared" si="3"/>
        <v>102.79345903871541</v>
      </c>
    </row>
    <row r="38" spans="2:5" x14ac:dyDescent="0.2">
      <c r="B38" s="13" t="s">
        <v>8</v>
      </c>
      <c r="E38" s="14">
        <f t="shared" si="3"/>
        <v>-100</v>
      </c>
    </row>
    <row r="39" spans="2:5" x14ac:dyDescent="0.2">
      <c r="B39" s="13" t="s">
        <v>9</v>
      </c>
      <c r="E39" s="14">
        <f t="shared" si="3"/>
        <v>3159.7560975609758</v>
      </c>
    </row>
    <row r="40" spans="2:5" x14ac:dyDescent="0.2">
      <c r="B40" s="13" t="s">
        <v>10</v>
      </c>
      <c r="E40" s="14">
        <f t="shared" si="3"/>
        <v>255.79357351509248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AE7C-8F12-F644-B487-AFD99DEFF500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28160.19</v>
      </c>
      <c r="D2">
        <v>26943.39</v>
      </c>
      <c r="E2">
        <v>24851.43</v>
      </c>
      <c r="F2">
        <v>29209.32</v>
      </c>
      <c r="G2" s="7">
        <v>24967.439999999999</v>
      </c>
      <c r="H2">
        <v>37734.21</v>
      </c>
      <c r="I2">
        <v>23467.59</v>
      </c>
      <c r="J2" s="7">
        <v>23691.06</v>
      </c>
      <c r="K2">
        <v>27090.899999999998</v>
      </c>
      <c r="L2">
        <v>29739.96</v>
      </c>
      <c r="M2">
        <v>25004.52</v>
      </c>
      <c r="N2" s="7">
        <v>27009.45</v>
      </c>
      <c r="O2" s="7">
        <v>27684</v>
      </c>
      <c r="P2">
        <v>28063.53</v>
      </c>
      <c r="Q2">
        <v>22875.93</v>
      </c>
      <c r="R2">
        <v>31058.46</v>
      </c>
      <c r="S2">
        <v>24553.26</v>
      </c>
      <c r="T2">
        <v>24191.19</v>
      </c>
    </row>
    <row r="3" spans="1:20" ht="16" thickBot="1" x14ac:dyDescent="0.25">
      <c r="A3">
        <v>2</v>
      </c>
      <c r="B3" s="6" t="s">
        <v>2</v>
      </c>
      <c r="C3">
        <v>512.64</v>
      </c>
      <c r="D3">
        <v>1660.95</v>
      </c>
      <c r="E3">
        <v>164.7</v>
      </c>
      <c r="F3">
        <v>26.91</v>
      </c>
      <c r="G3" s="7">
        <v>4.2300000000000004</v>
      </c>
      <c r="H3">
        <v>0.27</v>
      </c>
      <c r="I3">
        <v>27.36</v>
      </c>
      <c r="J3" s="7">
        <v>23.49</v>
      </c>
      <c r="K3">
        <v>497.25</v>
      </c>
      <c r="L3">
        <v>1.17</v>
      </c>
      <c r="M3">
        <v>62.73</v>
      </c>
      <c r="N3" s="7">
        <v>1.35</v>
      </c>
      <c r="O3" s="7">
        <v>1169.46</v>
      </c>
      <c r="P3">
        <v>93.69</v>
      </c>
      <c r="Q3">
        <v>328.59</v>
      </c>
      <c r="R3">
        <v>280.52999999999997</v>
      </c>
      <c r="S3">
        <v>2328.39</v>
      </c>
      <c r="T3">
        <v>2125.2599999999998</v>
      </c>
    </row>
    <row r="4" spans="1:20" ht="16" thickBot="1" x14ac:dyDescent="0.25">
      <c r="A4">
        <v>3</v>
      </c>
      <c r="B4" s="6" t="s">
        <v>3</v>
      </c>
      <c r="C4">
        <v>13222.8</v>
      </c>
      <c r="D4">
        <v>17807.219999999998</v>
      </c>
      <c r="E4">
        <v>11900.07</v>
      </c>
      <c r="F4">
        <v>13970.43</v>
      </c>
      <c r="G4" s="7">
        <v>10495.62</v>
      </c>
      <c r="H4">
        <v>10028.43</v>
      </c>
      <c r="I4">
        <v>9652.5</v>
      </c>
      <c r="J4" s="7">
        <v>13852.17</v>
      </c>
      <c r="K4">
        <v>19528.559999999998</v>
      </c>
      <c r="L4">
        <v>7874.6399999999994</v>
      </c>
      <c r="M4">
        <v>11543.31</v>
      </c>
      <c r="N4" s="7">
        <v>8984.16</v>
      </c>
      <c r="O4" s="7">
        <v>6526.44</v>
      </c>
      <c r="P4">
        <v>8609.2199999999993</v>
      </c>
      <c r="Q4">
        <v>8548.02</v>
      </c>
      <c r="R4">
        <v>6662.9699999999993</v>
      </c>
      <c r="S4">
        <v>12366.81</v>
      </c>
      <c r="T4">
        <v>14490.539999999999</v>
      </c>
    </row>
    <row r="5" spans="1:20" ht="16" thickBot="1" x14ac:dyDescent="0.25">
      <c r="A5">
        <v>4</v>
      </c>
      <c r="B5" s="6" t="s">
        <v>4</v>
      </c>
      <c r="C5">
        <v>61023.869999999995</v>
      </c>
      <c r="D5">
        <v>55128.329999999994</v>
      </c>
      <c r="E5">
        <v>44469.63</v>
      </c>
      <c r="F5">
        <v>30042</v>
      </c>
      <c r="G5" s="7">
        <v>45841.23</v>
      </c>
      <c r="H5">
        <v>45206.729999999996</v>
      </c>
      <c r="I5">
        <v>43505.82</v>
      </c>
      <c r="J5" s="7">
        <v>29898.54</v>
      </c>
      <c r="K5">
        <v>19386.899999999998</v>
      </c>
      <c r="L5">
        <v>30557.34</v>
      </c>
      <c r="M5">
        <v>18000</v>
      </c>
      <c r="N5" s="7">
        <v>20403.63</v>
      </c>
      <c r="O5" s="7">
        <v>36925.47</v>
      </c>
      <c r="P5">
        <v>32730.84</v>
      </c>
      <c r="Q5">
        <v>13289.67</v>
      </c>
      <c r="R5">
        <v>15518.34</v>
      </c>
      <c r="S5">
        <v>17604.45</v>
      </c>
      <c r="T5">
        <v>13456.35</v>
      </c>
    </row>
    <row r="6" spans="1:20" ht="16" thickBot="1" x14ac:dyDescent="0.25">
      <c r="A6">
        <v>5</v>
      </c>
      <c r="B6" s="6" t="s">
        <v>5</v>
      </c>
      <c r="C6">
        <v>54019.619999999995</v>
      </c>
      <c r="D6">
        <v>43208.639999999999</v>
      </c>
      <c r="E6">
        <v>69065.279999999999</v>
      </c>
      <c r="F6">
        <v>64621.89</v>
      </c>
      <c r="G6" s="7">
        <v>64251</v>
      </c>
      <c r="H6">
        <v>53990.189999999995</v>
      </c>
      <c r="I6">
        <v>44041.86</v>
      </c>
      <c r="J6" s="7">
        <v>40987.620000000003</v>
      </c>
      <c r="K6">
        <v>25841.16</v>
      </c>
      <c r="L6">
        <v>45235.799999999996</v>
      </c>
      <c r="M6">
        <v>44025.479999999996</v>
      </c>
      <c r="N6" s="7">
        <v>37864.44</v>
      </c>
      <c r="O6" s="7">
        <v>35978.76</v>
      </c>
      <c r="P6">
        <v>39412.35</v>
      </c>
      <c r="Q6">
        <v>38708.1</v>
      </c>
      <c r="R6">
        <v>30036.42</v>
      </c>
      <c r="S6">
        <v>33498.54</v>
      </c>
      <c r="T6">
        <v>25446.059999999998</v>
      </c>
    </row>
    <row r="7" spans="1:20" ht="16" thickBot="1" x14ac:dyDescent="0.25">
      <c r="A7">
        <v>6</v>
      </c>
      <c r="B7" s="6" t="s">
        <v>6</v>
      </c>
      <c r="C7">
        <v>4779.8099999999995</v>
      </c>
      <c r="D7">
        <v>6681.42</v>
      </c>
      <c r="E7">
        <v>10223.1</v>
      </c>
      <c r="F7">
        <v>8330.0399999999991</v>
      </c>
      <c r="G7" s="7">
        <v>5603.4</v>
      </c>
      <c r="H7">
        <v>18850.77</v>
      </c>
      <c r="I7">
        <v>17520.48</v>
      </c>
      <c r="J7" s="7">
        <v>18803.88</v>
      </c>
      <c r="K7">
        <v>14554.71</v>
      </c>
      <c r="L7">
        <v>6360.48</v>
      </c>
      <c r="M7">
        <v>22353.84</v>
      </c>
      <c r="N7" s="7">
        <v>13729.41</v>
      </c>
      <c r="O7" s="7">
        <v>11964.24</v>
      </c>
      <c r="P7">
        <v>14782.05</v>
      </c>
      <c r="Q7">
        <v>7883.28</v>
      </c>
      <c r="R7">
        <v>11994.57</v>
      </c>
      <c r="S7">
        <v>6354.99</v>
      </c>
      <c r="T7">
        <v>2055.87</v>
      </c>
    </row>
    <row r="8" spans="1:20" ht="16" thickBot="1" x14ac:dyDescent="0.25">
      <c r="A8">
        <v>7</v>
      </c>
      <c r="B8" s="6" t="s">
        <v>7</v>
      </c>
      <c r="C8">
        <v>139822.10999999999</v>
      </c>
      <c r="D8">
        <v>150452.37</v>
      </c>
      <c r="E8">
        <v>142002.26999999999</v>
      </c>
      <c r="F8">
        <v>151704.09</v>
      </c>
      <c r="G8" s="7">
        <v>150056.54999999999</v>
      </c>
      <c r="H8">
        <v>135201.24</v>
      </c>
      <c r="I8">
        <v>156652.82999999999</v>
      </c>
      <c r="J8" s="7">
        <v>171810.72</v>
      </c>
      <c r="K8">
        <v>193460.49</v>
      </c>
      <c r="L8">
        <v>177368.03999999998</v>
      </c>
      <c r="M8">
        <v>175877.00999999998</v>
      </c>
      <c r="N8" s="7">
        <v>189207.18</v>
      </c>
      <c r="O8" s="7">
        <v>167724.9</v>
      </c>
      <c r="P8">
        <v>172887.21</v>
      </c>
      <c r="Q8">
        <v>202905.36</v>
      </c>
      <c r="R8">
        <v>199438.47</v>
      </c>
      <c r="S8">
        <v>201826.62</v>
      </c>
      <c r="T8">
        <v>217047.06</v>
      </c>
    </row>
    <row r="9" spans="1:20" ht="16" thickBot="1" x14ac:dyDescent="0.25">
      <c r="A9">
        <v>8</v>
      </c>
      <c r="B9" s="6" t="s">
        <v>8</v>
      </c>
      <c r="C9">
        <v>11.07</v>
      </c>
      <c r="D9">
        <v>2.9699999999999998</v>
      </c>
      <c r="E9">
        <v>35.64</v>
      </c>
      <c r="F9">
        <v>125.72999999999999</v>
      </c>
      <c r="G9" s="7">
        <v>534.41999999999996</v>
      </c>
      <c r="H9">
        <v>138.15</v>
      </c>
      <c r="I9">
        <v>2408.4899999999998</v>
      </c>
      <c r="J9" s="7">
        <v>195.93</v>
      </c>
      <c r="K9">
        <v>190.79999999999998</v>
      </c>
      <c r="L9">
        <v>334.62</v>
      </c>
      <c r="M9">
        <v>459.45</v>
      </c>
      <c r="N9" s="7">
        <v>688.59</v>
      </c>
      <c r="O9" s="7">
        <v>435.78</v>
      </c>
      <c r="P9">
        <v>0</v>
      </c>
      <c r="Q9">
        <v>0</v>
      </c>
      <c r="R9">
        <v>62.55</v>
      </c>
      <c r="S9">
        <v>50.94</v>
      </c>
      <c r="T9">
        <v>2.16</v>
      </c>
    </row>
    <row r="10" spans="1:20" ht="16" thickBot="1" x14ac:dyDescent="0.25">
      <c r="A10">
        <v>9</v>
      </c>
      <c r="B10" s="6" t="s">
        <v>9</v>
      </c>
      <c r="C10">
        <v>51.3</v>
      </c>
      <c r="D10">
        <v>66.599999999999994</v>
      </c>
      <c r="E10">
        <v>51.12</v>
      </c>
      <c r="F10">
        <v>81</v>
      </c>
      <c r="G10" s="7">
        <v>90.81</v>
      </c>
      <c r="H10">
        <v>78.03</v>
      </c>
      <c r="I10">
        <v>166.85999999999999</v>
      </c>
      <c r="J10" s="7">
        <v>88.02</v>
      </c>
      <c r="K10">
        <v>125.91</v>
      </c>
      <c r="L10">
        <v>188.1</v>
      </c>
      <c r="M10">
        <v>191.88</v>
      </c>
      <c r="N10" s="7">
        <v>144.36000000000001</v>
      </c>
      <c r="O10" s="7">
        <v>251.73</v>
      </c>
      <c r="P10">
        <v>192.42</v>
      </c>
      <c r="Q10">
        <v>137.25</v>
      </c>
      <c r="R10">
        <v>98.91</v>
      </c>
      <c r="S10">
        <v>105.3</v>
      </c>
      <c r="T10">
        <v>162.9</v>
      </c>
    </row>
    <row r="11" spans="1:20" ht="16" thickBot="1" x14ac:dyDescent="0.25">
      <c r="A11">
        <v>10</v>
      </c>
      <c r="B11" s="6" t="s">
        <v>10</v>
      </c>
      <c r="C11">
        <v>1536.3</v>
      </c>
      <c r="D11">
        <v>1187.82</v>
      </c>
      <c r="E11">
        <v>376.46999999999997</v>
      </c>
      <c r="F11">
        <v>5028.3</v>
      </c>
      <c r="G11" s="7">
        <v>1295.01</v>
      </c>
      <c r="H11">
        <v>1911.6899999999998</v>
      </c>
      <c r="I11">
        <v>5695.92</v>
      </c>
      <c r="J11" s="7">
        <v>3788.28</v>
      </c>
      <c r="K11">
        <v>2463.0299999999997</v>
      </c>
      <c r="L11">
        <v>5479.5599999999995</v>
      </c>
      <c r="M11">
        <v>5621.49</v>
      </c>
      <c r="N11" s="7">
        <v>5107.1400000000003</v>
      </c>
      <c r="O11" s="7">
        <v>14478.93</v>
      </c>
      <c r="P11">
        <v>6368.4</v>
      </c>
      <c r="Q11">
        <v>8463.51</v>
      </c>
      <c r="R11">
        <v>7988.49</v>
      </c>
      <c r="S11">
        <v>4450.41</v>
      </c>
      <c r="T11">
        <v>4162.32</v>
      </c>
    </row>
    <row r="12" spans="1:20" x14ac:dyDescent="0.2">
      <c r="C12">
        <f>SUM(C2:C11)</f>
        <v>303139.70999999996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24372.224999999999</v>
      </c>
      <c r="D17">
        <f>AVERAGE(C2:E2)</f>
        <v>26651.670000000002</v>
      </c>
      <c r="E17">
        <f>C17-D17</f>
        <v>-2279.4450000000033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2226.8249999999998</v>
      </c>
      <c r="D18">
        <f t="shared" ref="D18:D25" si="1">AVERAGE(C3:E3)</f>
        <v>779.43</v>
      </c>
      <c r="E18">
        <f t="shared" ref="E18:E26" si="2">C18-D18</f>
        <v>1447.395</v>
      </c>
    </row>
    <row r="19" spans="1:5" ht="16" thickBot="1" x14ac:dyDescent="0.25">
      <c r="A19">
        <v>3</v>
      </c>
      <c r="B19" s="6" t="s">
        <v>3</v>
      </c>
      <c r="C19">
        <f t="shared" si="0"/>
        <v>13428.674999999999</v>
      </c>
      <c r="D19">
        <f t="shared" si="1"/>
        <v>14310.029999999999</v>
      </c>
      <c r="E19">
        <f t="shared" si="2"/>
        <v>-881.35499999999956</v>
      </c>
    </row>
    <row r="20" spans="1:5" ht="16" thickBot="1" x14ac:dyDescent="0.25">
      <c r="A20">
        <v>4</v>
      </c>
      <c r="B20" s="6" t="s">
        <v>4</v>
      </c>
      <c r="C20">
        <f t="shared" si="0"/>
        <v>15530.400000000001</v>
      </c>
      <c r="D20">
        <f t="shared" si="1"/>
        <v>53540.609999999993</v>
      </c>
      <c r="E20">
        <f t="shared" si="2"/>
        <v>-38010.209999999992</v>
      </c>
    </row>
    <row r="21" spans="1:5" ht="16" thickBot="1" x14ac:dyDescent="0.25">
      <c r="A21">
        <v>5</v>
      </c>
      <c r="B21" s="6" t="s">
        <v>5</v>
      </c>
      <c r="C21">
        <f t="shared" si="0"/>
        <v>29472.3</v>
      </c>
      <c r="D21">
        <f t="shared" si="1"/>
        <v>55431.179999999993</v>
      </c>
      <c r="E21">
        <f t="shared" si="2"/>
        <v>-25958.879999999994</v>
      </c>
    </row>
    <row r="22" spans="1:5" ht="16" thickBot="1" x14ac:dyDescent="0.25">
      <c r="A22">
        <v>6</v>
      </c>
      <c r="B22" s="6" t="s">
        <v>6</v>
      </c>
      <c r="C22">
        <f t="shared" si="0"/>
        <v>4205.43</v>
      </c>
      <c r="D22">
        <f t="shared" si="1"/>
        <v>7228.1100000000006</v>
      </c>
      <c r="E22">
        <f t="shared" si="2"/>
        <v>-3022.6800000000003</v>
      </c>
    </row>
    <row r="23" spans="1:5" ht="16" thickBot="1" x14ac:dyDescent="0.25">
      <c r="A23">
        <v>7</v>
      </c>
      <c r="B23" s="6" t="s">
        <v>7</v>
      </c>
      <c r="C23">
        <f t="shared" si="0"/>
        <v>209436.84</v>
      </c>
      <c r="D23">
        <f t="shared" si="1"/>
        <v>144092.25</v>
      </c>
      <c r="E23">
        <f t="shared" si="2"/>
        <v>65344.59</v>
      </c>
    </row>
    <row r="24" spans="1:5" ht="16" thickBot="1" x14ac:dyDescent="0.25">
      <c r="A24">
        <v>8</v>
      </c>
      <c r="B24" s="6" t="s">
        <v>8</v>
      </c>
      <c r="C24">
        <f t="shared" si="0"/>
        <v>26.549999999999997</v>
      </c>
      <c r="D24">
        <f t="shared" si="1"/>
        <v>16.559999999999999</v>
      </c>
      <c r="E24">
        <f t="shared" si="2"/>
        <v>9.9899999999999984</v>
      </c>
    </row>
    <row r="25" spans="1:5" ht="16" thickBot="1" x14ac:dyDescent="0.25">
      <c r="A25">
        <v>9</v>
      </c>
      <c r="B25" s="6" t="s">
        <v>9</v>
      </c>
      <c r="C25">
        <f t="shared" si="0"/>
        <v>134.1</v>
      </c>
      <c r="D25">
        <f t="shared" si="1"/>
        <v>56.339999999999996</v>
      </c>
      <c r="E25">
        <f t="shared" si="2"/>
        <v>77.759999999999991</v>
      </c>
    </row>
    <row r="26" spans="1:5" ht="16" thickBot="1" x14ac:dyDescent="0.25">
      <c r="A26">
        <v>10</v>
      </c>
      <c r="B26" s="6" t="s">
        <v>10</v>
      </c>
      <c r="C26">
        <f>AVERAGE(S11:T11)</f>
        <v>4306.3649999999998</v>
      </c>
      <c r="D26">
        <f>AVERAGE(C11:E11)</f>
        <v>1033.53</v>
      </c>
      <c r="E26">
        <f t="shared" si="2"/>
        <v>3272.835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-8.5527285907412303</v>
      </c>
    </row>
    <row r="32" spans="1:5" x14ac:dyDescent="0.2">
      <c r="B32" s="13" t="s">
        <v>2</v>
      </c>
      <c r="E32" s="14">
        <f t="shared" ref="E32:E40" si="3">(E18/D18)*100</f>
        <v>185.69916477425812</v>
      </c>
    </row>
    <row r="33" spans="2:5" x14ac:dyDescent="0.2">
      <c r="B33" s="13" t="s">
        <v>3</v>
      </c>
      <c r="E33" s="14">
        <f t="shared" si="3"/>
        <v>-6.1590017630990266</v>
      </c>
    </row>
    <row r="34" spans="2:5" x14ac:dyDescent="0.2">
      <c r="B34" s="13" t="s">
        <v>4</v>
      </c>
      <c r="E34" s="14">
        <f t="shared" si="3"/>
        <v>-70.993232987072801</v>
      </c>
    </row>
    <row r="35" spans="2:5" x14ac:dyDescent="0.2">
      <c r="B35" s="13" t="s">
        <v>5</v>
      </c>
      <c r="E35" s="14">
        <f t="shared" si="3"/>
        <v>-46.830826982214695</v>
      </c>
    </row>
    <row r="36" spans="2:5" x14ac:dyDescent="0.2">
      <c r="B36" s="13" t="s">
        <v>6</v>
      </c>
      <c r="E36" s="14">
        <f t="shared" si="3"/>
        <v>-41.818400660753639</v>
      </c>
    </row>
    <row r="37" spans="2:5" x14ac:dyDescent="0.2">
      <c r="B37" s="13" t="s">
        <v>7</v>
      </c>
      <c r="E37" s="14">
        <f t="shared" si="3"/>
        <v>45.349135709935815</v>
      </c>
    </row>
    <row r="38" spans="2:5" x14ac:dyDescent="0.2">
      <c r="B38" s="13" t="s">
        <v>8</v>
      </c>
      <c r="E38" s="14">
        <f t="shared" si="3"/>
        <v>60.326086956521728</v>
      </c>
    </row>
    <row r="39" spans="2:5" x14ac:dyDescent="0.2">
      <c r="B39" s="13" t="s">
        <v>9</v>
      </c>
      <c r="E39" s="14">
        <f t="shared" si="3"/>
        <v>138.01916932907346</v>
      </c>
    </row>
    <row r="40" spans="2:5" x14ac:dyDescent="0.2">
      <c r="B40" s="13" t="s">
        <v>10</v>
      </c>
      <c r="E40" s="14">
        <f t="shared" si="3"/>
        <v>316.66569910887927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722A-10EA-8841-8D6B-397DFD27CFA6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 s="7">
        <v>1261.8</v>
      </c>
      <c r="D2" s="7">
        <v>74.790000000000006</v>
      </c>
      <c r="E2">
        <v>1.98</v>
      </c>
      <c r="F2" s="7">
        <v>141.93</v>
      </c>
      <c r="G2">
        <v>7.7399999999999993</v>
      </c>
      <c r="H2" s="7">
        <v>562.5</v>
      </c>
      <c r="I2" s="7">
        <v>46.44</v>
      </c>
      <c r="J2">
        <v>54.089999999999996</v>
      </c>
      <c r="K2">
        <v>15.84</v>
      </c>
      <c r="L2">
        <v>98.46</v>
      </c>
      <c r="M2">
        <v>18.27</v>
      </c>
      <c r="N2">
        <v>95.22</v>
      </c>
      <c r="O2">
        <v>71.64</v>
      </c>
      <c r="P2">
        <v>175.95</v>
      </c>
      <c r="Q2">
        <v>28.709999999999997</v>
      </c>
      <c r="R2">
        <v>816.93</v>
      </c>
      <c r="S2">
        <v>46.71</v>
      </c>
      <c r="T2">
        <v>166.14</v>
      </c>
    </row>
    <row r="3" spans="1:20" ht="16" thickBot="1" x14ac:dyDescent="0.25">
      <c r="A3">
        <v>2</v>
      </c>
      <c r="B3" s="6" t="s">
        <v>2</v>
      </c>
      <c r="C3" s="7">
        <v>225.9</v>
      </c>
      <c r="D3" s="7">
        <v>293.76</v>
      </c>
      <c r="E3">
        <v>4.2299999999999995</v>
      </c>
      <c r="F3" s="7">
        <v>18.45</v>
      </c>
      <c r="G3">
        <v>0.99</v>
      </c>
      <c r="H3" s="7">
        <v>1.44</v>
      </c>
      <c r="I3" s="7">
        <v>3.24</v>
      </c>
      <c r="J3">
        <v>2.0699999999999998</v>
      </c>
      <c r="K3">
        <v>5.58</v>
      </c>
      <c r="L3">
        <v>2.34</v>
      </c>
      <c r="M3">
        <v>0.80999999999999994</v>
      </c>
      <c r="N3">
        <v>0</v>
      </c>
      <c r="O3">
        <v>698.4</v>
      </c>
      <c r="P3">
        <v>46.26</v>
      </c>
      <c r="Q3">
        <v>269.82</v>
      </c>
      <c r="R3">
        <v>30.869999999999997</v>
      </c>
      <c r="S3">
        <v>276.20999999999998</v>
      </c>
      <c r="T3">
        <v>610.47</v>
      </c>
    </row>
    <row r="4" spans="1:20" ht="16" thickBot="1" x14ac:dyDescent="0.25">
      <c r="A4">
        <v>3</v>
      </c>
      <c r="B4" s="6" t="s">
        <v>3</v>
      </c>
      <c r="C4" s="7">
        <v>4.8600000000000003</v>
      </c>
      <c r="D4" s="7">
        <v>0</v>
      </c>
      <c r="E4">
        <v>9.09</v>
      </c>
      <c r="F4" s="7">
        <v>5.49</v>
      </c>
      <c r="G4">
        <v>13.049999999999999</v>
      </c>
      <c r="H4" s="7">
        <v>1.35</v>
      </c>
      <c r="I4" s="7">
        <v>11.43</v>
      </c>
      <c r="J4">
        <v>4.5</v>
      </c>
      <c r="K4">
        <v>78.75</v>
      </c>
      <c r="L4">
        <v>9.09</v>
      </c>
      <c r="M4">
        <v>0.09</v>
      </c>
      <c r="N4">
        <v>19.169999999999998</v>
      </c>
      <c r="O4">
        <v>35.729999999999997</v>
      </c>
      <c r="P4">
        <v>15.299999999999999</v>
      </c>
      <c r="Q4">
        <v>12.059999999999999</v>
      </c>
      <c r="R4">
        <v>0</v>
      </c>
      <c r="S4">
        <v>357.03</v>
      </c>
      <c r="T4">
        <v>179.45999999999998</v>
      </c>
    </row>
    <row r="5" spans="1:20" ht="16" thickBot="1" x14ac:dyDescent="0.25">
      <c r="A5">
        <v>4</v>
      </c>
      <c r="B5" s="6" t="s">
        <v>4</v>
      </c>
      <c r="C5" s="7">
        <v>64739.16</v>
      </c>
      <c r="D5" s="7">
        <v>59156.28</v>
      </c>
      <c r="E5">
        <v>52812.09</v>
      </c>
      <c r="F5" s="7">
        <v>34289.730000000003</v>
      </c>
      <c r="G5">
        <v>38564.82</v>
      </c>
      <c r="H5" s="7">
        <v>40976.01</v>
      </c>
      <c r="I5" s="7">
        <v>25092.720000000001</v>
      </c>
      <c r="J5">
        <v>19683.36</v>
      </c>
      <c r="K5">
        <v>18932.219999999998</v>
      </c>
      <c r="L5">
        <v>33415.199999999997</v>
      </c>
      <c r="M5">
        <v>23161.5</v>
      </c>
      <c r="N5">
        <v>23937.21</v>
      </c>
      <c r="O5">
        <v>29050.559999999998</v>
      </c>
      <c r="P5">
        <v>19940.759999999998</v>
      </c>
      <c r="Q5">
        <v>9576.4499999999989</v>
      </c>
      <c r="R5">
        <v>22226.85</v>
      </c>
      <c r="S5">
        <v>27956.25</v>
      </c>
      <c r="T5">
        <v>22441.68</v>
      </c>
    </row>
    <row r="6" spans="1:20" ht="16" thickBot="1" x14ac:dyDescent="0.25">
      <c r="A6">
        <v>5</v>
      </c>
      <c r="B6" s="6" t="s">
        <v>5</v>
      </c>
      <c r="C6" s="7">
        <v>8900.82</v>
      </c>
      <c r="D6" s="7">
        <v>15012.36</v>
      </c>
      <c r="E6">
        <v>13580.369999999999</v>
      </c>
      <c r="F6" s="7">
        <v>20267.64</v>
      </c>
      <c r="G6">
        <v>17873.28</v>
      </c>
      <c r="H6" s="7">
        <v>13481.91</v>
      </c>
      <c r="I6" s="7">
        <v>15590.97</v>
      </c>
      <c r="J6">
        <v>1360.8899999999999</v>
      </c>
      <c r="K6">
        <v>2211.84</v>
      </c>
      <c r="L6">
        <v>3215.7</v>
      </c>
      <c r="M6">
        <v>4347.09</v>
      </c>
      <c r="N6">
        <v>2988.0899999999997</v>
      </c>
      <c r="O6">
        <v>13842.449999999999</v>
      </c>
      <c r="P6">
        <v>13431.869999999999</v>
      </c>
      <c r="Q6">
        <v>9639.9</v>
      </c>
      <c r="R6">
        <v>9605.7899999999991</v>
      </c>
      <c r="S6">
        <v>6779.79</v>
      </c>
      <c r="T6">
        <v>15373.71</v>
      </c>
    </row>
    <row r="7" spans="1:20" ht="16" thickBot="1" x14ac:dyDescent="0.25">
      <c r="A7">
        <v>6</v>
      </c>
      <c r="B7" s="6" t="s">
        <v>6</v>
      </c>
      <c r="C7" s="7">
        <v>398.7</v>
      </c>
      <c r="D7" s="7">
        <v>568.79999999999995</v>
      </c>
      <c r="E7">
        <v>2556.9899999999998</v>
      </c>
      <c r="F7" s="7">
        <v>5382.36</v>
      </c>
      <c r="G7">
        <v>4019.22</v>
      </c>
      <c r="H7" s="7">
        <v>15285.96</v>
      </c>
      <c r="I7" s="7">
        <v>4508.82</v>
      </c>
      <c r="J7">
        <v>10800.27</v>
      </c>
      <c r="K7">
        <v>8891.369999999999</v>
      </c>
      <c r="L7">
        <v>781.19999999999993</v>
      </c>
      <c r="M7">
        <v>2099.34</v>
      </c>
      <c r="N7">
        <v>2972.25</v>
      </c>
      <c r="O7">
        <v>5088.0599999999995</v>
      </c>
      <c r="P7">
        <v>7214.13</v>
      </c>
      <c r="Q7">
        <v>3823.1099999999997</v>
      </c>
      <c r="R7">
        <v>3081.24</v>
      </c>
      <c r="S7">
        <v>2665.2599999999998</v>
      </c>
      <c r="T7">
        <v>619.55999999999995</v>
      </c>
    </row>
    <row r="8" spans="1:20" ht="16" thickBot="1" x14ac:dyDescent="0.25">
      <c r="A8">
        <v>7</v>
      </c>
      <c r="B8" s="6" t="s">
        <v>7</v>
      </c>
      <c r="C8" s="7">
        <v>91357.02</v>
      </c>
      <c r="D8" s="7">
        <v>91621.35</v>
      </c>
      <c r="E8">
        <v>96192.81</v>
      </c>
      <c r="F8" s="7">
        <v>104738.22</v>
      </c>
      <c r="G8">
        <v>104217.3</v>
      </c>
      <c r="H8" s="7">
        <v>94991.039999999994</v>
      </c>
      <c r="I8" s="7">
        <v>117004.32</v>
      </c>
      <c r="J8">
        <v>132488.1</v>
      </c>
      <c r="K8">
        <v>135314.91</v>
      </c>
      <c r="L8">
        <v>124110.72</v>
      </c>
      <c r="M8">
        <v>130686.48</v>
      </c>
      <c r="N8">
        <v>128795.67</v>
      </c>
      <c r="O8">
        <v>114077.25</v>
      </c>
      <c r="P8">
        <v>120749.58</v>
      </c>
      <c r="Q8">
        <v>138417.84</v>
      </c>
      <c r="R8">
        <v>128060.37</v>
      </c>
      <c r="S8">
        <v>123949.79999999999</v>
      </c>
      <c r="T8">
        <v>124951.40999999999</v>
      </c>
    </row>
    <row r="9" spans="1:20" ht="16" thickBot="1" x14ac:dyDescent="0.25">
      <c r="A9">
        <v>8</v>
      </c>
      <c r="B9" s="6" t="s">
        <v>8</v>
      </c>
      <c r="C9" s="7">
        <v>876.06</v>
      </c>
      <c r="D9" s="7">
        <v>1223.19</v>
      </c>
      <c r="E9">
        <v>2289.7799999999997</v>
      </c>
      <c r="F9" s="7">
        <v>1923.03</v>
      </c>
      <c r="G9">
        <v>2764.08</v>
      </c>
      <c r="H9" s="7">
        <v>1820.07</v>
      </c>
      <c r="I9" s="7">
        <v>4894.29</v>
      </c>
      <c r="J9">
        <v>3992.3999999999996</v>
      </c>
      <c r="K9">
        <v>2604.06</v>
      </c>
      <c r="L9">
        <v>5240.16</v>
      </c>
      <c r="M9">
        <v>6636.5999999999995</v>
      </c>
      <c r="N9">
        <v>8681.31</v>
      </c>
      <c r="O9">
        <v>4749.84</v>
      </c>
      <c r="P9">
        <v>4721.22</v>
      </c>
      <c r="Q9">
        <v>6223.59</v>
      </c>
      <c r="R9">
        <v>3889.44</v>
      </c>
      <c r="S9">
        <v>5559.84</v>
      </c>
      <c r="T9">
        <v>2081.6999999999998</v>
      </c>
    </row>
    <row r="10" spans="1:20" ht="16" thickBot="1" x14ac:dyDescent="0.25">
      <c r="A10">
        <v>9</v>
      </c>
      <c r="B10" s="6" t="s">
        <v>9</v>
      </c>
      <c r="C10" s="7">
        <v>14413.68</v>
      </c>
      <c r="D10" s="7">
        <v>13857.3</v>
      </c>
      <c r="E10">
        <v>14567.85</v>
      </c>
      <c r="F10" s="7">
        <v>14737.23</v>
      </c>
      <c r="G10">
        <v>14567.76</v>
      </c>
      <c r="H10" s="7">
        <v>14412.51</v>
      </c>
      <c r="I10" s="7">
        <v>13929.39</v>
      </c>
      <c r="J10">
        <v>13883.85</v>
      </c>
      <c r="K10">
        <v>14037.48</v>
      </c>
      <c r="L10">
        <v>13844.699999999999</v>
      </c>
      <c r="M10">
        <v>14321.88</v>
      </c>
      <c r="N10">
        <v>14195.34</v>
      </c>
      <c r="O10">
        <v>14194.8</v>
      </c>
      <c r="P10">
        <v>15562.529999999999</v>
      </c>
      <c r="Q10">
        <v>14112.18</v>
      </c>
      <c r="R10">
        <v>14051.88</v>
      </c>
      <c r="S10">
        <v>14042.88</v>
      </c>
      <c r="T10">
        <v>14422.23</v>
      </c>
    </row>
    <row r="11" spans="1:20" ht="16" thickBot="1" x14ac:dyDescent="0.25">
      <c r="A11">
        <v>10</v>
      </c>
      <c r="B11" s="6" t="s">
        <v>10</v>
      </c>
      <c r="C11" s="7">
        <v>118.8</v>
      </c>
      <c r="D11" s="7">
        <v>488.97</v>
      </c>
      <c r="E11">
        <v>281.61</v>
      </c>
      <c r="F11" s="7">
        <v>792.72</v>
      </c>
      <c r="G11">
        <v>268.56</v>
      </c>
      <c r="H11" s="7">
        <v>764.01</v>
      </c>
      <c r="I11" s="7">
        <v>1215.18</v>
      </c>
      <c r="J11">
        <v>27.27</v>
      </c>
      <c r="K11">
        <v>204.75</v>
      </c>
      <c r="L11">
        <v>1579.23</v>
      </c>
      <c r="M11">
        <v>1024.74</v>
      </c>
      <c r="N11">
        <v>612.54</v>
      </c>
      <c r="O11">
        <v>488.07</v>
      </c>
      <c r="P11">
        <v>439.2</v>
      </c>
      <c r="Q11">
        <v>193.14</v>
      </c>
      <c r="R11">
        <v>533.42999999999995</v>
      </c>
      <c r="S11">
        <v>663.03</v>
      </c>
      <c r="T11">
        <v>1450.44</v>
      </c>
    </row>
    <row r="12" spans="1:20" x14ac:dyDescent="0.2">
      <c r="C12">
        <f>SUM(C2:C11)</f>
        <v>182296.8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106.425</v>
      </c>
      <c r="D17">
        <f>AVERAGE(C2:E2)</f>
        <v>446.19</v>
      </c>
      <c r="E17">
        <f>C17-D17</f>
        <v>-339.76499999999999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443.34000000000003</v>
      </c>
      <c r="D18">
        <f t="shared" ref="D18:D25" si="1">AVERAGE(C3:E3)</f>
        <v>174.63</v>
      </c>
      <c r="E18">
        <f t="shared" ref="E18:E26" si="2">C18-D18</f>
        <v>268.71000000000004</v>
      </c>
    </row>
    <row r="19" spans="1:5" ht="16" thickBot="1" x14ac:dyDescent="0.25">
      <c r="A19">
        <v>3</v>
      </c>
      <c r="B19" s="6" t="s">
        <v>3</v>
      </c>
      <c r="C19">
        <f t="shared" si="0"/>
        <v>268.245</v>
      </c>
      <c r="D19">
        <f t="shared" si="1"/>
        <v>4.6499999999999995</v>
      </c>
      <c r="E19">
        <f t="shared" si="2"/>
        <v>263.59500000000003</v>
      </c>
    </row>
    <row r="20" spans="1:5" ht="16" thickBot="1" x14ac:dyDescent="0.25">
      <c r="A20">
        <v>4</v>
      </c>
      <c r="B20" s="6" t="s">
        <v>4</v>
      </c>
      <c r="C20">
        <f t="shared" si="0"/>
        <v>25198.965</v>
      </c>
      <c r="D20">
        <f t="shared" si="1"/>
        <v>58902.51</v>
      </c>
      <c r="E20">
        <f t="shared" si="2"/>
        <v>-33703.544999999998</v>
      </c>
    </row>
    <row r="21" spans="1:5" ht="16" thickBot="1" x14ac:dyDescent="0.25">
      <c r="A21">
        <v>5</v>
      </c>
      <c r="B21" s="6" t="s">
        <v>5</v>
      </c>
      <c r="C21">
        <f t="shared" si="0"/>
        <v>11076.75</v>
      </c>
      <c r="D21">
        <f t="shared" si="1"/>
        <v>12497.85</v>
      </c>
      <c r="E21">
        <f t="shared" si="2"/>
        <v>-1421.1000000000004</v>
      </c>
    </row>
    <row r="22" spans="1:5" ht="16" thickBot="1" x14ac:dyDescent="0.25">
      <c r="A22">
        <v>6</v>
      </c>
      <c r="B22" s="6" t="s">
        <v>6</v>
      </c>
      <c r="C22">
        <f t="shared" si="0"/>
        <v>1642.4099999999999</v>
      </c>
      <c r="D22">
        <f t="shared" si="1"/>
        <v>1174.83</v>
      </c>
      <c r="E22">
        <f t="shared" si="2"/>
        <v>467.57999999999993</v>
      </c>
    </row>
    <row r="23" spans="1:5" ht="16" thickBot="1" x14ac:dyDescent="0.25">
      <c r="A23">
        <v>7</v>
      </c>
      <c r="B23" s="6" t="s">
        <v>7</v>
      </c>
      <c r="C23">
        <f t="shared" si="0"/>
        <v>124450.60499999998</v>
      </c>
      <c r="D23">
        <f t="shared" si="1"/>
        <v>93057.06</v>
      </c>
      <c r="E23">
        <f t="shared" si="2"/>
        <v>31393.544999999984</v>
      </c>
    </row>
    <row r="24" spans="1:5" ht="16" thickBot="1" x14ac:dyDescent="0.25">
      <c r="A24">
        <v>8</v>
      </c>
      <c r="B24" s="6" t="s">
        <v>8</v>
      </c>
      <c r="C24">
        <f t="shared" si="0"/>
        <v>3820.77</v>
      </c>
      <c r="D24">
        <f t="shared" si="1"/>
        <v>1463.01</v>
      </c>
      <c r="E24">
        <f t="shared" si="2"/>
        <v>2357.7600000000002</v>
      </c>
    </row>
    <row r="25" spans="1:5" ht="16" thickBot="1" x14ac:dyDescent="0.25">
      <c r="A25">
        <v>9</v>
      </c>
      <c r="B25" s="6" t="s">
        <v>9</v>
      </c>
      <c r="C25">
        <f t="shared" si="0"/>
        <v>14232.555</v>
      </c>
      <c r="D25">
        <f t="shared" si="1"/>
        <v>14279.61</v>
      </c>
      <c r="E25">
        <f t="shared" si="2"/>
        <v>-47.055000000000291</v>
      </c>
    </row>
    <row r="26" spans="1:5" ht="16" thickBot="1" x14ac:dyDescent="0.25">
      <c r="A26">
        <v>10</v>
      </c>
      <c r="B26" s="6" t="s">
        <v>10</v>
      </c>
      <c r="C26">
        <f>AVERAGE(S11:T11)</f>
        <v>1056.7350000000001</v>
      </c>
      <c r="D26">
        <f>AVERAGE(C11:E11)</f>
        <v>296.45999999999998</v>
      </c>
      <c r="E26">
        <f t="shared" si="2"/>
        <v>760.27500000000009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-76.148053519800982</v>
      </c>
    </row>
    <row r="32" spans="1:5" x14ac:dyDescent="0.2">
      <c r="B32" s="13" t="s">
        <v>2</v>
      </c>
      <c r="E32" s="14">
        <f t="shared" ref="E32:E40" si="3">(E18/D18)*100</f>
        <v>153.87390482734929</v>
      </c>
    </row>
    <row r="33" spans="2:5" x14ac:dyDescent="0.2">
      <c r="B33" s="13" t="s">
        <v>3</v>
      </c>
      <c r="E33" s="14">
        <f t="shared" si="3"/>
        <v>5668.709677419356</v>
      </c>
    </row>
    <row r="34" spans="2:5" x14ac:dyDescent="0.2">
      <c r="B34" s="13" t="s">
        <v>4</v>
      </c>
      <c r="E34" s="14">
        <f t="shared" si="3"/>
        <v>-57.219199996740365</v>
      </c>
    </row>
    <row r="35" spans="2:5" x14ac:dyDescent="0.2">
      <c r="B35" s="13" t="s">
        <v>5</v>
      </c>
      <c r="E35" s="14">
        <f t="shared" si="3"/>
        <v>-11.37075576999244</v>
      </c>
    </row>
    <row r="36" spans="2:5" x14ac:dyDescent="0.2">
      <c r="B36" s="13" t="s">
        <v>6</v>
      </c>
      <c r="E36" s="14">
        <f t="shared" si="3"/>
        <v>39.799800822246617</v>
      </c>
    </row>
    <row r="37" spans="2:5" x14ac:dyDescent="0.2">
      <c r="B37" s="13" t="s">
        <v>7</v>
      </c>
      <c r="E37" s="14">
        <f t="shared" si="3"/>
        <v>33.735801453430817</v>
      </c>
    </row>
    <row r="38" spans="2:5" x14ac:dyDescent="0.2">
      <c r="B38" s="13" t="s">
        <v>8</v>
      </c>
      <c r="E38" s="14">
        <f t="shared" si="3"/>
        <v>161.15816023130398</v>
      </c>
    </row>
    <row r="39" spans="2:5" x14ac:dyDescent="0.2">
      <c r="B39" s="13" t="s">
        <v>9</v>
      </c>
      <c r="E39" s="14">
        <f t="shared" si="3"/>
        <v>-0.32952580637706697</v>
      </c>
    </row>
    <row r="40" spans="2:5" x14ac:dyDescent="0.2">
      <c r="B40" s="13" t="s">
        <v>10</v>
      </c>
      <c r="E40" s="14">
        <f t="shared" si="3"/>
        <v>256.45112325440198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06E7-7C01-7C46-8DC4-9ABD1979DF12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69822.09</v>
      </c>
      <c r="D2">
        <v>61745.579999999994</v>
      </c>
      <c r="E2">
        <v>68458.59</v>
      </c>
      <c r="F2" s="7">
        <v>72280.89</v>
      </c>
      <c r="G2">
        <v>70411.5</v>
      </c>
      <c r="H2" s="7">
        <v>62026.38</v>
      </c>
      <c r="I2">
        <v>69168.599999999991</v>
      </c>
      <c r="J2">
        <v>67988.34</v>
      </c>
      <c r="K2">
        <v>61152.57</v>
      </c>
      <c r="L2" s="7">
        <v>59402.7</v>
      </c>
      <c r="M2">
        <v>66240.09</v>
      </c>
      <c r="N2">
        <v>73211.759999999995</v>
      </c>
      <c r="O2">
        <v>62045.189999999995</v>
      </c>
      <c r="P2" s="7">
        <v>65237.13</v>
      </c>
      <c r="Q2" s="7">
        <v>56861.46</v>
      </c>
      <c r="R2">
        <v>68483.61</v>
      </c>
      <c r="S2" s="7">
        <v>64450.8</v>
      </c>
      <c r="T2">
        <v>61567.74</v>
      </c>
    </row>
    <row r="3" spans="1:20" ht="16" thickBot="1" x14ac:dyDescent="0.25">
      <c r="A3">
        <v>2</v>
      </c>
      <c r="B3" s="6" t="s">
        <v>2</v>
      </c>
      <c r="C3">
        <v>21809.79</v>
      </c>
      <c r="D3">
        <v>39234.15</v>
      </c>
      <c r="E3">
        <v>7145.46</v>
      </c>
      <c r="F3" s="7">
        <v>7707.33</v>
      </c>
      <c r="G3">
        <v>6425.46</v>
      </c>
      <c r="H3" s="7">
        <v>9459.5400000000009</v>
      </c>
      <c r="I3">
        <v>6593.13</v>
      </c>
      <c r="J3">
        <v>9156.7799999999988</v>
      </c>
      <c r="K3">
        <v>21434.399999999998</v>
      </c>
      <c r="L3" s="7">
        <v>12484.53</v>
      </c>
      <c r="M3">
        <v>7803.63</v>
      </c>
      <c r="N3">
        <v>9361.619999999999</v>
      </c>
      <c r="O3">
        <v>17672.22</v>
      </c>
      <c r="P3" s="7">
        <v>16190.1</v>
      </c>
      <c r="Q3" s="7">
        <v>15568.2</v>
      </c>
      <c r="R3">
        <v>6877.62</v>
      </c>
      <c r="S3" s="7">
        <v>4901.58</v>
      </c>
      <c r="T3">
        <v>2317.41</v>
      </c>
    </row>
    <row r="4" spans="1:20" ht="16" thickBot="1" x14ac:dyDescent="0.25">
      <c r="A4">
        <v>3</v>
      </c>
      <c r="B4" s="6" t="s">
        <v>3</v>
      </c>
      <c r="C4">
        <v>1464.9299999999998</v>
      </c>
      <c r="D4">
        <v>3097.62</v>
      </c>
      <c r="E4">
        <v>1221.48</v>
      </c>
      <c r="F4" s="7">
        <v>3568.14</v>
      </c>
      <c r="G4">
        <v>1390.32</v>
      </c>
      <c r="H4" s="7">
        <v>4504.95</v>
      </c>
      <c r="I4">
        <v>2372.31</v>
      </c>
      <c r="J4">
        <v>2396.25</v>
      </c>
      <c r="K4">
        <v>9092.7899999999991</v>
      </c>
      <c r="L4" s="7">
        <v>1949.22</v>
      </c>
      <c r="M4">
        <v>2775.69</v>
      </c>
      <c r="N4">
        <v>566.18999999999994</v>
      </c>
      <c r="O4">
        <v>2858.13</v>
      </c>
      <c r="P4" s="7">
        <v>1523.7</v>
      </c>
      <c r="Q4" s="7">
        <v>2109.33</v>
      </c>
      <c r="R4">
        <v>1257.6599999999999</v>
      </c>
      <c r="S4" s="7">
        <v>1479.51</v>
      </c>
      <c r="T4">
        <v>1493.46</v>
      </c>
    </row>
    <row r="5" spans="1:20" ht="16" thickBot="1" x14ac:dyDescent="0.25">
      <c r="A5">
        <v>4</v>
      </c>
      <c r="B5" s="6" t="s">
        <v>4</v>
      </c>
      <c r="C5">
        <v>143162.46</v>
      </c>
      <c r="D5">
        <v>136140.75</v>
      </c>
      <c r="E5">
        <v>135177.29999999999</v>
      </c>
      <c r="F5" s="7">
        <v>108267.66</v>
      </c>
      <c r="G5">
        <v>134869.85999999999</v>
      </c>
      <c r="H5" s="7">
        <v>112864.5</v>
      </c>
      <c r="I5">
        <v>120763.34999999999</v>
      </c>
      <c r="J5">
        <v>113760.54</v>
      </c>
      <c r="K5">
        <v>110570.58</v>
      </c>
      <c r="L5" s="7">
        <v>122025.96</v>
      </c>
      <c r="M5">
        <v>124833.06</v>
      </c>
      <c r="N5">
        <v>122238.18</v>
      </c>
      <c r="O5">
        <v>110697.84</v>
      </c>
      <c r="P5" s="7">
        <v>117159.03</v>
      </c>
      <c r="Q5" s="7">
        <v>101788.11</v>
      </c>
      <c r="R5">
        <v>120943.62</v>
      </c>
      <c r="S5" s="7">
        <v>115790.22</v>
      </c>
      <c r="T5">
        <v>109074.78</v>
      </c>
    </row>
    <row r="6" spans="1:20" ht="16" thickBot="1" x14ac:dyDescent="0.25">
      <c r="A6">
        <v>5</v>
      </c>
      <c r="B6" s="6" t="s">
        <v>5</v>
      </c>
      <c r="C6">
        <v>54985.86</v>
      </c>
      <c r="D6">
        <v>47356.2</v>
      </c>
      <c r="E6">
        <v>54364.68</v>
      </c>
      <c r="F6" s="7">
        <v>50222.34</v>
      </c>
      <c r="G6">
        <v>66399.569999999992</v>
      </c>
      <c r="H6" s="7">
        <v>52001.73</v>
      </c>
      <c r="I6">
        <v>36400.229999999996</v>
      </c>
      <c r="J6">
        <v>40221.9</v>
      </c>
      <c r="K6">
        <v>23793.39</v>
      </c>
      <c r="L6" s="7">
        <v>28936.44</v>
      </c>
      <c r="M6">
        <v>23513.67</v>
      </c>
      <c r="N6">
        <v>35198.19</v>
      </c>
      <c r="O6">
        <v>39713.040000000001</v>
      </c>
      <c r="P6" s="7">
        <v>32529.15</v>
      </c>
      <c r="Q6" s="7">
        <v>39478.68</v>
      </c>
      <c r="R6">
        <v>32560.289999999997</v>
      </c>
      <c r="S6" s="7">
        <v>24448.86</v>
      </c>
      <c r="T6">
        <v>29309.489999999998</v>
      </c>
    </row>
    <row r="7" spans="1:20" ht="16" thickBot="1" x14ac:dyDescent="0.25">
      <c r="A7">
        <v>6</v>
      </c>
      <c r="B7" s="6" t="s">
        <v>6</v>
      </c>
      <c r="C7">
        <v>57.599999999999994</v>
      </c>
      <c r="D7">
        <v>434.7</v>
      </c>
      <c r="E7">
        <v>262.98</v>
      </c>
      <c r="F7" s="7">
        <v>650.42999999999995</v>
      </c>
      <c r="G7">
        <v>256.86</v>
      </c>
      <c r="H7" s="7">
        <v>1341.27</v>
      </c>
      <c r="I7">
        <v>358.65</v>
      </c>
      <c r="J7">
        <v>1673.37</v>
      </c>
      <c r="K7">
        <v>1492.02</v>
      </c>
      <c r="L7" s="7">
        <v>520.29</v>
      </c>
      <c r="M7">
        <v>1019.43</v>
      </c>
      <c r="N7">
        <v>938.43</v>
      </c>
      <c r="O7">
        <v>410.13</v>
      </c>
      <c r="P7" s="7">
        <v>1070.01</v>
      </c>
      <c r="Q7" s="7">
        <v>676.71</v>
      </c>
      <c r="R7">
        <v>1233.99</v>
      </c>
      <c r="S7" s="7">
        <v>979.83</v>
      </c>
      <c r="T7">
        <v>782.45999999999992</v>
      </c>
    </row>
    <row r="8" spans="1:20" ht="16" thickBot="1" x14ac:dyDescent="0.25">
      <c r="A8">
        <v>7</v>
      </c>
      <c r="B8" s="6" t="s">
        <v>7</v>
      </c>
      <c r="C8">
        <v>10273.77</v>
      </c>
      <c r="D8">
        <v>12985.109999999999</v>
      </c>
      <c r="E8">
        <v>34930.619999999995</v>
      </c>
      <c r="F8" s="7">
        <v>58041.9</v>
      </c>
      <c r="G8">
        <v>21705.3</v>
      </c>
      <c r="H8" s="7">
        <v>58729.41</v>
      </c>
      <c r="I8">
        <v>65627.73</v>
      </c>
      <c r="J8">
        <v>65605.41</v>
      </c>
      <c r="K8">
        <v>73824.479999999996</v>
      </c>
      <c r="L8" s="7">
        <v>75588.75</v>
      </c>
      <c r="M8">
        <v>75074.31</v>
      </c>
      <c r="N8">
        <v>59477.49</v>
      </c>
      <c r="O8">
        <v>67686.48</v>
      </c>
      <c r="P8" s="7">
        <v>67603.86</v>
      </c>
      <c r="Q8" s="7">
        <v>84661.2</v>
      </c>
      <c r="R8">
        <v>69640.47</v>
      </c>
      <c r="S8" s="7">
        <v>88785.99</v>
      </c>
      <c r="T8">
        <v>95940.9</v>
      </c>
    </row>
    <row r="9" spans="1:20" ht="16" thickBot="1" x14ac:dyDescent="0.25">
      <c r="A9">
        <v>8</v>
      </c>
      <c r="B9" s="6" t="s">
        <v>8</v>
      </c>
      <c r="C9">
        <v>6.84</v>
      </c>
      <c r="D9">
        <v>286.28999999999996</v>
      </c>
      <c r="E9">
        <v>22.86</v>
      </c>
      <c r="F9" s="7">
        <v>301.86</v>
      </c>
      <c r="G9">
        <v>23.4</v>
      </c>
      <c r="H9" s="7">
        <v>305.19</v>
      </c>
      <c r="I9">
        <v>93.149999999999991</v>
      </c>
      <c r="J9">
        <v>311.94</v>
      </c>
      <c r="K9">
        <v>97.74</v>
      </c>
      <c r="L9" s="7">
        <v>0</v>
      </c>
      <c r="M9">
        <v>178.92</v>
      </c>
      <c r="N9">
        <v>99.09</v>
      </c>
      <c r="O9">
        <v>170.64</v>
      </c>
      <c r="P9" s="7">
        <v>72.27</v>
      </c>
      <c r="Q9" s="7">
        <v>137.43</v>
      </c>
      <c r="R9">
        <v>136.88999999999999</v>
      </c>
      <c r="S9" s="7">
        <v>0</v>
      </c>
      <c r="T9">
        <v>0</v>
      </c>
    </row>
    <row r="10" spans="1:20" ht="16" thickBot="1" x14ac:dyDescent="0.25">
      <c r="A10">
        <v>9</v>
      </c>
      <c r="B10" s="6" t="s">
        <v>9</v>
      </c>
      <c r="C10">
        <v>37.35</v>
      </c>
      <c r="D10">
        <v>27.36</v>
      </c>
      <c r="E10">
        <v>33.119999999999997</v>
      </c>
      <c r="F10" s="7">
        <v>164.43</v>
      </c>
      <c r="G10">
        <v>130.41</v>
      </c>
      <c r="H10" s="7">
        <v>82.35</v>
      </c>
      <c r="I10">
        <v>175.41</v>
      </c>
      <c r="J10">
        <v>76.23</v>
      </c>
      <c r="K10">
        <v>117.99</v>
      </c>
      <c r="L10" s="7">
        <v>198.54</v>
      </c>
      <c r="M10">
        <v>78.39</v>
      </c>
      <c r="N10">
        <v>154.44</v>
      </c>
      <c r="O10">
        <v>94.14</v>
      </c>
      <c r="P10" s="7">
        <v>80.459999999999994</v>
      </c>
      <c r="Q10" s="7">
        <v>118.89</v>
      </c>
      <c r="R10">
        <v>141.47999999999999</v>
      </c>
      <c r="S10" s="7">
        <v>137.16</v>
      </c>
      <c r="T10">
        <v>221.13</v>
      </c>
    </row>
    <row r="11" spans="1:20" ht="16" thickBot="1" x14ac:dyDescent="0.25">
      <c r="A11">
        <v>10</v>
      </c>
      <c r="B11" s="6" t="s">
        <v>10</v>
      </c>
      <c r="C11">
        <v>86.85</v>
      </c>
      <c r="D11">
        <v>399.78</v>
      </c>
      <c r="E11">
        <v>90.45</v>
      </c>
      <c r="F11" s="7">
        <v>502.56</v>
      </c>
      <c r="G11">
        <v>94.86</v>
      </c>
      <c r="H11" s="7">
        <v>392.22</v>
      </c>
      <c r="I11">
        <v>154.97999999999999</v>
      </c>
      <c r="J11">
        <v>516.78</v>
      </c>
      <c r="K11">
        <v>131.57999999999998</v>
      </c>
      <c r="L11" s="7">
        <v>601.11</v>
      </c>
      <c r="M11">
        <v>190.35</v>
      </c>
      <c r="N11">
        <v>462.15</v>
      </c>
      <c r="O11">
        <v>359.72999999999996</v>
      </c>
      <c r="P11" s="7">
        <v>241.83</v>
      </c>
      <c r="Q11" s="7">
        <v>307.52999999999997</v>
      </c>
      <c r="R11">
        <v>431.90999999999997</v>
      </c>
      <c r="S11" s="7">
        <v>733.59</v>
      </c>
      <c r="T11">
        <v>1000.17</v>
      </c>
    </row>
    <row r="12" spans="1:20" x14ac:dyDescent="0.2">
      <c r="C12">
        <f>SUM(C2:C11)</f>
        <v>301707.53999999998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63009.270000000004</v>
      </c>
      <c r="D17">
        <f>AVERAGE(C2:E2)</f>
        <v>66675.42</v>
      </c>
      <c r="E17">
        <f>C17-D17</f>
        <v>-3666.1499999999942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3609.4949999999999</v>
      </c>
      <c r="D18">
        <f t="shared" ref="D18:D25" si="1">AVERAGE(C3:E3)</f>
        <v>22729.800000000003</v>
      </c>
      <c r="E18">
        <f t="shared" ref="E18:E26" si="2">C18-D18</f>
        <v>-19120.305000000004</v>
      </c>
    </row>
    <row r="19" spans="1:5" ht="16" thickBot="1" x14ac:dyDescent="0.25">
      <c r="A19">
        <v>3</v>
      </c>
      <c r="B19" s="6" t="s">
        <v>3</v>
      </c>
      <c r="C19">
        <f t="shared" si="0"/>
        <v>1486.4850000000001</v>
      </c>
      <c r="D19">
        <f t="shared" si="1"/>
        <v>1928.0099999999995</v>
      </c>
      <c r="E19">
        <f t="shared" si="2"/>
        <v>-441.52499999999941</v>
      </c>
    </row>
    <row r="20" spans="1:5" ht="16" thickBot="1" x14ac:dyDescent="0.25">
      <c r="A20">
        <v>4</v>
      </c>
      <c r="B20" s="6" t="s">
        <v>4</v>
      </c>
      <c r="C20">
        <f t="shared" si="0"/>
        <v>112432.5</v>
      </c>
      <c r="D20">
        <f t="shared" si="1"/>
        <v>138160.16999999998</v>
      </c>
      <c r="E20">
        <f t="shared" si="2"/>
        <v>-25727.669999999984</v>
      </c>
    </row>
    <row r="21" spans="1:5" ht="16" thickBot="1" x14ac:dyDescent="0.25">
      <c r="A21">
        <v>5</v>
      </c>
      <c r="B21" s="6" t="s">
        <v>5</v>
      </c>
      <c r="C21">
        <f t="shared" si="0"/>
        <v>26879.174999999999</v>
      </c>
      <c r="D21">
        <f t="shared" si="1"/>
        <v>52235.579999999994</v>
      </c>
      <c r="E21">
        <f t="shared" si="2"/>
        <v>-25356.404999999995</v>
      </c>
    </row>
    <row r="22" spans="1:5" ht="16" thickBot="1" x14ac:dyDescent="0.25">
      <c r="A22">
        <v>6</v>
      </c>
      <c r="B22" s="6" t="s">
        <v>6</v>
      </c>
      <c r="C22">
        <f t="shared" si="0"/>
        <v>881.14499999999998</v>
      </c>
      <c r="D22">
        <f t="shared" si="1"/>
        <v>251.76</v>
      </c>
      <c r="E22">
        <f t="shared" si="2"/>
        <v>629.38499999999999</v>
      </c>
    </row>
    <row r="23" spans="1:5" ht="16" thickBot="1" x14ac:dyDescent="0.25">
      <c r="A23">
        <v>7</v>
      </c>
      <c r="B23" s="6" t="s">
        <v>7</v>
      </c>
      <c r="C23">
        <f t="shared" si="0"/>
        <v>92363.445000000007</v>
      </c>
      <c r="D23">
        <f t="shared" si="1"/>
        <v>19396.499999999996</v>
      </c>
      <c r="E23">
        <f t="shared" si="2"/>
        <v>72966.945000000007</v>
      </c>
    </row>
    <row r="24" spans="1:5" ht="16" thickBot="1" x14ac:dyDescent="0.25">
      <c r="A24">
        <v>8</v>
      </c>
      <c r="B24" s="6" t="s">
        <v>8</v>
      </c>
      <c r="C24">
        <f t="shared" si="0"/>
        <v>0</v>
      </c>
      <c r="D24">
        <f t="shared" si="1"/>
        <v>105.32999999999998</v>
      </c>
      <c r="E24">
        <f t="shared" si="2"/>
        <v>-105.32999999999998</v>
      </c>
    </row>
    <row r="25" spans="1:5" ht="16" thickBot="1" x14ac:dyDescent="0.25">
      <c r="A25">
        <v>9</v>
      </c>
      <c r="B25" s="6" t="s">
        <v>9</v>
      </c>
      <c r="C25">
        <f t="shared" si="0"/>
        <v>179.14499999999998</v>
      </c>
      <c r="D25">
        <f t="shared" si="1"/>
        <v>32.610000000000007</v>
      </c>
      <c r="E25">
        <f t="shared" si="2"/>
        <v>146.53499999999997</v>
      </c>
    </row>
    <row r="26" spans="1:5" ht="16" thickBot="1" x14ac:dyDescent="0.25">
      <c r="A26">
        <v>10</v>
      </c>
      <c r="B26" s="6" t="s">
        <v>10</v>
      </c>
      <c r="C26">
        <f>AVERAGE(S11:T11)</f>
        <v>866.88</v>
      </c>
      <c r="D26">
        <f>AVERAGE(C11:E11)</f>
        <v>192.36</v>
      </c>
      <c r="E26">
        <f t="shared" si="2"/>
        <v>674.52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-5.4985030465499793</v>
      </c>
    </row>
    <row r="32" spans="1:5" x14ac:dyDescent="0.2">
      <c r="B32" s="13" t="s">
        <v>2</v>
      </c>
      <c r="E32" s="14">
        <f t="shared" ref="E32:E40" si="3">(E18/D18)*100</f>
        <v>-84.119987857350267</v>
      </c>
    </row>
    <row r="33" spans="2:5" x14ac:dyDescent="0.2">
      <c r="B33" s="13" t="s">
        <v>3</v>
      </c>
      <c r="E33" s="14">
        <f t="shared" si="3"/>
        <v>-22.900555495044088</v>
      </c>
    </row>
    <row r="34" spans="2:5" x14ac:dyDescent="0.2">
      <c r="B34" s="13" t="s">
        <v>4</v>
      </c>
      <c r="E34" s="14">
        <f t="shared" si="3"/>
        <v>-18.621625899852315</v>
      </c>
    </row>
    <row r="35" spans="2:5" x14ac:dyDescent="0.2">
      <c r="B35" s="13" t="s">
        <v>5</v>
      </c>
      <c r="E35" s="14">
        <f t="shared" si="3"/>
        <v>-48.542401558477955</v>
      </c>
    </row>
    <row r="36" spans="2:5" x14ac:dyDescent="0.2">
      <c r="B36" s="13" t="s">
        <v>6</v>
      </c>
      <c r="E36" s="14">
        <f t="shared" si="3"/>
        <v>249.99404194470927</v>
      </c>
    </row>
    <row r="37" spans="2:5" x14ac:dyDescent="0.2">
      <c r="B37" s="13" t="s">
        <v>7</v>
      </c>
      <c r="E37" s="14">
        <f t="shared" si="3"/>
        <v>376.18614182971169</v>
      </c>
    </row>
    <row r="38" spans="2:5" x14ac:dyDescent="0.2">
      <c r="B38" s="13" t="s">
        <v>8</v>
      </c>
      <c r="E38" s="14">
        <f t="shared" si="3"/>
        <v>-100</v>
      </c>
    </row>
    <row r="39" spans="2:5" x14ac:dyDescent="0.2">
      <c r="B39" s="13" t="s">
        <v>9</v>
      </c>
      <c r="E39" s="14">
        <f t="shared" si="3"/>
        <v>449.35602575896951</v>
      </c>
    </row>
    <row r="40" spans="2:5" x14ac:dyDescent="0.2">
      <c r="B40" s="13" t="s">
        <v>10</v>
      </c>
      <c r="E40" s="14">
        <f t="shared" si="3"/>
        <v>350.65502183406113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8185-AADE-5E46-8077-68A6E1F8EDD6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31489.289999999997</v>
      </c>
      <c r="D2">
        <v>25915.23</v>
      </c>
      <c r="E2">
        <v>28895.129999999997</v>
      </c>
      <c r="F2" s="7">
        <v>28483.47</v>
      </c>
      <c r="G2" s="7">
        <v>22853.16</v>
      </c>
      <c r="H2">
        <v>24003</v>
      </c>
      <c r="I2">
        <v>28755.629999999997</v>
      </c>
      <c r="J2" s="7">
        <v>25171.83</v>
      </c>
      <c r="K2" s="7">
        <v>25241.31</v>
      </c>
      <c r="L2">
        <v>27346.05</v>
      </c>
      <c r="M2">
        <v>26835.66</v>
      </c>
      <c r="N2">
        <v>23246.82</v>
      </c>
      <c r="O2" s="7">
        <v>36902.160000000003</v>
      </c>
      <c r="P2" s="7">
        <v>27445.14</v>
      </c>
      <c r="Q2">
        <v>27986.579999999998</v>
      </c>
      <c r="R2">
        <v>30097.62</v>
      </c>
      <c r="S2">
        <v>24934.05</v>
      </c>
      <c r="T2">
        <v>25615.079999999998</v>
      </c>
    </row>
    <row r="3" spans="1:20" ht="16" thickBot="1" x14ac:dyDescent="0.25">
      <c r="A3">
        <v>2</v>
      </c>
      <c r="B3" s="6" t="s">
        <v>2</v>
      </c>
      <c r="C3">
        <v>147.96</v>
      </c>
      <c r="D3">
        <v>539.28</v>
      </c>
      <c r="E3">
        <v>11311.289999999999</v>
      </c>
      <c r="F3" s="7">
        <v>10526.67</v>
      </c>
      <c r="G3" s="7">
        <v>1590.21</v>
      </c>
      <c r="H3">
        <v>433.71</v>
      </c>
      <c r="I3">
        <v>2205.9</v>
      </c>
      <c r="J3" s="7">
        <v>1017</v>
      </c>
      <c r="K3" s="7">
        <v>4869.72</v>
      </c>
      <c r="L3">
        <v>403.56</v>
      </c>
      <c r="M3">
        <v>1125</v>
      </c>
      <c r="N3">
        <v>5805.63</v>
      </c>
      <c r="O3" s="7">
        <v>2046.69</v>
      </c>
      <c r="P3" s="7">
        <v>1512.36</v>
      </c>
      <c r="Q3">
        <v>2597.31</v>
      </c>
      <c r="R3">
        <v>1662.57</v>
      </c>
      <c r="S3">
        <v>2887.02</v>
      </c>
      <c r="T3">
        <v>2417.4</v>
      </c>
    </row>
    <row r="4" spans="1:20" ht="16" thickBot="1" x14ac:dyDescent="0.25">
      <c r="A4">
        <v>3</v>
      </c>
      <c r="B4" s="6" t="s">
        <v>3</v>
      </c>
      <c r="C4">
        <v>106.11</v>
      </c>
      <c r="D4">
        <v>59.309999999999995</v>
      </c>
      <c r="E4">
        <v>1397.8799999999999</v>
      </c>
      <c r="F4" s="7">
        <v>77.22</v>
      </c>
      <c r="G4" s="7">
        <v>301.77</v>
      </c>
      <c r="H4">
        <v>17.46</v>
      </c>
      <c r="I4">
        <v>27</v>
      </c>
      <c r="J4" s="7">
        <v>211.59</v>
      </c>
      <c r="K4" s="7">
        <v>249.12</v>
      </c>
      <c r="L4">
        <v>392.03999999999996</v>
      </c>
      <c r="M4">
        <v>0.72</v>
      </c>
      <c r="N4">
        <v>0.63</v>
      </c>
      <c r="O4" s="7">
        <v>323.73</v>
      </c>
      <c r="P4" s="7">
        <v>1.26</v>
      </c>
      <c r="Q4">
        <v>372.78</v>
      </c>
      <c r="R4">
        <v>0</v>
      </c>
      <c r="S4">
        <v>1.53</v>
      </c>
      <c r="T4">
        <v>2.52</v>
      </c>
    </row>
    <row r="5" spans="1:20" ht="16" thickBot="1" x14ac:dyDescent="0.25">
      <c r="A5">
        <v>4</v>
      </c>
      <c r="B5" s="6" t="s">
        <v>4</v>
      </c>
      <c r="C5">
        <v>150806.34</v>
      </c>
      <c r="D5">
        <v>142247.25</v>
      </c>
      <c r="E5">
        <v>91146.599999999991</v>
      </c>
      <c r="F5" s="7">
        <v>88928.82</v>
      </c>
      <c r="G5" s="7">
        <v>133792.29</v>
      </c>
      <c r="H5">
        <v>104770.08</v>
      </c>
      <c r="I5">
        <v>98791.83</v>
      </c>
      <c r="J5" s="7">
        <v>82472.13</v>
      </c>
      <c r="K5" s="7">
        <v>62878.59</v>
      </c>
      <c r="L5">
        <v>66628.53</v>
      </c>
      <c r="M5">
        <v>75925.259999999995</v>
      </c>
      <c r="N5">
        <v>63844.29</v>
      </c>
      <c r="O5" s="7">
        <v>68027.850000000006</v>
      </c>
      <c r="P5" s="7">
        <v>96350.94</v>
      </c>
      <c r="Q5">
        <v>97567.37999999999</v>
      </c>
      <c r="R5">
        <v>90260.01</v>
      </c>
      <c r="S5">
        <v>76708.349999999991</v>
      </c>
      <c r="T5">
        <v>80052.929999999993</v>
      </c>
    </row>
    <row r="6" spans="1:20" ht="16" thickBot="1" x14ac:dyDescent="0.25">
      <c r="A6">
        <v>5</v>
      </c>
      <c r="B6" s="6" t="s">
        <v>5</v>
      </c>
      <c r="C6">
        <v>7426.08</v>
      </c>
      <c r="D6">
        <v>6506.91</v>
      </c>
      <c r="E6">
        <v>23447.25</v>
      </c>
      <c r="F6" s="7">
        <v>1680.66</v>
      </c>
      <c r="G6" s="7">
        <v>15013.98</v>
      </c>
      <c r="H6">
        <v>3267.72</v>
      </c>
      <c r="I6">
        <v>4958.0999999999995</v>
      </c>
      <c r="J6" s="7">
        <v>1332.45</v>
      </c>
      <c r="K6" s="7">
        <v>2314.89</v>
      </c>
      <c r="L6">
        <v>3031.38</v>
      </c>
      <c r="M6">
        <v>2977.29</v>
      </c>
      <c r="N6">
        <v>3382.92</v>
      </c>
      <c r="O6" s="7">
        <v>2979.63</v>
      </c>
      <c r="P6" s="7">
        <v>3509.64</v>
      </c>
      <c r="Q6">
        <v>3248.91</v>
      </c>
      <c r="R6">
        <v>4592.16</v>
      </c>
      <c r="S6">
        <v>8323.65</v>
      </c>
      <c r="T6">
        <v>9789.84</v>
      </c>
    </row>
    <row r="7" spans="1:20" ht="16" thickBot="1" x14ac:dyDescent="0.25">
      <c r="A7">
        <v>6</v>
      </c>
      <c r="B7" s="6" t="s">
        <v>6</v>
      </c>
      <c r="C7">
        <v>16613.91</v>
      </c>
      <c r="D7">
        <v>6575.2199999999993</v>
      </c>
      <c r="E7">
        <v>6278.49</v>
      </c>
      <c r="F7" s="7">
        <v>11491.74</v>
      </c>
      <c r="G7" s="7">
        <v>8442.4500000000007</v>
      </c>
      <c r="H7">
        <v>7604.6399999999994</v>
      </c>
      <c r="I7">
        <v>11467.98</v>
      </c>
      <c r="J7" s="7">
        <v>7710.66</v>
      </c>
      <c r="K7" s="7">
        <v>4190.13</v>
      </c>
      <c r="L7">
        <v>9107.73</v>
      </c>
      <c r="M7">
        <v>9240.0299999999988</v>
      </c>
      <c r="N7">
        <v>9894.869999999999</v>
      </c>
      <c r="O7" s="7">
        <v>11484.36</v>
      </c>
      <c r="P7" s="7">
        <v>13606.38</v>
      </c>
      <c r="Q7">
        <v>9014.1299999999992</v>
      </c>
      <c r="R7">
        <v>16440.57</v>
      </c>
      <c r="S7">
        <v>15527.07</v>
      </c>
      <c r="T7">
        <v>17167.23</v>
      </c>
    </row>
    <row r="8" spans="1:20" ht="16" thickBot="1" x14ac:dyDescent="0.25">
      <c r="A8">
        <v>7</v>
      </c>
      <c r="B8" s="6" t="s">
        <v>7</v>
      </c>
      <c r="C8">
        <v>69027.75</v>
      </c>
      <c r="D8">
        <v>93878.91</v>
      </c>
      <c r="E8">
        <v>116020.26</v>
      </c>
      <c r="F8" s="7">
        <v>136095.48000000001</v>
      </c>
      <c r="G8" s="7">
        <v>94454.55</v>
      </c>
      <c r="H8">
        <v>136062.09</v>
      </c>
      <c r="I8">
        <v>130457.25</v>
      </c>
      <c r="J8" s="7">
        <v>158785.82999999999</v>
      </c>
      <c r="K8" s="7">
        <v>176100.03</v>
      </c>
      <c r="L8">
        <v>169933.68</v>
      </c>
      <c r="M8">
        <v>161259.29999999999</v>
      </c>
      <c r="N8">
        <v>169841.34</v>
      </c>
      <c r="O8" s="7">
        <v>155861.82</v>
      </c>
      <c r="P8" s="7">
        <v>133217.82</v>
      </c>
      <c r="Q8">
        <v>136171.71</v>
      </c>
      <c r="R8">
        <v>134414.01</v>
      </c>
      <c r="S8">
        <v>148398.38999999998</v>
      </c>
      <c r="T8">
        <v>143252.37</v>
      </c>
    </row>
    <row r="9" spans="1:20" ht="16" thickBot="1" x14ac:dyDescent="0.25">
      <c r="A9">
        <v>8</v>
      </c>
      <c r="B9" s="6" t="s">
        <v>8</v>
      </c>
      <c r="C9">
        <v>0.63</v>
      </c>
      <c r="D9">
        <v>5.04</v>
      </c>
      <c r="E9">
        <v>0.09</v>
      </c>
      <c r="F9" s="7">
        <v>0.09</v>
      </c>
      <c r="G9" s="7">
        <v>0.09</v>
      </c>
      <c r="H9">
        <v>2.88</v>
      </c>
      <c r="I9">
        <v>0.27</v>
      </c>
      <c r="J9" s="7">
        <v>152.63999999999999</v>
      </c>
      <c r="K9" s="7">
        <v>0</v>
      </c>
      <c r="L9">
        <v>57.599999999999994</v>
      </c>
      <c r="M9">
        <v>3.33</v>
      </c>
      <c r="N9">
        <v>104.31</v>
      </c>
      <c r="O9" s="7">
        <v>14.04</v>
      </c>
      <c r="P9" s="7">
        <v>0</v>
      </c>
      <c r="Q9">
        <v>80.73</v>
      </c>
      <c r="R9">
        <v>0</v>
      </c>
      <c r="S9">
        <v>9.99</v>
      </c>
      <c r="T9">
        <v>14.129999999999999</v>
      </c>
    </row>
    <row r="10" spans="1:20" ht="16" thickBot="1" x14ac:dyDescent="0.25">
      <c r="A10">
        <v>9</v>
      </c>
      <c r="B10" s="6" t="s">
        <v>9</v>
      </c>
      <c r="C10">
        <v>5987.61</v>
      </c>
      <c r="D10">
        <v>5946.21</v>
      </c>
      <c r="E10">
        <v>2952.0899999999997</v>
      </c>
      <c r="F10" s="7">
        <v>4340.16</v>
      </c>
      <c r="G10" s="7">
        <v>5268.78</v>
      </c>
      <c r="H10">
        <v>5113.9799999999996</v>
      </c>
      <c r="I10">
        <v>4808.6099999999997</v>
      </c>
      <c r="J10" s="7">
        <v>4632.66</v>
      </c>
      <c r="K10" s="7">
        <v>5389.29</v>
      </c>
      <c r="L10">
        <v>4072.5</v>
      </c>
      <c r="M10">
        <v>4246.6499999999996</v>
      </c>
      <c r="N10">
        <v>5309.55</v>
      </c>
      <c r="O10" s="7">
        <v>3934.44</v>
      </c>
      <c r="P10" s="7">
        <v>5623.47</v>
      </c>
      <c r="Q10">
        <v>4434.21</v>
      </c>
      <c r="R10">
        <v>3616.2</v>
      </c>
      <c r="S10">
        <v>4349.34</v>
      </c>
      <c r="T10">
        <v>2820.42</v>
      </c>
    </row>
    <row r="11" spans="1:20" ht="16" thickBot="1" x14ac:dyDescent="0.25">
      <c r="A11">
        <v>10</v>
      </c>
      <c r="B11" s="6" t="s">
        <v>10</v>
      </c>
      <c r="C11">
        <v>703.26</v>
      </c>
      <c r="D11">
        <v>635.57999999999993</v>
      </c>
      <c r="E11">
        <v>859.86</v>
      </c>
      <c r="F11" s="7">
        <v>684.63</v>
      </c>
      <c r="G11" s="7">
        <v>591.66</v>
      </c>
      <c r="H11">
        <v>1033.3799999999999</v>
      </c>
      <c r="I11">
        <v>836.37</v>
      </c>
      <c r="J11" s="7">
        <v>822.15</v>
      </c>
      <c r="K11" s="7">
        <v>1075.8599999999999</v>
      </c>
      <c r="L11">
        <v>1335.87</v>
      </c>
      <c r="M11">
        <v>695.69999999999993</v>
      </c>
      <c r="N11">
        <v>878.57999999999993</v>
      </c>
      <c r="O11" s="7">
        <v>734.22</v>
      </c>
      <c r="P11" s="7">
        <v>1041.93</v>
      </c>
      <c r="Q11">
        <v>835.19999999999993</v>
      </c>
      <c r="R11">
        <v>1225.8</v>
      </c>
      <c r="S11">
        <v>1169.55</v>
      </c>
      <c r="T11">
        <v>1177.02</v>
      </c>
    </row>
    <row r="12" spans="1:20" x14ac:dyDescent="0.2">
      <c r="C12">
        <f>SUM(C2:C11)</f>
        <v>282308.93999999994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25274.564999999999</v>
      </c>
      <c r="D17">
        <f>AVERAGE(C2:E2)</f>
        <v>28766.55</v>
      </c>
      <c r="E17">
        <f>C17-D17</f>
        <v>-3491.9850000000006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2652.21</v>
      </c>
      <c r="D18">
        <f t="shared" ref="D18:D25" si="1">AVERAGE(C3:E3)</f>
        <v>3999.5099999999998</v>
      </c>
      <c r="E18">
        <f t="shared" ref="E18:E26" si="2">C18-D18</f>
        <v>-1347.2999999999997</v>
      </c>
    </row>
    <row r="19" spans="1:5" ht="16" thickBot="1" x14ac:dyDescent="0.25">
      <c r="A19">
        <v>3</v>
      </c>
      <c r="B19" s="6" t="s">
        <v>3</v>
      </c>
      <c r="C19">
        <f t="shared" si="0"/>
        <v>2.0249999999999999</v>
      </c>
      <c r="D19">
        <f t="shared" si="1"/>
        <v>521.1</v>
      </c>
      <c r="E19">
        <f t="shared" si="2"/>
        <v>-519.07500000000005</v>
      </c>
    </row>
    <row r="20" spans="1:5" ht="16" thickBot="1" x14ac:dyDescent="0.25">
      <c r="A20">
        <v>4</v>
      </c>
      <c r="B20" s="6" t="s">
        <v>4</v>
      </c>
      <c r="C20">
        <f t="shared" si="0"/>
        <v>78380.639999999985</v>
      </c>
      <c r="D20">
        <f t="shared" si="1"/>
        <v>128066.72999999998</v>
      </c>
      <c r="E20">
        <f t="shared" si="2"/>
        <v>-49686.09</v>
      </c>
    </row>
    <row r="21" spans="1:5" ht="16" thickBot="1" x14ac:dyDescent="0.25">
      <c r="A21">
        <v>5</v>
      </c>
      <c r="B21" s="6" t="s">
        <v>5</v>
      </c>
      <c r="C21">
        <f t="shared" si="0"/>
        <v>9056.744999999999</v>
      </c>
      <c r="D21">
        <f t="shared" si="1"/>
        <v>12460.08</v>
      </c>
      <c r="E21">
        <f t="shared" si="2"/>
        <v>-3403.3350000000009</v>
      </c>
    </row>
    <row r="22" spans="1:5" ht="16" thickBot="1" x14ac:dyDescent="0.25">
      <c r="A22">
        <v>6</v>
      </c>
      <c r="B22" s="6" t="s">
        <v>6</v>
      </c>
      <c r="C22">
        <f t="shared" si="0"/>
        <v>16347.15</v>
      </c>
      <c r="D22">
        <f t="shared" si="1"/>
        <v>9822.5399999999991</v>
      </c>
      <c r="E22">
        <f t="shared" si="2"/>
        <v>6524.6100000000006</v>
      </c>
    </row>
    <row r="23" spans="1:5" ht="16" thickBot="1" x14ac:dyDescent="0.25">
      <c r="A23">
        <v>7</v>
      </c>
      <c r="B23" s="6" t="s">
        <v>7</v>
      </c>
      <c r="C23">
        <f t="shared" si="0"/>
        <v>145825.38</v>
      </c>
      <c r="D23">
        <f t="shared" si="1"/>
        <v>92975.64</v>
      </c>
      <c r="E23">
        <f t="shared" si="2"/>
        <v>52849.740000000005</v>
      </c>
    </row>
    <row r="24" spans="1:5" ht="16" thickBot="1" x14ac:dyDescent="0.25">
      <c r="A24">
        <v>8</v>
      </c>
      <c r="B24" s="6" t="s">
        <v>8</v>
      </c>
      <c r="C24">
        <f t="shared" si="0"/>
        <v>12.059999999999999</v>
      </c>
      <c r="D24">
        <f t="shared" si="1"/>
        <v>1.92</v>
      </c>
      <c r="E24">
        <f t="shared" si="2"/>
        <v>10.139999999999999</v>
      </c>
    </row>
    <row r="25" spans="1:5" ht="16" thickBot="1" x14ac:dyDescent="0.25">
      <c r="A25">
        <v>9</v>
      </c>
      <c r="B25" s="6" t="s">
        <v>9</v>
      </c>
      <c r="C25">
        <f t="shared" si="0"/>
        <v>3584.88</v>
      </c>
      <c r="D25">
        <f t="shared" si="1"/>
        <v>4961.97</v>
      </c>
      <c r="E25">
        <f t="shared" si="2"/>
        <v>-1377.0900000000001</v>
      </c>
    </row>
    <row r="26" spans="1:5" ht="16" thickBot="1" x14ac:dyDescent="0.25">
      <c r="A26">
        <v>10</v>
      </c>
      <c r="B26" s="6" t="s">
        <v>10</v>
      </c>
      <c r="C26">
        <f>AVERAGE(S11:T11)</f>
        <v>1173.2849999999999</v>
      </c>
      <c r="D26">
        <f>AVERAGE(C11:E11)</f>
        <v>732.9</v>
      </c>
      <c r="E26">
        <f t="shared" si="2"/>
        <v>440.38499999999988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-12.139046913863501</v>
      </c>
    </row>
    <row r="32" spans="1:5" x14ac:dyDescent="0.2">
      <c r="B32" s="13" t="s">
        <v>2</v>
      </c>
      <c r="E32" s="14">
        <f t="shared" ref="E32:E40" si="3">(E18/D18)*100</f>
        <v>-33.686626611759934</v>
      </c>
    </row>
    <row r="33" spans="2:5" x14ac:dyDescent="0.2">
      <c r="B33" s="13" t="s">
        <v>3</v>
      </c>
      <c r="E33" s="14">
        <f t="shared" si="3"/>
        <v>-99.611398963730579</v>
      </c>
    </row>
    <row r="34" spans="2:5" x14ac:dyDescent="0.2">
      <c r="B34" s="13" t="s">
        <v>4</v>
      </c>
      <c r="E34" s="14">
        <f t="shared" si="3"/>
        <v>-38.797031828641209</v>
      </c>
    </row>
    <row r="35" spans="2:5" x14ac:dyDescent="0.2">
      <c r="B35" s="13" t="s">
        <v>5</v>
      </c>
      <c r="E35" s="14">
        <f t="shared" si="3"/>
        <v>-27.313909702024393</v>
      </c>
    </row>
    <row r="36" spans="2:5" x14ac:dyDescent="0.2">
      <c r="B36" s="13" t="s">
        <v>6</v>
      </c>
      <c r="E36" s="14">
        <f t="shared" si="3"/>
        <v>66.424875846776928</v>
      </c>
    </row>
    <row r="37" spans="2:5" x14ac:dyDescent="0.2">
      <c r="B37" s="13" t="s">
        <v>7</v>
      </c>
      <c r="E37" s="14">
        <f t="shared" si="3"/>
        <v>56.842566504516675</v>
      </c>
    </row>
    <row r="38" spans="2:5" x14ac:dyDescent="0.2">
      <c r="B38" s="13" t="s">
        <v>8</v>
      </c>
      <c r="E38" s="14">
        <f t="shared" si="3"/>
        <v>528.125</v>
      </c>
    </row>
    <row r="39" spans="2:5" x14ac:dyDescent="0.2">
      <c r="B39" s="13" t="s">
        <v>9</v>
      </c>
      <c r="E39" s="14">
        <f t="shared" si="3"/>
        <v>-27.752888469700544</v>
      </c>
    </row>
    <row r="40" spans="2:5" x14ac:dyDescent="0.2">
      <c r="B40" s="13" t="s">
        <v>10</v>
      </c>
      <c r="E40" s="14">
        <f t="shared" si="3"/>
        <v>60.088006549324589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482F-BDB1-7E40-874D-7C7ACFDF668A}">
  <dimension ref="A1:T40"/>
  <sheetViews>
    <sheetView workbookViewId="0">
      <selection activeCell="E36" sqref="E36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137526.47999999998</v>
      </c>
      <c r="D2" s="7">
        <v>125136.99</v>
      </c>
      <c r="E2" s="7">
        <v>193132.44</v>
      </c>
      <c r="F2" s="7">
        <v>50026.68</v>
      </c>
      <c r="G2" s="7">
        <v>189183.51</v>
      </c>
      <c r="H2">
        <v>116668.17</v>
      </c>
      <c r="I2">
        <v>129143.51999999999</v>
      </c>
      <c r="J2">
        <v>154856.69999999998</v>
      </c>
      <c r="K2" s="7">
        <v>224440.38</v>
      </c>
      <c r="L2">
        <v>222751.71</v>
      </c>
      <c r="M2">
        <v>128465.90999999999</v>
      </c>
      <c r="N2">
        <v>180449.55</v>
      </c>
      <c r="O2">
        <v>143331.84</v>
      </c>
      <c r="P2">
        <v>151213.22999999998</v>
      </c>
      <c r="Q2">
        <v>188819.1</v>
      </c>
      <c r="R2" s="7">
        <v>179957.16</v>
      </c>
      <c r="S2">
        <v>117707.84999999999</v>
      </c>
      <c r="T2" s="7">
        <v>121683.42</v>
      </c>
    </row>
    <row r="3" spans="1:20" ht="16" thickBot="1" x14ac:dyDescent="0.25">
      <c r="A3">
        <v>2</v>
      </c>
      <c r="B3" s="6" t="s">
        <v>2</v>
      </c>
      <c r="C3">
        <v>181369.35</v>
      </c>
      <c r="D3" s="7">
        <v>143591.04000000001</v>
      </c>
      <c r="E3" s="7">
        <v>204443.46</v>
      </c>
      <c r="F3" s="7">
        <v>154102.04999999999</v>
      </c>
      <c r="G3" s="7">
        <v>127108.26</v>
      </c>
      <c r="H3">
        <v>110333.43</v>
      </c>
      <c r="I3">
        <v>110797.92</v>
      </c>
      <c r="J3">
        <v>72903.06</v>
      </c>
      <c r="K3" s="7">
        <v>45618.57</v>
      </c>
      <c r="L3">
        <v>58904.1</v>
      </c>
      <c r="M3">
        <v>99233.279999999999</v>
      </c>
      <c r="N3">
        <v>55724.4</v>
      </c>
      <c r="O3">
        <v>89273.61</v>
      </c>
      <c r="P3">
        <v>83226.509999999995</v>
      </c>
      <c r="Q3">
        <v>23804.91</v>
      </c>
      <c r="R3" s="7">
        <v>53184.69</v>
      </c>
      <c r="S3">
        <v>122383.79999999999</v>
      </c>
      <c r="T3" s="7">
        <v>140876.46</v>
      </c>
    </row>
    <row r="4" spans="1:20" ht="16" thickBot="1" x14ac:dyDescent="0.25">
      <c r="A4">
        <v>3</v>
      </c>
      <c r="B4" s="6" t="s">
        <v>3</v>
      </c>
      <c r="C4">
        <v>2556.0899999999997</v>
      </c>
      <c r="D4" s="7">
        <v>23688.45</v>
      </c>
      <c r="E4" s="7">
        <v>26050.32</v>
      </c>
      <c r="F4" s="7">
        <v>43410.239999999998</v>
      </c>
      <c r="G4" s="7">
        <v>1156.8599999999999</v>
      </c>
      <c r="H4">
        <v>9638.91</v>
      </c>
      <c r="I4">
        <v>1683.45</v>
      </c>
      <c r="J4">
        <v>4563.09</v>
      </c>
      <c r="K4" s="7">
        <v>5082.3</v>
      </c>
      <c r="L4">
        <v>2087.73</v>
      </c>
      <c r="M4">
        <v>8662.59</v>
      </c>
      <c r="N4">
        <v>6106.1399999999994</v>
      </c>
      <c r="O4">
        <v>849.87</v>
      </c>
      <c r="P4">
        <v>1739.1599999999999</v>
      </c>
      <c r="Q4">
        <v>36121.86</v>
      </c>
      <c r="R4" s="7">
        <v>4212.99</v>
      </c>
      <c r="S4">
        <v>1882.98</v>
      </c>
      <c r="T4" s="7">
        <v>4976.7299999999996</v>
      </c>
    </row>
    <row r="5" spans="1:20" ht="16" thickBot="1" x14ac:dyDescent="0.25">
      <c r="A5">
        <v>4</v>
      </c>
      <c r="B5" s="6" t="s">
        <v>4</v>
      </c>
      <c r="C5">
        <v>3626160.21</v>
      </c>
      <c r="D5" s="7">
        <v>3718037.16</v>
      </c>
      <c r="E5" s="7">
        <v>3456779.76</v>
      </c>
      <c r="F5" s="7">
        <v>3569495.4</v>
      </c>
      <c r="G5" s="7">
        <v>3640182.39</v>
      </c>
      <c r="H5">
        <v>3646221.3</v>
      </c>
      <c r="I5">
        <v>3639675.96</v>
      </c>
      <c r="J5">
        <v>3372781.23</v>
      </c>
      <c r="K5" s="7">
        <v>3416984.46</v>
      </c>
      <c r="L5">
        <v>3342213.1799999997</v>
      </c>
      <c r="M5">
        <v>3585841.38</v>
      </c>
      <c r="N5">
        <v>3504270.51</v>
      </c>
      <c r="O5">
        <v>3467339.9099999997</v>
      </c>
      <c r="P5">
        <v>3547494.9</v>
      </c>
      <c r="Q5">
        <v>3473678.07</v>
      </c>
      <c r="R5" s="7">
        <v>3491623.08</v>
      </c>
      <c r="S5">
        <v>3329223.3899999997</v>
      </c>
      <c r="T5" s="7">
        <v>3549919.32</v>
      </c>
    </row>
    <row r="6" spans="1:20" ht="16" thickBot="1" x14ac:dyDescent="0.25">
      <c r="A6">
        <v>5</v>
      </c>
      <c r="B6" s="6" t="s">
        <v>5</v>
      </c>
      <c r="C6">
        <v>371959.47</v>
      </c>
      <c r="D6" s="7">
        <v>291559.5</v>
      </c>
      <c r="E6" s="7">
        <v>418693.86</v>
      </c>
      <c r="F6" s="7">
        <v>487940.04</v>
      </c>
      <c r="G6" s="7">
        <v>349369.92</v>
      </c>
      <c r="H6">
        <v>421031.43</v>
      </c>
      <c r="I6">
        <v>420101.45999999996</v>
      </c>
      <c r="J6">
        <v>656288.46</v>
      </c>
      <c r="K6" s="7">
        <v>606814.65</v>
      </c>
      <c r="L6">
        <v>639716.76</v>
      </c>
      <c r="M6">
        <v>442937.25</v>
      </c>
      <c r="N6">
        <v>521775.99</v>
      </c>
      <c r="O6">
        <v>580113.17999999993</v>
      </c>
      <c r="P6">
        <v>476709.02999999997</v>
      </c>
      <c r="Q6">
        <v>574633.43999999994</v>
      </c>
      <c r="R6" s="7">
        <v>594815.85</v>
      </c>
      <c r="S6">
        <v>748846.07999999996</v>
      </c>
      <c r="T6" s="7">
        <v>503249.85</v>
      </c>
    </row>
    <row r="7" spans="1:20" ht="16" thickBot="1" x14ac:dyDescent="0.25">
      <c r="A7">
        <v>6</v>
      </c>
      <c r="B7" s="6" t="s">
        <v>6</v>
      </c>
      <c r="C7">
        <v>0</v>
      </c>
      <c r="D7" s="7">
        <v>0</v>
      </c>
      <c r="E7" s="7">
        <v>0</v>
      </c>
      <c r="F7" s="7">
        <v>0</v>
      </c>
      <c r="G7" s="7">
        <v>0</v>
      </c>
      <c r="H7">
        <v>0</v>
      </c>
      <c r="I7">
        <v>0</v>
      </c>
      <c r="J7">
        <v>0</v>
      </c>
      <c r="K7" s="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7">
        <v>0</v>
      </c>
      <c r="S7">
        <v>0</v>
      </c>
      <c r="T7" s="7">
        <v>0</v>
      </c>
    </row>
    <row r="8" spans="1:20" ht="16" thickBot="1" x14ac:dyDescent="0.25">
      <c r="A8">
        <v>7</v>
      </c>
      <c r="B8" s="6" t="s">
        <v>7</v>
      </c>
      <c r="C8">
        <v>0</v>
      </c>
      <c r="D8" s="7">
        <v>0</v>
      </c>
      <c r="E8" s="7">
        <v>82.8</v>
      </c>
      <c r="F8" s="7">
        <v>0</v>
      </c>
      <c r="G8" s="7">
        <v>0</v>
      </c>
      <c r="H8">
        <v>0</v>
      </c>
      <c r="I8">
        <v>0</v>
      </c>
      <c r="J8">
        <v>0</v>
      </c>
      <c r="K8" s="7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7">
        <v>0</v>
      </c>
      <c r="S8">
        <v>370.97999999999996</v>
      </c>
      <c r="T8" s="7">
        <v>1102.5899999999999</v>
      </c>
    </row>
    <row r="9" spans="1:20" ht="16" thickBot="1" x14ac:dyDescent="0.25">
      <c r="A9">
        <v>8</v>
      </c>
      <c r="B9" s="6" t="s">
        <v>8</v>
      </c>
      <c r="C9">
        <v>0</v>
      </c>
      <c r="D9" s="7">
        <v>0</v>
      </c>
      <c r="E9" s="7">
        <v>54.36</v>
      </c>
      <c r="F9" s="7">
        <v>0</v>
      </c>
      <c r="G9" s="7">
        <v>6.84</v>
      </c>
      <c r="H9">
        <v>0</v>
      </c>
      <c r="I9">
        <v>0</v>
      </c>
      <c r="J9">
        <v>0</v>
      </c>
      <c r="K9" s="7">
        <v>0</v>
      </c>
      <c r="L9">
        <v>0</v>
      </c>
      <c r="M9">
        <v>0</v>
      </c>
      <c r="N9">
        <v>0</v>
      </c>
      <c r="O9">
        <v>0.36</v>
      </c>
      <c r="P9">
        <v>0</v>
      </c>
      <c r="Q9">
        <v>0</v>
      </c>
      <c r="R9" s="7">
        <v>0</v>
      </c>
      <c r="S9">
        <v>0</v>
      </c>
      <c r="T9" s="7">
        <v>0</v>
      </c>
    </row>
    <row r="10" spans="1:20" ht="16" thickBot="1" x14ac:dyDescent="0.25">
      <c r="A10">
        <v>9</v>
      </c>
      <c r="B10" s="6" t="s">
        <v>9</v>
      </c>
      <c r="C10">
        <v>530.01</v>
      </c>
      <c r="D10" s="7">
        <v>102.78</v>
      </c>
      <c r="E10" s="7">
        <v>59.31</v>
      </c>
      <c r="F10" s="7">
        <v>90.54</v>
      </c>
      <c r="G10" s="7">
        <v>60.21</v>
      </c>
      <c r="H10">
        <v>613.89</v>
      </c>
      <c r="I10">
        <v>42.21</v>
      </c>
      <c r="J10">
        <v>100.35</v>
      </c>
      <c r="K10" s="7">
        <v>63.72</v>
      </c>
      <c r="L10">
        <v>381.41999999999996</v>
      </c>
      <c r="M10">
        <v>203.57999999999998</v>
      </c>
      <c r="N10">
        <v>65.7</v>
      </c>
      <c r="O10">
        <v>90.81</v>
      </c>
      <c r="P10">
        <v>130.59</v>
      </c>
      <c r="Q10">
        <v>52.199999999999996</v>
      </c>
      <c r="R10" s="7">
        <v>198.9</v>
      </c>
      <c r="S10">
        <v>78.75</v>
      </c>
      <c r="T10" s="7">
        <v>1117.6199999999999</v>
      </c>
    </row>
    <row r="11" spans="1:20" ht="16" thickBot="1" x14ac:dyDescent="0.25">
      <c r="A11">
        <v>10</v>
      </c>
      <c r="B11" s="6" t="s">
        <v>10</v>
      </c>
      <c r="C11">
        <v>38394.99</v>
      </c>
      <c r="D11" s="7">
        <v>56380.68</v>
      </c>
      <c r="E11" s="7">
        <v>59200.29</v>
      </c>
      <c r="F11" s="7">
        <v>53431.65</v>
      </c>
      <c r="G11" s="7">
        <v>51428.61</v>
      </c>
      <c r="H11">
        <v>53989.47</v>
      </c>
      <c r="I11">
        <v>57052.079999999994</v>
      </c>
      <c r="J11">
        <v>97003.709999999992</v>
      </c>
      <c r="K11" s="7">
        <v>59492.52</v>
      </c>
      <c r="L11">
        <v>92441.7</v>
      </c>
      <c r="M11">
        <v>93152.61</v>
      </c>
      <c r="N11">
        <v>90104.31</v>
      </c>
      <c r="O11">
        <v>77497.02</v>
      </c>
      <c r="P11">
        <v>97983.18</v>
      </c>
      <c r="Q11">
        <v>61387.02</v>
      </c>
      <c r="R11" s="7">
        <v>34503.93</v>
      </c>
      <c r="S11">
        <v>38002.769999999997</v>
      </c>
      <c r="T11" s="7">
        <v>35570.61</v>
      </c>
    </row>
    <row r="12" spans="1:20" x14ac:dyDescent="0.2">
      <c r="C12">
        <f>SUM(C2:C11)</f>
        <v>4358496.5999999996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119695.63499999999</v>
      </c>
      <c r="D17">
        <f>AVERAGE(C2:E2)</f>
        <v>151931.97</v>
      </c>
      <c r="E17">
        <f>C17-D17</f>
        <v>-32236.335000000006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131630.13</v>
      </c>
      <c r="D18">
        <f t="shared" ref="D18:D25" si="1">AVERAGE(C3:E3)</f>
        <v>176467.94999999998</v>
      </c>
      <c r="E18">
        <f t="shared" ref="E18:E26" si="2">C18-D18</f>
        <v>-44837.819999999978</v>
      </c>
    </row>
    <row r="19" spans="1:5" ht="16" thickBot="1" x14ac:dyDescent="0.25">
      <c r="A19">
        <v>3</v>
      </c>
      <c r="B19" s="6" t="s">
        <v>3</v>
      </c>
      <c r="C19">
        <f t="shared" si="0"/>
        <v>3429.8549999999996</v>
      </c>
      <c r="D19">
        <f t="shared" si="1"/>
        <v>17431.62</v>
      </c>
      <c r="E19">
        <f t="shared" si="2"/>
        <v>-14001.764999999999</v>
      </c>
    </row>
    <row r="20" spans="1:5" ht="16" thickBot="1" x14ac:dyDescent="0.25">
      <c r="A20">
        <v>4</v>
      </c>
      <c r="B20" s="6" t="s">
        <v>4</v>
      </c>
      <c r="C20">
        <f t="shared" si="0"/>
        <v>3439571.3549999995</v>
      </c>
      <c r="D20">
        <f t="shared" si="1"/>
        <v>3600325.7099999995</v>
      </c>
      <c r="E20">
        <f t="shared" si="2"/>
        <v>-160754.35499999998</v>
      </c>
    </row>
    <row r="21" spans="1:5" ht="16" thickBot="1" x14ac:dyDescent="0.25">
      <c r="A21">
        <v>5</v>
      </c>
      <c r="B21" s="6" t="s">
        <v>5</v>
      </c>
      <c r="C21">
        <f t="shared" si="0"/>
        <v>626047.96499999997</v>
      </c>
      <c r="D21">
        <f t="shared" si="1"/>
        <v>360737.61000000004</v>
      </c>
      <c r="E21">
        <f t="shared" si="2"/>
        <v>265310.35499999992</v>
      </c>
    </row>
    <row r="22" spans="1:5" ht="16" thickBot="1" x14ac:dyDescent="0.25">
      <c r="A22">
        <v>6</v>
      </c>
      <c r="B22" s="6" t="s">
        <v>6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ht="16" thickBot="1" x14ac:dyDescent="0.25">
      <c r="A23">
        <v>7</v>
      </c>
      <c r="B23" s="6" t="s">
        <v>7</v>
      </c>
      <c r="C23">
        <f t="shared" si="0"/>
        <v>736.78499999999997</v>
      </c>
      <c r="D23">
        <f t="shared" si="1"/>
        <v>27.599999999999998</v>
      </c>
      <c r="E23">
        <f t="shared" si="2"/>
        <v>709.18499999999995</v>
      </c>
    </row>
    <row r="24" spans="1:5" ht="16" thickBot="1" x14ac:dyDescent="0.25">
      <c r="A24">
        <v>8</v>
      </c>
      <c r="B24" s="6" t="s">
        <v>8</v>
      </c>
      <c r="C24">
        <f t="shared" si="0"/>
        <v>0</v>
      </c>
      <c r="D24">
        <f t="shared" si="1"/>
        <v>18.12</v>
      </c>
      <c r="E24">
        <f t="shared" si="2"/>
        <v>-18.12</v>
      </c>
    </row>
    <row r="25" spans="1:5" ht="16" thickBot="1" x14ac:dyDescent="0.25">
      <c r="A25">
        <v>9</v>
      </c>
      <c r="B25" s="6" t="s">
        <v>9</v>
      </c>
      <c r="C25">
        <f t="shared" si="0"/>
        <v>598.18499999999995</v>
      </c>
      <c r="D25">
        <f t="shared" si="1"/>
        <v>230.69999999999996</v>
      </c>
      <c r="E25">
        <f t="shared" si="2"/>
        <v>367.48500000000001</v>
      </c>
    </row>
    <row r="26" spans="1:5" ht="16" thickBot="1" x14ac:dyDescent="0.25">
      <c r="A26">
        <v>10</v>
      </c>
      <c r="B26" s="6" t="s">
        <v>10</v>
      </c>
      <c r="C26">
        <f>AVERAGE(S11:T11)</f>
        <v>36786.69</v>
      </c>
      <c r="D26">
        <f>AVERAGE(C11:E11)</f>
        <v>51325.32</v>
      </c>
      <c r="E26">
        <f t="shared" si="2"/>
        <v>-14538.629999999997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-21.217611408579778</v>
      </c>
    </row>
    <row r="32" spans="1:5" x14ac:dyDescent="0.2">
      <c r="B32" s="13" t="s">
        <v>2</v>
      </c>
      <c r="E32" s="14">
        <f t="shared" ref="E32:E40" si="3">(E18/D18)*100</f>
        <v>-25.40847785674395</v>
      </c>
    </row>
    <row r="33" spans="2:5" x14ac:dyDescent="0.2">
      <c r="B33" s="13" t="s">
        <v>3</v>
      </c>
      <c r="E33" s="14">
        <f t="shared" si="3"/>
        <v>-80.323945795055195</v>
      </c>
    </row>
    <row r="34" spans="2:5" x14ac:dyDescent="0.2">
      <c r="B34" s="13" t="s">
        <v>4</v>
      </c>
      <c r="E34" s="14">
        <f t="shared" si="3"/>
        <v>-4.4649947795973155</v>
      </c>
    </row>
    <row r="35" spans="2:5" x14ac:dyDescent="0.2">
      <c r="B35" s="13" t="s">
        <v>5</v>
      </c>
      <c r="E35" s="14">
        <f t="shared" si="3"/>
        <v>73.546629917518132</v>
      </c>
    </row>
    <row r="36" spans="2:5" x14ac:dyDescent="0.2">
      <c r="B36" s="13" t="s">
        <v>6</v>
      </c>
      <c r="E36" s="23">
        <v>0</v>
      </c>
    </row>
    <row r="37" spans="2:5" x14ac:dyDescent="0.2">
      <c r="B37" s="13" t="s">
        <v>7</v>
      </c>
      <c r="E37" s="14">
        <f t="shared" si="3"/>
        <v>2569.5108695652175</v>
      </c>
    </row>
    <row r="38" spans="2:5" x14ac:dyDescent="0.2">
      <c r="B38" s="13" t="s">
        <v>8</v>
      </c>
      <c r="E38" s="14">
        <f t="shared" si="3"/>
        <v>-100</v>
      </c>
    </row>
    <row r="39" spans="2:5" x14ac:dyDescent="0.2">
      <c r="B39" s="13" t="s">
        <v>9</v>
      </c>
      <c r="E39" s="14">
        <f t="shared" si="3"/>
        <v>159.29128738621588</v>
      </c>
    </row>
    <row r="40" spans="2:5" x14ac:dyDescent="0.2">
      <c r="B40" s="13" t="s">
        <v>10</v>
      </c>
      <c r="E40" s="14">
        <f t="shared" si="3"/>
        <v>-28.326428359336088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5C50-3725-CA42-B67A-E12E43C6832C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 s="7">
        <v>7360.47</v>
      </c>
      <c r="D2">
        <v>9534.42</v>
      </c>
      <c r="E2" s="7">
        <v>1941.93</v>
      </c>
      <c r="F2">
        <v>6526.62</v>
      </c>
      <c r="G2" s="7">
        <v>3416.22</v>
      </c>
      <c r="H2">
        <v>7242.21</v>
      </c>
      <c r="I2">
        <v>5443.4699999999993</v>
      </c>
      <c r="J2">
        <v>8044.38</v>
      </c>
      <c r="K2" s="7">
        <v>4508.91</v>
      </c>
      <c r="L2">
        <v>4013.0099999999998</v>
      </c>
      <c r="M2">
        <v>5678.73</v>
      </c>
      <c r="N2">
        <v>4181.3099999999995</v>
      </c>
      <c r="O2">
        <v>5692.86</v>
      </c>
      <c r="P2" s="7">
        <v>4588.1099999999997</v>
      </c>
      <c r="Q2" s="7">
        <v>5359.05</v>
      </c>
      <c r="R2">
        <v>5880.24</v>
      </c>
      <c r="S2" s="7">
        <v>3975.12</v>
      </c>
      <c r="T2" s="7">
        <v>5026.5</v>
      </c>
    </row>
    <row r="3" spans="1:20" ht="16" thickBot="1" x14ac:dyDescent="0.25">
      <c r="A3">
        <v>2</v>
      </c>
      <c r="B3" s="6" t="s">
        <v>2</v>
      </c>
      <c r="C3" s="7">
        <v>51.03</v>
      </c>
      <c r="D3">
        <v>6.4799999999999995</v>
      </c>
      <c r="E3" s="7">
        <v>788.31</v>
      </c>
      <c r="F3">
        <v>0</v>
      </c>
      <c r="G3" s="7">
        <v>2.61</v>
      </c>
      <c r="H3">
        <v>0.27</v>
      </c>
      <c r="I3">
        <v>0</v>
      </c>
      <c r="J3">
        <v>0.89999999999999991</v>
      </c>
      <c r="K3" s="7">
        <v>9.36</v>
      </c>
      <c r="L3">
        <v>401.21999999999997</v>
      </c>
      <c r="M3">
        <v>0</v>
      </c>
      <c r="N3">
        <v>0</v>
      </c>
      <c r="O3">
        <v>268.64999999999998</v>
      </c>
      <c r="P3" s="7">
        <v>55.98</v>
      </c>
      <c r="Q3" s="7">
        <v>235.89</v>
      </c>
      <c r="R3">
        <v>475.02</v>
      </c>
      <c r="S3" s="7">
        <v>2319.66</v>
      </c>
      <c r="T3" s="7">
        <v>1432.26</v>
      </c>
    </row>
    <row r="4" spans="1:20" ht="16" thickBot="1" x14ac:dyDescent="0.25">
      <c r="A4">
        <v>3</v>
      </c>
      <c r="B4" s="6" t="s">
        <v>3</v>
      </c>
      <c r="C4" s="7">
        <v>0.36</v>
      </c>
      <c r="D4">
        <v>0</v>
      </c>
      <c r="E4" s="7">
        <v>80.73</v>
      </c>
      <c r="F4">
        <v>158.22</v>
      </c>
      <c r="G4" s="7">
        <v>35.64</v>
      </c>
      <c r="H4">
        <v>5.49</v>
      </c>
      <c r="I4">
        <v>34.199999999999996</v>
      </c>
      <c r="J4">
        <v>7.7399999999999993</v>
      </c>
      <c r="K4" s="7">
        <v>0.45</v>
      </c>
      <c r="L4">
        <v>8.01</v>
      </c>
      <c r="M4">
        <v>209.07</v>
      </c>
      <c r="N4">
        <v>29.52</v>
      </c>
      <c r="O4">
        <v>186.20999999999998</v>
      </c>
      <c r="P4" s="7">
        <v>1.98</v>
      </c>
      <c r="Q4" s="7">
        <v>124.11</v>
      </c>
      <c r="R4">
        <v>31.77</v>
      </c>
      <c r="S4" s="7">
        <v>102.96</v>
      </c>
      <c r="T4" s="7">
        <v>1.62</v>
      </c>
    </row>
    <row r="5" spans="1:20" ht="16" thickBot="1" x14ac:dyDescent="0.25">
      <c r="A5">
        <v>4</v>
      </c>
      <c r="B5" s="6" t="s">
        <v>4</v>
      </c>
      <c r="C5" s="7">
        <v>75461.759999999995</v>
      </c>
      <c r="D5">
        <v>117323.73</v>
      </c>
      <c r="E5" s="7">
        <v>69461.009999999995</v>
      </c>
      <c r="F5">
        <v>60867.899999999994</v>
      </c>
      <c r="G5" s="7">
        <v>72871.92</v>
      </c>
      <c r="H5">
        <v>61578.45</v>
      </c>
      <c r="I5">
        <v>70445.7</v>
      </c>
      <c r="J5">
        <v>41400.449999999997</v>
      </c>
      <c r="K5" s="7">
        <v>57620.61</v>
      </c>
      <c r="L5">
        <v>49411.17</v>
      </c>
      <c r="M5">
        <v>68714.819999999992</v>
      </c>
      <c r="N5">
        <v>55246.68</v>
      </c>
      <c r="O5">
        <v>47597.58</v>
      </c>
      <c r="P5" s="7">
        <v>58583.97</v>
      </c>
      <c r="Q5" s="7">
        <v>50553.27</v>
      </c>
      <c r="R5">
        <v>59424.119999999995</v>
      </c>
      <c r="S5" s="7">
        <v>58875.66</v>
      </c>
      <c r="T5" s="7">
        <v>57005.73</v>
      </c>
    </row>
    <row r="6" spans="1:20" ht="16" thickBot="1" x14ac:dyDescent="0.25">
      <c r="A6">
        <v>5</v>
      </c>
      <c r="B6" s="6" t="s">
        <v>5</v>
      </c>
      <c r="C6" s="7">
        <v>73654.11</v>
      </c>
      <c r="D6">
        <v>56734.2</v>
      </c>
      <c r="E6" s="7">
        <v>93745.08</v>
      </c>
      <c r="F6">
        <v>83063.34</v>
      </c>
      <c r="G6" s="7">
        <v>74979.360000000001</v>
      </c>
      <c r="H6">
        <v>80390.16</v>
      </c>
      <c r="I6">
        <v>59998.86</v>
      </c>
      <c r="J6">
        <v>35874.089999999997</v>
      </c>
      <c r="K6" s="7">
        <v>28698.57</v>
      </c>
      <c r="L6">
        <v>29266.289999999997</v>
      </c>
      <c r="M6">
        <v>51111.27</v>
      </c>
      <c r="N6">
        <v>40073.4</v>
      </c>
      <c r="O6">
        <v>29572.829999999998</v>
      </c>
      <c r="P6" s="7">
        <v>35475.300000000003</v>
      </c>
      <c r="Q6" s="7">
        <v>35135.550000000003</v>
      </c>
      <c r="R6">
        <v>39247.56</v>
      </c>
      <c r="S6" s="7">
        <v>38786.31</v>
      </c>
      <c r="T6" s="7">
        <v>45025.02</v>
      </c>
    </row>
    <row r="7" spans="1:20" ht="16" thickBot="1" x14ac:dyDescent="0.25">
      <c r="A7">
        <v>6</v>
      </c>
      <c r="B7" s="6" t="s">
        <v>6</v>
      </c>
      <c r="C7" s="7">
        <v>4286.7</v>
      </c>
      <c r="D7">
        <v>827.1</v>
      </c>
      <c r="E7" s="7">
        <v>317.25</v>
      </c>
      <c r="F7">
        <v>4103.01</v>
      </c>
      <c r="G7" s="7">
        <v>338.49</v>
      </c>
      <c r="H7">
        <v>7977.87</v>
      </c>
      <c r="I7">
        <v>854.81999999999994</v>
      </c>
      <c r="J7">
        <v>4483.26</v>
      </c>
      <c r="K7" s="7">
        <v>2924.46</v>
      </c>
      <c r="L7">
        <v>951.39</v>
      </c>
      <c r="M7">
        <v>3254.1299999999997</v>
      </c>
      <c r="N7">
        <v>2716.47</v>
      </c>
      <c r="O7">
        <v>1726.29</v>
      </c>
      <c r="P7" s="7">
        <v>926.73</v>
      </c>
      <c r="Q7" s="7">
        <v>1412.19</v>
      </c>
      <c r="R7">
        <v>2577.69</v>
      </c>
      <c r="S7" s="7">
        <v>1325.52</v>
      </c>
      <c r="T7" s="7">
        <v>2480.04</v>
      </c>
    </row>
    <row r="8" spans="1:20" ht="16" thickBot="1" x14ac:dyDescent="0.25">
      <c r="A8">
        <v>7</v>
      </c>
      <c r="B8" s="6" t="s">
        <v>7</v>
      </c>
      <c r="C8" s="7">
        <v>150286.23000000001</v>
      </c>
      <c r="D8">
        <v>126620.81999999999</v>
      </c>
      <c r="E8" s="7">
        <v>144304.20000000001</v>
      </c>
      <c r="F8">
        <v>155199.50999999998</v>
      </c>
      <c r="G8" s="7">
        <v>160086.96</v>
      </c>
      <c r="H8">
        <v>154464.84</v>
      </c>
      <c r="I8">
        <v>174904.83</v>
      </c>
      <c r="J8">
        <v>222563.61</v>
      </c>
      <c r="K8" s="7">
        <v>217457.91</v>
      </c>
      <c r="L8">
        <v>227977.83</v>
      </c>
      <c r="M8">
        <v>180631.25999999998</v>
      </c>
      <c r="N8">
        <v>206211.33</v>
      </c>
      <c r="O8">
        <v>225479.61</v>
      </c>
      <c r="P8" s="7">
        <v>208242.63</v>
      </c>
      <c r="Q8" s="7">
        <v>215771.04</v>
      </c>
      <c r="R8">
        <v>201156.47999999998</v>
      </c>
      <c r="S8" s="7">
        <v>202034.25</v>
      </c>
      <c r="T8" s="7">
        <v>197473.05</v>
      </c>
    </row>
    <row r="9" spans="1:20" ht="16" thickBot="1" x14ac:dyDescent="0.25">
      <c r="A9">
        <v>8</v>
      </c>
      <c r="B9" s="6" t="s">
        <v>8</v>
      </c>
      <c r="C9" s="7">
        <v>644.4</v>
      </c>
      <c r="D9">
        <v>584.28</v>
      </c>
      <c r="E9" s="7">
        <v>784.89</v>
      </c>
      <c r="F9">
        <v>1633.6799999999998</v>
      </c>
      <c r="G9" s="7">
        <v>604.35</v>
      </c>
      <c r="H9">
        <v>759.51</v>
      </c>
      <c r="I9">
        <v>939.78</v>
      </c>
      <c r="J9">
        <v>1116.18</v>
      </c>
      <c r="K9" s="7">
        <v>1845.99</v>
      </c>
      <c r="L9">
        <v>2375.8199999999997</v>
      </c>
      <c r="M9">
        <v>1990.62</v>
      </c>
      <c r="N9">
        <v>3166.65</v>
      </c>
      <c r="O9">
        <v>2440.71</v>
      </c>
      <c r="P9" s="7">
        <v>4198.59</v>
      </c>
      <c r="Q9" s="7">
        <v>4041</v>
      </c>
      <c r="R9">
        <v>2561.58</v>
      </c>
      <c r="S9" s="7">
        <v>3203.37</v>
      </c>
      <c r="T9" s="7">
        <v>2959.11</v>
      </c>
    </row>
    <row r="10" spans="1:20" ht="16" thickBot="1" x14ac:dyDescent="0.25">
      <c r="A10">
        <v>9</v>
      </c>
      <c r="B10" s="6" t="s">
        <v>9</v>
      </c>
      <c r="C10" s="7">
        <v>164006.82</v>
      </c>
      <c r="D10">
        <v>163960.29</v>
      </c>
      <c r="E10" s="7">
        <v>164075.49</v>
      </c>
      <c r="F10">
        <v>164115.26999999999</v>
      </c>
      <c r="G10" s="7">
        <v>162453.78</v>
      </c>
      <c r="H10">
        <v>163021.76999999999</v>
      </c>
      <c r="I10">
        <v>162475.56</v>
      </c>
      <c r="J10">
        <v>162443.07</v>
      </c>
      <c r="K10" s="7">
        <v>162642.69</v>
      </c>
      <c r="L10">
        <v>160786.07999999999</v>
      </c>
      <c r="M10">
        <v>163814.85</v>
      </c>
      <c r="N10">
        <v>162979.01999999999</v>
      </c>
      <c r="O10">
        <v>162834.29999999999</v>
      </c>
      <c r="P10" s="7">
        <v>163608.21</v>
      </c>
      <c r="Q10" s="7">
        <v>162588.06</v>
      </c>
      <c r="R10">
        <v>163856.79</v>
      </c>
      <c r="S10" s="7">
        <v>163102.95000000001</v>
      </c>
      <c r="T10" s="7">
        <v>163795.76999999999</v>
      </c>
    </row>
    <row r="11" spans="1:20" ht="16" thickBot="1" x14ac:dyDescent="0.25">
      <c r="A11">
        <v>10</v>
      </c>
      <c r="B11" s="6" t="s">
        <v>10</v>
      </c>
      <c r="C11" s="7">
        <v>207.63</v>
      </c>
      <c r="D11">
        <v>368.19</v>
      </c>
      <c r="E11" s="7">
        <v>460.62</v>
      </c>
      <c r="F11">
        <v>291.95999999999998</v>
      </c>
      <c r="G11" s="7">
        <v>1170.18</v>
      </c>
      <c r="H11">
        <v>518.93999999999994</v>
      </c>
      <c r="I11">
        <v>862.29</v>
      </c>
      <c r="J11">
        <v>25.83</v>
      </c>
      <c r="K11" s="7">
        <v>250.56</v>
      </c>
      <c r="L11">
        <v>768.68999999999994</v>
      </c>
      <c r="M11">
        <v>554.76</v>
      </c>
      <c r="N11">
        <v>1355.1299999999999</v>
      </c>
      <c r="O11">
        <v>160.47</v>
      </c>
      <c r="P11" s="7">
        <v>278.01</v>
      </c>
      <c r="Q11" s="7">
        <v>739.35</v>
      </c>
      <c r="R11">
        <v>748.26</v>
      </c>
      <c r="S11" s="7">
        <v>2233.71</v>
      </c>
      <c r="T11" s="7">
        <v>760.41</v>
      </c>
    </row>
    <row r="12" spans="1:20" x14ac:dyDescent="0.2">
      <c r="C12">
        <f>SUM(C2:C11)</f>
        <v>475959.51000000007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4500.8099999999995</v>
      </c>
      <c r="D17">
        <f>AVERAGE(C2:E2)</f>
        <v>6278.94</v>
      </c>
      <c r="E17">
        <f>C17-D17</f>
        <v>-1778.13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1875.96</v>
      </c>
      <c r="D18">
        <f t="shared" ref="D18:D25" si="1">AVERAGE(C3:E3)</f>
        <v>281.94</v>
      </c>
      <c r="E18">
        <f t="shared" ref="E18:E26" si="2">C18-D18</f>
        <v>1594.02</v>
      </c>
    </row>
    <row r="19" spans="1:5" ht="16" thickBot="1" x14ac:dyDescent="0.25">
      <c r="A19">
        <v>3</v>
      </c>
      <c r="B19" s="6" t="s">
        <v>3</v>
      </c>
      <c r="C19">
        <f t="shared" si="0"/>
        <v>52.29</v>
      </c>
      <c r="D19">
        <f t="shared" si="1"/>
        <v>27.03</v>
      </c>
      <c r="E19">
        <f t="shared" si="2"/>
        <v>25.259999999999998</v>
      </c>
    </row>
    <row r="20" spans="1:5" ht="16" thickBot="1" x14ac:dyDescent="0.25">
      <c r="A20">
        <v>4</v>
      </c>
      <c r="B20" s="6" t="s">
        <v>4</v>
      </c>
      <c r="C20">
        <f t="shared" si="0"/>
        <v>57940.695000000007</v>
      </c>
      <c r="D20">
        <f t="shared" si="1"/>
        <v>87415.5</v>
      </c>
      <c r="E20">
        <f t="shared" si="2"/>
        <v>-29474.804999999993</v>
      </c>
    </row>
    <row r="21" spans="1:5" ht="16" thickBot="1" x14ac:dyDescent="0.25">
      <c r="A21">
        <v>5</v>
      </c>
      <c r="B21" s="6" t="s">
        <v>5</v>
      </c>
      <c r="C21">
        <f t="shared" si="0"/>
        <v>41905.664999999994</v>
      </c>
      <c r="D21">
        <f t="shared" si="1"/>
        <v>74711.13</v>
      </c>
      <c r="E21">
        <f t="shared" si="2"/>
        <v>-32805.465000000011</v>
      </c>
    </row>
    <row r="22" spans="1:5" ht="16" thickBot="1" x14ac:dyDescent="0.25">
      <c r="A22">
        <v>6</v>
      </c>
      <c r="B22" s="6" t="s">
        <v>6</v>
      </c>
      <c r="C22">
        <f t="shared" si="0"/>
        <v>1902.78</v>
      </c>
      <c r="D22">
        <f t="shared" si="1"/>
        <v>1810.3500000000001</v>
      </c>
      <c r="E22">
        <f t="shared" si="2"/>
        <v>92.429999999999836</v>
      </c>
    </row>
    <row r="23" spans="1:5" ht="16" thickBot="1" x14ac:dyDescent="0.25">
      <c r="A23">
        <v>7</v>
      </c>
      <c r="B23" s="6" t="s">
        <v>7</v>
      </c>
      <c r="C23">
        <f t="shared" si="0"/>
        <v>199753.65</v>
      </c>
      <c r="D23">
        <f t="shared" si="1"/>
        <v>140403.75</v>
      </c>
      <c r="E23">
        <f t="shared" si="2"/>
        <v>59349.899999999994</v>
      </c>
    </row>
    <row r="24" spans="1:5" ht="16" thickBot="1" x14ac:dyDescent="0.25">
      <c r="A24">
        <v>8</v>
      </c>
      <c r="B24" s="6" t="s">
        <v>8</v>
      </c>
      <c r="C24">
        <f t="shared" si="0"/>
        <v>3081.24</v>
      </c>
      <c r="D24">
        <f t="shared" si="1"/>
        <v>671.18999999999994</v>
      </c>
      <c r="E24">
        <f t="shared" si="2"/>
        <v>2410.0499999999997</v>
      </c>
    </row>
    <row r="25" spans="1:5" ht="16" thickBot="1" x14ac:dyDescent="0.25">
      <c r="A25">
        <v>9</v>
      </c>
      <c r="B25" s="6" t="s">
        <v>9</v>
      </c>
      <c r="C25">
        <f t="shared" si="0"/>
        <v>163449.35999999999</v>
      </c>
      <c r="D25">
        <f t="shared" si="1"/>
        <v>164014.19999999998</v>
      </c>
      <c r="E25">
        <f t="shared" si="2"/>
        <v>-564.83999999999651</v>
      </c>
    </row>
    <row r="26" spans="1:5" ht="16" thickBot="1" x14ac:dyDescent="0.25">
      <c r="A26">
        <v>10</v>
      </c>
      <c r="B26" s="6" t="s">
        <v>10</v>
      </c>
      <c r="C26">
        <f>AVERAGE(S11:T11)</f>
        <v>1497.06</v>
      </c>
      <c r="D26">
        <f>AVERAGE(C11:E11)</f>
        <v>345.48</v>
      </c>
      <c r="E26">
        <f t="shared" si="2"/>
        <v>1151.58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-28.318951925006452</v>
      </c>
    </row>
    <row r="32" spans="1:5" x14ac:dyDescent="0.2">
      <c r="B32" s="13" t="s">
        <v>2</v>
      </c>
      <c r="E32" s="14">
        <f t="shared" ref="E32:E40" si="3">(E18/D18)*100</f>
        <v>565.3756118323048</v>
      </c>
    </row>
    <row r="33" spans="2:5" x14ac:dyDescent="0.2">
      <c r="B33" s="13" t="s">
        <v>3</v>
      </c>
      <c r="E33" s="14">
        <f t="shared" si="3"/>
        <v>93.451720310765808</v>
      </c>
    </row>
    <row r="34" spans="2:5" x14ac:dyDescent="0.2">
      <c r="B34" s="13" t="s">
        <v>4</v>
      </c>
      <c r="E34" s="14">
        <f t="shared" si="3"/>
        <v>-33.718053434459556</v>
      </c>
    </row>
    <row r="35" spans="2:5" x14ac:dyDescent="0.2">
      <c r="B35" s="13" t="s">
        <v>5</v>
      </c>
      <c r="E35" s="14">
        <f t="shared" si="3"/>
        <v>-43.90974276523459</v>
      </c>
    </row>
    <row r="36" spans="2:5" x14ac:dyDescent="0.2">
      <c r="B36" s="13" t="s">
        <v>6</v>
      </c>
      <c r="E36" s="14">
        <f t="shared" si="3"/>
        <v>5.1056425553069751</v>
      </c>
    </row>
    <row r="37" spans="2:5" x14ac:dyDescent="0.2">
      <c r="B37" s="13" t="s">
        <v>7</v>
      </c>
      <c r="E37" s="14">
        <f t="shared" si="3"/>
        <v>42.270879517106913</v>
      </c>
    </row>
    <row r="38" spans="2:5" x14ac:dyDescent="0.2">
      <c r="B38" s="13" t="s">
        <v>8</v>
      </c>
      <c r="E38" s="14">
        <f t="shared" si="3"/>
        <v>359.07120189514148</v>
      </c>
    </row>
    <row r="39" spans="2:5" x14ac:dyDescent="0.2">
      <c r="B39" s="13" t="s">
        <v>9</v>
      </c>
      <c r="E39" s="14">
        <f t="shared" si="3"/>
        <v>-0.34438481546109823</v>
      </c>
    </row>
    <row r="40" spans="2:5" x14ac:dyDescent="0.2">
      <c r="B40" s="13" t="s">
        <v>10</v>
      </c>
      <c r="E40" s="14">
        <f t="shared" si="3"/>
        <v>333.32754428621041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C326-44C2-D64B-AA74-7986D6315C84}">
  <dimension ref="A1:T40"/>
  <sheetViews>
    <sheetView workbookViewId="0">
      <selection activeCell="C7" sqref="C7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25873.829999999998</v>
      </c>
      <c r="D2" s="7">
        <v>56569.95</v>
      </c>
      <c r="E2">
        <v>19759.68</v>
      </c>
      <c r="F2">
        <v>44673.659999999996</v>
      </c>
      <c r="G2">
        <v>34312.32</v>
      </c>
      <c r="H2" s="7">
        <v>48358.080000000002</v>
      </c>
      <c r="I2">
        <v>32875.919999999998</v>
      </c>
      <c r="J2">
        <v>42805.439999999995</v>
      </c>
      <c r="K2">
        <v>71415.45</v>
      </c>
      <c r="L2" s="7">
        <v>63167.4</v>
      </c>
      <c r="M2">
        <v>31889.16</v>
      </c>
      <c r="N2">
        <v>66270.33</v>
      </c>
      <c r="O2">
        <v>57304.17</v>
      </c>
      <c r="P2">
        <v>75272.759999999995</v>
      </c>
      <c r="Q2">
        <v>61342.559999999998</v>
      </c>
      <c r="R2">
        <v>80284.23</v>
      </c>
      <c r="S2" s="7">
        <v>81232.38</v>
      </c>
      <c r="T2" s="7">
        <v>53607.87</v>
      </c>
    </row>
    <row r="3" spans="1:20" ht="16" thickBot="1" x14ac:dyDescent="0.25">
      <c r="A3">
        <v>2</v>
      </c>
      <c r="B3" s="6" t="s">
        <v>2</v>
      </c>
      <c r="C3">
        <v>1395.36</v>
      </c>
      <c r="D3" s="7">
        <v>1405.8</v>
      </c>
      <c r="E3">
        <v>5445.99</v>
      </c>
      <c r="F3">
        <v>6459.21</v>
      </c>
      <c r="G3">
        <v>8261.1</v>
      </c>
      <c r="H3" s="7">
        <v>1824.12</v>
      </c>
      <c r="I3">
        <v>5089.05</v>
      </c>
      <c r="J3">
        <v>1930.86</v>
      </c>
      <c r="K3">
        <v>14227.65</v>
      </c>
      <c r="L3" s="7">
        <v>2935.44</v>
      </c>
      <c r="M3">
        <v>9565.02</v>
      </c>
      <c r="N3">
        <v>13649.58</v>
      </c>
      <c r="O3">
        <v>8321.1299999999992</v>
      </c>
      <c r="P3">
        <v>8578.26</v>
      </c>
      <c r="Q3">
        <v>7607.4299999999994</v>
      </c>
      <c r="R3">
        <v>3502.2599999999998</v>
      </c>
      <c r="S3" s="7">
        <v>22746.51</v>
      </c>
      <c r="T3" s="7">
        <v>19469.16</v>
      </c>
    </row>
    <row r="4" spans="1:20" ht="16" thickBot="1" x14ac:dyDescent="0.25">
      <c r="A4">
        <v>3</v>
      </c>
      <c r="B4" s="6" t="s">
        <v>3</v>
      </c>
      <c r="C4">
        <v>2662.56</v>
      </c>
      <c r="D4" s="7">
        <v>3559.59</v>
      </c>
      <c r="E4">
        <v>13746.33</v>
      </c>
      <c r="F4">
        <v>32901.21</v>
      </c>
      <c r="G4">
        <v>13746.51</v>
      </c>
      <c r="H4" s="7">
        <v>24233.4</v>
      </c>
      <c r="I4">
        <v>15688.08</v>
      </c>
      <c r="J4">
        <v>23695.739999999998</v>
      </c>
      <c r="K4">
        <v>27885.96</v>
      </c>
      <c r="L4" s="7">
        <v>15695.28</v>
      </c>
      <c r="M4">
        <v>24837.3</v>
      </c>
      <c r="N4">
        <v>36872.82</v>
      </c>
      <c r="O4">
        <v>24262.829999999998</v>
      </c>
      <c r="P4">
        <v>12438.449999999999</v>
      </c>
      <c r="Q4">
        <v>29993.759999999998</v>
      </c>
      <c r="R4">
        <v>11794.859999999999</v>
      </c>
      <c r="S4" s="7">
        <v>2744.1</v>
      </c>
      <c r="T4" s="7">
        <v>6415.38</v>
      </c>
    </row>
    <row r="5" spans="1:20" ht="16" thickBot="1" x14ac:dyDescent="0.25">
      <c r="A5">
        <v>4</v>
      </c>
      <c r="B5" s="6" t="s">
        <v>4</v>
      </c>
      <c r="C5">
        <v>1399289.76</v>
      </c>
      <c r="D5" s="7">
        <v>1408117.5</v>
      </c>
      <c r="E5">
        <v>1514894.04</v>
      </c>
      <c r="F5">
        <v>1332023.76</v>
      </c>
      <c r="G5">
        <v>1462712.4</v>
      </c>
      <c r="H5" s="7">
        <v>1234371.42</v>
      </c>
      <c r="I5">
        <v>1311103.17</v>
      </c>
      <c r="J5">
        <v>1357095.69</v>
      </c>
      <c r="K5">
        <v>1248419.1599999999</v>
      </c>
      <c r="L5" s="7">
        <v>1158151.8600000001</v>
      </c>
      <c r="M5">
        <v>1392710.04</v>
      </c>
      <c r="N5">
        <v>1143058.05</v>
      </c>
      <c r="O5">
        <v>1180050.57</v>
      </c>
      <c r="P5">
        <v>1277579.3399999999</v>
      </c>
      <c r="Q5">
        <v>1215311.1299999999</v>
      </c>
      <c r="R5">
        <v>1253963.6099999999</v>
      </c>
      <c r="S5" s="7">
        <v>1281479.1299999999</v>
      </c>
      <c r="T5" s="7">
        <v>1351486.98</v>
      </c>
    </row>
    <row r="6" spans="1:20" ht="16" thickBot="1" x14ac:dyDescent="0.25">
      <c r="A6">
        <v>5</v>
      </c>
      <c r="B6" s="6" t="s">
        <v>5</v>
      </c>
      <c r="C6">
        <v>797971.77</v>
      </c>
      <c r="D6" s="7">
        <v>865764.45</v>
      </c>
      <c r="E6">
        <v>815921.46</v>
      </c>
      <c r="F6">
        <v>888043.95</v>
      </c>
      <c r="G6">
        <v>882057.33</v>
      </c>
      <c r="H6" s="7">
        <v>984338.28</v>
      </c>
      <c r="I6">
        <v>1028808.8999999999</v>
      </c>
      <c r="J6">
        <v>938836.08</v>
      </c>
      <c r="K6">
        <v>949171.67999999993</v>
      </c>
      <c r="L6" s="7">
        <v>1049875.47</v>
      </c>
      <c r="M6">
        <v>884563.83</v>
      </c>
      <c r="N6">
        <v>971666.19</v>
      </c>
      <c r="O6">
        <v>1087801.2</v>
      </c>
      <c r="P6">
        <v>899966.61</v>
      </c>
      <c r="Q6">
        <v>958045.95</v>
      </c>
      <c r="R6">
        <v>965184.65999999992</v>
      </c>
      <c r="S6" s="7">
        <v>1018505.88</v>
      </c>
      <c r="T6" s="7">
        <v>978546.06</v>
      </c>
    </row>
    <row r="7" spans="1:20" ht="16" thickBot="1" x14ac:dyDescent="0.25">
      <c r="A7">
        <v>6</v>
      </c>
      <c r="B7" s="6" t="s">
        <v>6</v>
      </c>
      <c r="C7" s="22">
        <v>0.1</v>
      </c>
      <c r="D7" s="7">
        <v>0</v>
      </c>
      <c r="E7">
        <v>0</v>
      </c>
      <c r="F7">
        <v>0.54</v>
      </c>
      <c r="G7">
        <v>2.6999999999999997</v>
      </c>
      <c r="H7" s="7">
        <v>1.62</v>
      </c>
      <c r="I7">
        <v>0</v>
      </c>
      <c r="J7">
        <v>0</v>
      </c>
      <c r="K7">
        <v>0.18</v>
      </c>
      <c r="L7" s="7">
        <v>0</v>
      </c>
      <c r="M7">
        <v>1.53</v>
      </c>
      <c r="N7">
        <v>0</v>
      </c>
      <c r="O7">
        <v>0.36</v>
      </c>
      <c r="P7">
        <v>0.18</v>
      </c>
      <c r="Q7">
        <v>1.53</v>
      </c>
      <c r="R7">
        <v>16.919999999999998</v>
      </c>
      <c r="S7" s="7">
        <v>1.08</v>
      </c>
      <c r="T7" s="7">
        <v>0.45</v>
      </c>
    </row>
    <row r="8" spans="1:20" ht="16" thickBot="1" x14ac:dyDescent="0.25">
      <c r="A8">
        <v>7</v>
      </c>
      <c r="B8" s="6" t="s">
        <v>7</v>
      </c>
      <c r="C8">
        <v>254.16</v>
      </c>
      <c r="D8" s="7">
        <v>130.32</v>
      </c>
      <c r="E8">
        <v>191.97</v>
      </c>
      <c r="F8">
        <v>2064.6</v>
      </c>
      <c r="G8">
        <v>606.41999999999996</v>
      </c>
      <c r="H8" s="7">
        <v>2268.4499999999998</v>
      </c>
      <c r="I8">
        <v>711.36</v>
      </c>
      <c r="J8">
        <v>1868.3999999999999</v>
      </c>
      <c r="K8">
        <v>1181.1599999999999</v>
      </c>
      <c r="L8" s="7">
        <v>783.9</v>
      </c>
      <c r="M8">
        <v>486.18</v>
      </c>
      <c r="N8">
        <v>1001.3399999999999</v>
      </c>
      <c r="O8">
        <v>623.88</v>
      </c>
      <c r="P8">
        <v>1037.25</v>
      </c>
      <c r="Q8">
        <v>650.25</v>
      </c>
      <c r="R8">
        <v>1596.24</v>
      </c>
      <c r="S8" s="7">
        <v>1631.25</v>
      </c>
      <c r="T8" s="7">
        <v>1325.79</v>
      </c>
    </row>
    <row r="9" spans="1:20" ht="16" thickBot="1" x14ac:dyDescent="0.25">
      <c r="A9">
        <v>8</v>
      </c>
      <c r="B9" s="6" t="s">
        <v>8</v>
      </c>
      <c r="C9">
        <v>87.3</v>
      </c>
      <c r="D9" s="7">
        <v>81.45</v>
      </c>
      <c r="E9">
        <v>160.19999999999999</v>
      </c>
      <c r="F9">
        <v>393.03</v>
      </c>
      <c r="G9">
        <v>249.57</v>
      </c>
      <c r="H9" s="7">
        <v>321.39</v>
      </c>
      <c r="I9">
        <v>153.26999999999998</v>
      </c>
      <c r="J9">
        <v>161.1</v>
      </c>
      <c r="K9">
        <v>1460.4299999999998</v>
      </c>
      <c r="L9" s="7">
        <v>355.77</v>
      </c>
      <c r="M9">
        <v>164.97</v>
      </c>
      <c r="N9">
        <v>359.28</v>
      </c>
      <c r="O9">
        <v>1594.62</v>
      </c>
      <c r="P9">
        <v>203.48999999999998</v>
      </c>
      <c r="Q9">
        <v>256.40999999999997</v>
      </c>
      <c r="R9">
        <v>128.88</v>
      </c>
      <c r="S9" s="7">
        <v>243.27</v>
      </c>
      <c r="T9" s="7">
        <v>237.6</v>
      </c>
    </row>
    <row r="10" spans="1:20" ht="16" thickBot="1" x14ac:dyDescent="0.25">
      <c r="A10">
        <v>9</v>
      </c>
      <c r="B10" s="6" t="s">
        <v>9</v>
      </c>
      <c r="C10">
        <v>1441.98</v>
      </c>
      <c r="D10" s="7">
        <v>1377.99</v>
      </c>
      <c r="E10">
        <v>589.5</v>
      </c>
      <c r="F10">
        <v>1168.3799999999999</v>
      </c>
      <c r="G10">
        <v>1421.28</v>
      </c>
      <c r="H10" s="7">
        <v>888.84</v>
      </c>
      <c r="I10">
        <v>856.07999999999993</v>
      </c>
      <c r="J10">
        <v>1161.54</v>
      </c>
      <c r="K10">
        <v>1545.12</v>
      </c>
      <c r="L10" s="7">
        <v>992.34</v>
      </c>
      <c r="M10">
        <v>527.66999999999996</v>
      </c>
      <c r="N10">
        <v>1439.6399999999999</v>
      </c>
      <c r="O10">
        <v>786.24</v>
      </c>
      <c r="P10">
        <v>1341.18</v>
      </c>
      <c r="Q10">
        <v>1651.95</v>
      </c>
      <c r="R10">
        <v>1708.56</v>
      </c>
      <c r="S10" s="7">
        <v>1497.51</v>
      </c>
      <c r="T10" s="7">
        <v>432.9</v>
      </c>
    </row>
    <row r="11" spans="1:20" ht="16" thickBot="1" x14ac:dyDescent="0.25">
      <c r="A11">
        <v>10</v>
      </c>
      <c r="B11" s="6" t="s">
        <v>10</v>
      </c>
      <c r="C11">
        <v>309270.14999999997</v>
      </c>
      <c r="D11" s="7">
        <v>201239.82</v>
      </c>
      <c r="E11">
        <v>167537.69999999998</v>
      </c>
      <c r="F11">
        <v>230518.53</v>
      </c>
      <c r="G11">
        <v>134877.24</v>
      </c>
      <c r="H11" s="7">
        <v>241641.27</v>
      </c>
      <c r="I11">
        <v>142961.04</v>
      </c>
      <c r="J11">
        <v>170692.02</v>
      </c>
      <c r="K11">
        <v>222940.08</v>
      </c>
      <c r="L11" s="7">
        <v>246289.41</v>
      </c>
      <c r="M11">
        <v>193501.16999999998</v>
      </c>
      <c r="N11">
        <v>303929.64</v>
      </c>
      <c r="O11">
        <v>177501.87</v>
      </c>
      <c r="P11">
        <v>261829.34999999998</v>
      </c>
      <c r="Q11">
        <v>263385.89999999997</v>
      </c>
      <c r="R11">
        <v>220066.65</v>
      </c>
      <c r="S11" s="7">
        <v>128165.75999999999</v>
      </c>
      <c r="T11" s="7">
        <v>126724.68</v>
      </c>
    </row>
    <row r="12" spans="1:20" x14ac:dyDescent="0.2">
      <c r="C12">
        <f>SUM(C2:C11)</f>
        <v>2538246.9700000002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67420.125</v>
      </c>
      <c r="D17">
        <f>AVERAGE(C2:E2)</f>
        <v>34067.82</v>
      </c>
      <c r="E17">
        <f>C17-D17</f>
        <v>33352.305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21107.834999999999</v>
      </c>
      <c r="D18">
        <f t="shared" ref="D18:D25" si="1">AVERAGE(C3:E3)</f>
        <v>2749.0499999999997</v>
      </c>
      <c r="E18">
        <f t="shared" ref="E18:E26" si="2">C18-D18</f>
        <v>18358.785</v>
      </c>
    </row>
    <row r="19" spans="1:5" ht="16" thickBot="1" x14ac:dyDescent="0.25">
      <c r="A19">
        <v>3</v>
      </c>
      <c r="B19" s="6" t="s">
        <v>3</v>
      </c>
      <c r="C19">
        <f t="shared" si="0"/>
        <v>4579.74</v>
      </c>
      <c r="D19">
        <f t="shared" si="1"/>
        <v>6656.16</v>
      </c>
      <c r="E19">
        <f t="shared" si="2"/>
        <v>-2076.42</v>
      </c>
    </row>
    <row r="20" spans="1:5" ht="16" thickBot="1" x14ac:dyDescent="0.25">
      <c r="A20">
        <v>4</v>
      </c>
      <c r="B20" s="6" t="s">
        <v>4</v>
      </c>
      <c r="C20">
        <f t="shared" si="0"/>
        <v>1316483.0549999999</v>
      </c>
      <c r="D20">
        <f t="shared" si="1"/>
        <v>1440767.0999999999</v>
      </c>
      <c r="E20">
        <f t="shared" si="2"/>
        <v>-124284.04499999993</v>
      </c>
    </row>
    <row r="21" spans="1:5" ht="16" thickBot="1" x14ac:dyDescent="0.25">
      <c r="A21">
        <v>5</v>
      </c>
      <c r="B21" s="6" t="s">
        <v>5</v>
      </c>
      <c r="C21">
        <f t="shared" si="0"/>
        <v>998525.97</v>
      </c>
      <c r="D21">
        <f t="shared" si="1"/>
        <v>826552.55999999994</v>
      </c>
      <c r="E21">
        <f t="shared" si="2"/>
        <v>171973.41000000003</v>
      </c>
    </row>
    <row r="22" spans="1:5" ht="16" thickBot="1" x14ac:dyDescent="0.25">
      <c r="A22">
        <v>6</v>
      </c>
      <c r="B22" s="6" t="s">
        <v>6</v>
      </c>
      <c r="C22">
        <f t="shared" si="0"/>
        <v>0.76500000000000001</v>
      </c>
      <c r="D22">
        <f t="shared" si="1"/>
        <v>3.3333333333333333E-2</v>
      </c>
      <c r="E22">
        <f t="shared" si="2"/>
        <v>0.73166666666666669</v>
      </c>
    </row>
    <row r="23" spans="1:5" ht="16" thickBot="1" x14ac:dyDescent="0.25">
      <c r="A23">
        <v>7</v>
      </c>
      <c r="B23" s="6" t="s">
        <v>7</v>
      </c>
      <c r="C23">
        <f t="shared" si="0"/>
        <v>1478.52</v>
      </c>
      <c r="D23">
        <f t="shared" si="1"/>
        <v>192.15</v>
      </c>
      <c r="E23">
        <f t="shared" si="2"/>
        <v>1286.3699999999999</v>
      </c>
    </row>
    <row r="24" spans="1:5" ht="16" thickBot="1" x14ac:dyDescent="0.25">
      <c r="A24">
        <v>8</v>
      </c>
      <c r="B24" s="6" t="s">
        <v>8</v>
      </c>
      <c r="C24">
        <f t="shared" si="0"/>
        <v>240.435</v>
      </c>
      <c r="D24">
        <f t="shared" si="1"/>
        <v>109.64999999999999</v>
      </c>
      <c r="E24">
        <f t="shared" si="2"/>
        <v>130.78500000000003</v>
      </c>
    </row>
    <row r="25" spans="1:5" ht="16" thickBot="1" x14ac:dyDescent="0.25">
      <c r="A25">
        <v>9</v>
      </c>
      <c r="B25" s="6" t="s">
        <v>9</v>
      </c>
      <c r="C25">
        <f t="shared" si="0"/>
        <v>965.20499999999993</v>
      </c>
      <c r="D25">
        <f t="shared" si="1"/>
        <v>1136.49</v>
      </c>
      <c r="E25">
        <f t="shared" si="2"/>
        <v>-171.28500000000008</v>
      </c>
    </row>
    <row r="26" spans="1:5" ht="16" thickBot="1" x14ac:dyDescent="0.25">
      <c r="A26">
        <v>10</v>
      </c>
      <c r="B26" s="6" t="s">
        <v>10</v>
      </c>
      <c r="C26">
        <f>AVERAGE(S11:T11)</f>
        <v>127445.22</v>
      </c>
      <c r="D26">
        <f>AVERAGE(C11:E11)</f>
        <v>226015.88999999998</v>
      </c>
      <c r="E26">
        <f t="shared" si="2"/>
        <v>-98570.669999999984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97.899733531526238</v>
      </c>
    </row>
    <row r="32" spans="1:5" x14ac:dyDescent="0.2">
      <c r="B32" s="13" t="s">
        <v>2</v>
      </c>
      <c r="E32" s="14">
        <f t="shared" ref="E32:E40" si="3">(E18/D18)*100</f>
        <v>667.82288426911123</v>
      </c>
    </row>
    <row r="33" spans="2:5" x14ac:dyDescent="0.2">
      <c r="B33" s="13" t="s">
        <v>3</v>
      </c>
      <c r="E33" s="14">
        <f t="shared" si="3"/>
        <v>-31.195464051344924</v>
      </c>
    </row>
    <row r="34" spans="2:5" x14ac:dyDescent="0.2">
      <c r="B34" s="13" t="s">
        <v>4</v>
      </c>
      <c r="E34" s="14">
        <f t="shared" si="3"/>
        <v>-8.6262411877672633</v>
      </c>
    </row>
    <row r="35" spans="2:5" x14ac:dyDescent="0.2">
      <c r="B35" s="13" t="s">
        <v>5</v>
      </c>
      <c r="E35" s="14">
        <f t="shared" si="3"/>
        <v>20.80610699457516</v>
      </c>
    </row>
    <row r="36" spans="2:5" x14ac:dyDescent="0.2">
      <c r="B36" s="13" t="s">
        <v>6</v>
      </c>
      <c r="E36" s="14">
        <f t="shared" si="3"/>
        <v>2195</v>
      </c>
    </row>
    <row r="37" spans="2:5" x14ac:dyDescent="0.2">
      <c r="B37" s="13" t="s">
        <v>7</v>
      </c>
      <c r="E37" s="14">
        <f t="shared" si="3"/>
        <v>669.4613583138173</v>
      </c>
    </row>
    <row r="38" spans="2:5" x14ac:dyDescent="0.2">
      <c r="B38" s="13" t="s">
        <v>8</v>
      </c>
      <c r="E38" s="14">
        <f t="shared" si="3"/>
        <v>119.27496580027363</v>
      </c>
    </row>
    <row r="39" spans="2:5" x14ac:dyDescent="0.2">
      <c r="B39" s="13" t="s">
        <v>9</v>
      </c>
      <c r="E39" s="14">
        <f t="shared" si="3"/>
        <v>-15.071404059868549</v>
      </c>
    </row>
    <row r="40" spans="2:5" x14ac:dyDescent="0.2">
      <c r="B40" s="13" t="s">
        <v>10</v>
      </c>
      <c r="E40" s="14">
        <f t="shared" si="3"/>
        <v>-43.612274340534199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A4FC-E319-AF40-A924-62C0F91D9AFE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17383.23</v>
      </c>
      <c r="D2">
        <v>17189.28</v>
      </c>
      <c r="E2">
        <v>14147.82</v>
      </c>
      <c r="F2" s="7">
        <v>18731.61</v>
      </c>
      <c r="G2">
        <v>14025.33</v>
      </c>
      <c r="H2" s="7">
        <v>17330.490000000002</v>
      </c>
      <c r="I2">
        <v>12668.4</v>
      </c>
      <c r="J2" s="7">
        <v>14270.4</v>
      </c>
      <c r="K2">
        <v>12331.619999999999</v>
      </c>
      <c r="L2">
        <v>12710.699999999999</v>
      </c>
      <c r="M2">
        <v>16128.449999999999</v>
      </c>
      <c r="N2" s="7">
        <v>15630.75</v>
      </c>
      <c r="O2">
        <v>10830.6</v>
      </c>
      <c r="P2">
        <v>14403.15</v>
      </c>
      <c r="Q2" s="7">
        <v>15169.32</v>
      </c>
      <c r="R2">
        <v>21910.5</v>
      </c>
      <c r="S2">
        <v>11163.6</v>
      </c>
      <c r="T2">
        <v>15219.18</v>
      </c>
    </row>
    <row r="3" spans="1:20" ht="16" thickBot="1" x14ac:dyDescent="0.25">
      <c r="A3">
        <v>2</v>
      </c>
      <c r="B3" s="6" t="s">
        <v>2</v>
      </c>
      <c r="C3">
        <v>17747.099999999999</v>
      </c>
      <c r="D3">
        <v>21179.43</v>
      </c>
      <c r="E3">
        <v>38130.299999999996</v>
      </c>
      <c r="F3" s="7">
        <v>39159.99</v>
      </c>
      <c r="G3">
        <v>28862.37</v>
      </c>
      <c r="H3" s="7">
        <v>27327.06</v>
      </c>
      <c r="I3">
        <v>18365.04</v>
      </c>
      <c r="J3" s="7">
        <v>48634.2</v>
      </c>
      <c r="K3">
        <v>29871.629999999997</v>
      </c>
      <c r="L3">
        <v>16395.03</v>
      </c>
      <c r="M3">
        <v>27242.82</v>
      </c>
      <c r="N3" s="7">
        <v>25069.86</v>
      </c>
      <c r="O3">
        <v>26712.45</v>
      </c>
      <c r="P3">
        <v>14888.43</v>
      </c>
      <c r="Q3" s="7">
        <v>17961.84</v>
      </c>
      <c r="R3">
        <v>31307.399999999998</v>
      </c>
      <c r="S3">
        <v>25782.21</v>
      </c>
      <c r="T3">
        <v>26313.93</v>
      </c>
    </row>
    <row r="4" spans="1:20" ht="16" thickBot="1" x14ac:dyDescent="0.25">
      <c r="A4">
        <v>3</v>
      </c>
      <c r="B4" s="6" t="s">
        <v>3</v>
      </c>
      <c r="C4">
        <v>18265.59</v>
      </c>
      <c r="D4">
        <v>17114.489999999998</v>
      </c>
      <c r="E4">
        <v>40164.839999999997</v>
      </c>
      <c r="F4" s="7">
        <v>45689.58</v>
      </c>
      <c r="G4">
        <v>40261.409999999996</v>
      </c>
      <c r="H4" s="7">
        <v>44806.77</v>
      </c>
      <c r="I4">
        <v>33682.32</v>
      </c>
      <c r="J4" s="7">
        <v>33495.120000000003</v>
      </c>
      <c r="K4">
        <v>20061.18</v>
      </c>
      <c r="L4">
        <v>17035.649999999998</v>
      </c>
      <c r="M4">
        <v>42607.619999999995</v>
      </c>
      <c r="N4" s="7">
        <v>23228.28</v>
      </c>
      <c r="O4">
        <v>34400.25</v>
      </c>
      <c r="P4">
        <v>13713.75</v>
      </c>
      <c r="Q4" s="7">
        <v>55443.69</v>
      </c>
      <c r="R4">
        <v>19930.86</v>
      </c>
      <c r="S4">
        <v>19909.89</v>
      </c>
      <c r="T4">
        <v>14310.99</v>
      </c>
    </row>
    <row r="5" spans="1:20" ht="16" thickBot="1" x14ac:dyDescent="0.25">
      <c r="A5">
        <v>4</v>
      </c>
      <c r="B5" s="6" t="s">
        <v>4</v>
      </c>
      <c r="C5">
        <v>1411922.25</v>
      </c>
      <c r="D5">
        <v>1431702.72</v>
      </c>
      <c r="E5">
        <v>1326188.43</v>
      </c>
      <c r="F5" s="7">
        <v>1197767.1599999999</v>
      </c>
      <c r="G5">
        <v>1298574</v>
      </c>
      <c r="H5" s="7">
        <v>1207521.81</v>
      </c>
      <c r="I5">
        <v>1314520.47</v>
      </c>
      <c r="J5" s="7">
        <v>1193935.4099999999</v>
      </c>
      <c r="K5">
        <v>1213278.57</v>
      </c>
      <c r="L5">
        <v>1252563.75</v>
      </c>
      <c r="M5">
        <v>1286633.6099999999</v>
      </c>
      <c r="N5" s="7">
        <v>1267651.6200000001</v>
      </c>
      <c r="O5">
        <v>1261823.31</v>
      </c>
      <c r="P5">
        <v>1332727.92</v>
      </c>
      <c r="Q5" s="7">
        <v>1261418.76</v>
      </c>
      <c r="R5">
        <v>1299897</v>
      </c>
      <c r="S5">
        <v>1338232.4099999999</v>
      </c>
      <c r="T5">
        <v>1347213.15</v>
      </c>
    </row>
    <row r="6" spans="1:20" ht="16" thickBot="1" x14ac:dyDescent="0.25">
      <c r="A6">
        <v>5</v>
      </c>
      <c r="B6" s="6" t="s">
        <v>5</v>
      </c>
      <c r="C6">
        <v>664218.09</v>
      </c>
      <c r="D6">
        <v>642670.28999999992</v>
      </c>
      <c r="E6">
        <v>669903.29999999993</v>
      </c>
      <c r="F6" s="7">
        <v>791003.79</v>
      </c>
      <c r="G6">
        <v>706328.37</v>
      </c>
      <c r="H6" s="7">
        <v>800335.8</v>
      </c>
      <c r="I6">
        <v>720972</v>
      </c>
      <c r="J6" s="7">
        <v>778491.27</v>
      </c>
      <c r="K6">
        <v>776539.16999999993</v>
      </c>
      <c r="L6">
        <v>795212.54999999993</v>
      </c>
      <c r="M6">
        <v>717527.07</v>
      </c>
      <c r="N6" s="7">
        <v>750638.07</v>
      </c>
      <c r="O6">
        <v>763806.78</v>
      </c>
      <c r="P6">
        <v>707932.35</v>
      </c>
      <c r="Q6" s="7">
        <v>733258.26</v>
      </c>
      <c r="R6">
        <v>714135.96</v>
      </c>
      <c r="S6">
        <v>720952.83</v>
      </c>
      <c r="T6">
        <v>668784.87</v>
      </c>
    </row>
    <row r="7" spans="1:20" ht="16" thickBot="1" x14ac:dyDescent="0.25">
      <c r="A7">
        <v>6</v>
      </c>
      <c r="B7" s="6" t="s">
        <v>6</v>
      </c>
      <c r="C7">
        <v>98.36999999999999</v>
      </c>
      <c r="D7">
        <v>250.73999999999998</v>
      </c>
      <c r="E7">
        <v>453.41999999999996</v>
      </c>
      <c r="F7" s="7">
        <v>443.88</v>
      </c>
      <c r="G7">
        <v>288.53999999999996</v>
      </c>
      <c r="H7" s="7">
        <v>795.33</v>
      </c>
      <c r="I7">
        <v>400.14</v>
      </c>
      <c r="J7" s="7">
        <v>1103.67</v>
      </c>
      <c r="K7">
        <v>379.71</v>
      </c>
      <c r="L7">
        <v>353.88</v>
      </c>
      <c r="M7">
        <v>139.76999999999998</v>
      </c>
      <c r="N7" s="7">
        <v>846.63</v>
      </c>
      <c r="O7">
        <v>1053.45</v>
      </c>
      <c r="P7">
        <v>237.51</v>
      </c>
      <c r="Q7" s="7">
        <v>671.4</v>
      </c>
      <c r="R7">
        <v>626.30999999999995</v>
      </c>
      <c r="S7">
        <v>714.42</v>
      </c>
      <c r="T7">
        <v>891.44999999999993</v>
      </c>
    </row>
    <row r="8" spans="1:20" ht="16" thickBot="1" x14ac:dyDescent="0.25">
      <c r="A8">
        <v>7</v>
      </c>
      <c r="B8" s="6" t="s">
        <v>7</v>
      </c>
      <c r="C8">
        <v>13413.869999999999</v>
      </c>
      <c r="D8">
        <v>12207.96</v>
      </c>
      <c r="E8">
        <v>18124.919999999998</v>
      </c>
      <c r="F8" s="7">
        <v>26265.599999999999</v>
      </c>
      <c r="G8">
        <v>29282.309999999998</v>
      </c>
      <c r="H8" s="7">
        <v>29215.98</v>
      </c>
      <c r="I8">
        <v>30194.19</v>
      </c>
      <c r="J8" s="7">
        <v>46015.02</v>
      </c>
      <c r="K8">
        <v>33110.729999999996</v>
      </c>
      <c r="L8">
        <v>25916.579999999998</v>
      </c>
      <c r="M8">
        <v>30672.989999999998</v>
      </c>
      <c r="N8" s="7">
        <v>32721.84</v>
      </c>
      <c r="O8">
        <v>37255.769999999997</v>
      </c>
      <c r="P8">
        <v>33810.299999999996</v>
      </c>
      <c r="Q8" s="7">
        <v>26492.67</v>
      </c>
      <c r="R8">
        <v>31694.67</v>
      </c>
      <c r="S8">
        <v>40078.53</v>
      </c>
      <c r="T8">
        <v>58588.2</v>
      </c>
    </row>
    <row r="9" spans="1:20" ht="16" thickBot="1" x14ac:dyDescent="0.25">
      <c r="A9">
        <v>8</v>
      </c>
      <c r="B9" s="6" t="s">
        <v>8</v>
      </c>
      <c r="C9">
        <v>3591.3599999999997</v>
      </c>
      <c r="D9">
        <v>2961.54</v>
      </c>
      <c r="E9">
        <v>1663.74</v>
      </c>
      <c r="F9" s="7">
        <v>2772.72</v>
      </c>
      <c r="G9">
        <v>2088.27</v>
      </c>
      <c r="H9" s="7">
        <v>2786.58</v>
      </c>
      <c r="I9">
        <v>2398.6799999999998</v>
      </c>
      <c r="J9" s="7">
        <v>5432.49</v>
      </c>
      <c r="K9">
        <v>2862.63</v>
      </c>
      <c r="L9">
        <v>5305.86</v>
      </c>
      <c r="M9">
        <v>2400.2999999999997</v>
      </c>
      <c r="N9" s="7">
        <v>3799.44</v>
      </c>
      <c r="O9">
        <v>2178.9</v>
      </c>
      <c r="P9">
        <v>2889.18</v>
      </c>
      <c r="Q9" s="7">
        <v>2543.31</v>
      </c>
      <c r="R9">
        <v>2534.94</v>
      </c>
      <c r="S9">
        <v>1219.68</v>
      </c>
      <c r="T9">
        <v>1676.61</v>
      </c>
    </row>
    <row r="10" spans="1:20" ht="16" thickBot="1" x14ac:dyDescent="0.25">
      <c r="A10">
        <v>9</v>
      </c>
      <c r="B10" s="6" t="s">
        <v>9</v>
      </c>
      <c r="C10">
        <v>9627.57</v>
      </c>
      <c r="D10">
        <v>10074.06</v>
      </c>
      <c r="E10">
        <v>10309.77</v>
      </c>
      <c r="F10" s="7">
        <v>9482.49</v>
      </c>
      <c r="G10">
        <v>9167.31</v>
      </c>
      <c r="H10" s="7">
        <v>9516.8700000000008</v>
      </c>
      <c r="I10">
        <v>10084.859999999999</v>
      </c>
      <c r="J10" s="7">
        <v>9230.67</v>
      </c>
      <c r="K10">
        <v>8008.0199999999995</v>
      </c>
      <c r="L10">
        <v>10415.25</v>
      </c>
      <c r="M10">
        <v>9305.01</v>
      </c>
      <c r="N10" s="7">
        <v>9219.7800000000007</v>
      </c>
      <c r="O10">
        <v>8351.369999999999</v>
      </c>
      <c r="P10">
        <v>9162.99</v>
      </c>
      <c r="Q10" s="7">
        <v>10522.53</v>
      </c>
      <c r="R10">
        <v>10042.289999999999</v>
      </c>
      <c r="S10">
        <v>7302.78</v>
      </c>
      <c r="T10">
        <v>9798.0299999999988</v>
      </c>
    </row>
    <row r="11" spans="1:20" ht="16" thickBot="1" x14ac:dyDescent="0.25">
      <c r="A11">
        <v>10</v>
      </c>
      <c r="B11" s="6" t="s">
        <v>10</v>
      </c>
      <c r="C11">
        <v>33557.94</v>
      </c>
      <c r="D11">
        <v>34474.86</v>
      </c>
      <c r="E11">
        <v>70738.83</v>
      </c>
      <c r="F11" s="7">
        <v>58508.55</v>
      </c>
      <c r="G11">
        <v>60947.46</v>
      </c>
      <c r="H11" s="7">
        <v>50188.68</v>
      </c>
      <c r="I11">
        <v>46539.27</v>
      </c>
      <c r="J11" s="7">
        <v>59217.120000000003</v>
      </c>
      <c r="K11">
        <v>93382.11</v>
      </c>
      <c r="L11">
        <v>53916.119999999995</v>
      </c>
      <c r="M11">
        <v>57167.729999999996</v>
      </c>
      <c r="N11" s="7">
        <v>61019.1</v>
      </c>
      <c r="O11">
        <v>43412.49</v>
      </c>
      <c r="P11">
        <v>60059.79</v>
      </c>
      <c r="Q11" s="7">
        <v>66343.59</v>
      </c>
      <c r="R11">
        <v>57745.439999999995</v>
      </c>
      <c r="S11">
        <v>24469.02</v>
      </c>
      <c r="T11">
        <v>47028.959999999999</v>
      </c>
    </row>
    <row r="12" spans="1:20" x14ac:dyDescent="0.2">
      <c r="C12">
        <f>SUM(C2:C11)</f>
        <v>2189825.3699999996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13191.39</v>
      </c>
      <c r="D17">
        <f>AVERAGE(C2:E2)</f>
        <v>16240.109999999999</v>
      </c>
      <c r="E17">
        <f>C17-D17</f>
        <v>-3048.7199999999993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26048.07</v>
      </c>
      <c r="D18">
        <f t="shared" ref="D18:D25" si="1">AVERAGE(C3:E3)</f>
        <v>25685.609999999997</v>
      </c>
      <c r="E18">
        <f t="shared" ref="E18:E26" si="2">C18-D18</f>
        <v>362.46000000000276</v>
      </c>
    </row>
    <row r="19" spans="1:5" ht="16" thickBot="1" x14ac:dyDescent="0.25">
      <c r="A19">
        <v>3</v>
      </c>
      <c r="B19" s="6" t="s">
        <v>3</v>
      </c>
      <c r="C19">
        <f t="shared" si="0"/>
        <v>17110.439999999999</v>
      </c>
      <c r="D19">
        <f t="shared" si="1"/>
        <v>25181.64</v>
      </c>
      <c r="E19">
        <f t="shared" si="2"/>
        <v>-8071.2000000000007</v>
      </c>
    </row>
    <row r="20" spans="1:5" ht="16" thickBot="1" x14ac:dyDescent="0.25">
      <c r="A20">
        <v>4</v>
      </c>
      <c r="B20" s="6" t="s">
        <v>4</v>
      </c>
      <c r="C20">
        <f t="shared" si="0"/>
        <v>1342722.7799999998</v>
      </c>
      <c r="D20">
        <f t="shared" si="1"/>
        <v>1389937.7999999998</v>
      </c>
      <c r="E20">
        <f t="shared" si="2"/>
        <v>-47215.020000000019</v>
      </c>
    </row>
    <row r="21" spans="1:5" ht="16" thickBot="1" x14ac:dyDescent="0.25">
      <c r="A21">
        <v>5</v>
      </c>
      <c r="B21" s="6" t="s">
        <v>5</v>
      </c>
      <c r="C21">
        <f t="shared" si="0"/>
        <v>694868.85</v>
      </c>
      <c r="D21">
        <f t="shared" si="1"/>
        <v>658930.55999999994</v>
      </c>
      <c r="E21">
        <f t="shared" si="2"/>
        <v>35938.290000000037</v>
      </c>
    </row>
    <row r="22" spans="1:5" ht="16" thickBot="1" x14ac:dyDescent="0.25">
      <c r="A22">
        <v>6</v>
      </c>
      <c r="B22" s="6" t="s">
        <v>6</v>
      </c>
      <c r="C22">
        <f t="shared" si="0"/>
        <v>802.93499999999995</v>
      </c>
      <c r="D22">
        <f t="shared" si="1"/>
        <v>267.51</v>
      </c>
      <c r="E22">
        <f t="shared" si="2"/>
        <v>535.42499999999995</v>
      </c>
    </row>
    <row r="23" spans="1:5" ht="16" thickBot="1" x14ac:dyDescent="0.25">
      <c r="A23">
        <v>7</v>
      </c>
      <c r="B23" s="6" t="s">
        <v>7</v>
      </c>
      <c r="C23">
        <f t="shared" si="0"/>
        <v>49333.364999999998</v>
      </c>
      <c r="D23">
        <f t="shared" si="1"/>
        <v>14582.25</v>
      </c>
      <c r="E23">
        <f t="shared" si="2"/>
        <v>34751.114999999998</v>
      </c>
    </row>
    <row r="24" spans="1:5" ht="16" thickBot="1" x14ac:dyDescent="0.25">
      <c r="A24">
        <v>8</v>
      </c>
      <c r="B24" s="6" t="s">
        <v>8</v>
      </c>
      <c r="C24">
        <f t="shared" si="0"/>
        <v>1448.145</v>
      </c>
      <c r="D24">
        <f t="shared" si="1"/>
        <v>2738.8799999999997</v>
      </c>
      <c r="E24">
        <f t="shared" si="2"/>
        <v>-1290.7349999999997</v>
      </c>
    </row>
    <row r="25" spans="1:5" ht="16" thickBot="1" x14ac:dyDescent="0.25">
      <c r="A25">
        <v>9</v>
      </c>
      <c r="B25" s="6" t="s">
        <v>9</v>
      </c>
      <c r="C25">
        <f t="shared" si="0"/>
        <v>8550.4049999999988</v>
      </c>
      <c r="D25">
        <f t="shared" si="1"/>
        <v>10003.799999999999</v>
      </c>
      <c r="E25">
        <f t="shared" si="2"/>
        <v>-1453.3950000000004</v>
      </c>
    </row>
    <row r="26" spans="1:5" ht="16" thickBot="1" x14ac:dyDescent="0.25">
      <c r="A26">
        <v>10</v>
      </c>
      <c r="B26" s="6" t="s">
        <v>10</v>
      </c>
      <c r="C26">
        <f>AVERAGE(S11:T11)</f>
        <v>35748.99</v>
      </c>
      <c r="D26">
        <f>AVERAGE(C11:E11)</f>
        <v>46257.21</v>
      </c>
      <c r="E26">
        <f t="shared" si="2"/>
        <v>-10508.220000000001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-18.77277924841642</v>
      </c>
    </row>
    <row r="32" spans="1:5" x14ac:dyDescent="0.2">
      <c r="B32" s="13" t="s">
        <v>2</v>
      </c>
      <c r="E32" s="14">
        <f t="shared" ref="E32:E40" si="3">(E18/D18)*100</f>
        <v>1.4111403233172302</v>
      </c>
    </row>
    <row r="33" spans="2:5" x14ac:dyDescent="0.2">
      <c r="B33" s="13" t="s">
        <v>3</v>
      </c>
      <c r="E33" s="14">
        <f t="shared" si="3"/>
        <v>-32.051923544296564</v>
      </c>
    </row>
    <row r="34" spans="2:5" x14ac:dyDescent="0.2">
      <c r="B34" s="13" t="s">
        <v>4</v>
      </c>
      <c r="E34" s="14">
        <f t="shared" si="3"/>
        <v>-3.3969160346599701</v>
      </c>
    </row>
    <row r="35" spans="2:5" x14ac:dyDescent="0.2">
      <c r="B35" s="13" t="s">
        <v>5</v>
      </c>
      <c r="E35" s="14">
        <f t="shared" si="3"/>
        <v>5.454032971243592</v>
      </c>
    </row>
    <row r="36" spans="2:5" x14ac:dyDescent="0.2">
      <c r="B36" s="13" t="s">
        <v>6</v>
      </c>
      <c r="E36" s="14">
        <f t="shared" si="3"/>
        <v>200.1513962094875</v>
      </c>
    </row>
    <row r="37" spans="2:5" x14ac:dyDescent="0.2">
      <c r="B37" s="13" t="s">
        <v>7</v>
      </c>
      <c r="E37" s="14">
        <f t="shared" si="3"/>
        <v>238.31106310754512</v>
      </c>
    </row>
    <row r="38" spans="2:5" x14ac:dyDescent="0.2">
      <c r="B38" s="13" t="s">
        <v>8</v>
      </c>
      <c r="E38" s="14">
        <f t="shared" si="3"/>
        <v>-47.126380126182958</v>
      </c>
    </row>
    <row r="39" spans="2:5" x14ac:dyDescent="0.2">
      <c r="B39" s="13" t="s">
        <v>9</v>
      </c>
      <c r="E39" s="14">
        <f t="shared" si="3"/>
        <v>-14.528429196905183</v>
      </c>
    </row>
    <row r="40" spans="2:5" x14ac:dyDescent="0.2">
      <c r="B40" s="13" t="s">
        <v>10</v>
      </c>
      <c r="E40" s="14">
        <f t="shared" si="3"/>
        <v>-22.716934289811256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EC4C-363E-D449-9C00-495AEB7CFAD1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22639.41</v>
      </c>
      <c r="D2" s="7">
        <v>17327.79</v>
      </c>
      <c r="E2">
        <v>16641.09</v>
      </c>
      <c r="F2" s="7">
        <v>22249.62</v>
      </c>
      <c r="G2">
        <v>16545.509999999998</v>
      </c>
      <c r="H2">
        <v>20104.2</v>
      </c>
      <c r="I2" s="7">
        <v>17639.37</v>
      </c>
      <c r="J2" s="7">
        <v>17299.349999999999</v>
      </c>
      <c r="K2">
        <v>17022.599999999999</v>
      </c>
      <c r="L2">
        <v>19349.189999999999</v>
      </c>
      <c r="M2">
        <v>19628.55</v>
      </c>
      <c r="N2" s="7">
        <v>18836.189999999999</v>
      </c>
      <c r="O2" s="7">
        <v>19971.45</v>
      </c>
      <c r="P2" s="7">
        <v>19140.57</v>
      </c>
      <c r="Q2">
        <v>17887.41</v>
      </c>
      <c r="R2">
        <v>22452.84</v>
      </c>
      <c r="S2">
        <v>19230.84</v>
      </c>
      <c r="T2">
        <v>20097.63</v>
      </c>
    </row>
    <row r="3" spans="1:20" ht="16" thickBot="1" x14ac:dyDescent="0.25">
      <c r="A3">
        <v>2</v>
      </c>
      <c r="B3" s="6" t="s">
        <v>2</v>
      </c>
      <c r="C3">
        <v>2921.04</v>
      </c>
      <c r="D3" s="7">
        <v>7073.28</v>
      </c>
      <c r="E3">
        <v>390.78</v>
      </c>
      <c r="F3" s="7">
        <v>486.9</v>
      </c>
      <c r="G3">
        <v>381.33</v>
      </c>
      <c r="H3">
        <v>1350.72</v>
      </c>
      <c r="I3" s="7">
        <v>179.19</v>
      </c>
      <c r="J3" s="7">
        <v>1611.81</v>
      </c>
      <c r="K3">
        <v>557.01</v>
      </c>
      <c r="L3">
        <v>95.31</v>
      </c>
      <c r="M3">
        <v>201.95999999999998</v>
      </c>
      <c r="N3" s="7">
        <v>141.66</v>
      </c>
      <c r="O3" s="7">
        <v>1504.17</v>
      </c>
      <c r="P3" s="7">
        <v>617.76</v>
      </c>
      <c r="Q3">
        <v>1554.57</v>
      </c>
      <c r="R3">
        <v>87.57</v>
      </c>
      <c r="S3">
        <v>2558.16</v>
      </c>
      <c r="T3">
        <v>3942.27</v>
      </c>
    </row>
    <row r="4" spans="1:20" ht="16" thickBot="1" x14ac:dyDescent="0.25">
      <c r="A4">
        <v>3</v>
      </c>
      <c r="B4" s="6" t="s">
        <v>3</v>
      </c>
      <c r="C4">
        <v>368.55</v>
      </c>
      <c r="D4" s="7">
        <v>226.35</v>
      </c>
      <c r="E4">
        <v>326.7</v>
      </c>
      <c r="F4" s="7">
        <v>266.94</v>
      </c>
      <c r="G4">
        <v>313.02</v>
      </c>
      <c r="H4">
        <v>273.77999999999997</v>
      </c>
      <c r="I4" s="7">
        <v>40.5</v>
      </c>
      <c r="J4" s="7">
        <v>279</v>
      </c>
      <c r="K4">
        <v>3932.2799999999997</v>
      </c>
      <c r="L4">
        <v>289.97999999999996</v>
      </c>
      <c r="M4">
        <v>434.15999999999997</v>
      </c>
      <c r="N4" s="7">
        <v>199.35</v>
      </c>
      <c r="O4" s="7">
        <v>412.47</v>
      </c>
      <c r="P4" s="7">
        <v>888.39</v>
      </c>
      <c r="Q4">
        <v>2436.21</v>
      </c>
      <c r="R4">
        <v>1.08</v>
      </c>
      <c r="S4">
        <v>1623.33</v>
      </c>
      <c r="T4">
        <v>1782.27</v>
      </c>
    </row>
    <row r="5" spans="1:20" ht="16" thickBot="1" x14ac:dyDescent="0.25">
      <c r="A5">
        <v>4</v>
      </c>
      <c r="B5" s="6" t="s">
        <v>4</v>
      </c>
      <c r="C5">
        <v>67276.17</v>
      </c>
      <c r="D5" s="7">
        <v>54892.800000000003</v>
      </c>
      <c r="E5">
        <v>39319.83</v>
      </c>
      <c r="F5" s="7">
        <v>38703.24</v>
      </c>
      <c r="G5">
        <v>45565.56</v>
      </c>
      <c r="H5">
        <v>37702.799999999996</v>
      </c>
      <c r="I5" s="7">
        <v>32697.72</v>
      </c>
      <c r="J5" s="7">
        <v>13896.72</v>
      </c>
      <c r="K5">
        <v>15689.34</v>
      </c>
      <c r="L5">
        <v>37918.17</v>
      </c>
      <c r="M5">
        <v>16950.329999999998</v>
      </c>
      <c r="N5" s="7">
        <v>14543.37</v>
      </c>
      <c r="O5" s="7">
        <v>45671.4</v>
      </c>
      <c r="P5" s="7">
        <v>36718.559999999998</v>
      </c>
      <c r="Q5">
        <v>29213.73</v>
      </c>
      <c r="R5">
        <v>25653.149999999998</v>
      </c>
      <c r="S5">
        <v>24503.94</v>
      </c>
      <c r="T5">
        <v>22097.16</v>
      </c>
    </row>
    <row r="6" spans="1:20" ht="16" thickBot="1" x14ac:dyDescent="0.25">
      <c r="A6">
        <v>5</v>
      </c>
      <c r="B6" s="6" t="s">
        <v>5</v>
      </c>
      <c r="C6">
        <v>43833.06</v>
      </c>
      <c r="D6" s="7">
        <v>39981.24</v>
      </c>
      <c r="E6">
        <v>50094.36</v>
      </c>
      <c r="F6" s="7">
        <v>43944.84</v>
      </c>
      <c r="G6">
        <v>50174.369999999995</v>
      </c>
      <c r="H6">
        <v>42779.97</v>
      </c>
      <c r="I6" s="7">
        <v>35301.870000000003</v>
      </c>
      <c r="J6" s="7">
        <v>17745.57</v>
      </c>
      <c r="K6">
        <v>13052.699999999999</v>
      </c>
      <c r="L6">
        <v>24000.3</v>
      </c>
      <c r="M6">
        <v>24715.71</v>
      </c>
      <c r="N6" s="7">
        <v>21350.43</v>
      </c>
      <c r="O6" s="7">
        <v>21391.11</v>
      </c>
      <c r="P6" s="7">
        <v>16197.66</v>
      </c>
      <c r="Q6">
        <v>25852.5</v>
      </c>
      <c r="R6">
        <v>26245.89</v>
      </c>
      <c r="S6">
        <v>23903.64</v>
      </c>
      <c r="T6">
        <v>12342.24</v>
      </c>
    </row>
    <row r="7" spans="1:20" ht="16" thickBot="1" x14ac:dyDescent="0.25">
      <c r="A7">
        <v>6</v>
      </c>
      <c r="B7" s="6" t="s">
        <v>6</v>
      </c>
      <c r="C7">
        <v>8912.7899999999991</v>
      </c>
      <c r="D7" s="7">
        <v>16097.85</v>
      </c>
      <c r="E7">
        <v>18673.11</v>
      </c>
      <c r="F7" s="7">
        <v>25222.23</v>
      </c>
      <c r="G7">
        <v>14743.439999999999</v>
      </c>
      <c r="H7">
        <v>35972.01</v>
      </c>
      <c r="I7" s="7">
        <v>18616.59</v>
      </c>
      <c r="J7" s="7">
        <v>34900.92</v>
      </c>
      <c r="K7">
        <v>22521.059999999998</v>
      </c>
      <c r="L7">
        <v>8345.7899999999991</v>
      </c>
      <c r="M7">
        <v>24418.98</v>
      </c>
      <c r="N7" s="7">
        <v>25871.31</v>
      </c>
      <c r="O7" s="7">
        <v>16343.73</v>
      </c>
      <c r="P7" s="7">
        <v>15021.09</v>
      </c>
      <c r="Q7">
        <v>15378.39</v>
      </c>
      <c r="R7">
        <v>16244.099999999999</v>
      </c>
      <c r="S7">
        <v>8717.58</v>
      </c>
      <c r="T7">
        <v>2077.38</v>
      </c>
    </row>
    <row r="8" spans="1:20" ht="16" thickBot="1" x14ac:dyDescent="0.25">
      <c r="A8">
        <v>7</v>
      </c>
      <c r="B8" s="6" t="s">
        <v>7</v>
      </c>
      <c r="C8">
        <v>155340.63</v>
      </c>
      <c r="D8" s="7">
        <v>164413.44</v>
      </c>
      <c r="E8">
        <v>175792.13999999998</v>
      </c>
      <c r="F8" s="7">
        <v>168622.02</v>
      </c>
      <c r="G8">
        <v>171275.94</v>
      </c>
      <c r="H8">
        <v>161059.41</v>
      </c>
      <c r="I8" s="7">
        <v>193398.3</v>
      </c>
      <c r="J8" s="7">
        <v>215630.1</v>
      </c>
      <c r="K8">
        <v>227971.53</v>
      </c>
      <c r="L8">
        <v>206505.81</v>
      </c>
      <c r="M8">
        <v>213046.91999999998</v>
      </c>
      <c r="N8" s="7">
        <v>218904.12</v>
      </c>
      <c r="O8" s="7">
        <v>194316.57</v>
      </c>
      <c r="P8" s="7">
        <v>211685.94</v>
      </c>
      <c r="Q8">
        <v>208841.13</v>
      </c>
      <c r="R8">
        <v>209485.62</v>
      </c>
      <c r="S8">
        <v>219180.33</v>
      </c>
      <c r="T8">
        <v>237344.84999999998</v>
      </c>
    </row>
    <row r="9" spans="1:20" ht="16" thickBot="1" x14ac:dyDescent="0.25">
      <c r="A9">
        <v>8</v>
      </c>
      <c r="B9" s="6" t="s">
        <v>8</v>
      </c>
      <c r="C9">
        <v>23.939999999999998</v>
      </c>
      <c r="D9" s="7">
        <v>0.63</v>
      </c>
      <c r="E9">
        <v>216.98999999999998</v>
      </c>
      <c r="F9" s="7">
        <v>970.83</v>
      </c>
      <c r="G9">
        <v>2059.29</v>
      </c>
      <c r="H9">
        <v>544.5</v>
      </c>
      <c r="I9" s="7">
        <v>2845.17</v>
      </c>
      <c r="J9" s="7">
        <v>487.89</v>
      </c>
      <c r="K9">
        <v>562.23</v>
      </c>
      <c r="L9">
        <v>1625.76</v>
      </c>
      <c r="M9">
        <v>412.65</v>
      </c>
      <c r="N9" s="7">
        <v>838.08</v>
      </c>
      <c r="O9" s="7">
        <v>1147.32</v>
      </c>
      <c r="P9" s="7">
        <v>0.9</v>
      </c>
      <c r="Q9">
        <v>2.34</v>
      </c>
      <c r="R9">
        <v>604.07999999999993</v>
      </c>
      <c r="S9">
        <v>264.77999999999997</v>
      </c>
      <c r="T9">
        <v>28.799999999999997</v>
      </c>
    </row>
    <row r="10" spans="1:20" ht="16" thickBot="1" x14ac:dyDescent="0.25">
      <c r="A10">
        <v>9</v>
      </c>
      <c r="B10" s="6" t="s">
        <v>9</v>
      </c>
      <c r="C10">
        <v>393.75</v>
      </c>
      <c r="D10" s="7">
        <v>559.71</v>
      </c>
      <c r="E10">
        <v>377.64</v>
      </c>
      <c r="F10" s="7">
        <v>520.55999999999995</v>
      </c>
      <c r="G10">
        <v>635.66999999999996</v>
      </c>
      <c r="H10">
        <v>395.72999999999996</v>
      </c>
      <c r="I10" s="7">
        <v>965.16</v>
      </c>
      <c r="J10" s="7">
        <v>288.81</v>
      </c>
      <c r="K10">
        <v>467.46</v>
      </c>
      <c r="L10">
        <v>607.23</v>
      </c>
      <c r="M10">
        <v>1063.8899999999999</v>
      </c>
      <c r="N10" s="7">
        <v>952.38</v>
      </c>
      <c r="O10" s="7">
        <v>833.22</v>
      </c>
      <c r="P10" s="7">
        <v>1150.83</v>
      </c>
      <c r="Q10">
        <v>670.77</v>
      </c>
      <c r="R10">
        <v>750.68999999999994</v>
      </c>
      <c r="S10">
        <v>673.11</v>
      </c>
      <c r="T10">
        <v>714.78</v>
      </c>
    </row>
    <row r="11" spans="1:20" ht="16" thickBot="1" x14ac:dyDescent="0.25">
      <c r="A11">
        <v>10</v>
      </c>
      <c r="B11" s="6" t="s">
        <v>10</v>
      </c>
      <c r="C11">
        <v>528.56999999999994</v>
      </c>
      <c r="D11" s="7">
        <v>1664.82</v>
      </c>
      <c r="E11">
        <v>405.27</v>
      </c>
      <c r="F11" s="7">
        <v>1250.73</v>
      </c>
      <c r="G11">
        <v>543.78</v>
      </c>
      <c r="H11">
        <v>2054.79</v>
      </c>
      <c r="I11" s="7">
        <v>554.04</v>
      </c>
      <c r="J11" s="7">
        <v>97.74</v>
      </c>
      <c r="K11">
        <v>461.7</v>
      </c>
      <c r="L11">
        <v>3500.37</v>
      </c>
      <c r="M11">
        <v>1364.76</v>
      </c>
      <c r="N11" s="7">
        <v>601.02</v>
      </c>
      <c r="O11" s="7">
        <v>646.47</v>
      </c>
      <c r="P11" s="7">
        <v>816.21</v>
      </c>
      <c r="Q11">
        <v>400.85999999999996</v>
      </c>
      <c r="R11">
        <v>712.89</v>
      </c>
      <c r="S11">
        <v>1582.2</v>
      </c>
      <c r="T11">
        <v>1810.53</v>
      </c>
    </row>
    <row r="12" spans="1:20" x14ac:dyDescent="0.2">
      <c r="C12">
        <f>SUM(C2:C11)</f>
        <v>302237.91000000003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19664.235000000001</v>
      </c>
      <c r="D17">
        <f>AVERAGE(C2:E2)</f>
        <v>18869.429999999997</v>
      </c>
      <c r="E17">
        <f>C17-D17</f>
        <v>794.80500000000393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3250.2150000000001</v>
      </c>
      <c r="D18">
        <f t="shared" ref="D18:D25" si="1">AVERAGE(C3:E3)</f>
        <v>3461.7000000000003</v>
      </c>
      <c r="E18">
        <f t="shared" ref="E18:E26" si="2">C18-D18</f>
        <v>-211.48500000000013</v>
      </c>
    </row>
    <row r="19" spans="1:5" ht="16" thickBot="1" x14ac:dyDescent="0.25">
      <c r="A19">
        <v>3</v>
      </c>
      <c r="B19" s="6" t="s">
        <v>3</v>
      </c>
      <c r="C19">
        <f t="shared" si="0"/>
        <v>1702.8</v>
      </c>
      <c r="D19">
        <f t="shared" si="1"/>
        <v>307.2</v>
      </c>
      <c r="E19">
        <f t="shared" si="2"/>
        <v>1395.6</v>
      </c>
    </row>
    <row r="20" spans="1:5" ht="16" thickBot="1" x14ac:dyDescent="0.25">
      <c r="A20">
        <v>4</v>
      </c>
      <c r="B20" s="6" t="s">
        <v>4</v>
      </c>
      <c r="C20">
        <f t="shared" si="0"/>
        <v>23300.55</v>
      </c>
      <c r="D20">
        <f t="shared" si="1"/>
        <v>53829.599999999999</v>
      </c>
      <c r="E20">
        <f t="shared" si="2"/>
        <v>-30529.05</v>
      </c>
    </row>
    <row r="21" spans="1:5" ht="16" thickBot="1" x14ac:dyDescent="0.25">
      <c r="A21">
        <v>5</v>
      </c>
      <c r="B21" s="6" t="s">
        <v>5</v>
      </c>
      <c r="C21">
        <f t="shared" si="0"/>
        <v>18122.939999999999</v>
      </c>
      <c r="D21">
        <f t="shared" si="1"/>
        <v>44636.219999999994</v>
      </c>
      <c r="E21">
        <f t="shared" si="2"/>
        <v>-26513.279999999995</v>
      </c>
    </row>
    <row r="22" spans="1:5" ht="16" thickBot="1" x14ac:dyDescent="0.25">
      <c r="A22">
        <v>6</v>
      </c>
      <c r="B22" s="6" t="s">
        <v>6</v>
      </c>
      <c r="C22">
        <f t="shared" si="0"/>
        <v>5397.48</v>
      </c>
      <c r="D22">
        <f t="shared" si="1"/>
        <v>14561.25</v>
      </c>
      <c r="E22">
        <f t="shared" si="2"/>
        <v>-9163.77</v>
      </c>
    </row>
    <row r="23" spans="1:5" ht="16" thickBot="1" x14ac:dyDescent="0.25">
      <c r="A23">
        <v>7</v>
      </c>
      <c r="B23" s="6" t="s">
        <v>7</v>
      </c>
      <c r="C23">
        <f t="shared" si="0"/>
        <v>228262.58999999997</v>
      </c>
      <c r="D23">
        <f t="shared" si="1"/>
        <v>165182.06999999998</v>
      </c>
      <c r="E23">
        <f t="shared" si="2"/>
        <v>63080.51999999999</v>
      </c>
    </row>
    <row r="24" spans="1:5" ht="16" thickBot="1" x14ac:dyDescent="0.25">
      <c r="A24">
        <v>8</v>
      </c>
      <c r="B24" s="6" t="s">
        <v>8</v>
      </c>
      <c r="C24">
        <f t="shared" si="0"/>
        <v>146.79</v>
      </c>
      <c r="D24">
        <f t="shared" si="1"/>
        <v>80.52</v>
      </c>
      <c r="E24">
        <f t="shared" si="2"/>
        <v>66.27</v>
      </c>
    </row>
    <row r="25" spans="1:5" ht="16" thickBot="1" x14ac:dyDescent="0.25">
      <c r="A25">
        <v>9</v>
      </c>
      <c r="B25" s="6" t="s">
        <v>9</v>
      </c>
      <c r="C25">
        <f t="shared" si="0"/>
        <v>693.94499999999994</v>
      </c>
      <c r="D25">
        <f t="shared" si="1"/>
        <v>443.7</v>
      </c>
      <c r="E25">
        <f t="shared" si="2"/>
        <v>250.24499999999995</v>
      </c>
    </row>
    <row r="26" spans="1:5" ht="16" thickBot="1" x14ac:dyDescent="0.25">
      <c r="A26">
        <v>10</v>
      </c>
      <c r="B26" s="6" t="s">
        <v>10</v>
      </c>
      <c r="C26">
        <f>AVERAGE(S11:T11)</f>
        <v>1696.365</v>
      </c>
      <c r="D26">
        <f>AVERAGE(C11:E11)</f>
        <v>866.21999999999991</v>
      </c>
      <c r="E26">
        <f t="shared" si="2"/>
        <v>830.1450000000001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4.2121304141142799</v>
      </c>
    </row>
    <row r="32" spans="1:5" x14ac:dyDescent="0.2">
      <c r="B32" s="13" t="s">
        <v>2</v>
      </c>
      <c r="E32" s="14">
        <f t="shared" ref="E32:E40" si="3">(E18/D18)*100</f>
        <v>-6.1092815668602158</v>
      </c>
    </row>
    <row r="33" spans="2:5" x14ac:dyDescent="0.2">
      <c r="B33" s="13" t="s">
        <v>3</v>
      </c>
      <c r="E33" s="14">
        <f t="shared" si="3"/>
        <v>454.296875</v>
      </c>
    </row>
    <row r="34" spans="2:5" x14ac:dyDescent="0.2">
      <c r="B34" s="13" t="s">
        <v>4</v>
      </c>
      <c r="E34" s="14">
        <f t="shared" si="3"/>
        <v>-56.714242721476658</v>
      </c>
    </row>
    <row r="35" spans="2:5" x14ac:dyDescent="0.2">
      <c r="B35" s="13" t="s">
        <v>5</v>
      </c>
      <c r="E35" s="14">
        <f t="shared" si="3"/>
        <v>-59.398578105404084</v>
      </c>
    </row>
    <row r="36" spans="2:5" x14ac:dyDescent="0.2">
      <c r="B36" s="13" t="s">
        <v>6</v>
      </c>
      <c r="E36" s="14">
        <f t="shared" si="3"/>
        <v>-62.93257790368272</v>
      </c>
    </row>
    <row r="37" spans="2:5" x14ac:dyDescent="0.2">
      <c r="B37" s="13" t="s">
        <v>7</v>
      </c>
      <c r="E37" s="14">
        <f t="shared" si="3"/>
        <v>38.188478931157597</v>
      </c>
    </row>
    <row r="38" spans="2:5" x14ac:dyDescent="0.2">
      <c r="B38" s="13" t="s">
        <v>8</v>
      </c>
      <c r="E38" s="14">
        <f t="shared" si="3"/>
        <v>82.302533532041735</v>
      </c>
    </row>
    <row r="39" spans="2:5" x14ac:dyDescent="0.2">
      <c r="B39" s="13" t="s">
        <v>9</v>
      </c>
      <c r="E39" s="14">
        <f t="shared" si="3"/>
        <v>56.399594320486798</v>
      </c>
    </row>
    <row r="40" spans="2:5" x14ac:dyDescent="0.2">
      <c r="B40" s="13" t="s">
        <v>10</v>
      </c>
      <c r="E40" s="14">
        <f t="shared" si="3"/>
        <v>95.835353605319682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0402-195F-254F-823A-195D80D4BB6B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 s="7">
        <v>40799.339999999997</v>
      </c>
      <c r="D2" s="7">
        <v>49532.13</v>
      </c>
      <c r="E2">
        <v>33338.61</v>
      </c>
      <c r="F2" s="7">
        <v>43213.77</v>
      </c>
      <c r="G2">
        <v>32303.25</v>
      </c>
      <c r="H2" s="7">
        <v>41452.379999999997</v>
      </c>
      <c r="I2" s="7">
        <v>37927.440000000002</v>
      </c>
      <c r="J2" s="7">
        <v>33442.65</v>
      </c>
      <c r="K2">
        <v>37289.339999999997</v>
      </c>
      <c r="L2">
        <v>38622.42</v>
      </c>
      <c r="M2">
        <v>37816.74</v>
      </c>
      <c r="N2">
        <v>35185.589999999997</v>
      </c>
      <c r="O2">
        <v>33438.15</v>
      </c>
      <c r="P2">
        <v>37378.979999999996</v>
      </c>
      <c r="Q2" s="7">
        <v>39407.85</v>
      </c>
      <c r="R2">
        <v>42841.979999999996</v>
      </c>
      <c r="S2">
        <v>36694.080000000002</v>
      </c>
      <c r="T2">
        <v>32761.35</v>
      </c>
    </row>
    <row r="3" spans="1:20" ht="16" thickBot="1" x14ac:dyDescent="0.25">
      <c r="A3">
        <v>2</v>
      </c>
      <c r="B3" s="6" t="s">
        <v>2</v>
      </c>
      <c r="C3" s="7">
        <v>3993.93</v>
      </c>
      <c r="D3" s="7">
        <v>47.52</v>
      </c>
      <c r="E3">
        <v>7427.07</v>
      </c>
      <c r="F3" s="7">
        <v>4456.9799999999996</v>
      </c>
      <c r="G3">
        <v>8022.69</v>
      </c>
      <c r="H3" s="7">
        <v>3757.41</v>
      </c>
      <c r="I3" s="7">
        <v>8655.1200000000008</v>
      </c>
      <c r="J3" s="7">
        <v>10003.049999999999</v>
      </c>
      <c r="K3">
        <v>6352.4699999999993</v>
      </c>
      <c r="L3">
        <v>7467.2999999999993</v>
      </c>
      <c r="M3">
        <v>6889.05</v>
      </c>
      <c r="N3">
        <v>7870.32</v>
      </c>
      <c r="O3">
        <v>10610.279999999999</v>
      </c>
      <c r="P3">
        <v>10745.19</v>
      </c>
      <c r="Q3" s="7">
        <v>12076.65</v>
      </c>
      <c r="R3">
        <v>6247.53</v>
      </c>
      <c r="S3">
        <v>5497.65</v>
      </c>
      <c r="T3">
        <v>6419.07</v>
      </c>
    </row>
    <row r="4" spans="1:20" ht="16" thickBot="1" x14ac:dyDescent="0.25">
      <c r="A4">
        <v>3</v>
      </c>
      <c r="B4" s="6" t="s">
        <v>3</v>
      </c>
      <c r="C4" s="7">
        <v>194.31</v>
      </c>
      <c r="D4" s="7">
        <v>710.37</v>
      </c>
      <c r="E4">
        <v>467.46</v>
      </c>
      <c r="F4" s="7">
        <v>806.13</v>
      </c>
      <c r="G4">
        <v>2514.06</v>
      </c>
      <c r="H4" s="7">
        <v>2460.15</v>
      </c>
      <c r="I4" s="7">
        <v>1341.72</v>
      </c>
      <c r="J4" s="7">
        <v>2618.2800000000002</v>
      </c>
      <c r="K4">
        <v>2302.38</v>
      </c>
      <c r="L4">
        <v>800.18999999999994</v>
      </c>
      <c r="M4">
        <v>1906.74</v>
      </c>
      <c r="N4">
        <v>1233.0899999999999</v>
      </c>
      <c r="O4">
        <v>3821.49</v>
      </c>
      <c r="P4">
        <v>1909.98</v>
      </c>
      <c r="Q4" s="7">
        <v>3072.24</v>
      </c>
      <c r="R4">
        <v>2008.4399999999998</v>
      </c>
      <c r="S4">
        <v>490.59</v>
      </c>
      <c r="T4">
        <v>644.76</v>
      </c>
    </row>
    <row r="5" spans="1:20" ht="16" thickBot="1" x14ac:dyDescent="0.25">
      <c r="A5">
        <v>4</v>
      </c>
      <c r="B5" s="6" t="s">
        <v>4</v>
      </c>
      <c r="C5" s="7">
        <v>44466.03</v>
      </c>
      <c r="D5" s="7">
        <v>56947.86</v>
      </c>
      <c r="E5">
        <v>51887.97</v>
      </c>
      <c r="F5" s="7">
        <v>23659.29</v>
      </c>
      <c r="G5">
        <v>56136.689999999995</v>
      </c>
      <c r="H5" s="7">
        <v>34013.97</v>
      </c>
      <c r="I5" s="7">
        <v>45439.83</v>
      </c>
      <c r="J5" s="7">
        <v>15542.28</v>
      </c>
      <c r="K5">
        <v>19699.29</v>
      </c>
      <c r="L5">
        <v>41658.39</v>
      </c>
      <c r="M5">
        <v>32485.59</v>
      </c>
      <c r="N5">
        <v>41659.379999999997</v>
      </c>
      <c r="O5">
        <v>15955.38</v>
      </c>
      <c r="P5">
        <v>29219.94</v>
      </c>
      <c r="Q5" s="7">
        <v>24974.19</v>
      </c>
      <c r="R5">
        <v>21142.98</v>
      </c>
      <c r="S5">
        <v>21704.399999999998</v>
      </c>
      <c r="T5">
        <v>12092.13</v>
      </c>
    </row>
    <row r="6" spans="1:20" ht="16" thickBot="1" x14ac:dyDescent="0.25">
      <c r="A6">
        <v>5</v>
      </c>
      <c r="B6" s="6" t="s">
        <v>5</v>
      </c>
      <c r="C6" s="7">
        <v>53049.599999999999</v>
      </c>
      <c r="D6" s="7">
        <v>63764.55</v>
      </c>
      <c r="E6">
        <v>50553.9</v>
      </c>
      <c r="F6" s="7">
        <v>22897.71</v>
      </c>
      <c r="G6">
        <v>47484.9</v>
      </c>
      <c r="H6" s="7">
        <v>35808.660000000003</v>
      </c>
      <c r="I6" s="7">
        <v>20870.009999999998</v>
      </c>
      <c r="J6" s="7">
        <v>13519.08</v>
      </c>
      <c r="K6">
        <v>12494.43</v>
      </c>
      <c r="L6">
        <v>28138.68</v>
      </c>
      <c r="M6">
        <v>21574.26</v>
      </c>
      <c r="N6">
        <v>17339.399999999998</v>
      </c>
      <c r="O6">
        <v>10370.25</v>
      </c>
      <c r="P6">
        <v>23108.04</v>
      </c>
      <c r="Q6" s="7">
        <v>19414.53</v>
      </c>
      <c r="R6">
        <v>26774.01</v>
      </c>
      <c r="S6">
        <v>14387.039999999999</v>
      </c>
      <c r="T6">
        <v>11997.81</v>
      </c>
    </row>
    <row r="7" spans="1:20" ht="16" thickBot="1" x14ac:dyDescent="0.25">
      <c r="A7">
        <v>6</v>
      </c>
      <c r="B7" s="6" t="s">
        <v>6</v>
      </c>
      <c r="C7" s="7">
        <v>10147.86</v>
      </c>
      <c r="D7" s="7">
        <v>10126.17</v>
      </c>
      <c r="E7">
        <v>12877.199999999999</v>
      </c>
      <c r="F7" s="7">
        <v>15820.11</v>
      </c>
      <c r="G7">
        <v>10413.359999999999</v>
      </c>
      <c r="H7" s="7">
        <v>11669.04</v>
      </c>
      <c r="I7" s="7">
        <v>10445.129999999999</v>
      </c>
      <c r="J7" s="7">
        <v>14829.39</v>
      </c>
      <c r="K7">
        <v>12424.23</v>
      </c>
      <c r="L7">
        <v>9944.82</v>
      </c>
      <c r="M7">
        <v>15654.779999999999</v>
      </c>
      <c r="N7">
        <v>16578.809999999998</v>
      </c>
      <c r="O7">
        <v>14135.939999999999</v>
      </c>
      <c r="P7">
        <v>11858.13</v>
      </c>
      <c r="Q7" s="7">
        <v>17743.41</v>
      </c>
      <c r="R7">
        <v>11886.84</v>
      </c>
      <c r="S7">
        <v>18922.41</v>
      </c>
      <c r="T7">
        <v>16522.559999999998</v>
      </c>
    </row>
    <row r="8" spans="1:20" ht="16" thickBot="1" x14ac:dyDescent="0.25">
      <c r="A8">
        <v>7</v>
      </c>
      <c r="B8" s="6" t="s">
        <v>7</v>
      </c>
      <c r="C8" s="7">
        <v>99379.17</v>
      </c>
      <c r="D8" s="7">
        <v>70492.23</v>
      </c>
      <c r="E8">
        <v>95261.58</v>
      </c>
      <c r="F8" s="7">
        <v>140619.32999999999</v>
      </c>
      <c r="G8">
        <v>94949.64</v>
      </c>
      <c r="H8" s="7">
        <v>122595.57</v>
      </c>
      <c r="I8" s="7">
        <v>127177.83</v>
      </c>
      <c r="J8" s="7">
        <v>161515.35</v>
      </c>
      <c r="K8">
        <v>160868.16</v>
      </c>
      <c r="L8">
        <v>124686.36</v>
      </c>
      <c r="M8">
        <v>133955.1</v>
      </c>
      <c r="N8">
        <v>131684.04</v>
      </c>
      <c r="O8">
        <v>163673.54999999999</v>
      </c>
      <c r="P8">
        <v>137351.34</v>
      </c>
      <c r="Q8" s="7">
        <v>134079.29999999999</v>
      </c>
      <c r="R8">
        <v>139829.13</v>
      </c>
      <c r="S8">
        <v>153777.06</v>
      </c>
      <c r="T8">
        <v>169492.86</v>
      </c>
    </row>
    <row r="9" spans="1:20" ht="16" thickBot="1" x14ac:dyDescent="0.25">
      <c r="A9">
        <v>8</v>
      </c>
      <c r="B9" s="6" t="s">
        <v>8</v>
      </c>
      <c r="C9" s="7">
        <v>1.17</v>
      </c>
      <c r="D9" s="7">
        <v>3.15</v>
      </c>
      <c r="E9">
        <v>64.98</v>
      </c>
      <c r="F9" s="7">
        <v>437.31</v>
      </c>
      <c r="G9">
        <v>90.63</v>
      </c>
      <c r="H9" s="7">
        <v>0.81</v>
      </c>
      <c r="I9" s="7">
        <v>34.65</v>
      </c>
      <c r="J9" s="7">
        <v>0</v>
      </c>
      <c r="K9">
        <v>424.44</v>
      </c>
      <c r="L9">
        <v>342.18</v>
      </c>
      <c r="M9">
        <v>1554.6599999999999</v>
      </c>
      <c r="N9">
        <v>443.52</v>
      </c>
      <c r="O9">
        <v>0</v>
      </c>
      <c r="P9">
        <v>0</v>
      </c>
      <c r="Q9" s="7">
        <v>239.76</v>
      </c>
      <c r="R9">
        <v>30.869999999999997</v>
      </c>
      <c r="S9">
        <v>0</v>
      </c>
      <c r="T9">
        <v>0</v>
      </c>
    </row>
    <row r="10" spans="1:20" ht="16" thickBot="1" x14ac:dyDescent="0.25">
      <c r="A10">
        <v>9</v>
      </c>
      <c r="B10" s="6" t="s">
        <v>9</v>
      </c>
      <c r="C10" s="7">
        <v>72</v>
      </c>
      <c r="D10" s="7">
        <v>65.790000000000006</v>
      </c>
      <c r="E10">
        <v>47.339999999999996</v>
      </c>
      <c r="F10" s="7">
        <v>88.38</v>
      </c>
      <c r="G10">
        <v>114.03</v>
      </c>
      <c r="H10" s="7">
        <v>141.84</v>
      </c>
      <c r="I10" s="7">
        <v>130.05000000000001</v>
      </c>
      <c r="J10" s="7">
        <v>53.28</v>
      </c>
      <c r="K10">
        <v>56.43</v>
      </c>
      <c r="L10">
        <v>208.53</v>
      </c>
      <c r="M10">
        <v>137.34</v>
      </c>
      <c r="N10">
        <v>66.42</v>
      </c>
      <c r="O10">
        <v>64.17</v>
      </c>
      <c r="P10">
        <v>59.94</v>
      </c>
      <c r="Q10" s="7">
        <v>153.09</v>
      </c>
      <c r="R10">
        <v>127.25999999999999</v>
      </c>
      <c r="S10">
        <v>124.38</v>
      </c>
      <c r="T10">
        <v>251.1</v>
      </c>
    </row>
    <row r="11" spans="1:20" ht="16" thickBot="1" x14ac:dyDescent="0.25">
      <c r="A11">
        <v>10</v>
      </c>
      <c r="B11" s="6" t="s">
        <v>10</v>
      </c>
      <c r="C11" s="7">
        <v>62.1</v>
      </c>
      <c r="D11" s="7">
        <v>475.74</v>
      </c>
      <c r="E11">
        <v>239.39999999999998</v>
      </c>
      <c r="F11" s="7">
        <v>166.5</v>
      </c>
      <c r="G11">
        <v>136.26</v>
      </c>
      <c r="H11" s="7">
        <v>265.68</v>
      </c>
      <c r="I11" s="7">
        <v>143.72999999999999</v>
      </c>
      <c r="J11" s="7">
        <v>642.15</v>
      </c>
      <c r="K11">
        <v>254.34</v>
      </c>
      <c r="L11">
        <v>296.64</v>
      </c>
      <c r="M11">
        <v>191.25</v>
      </c>
      <c r="N11">
        <v>104.94</v>
      </c>
      <c r="O11">
        <v>96.3</v>
      </c>
      <c r="P11">
        <v>533.97</v>
      </c>
      <c r="Q11" s="7">
        <v>1004.49</v>
      </c>
      <c r="R11">
        <v>1276.47</v>
      </c>
      <c r="S11">
        <v>567.9</v>
      </c>
      <c r="T11">
        <v>1983.87</v>
      </c>
    </row>
    <row r="12" spans="1:20" x14ac:dyDescent="0.2">
      <c r="C12">
        <f>SUM(C2:C11)</f>
        <v>252165.51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34727.714999999997</v>
      </c>
      <c r="D17">
        <f>AVERAGE(C2:E2)</f>
        <v>41223.360000000001</v>
      </c>
      <c r="E17">
        <f>C17-D17</f>
        <v>-6495.6450000000041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5958.36</v>
      </c>
      <c r="D18">
        <f t="shared" ref="D18:D25" si="1">AVERAGE(C3:E3)</f>
        <v>3822.84</v>
      </c>
      <c r="E18">
        <f t="shared" ref="E18:E26" si="2">C18-D18</f>
        <v>2135.5199999999995</v>
      </c>
    </row>
    <row r="19" spans="1:5" ht="16" thickBot="1" x14ac:dyDescent="0.25">
      <c r="A19">
        <v>3</v>
      </c>
      <c r="B19" s="6" t="s">
        <v>3</v>
      </c>
      <c r="C19">
        <f t="shared" si="0"/>
        <v>567.67499999999995</v>
      </c>
      <c r="D19">
        <f t="shared" si="1"/>
        <v>457.38000000000005</v>
      </c>
      <c r="E19">
        <f t="shared" si="2"/>
        <v>110.2949999999999</v>
      </c>
    </row>
    <row r="20" spans="1:5" ht="16" thickBot="1" x14ac:dyDescent="0.25">
      <c r="A20">
        <v>4</v>
      </c>
      <c r="B20" s="6" t="s">
        <v>4</v>
      </c>
      <c r="C20">
        <f t="shared" si="0"/>
        <v>16898.264999999999</v>
      </c>
      <c r="D20">
        <f t="shared" si="1"/>
        <v>51100.619999999995</v>
      </c>
      <c r="E20">
        <f t="shared" si="2"/>
        <v>-34202.354999999996</v>
      </c>
    </row>
    <row r="21" spans="1:5" ht="16" thickBot="1" x14ac:dyDescent="0.25">
      <c r="A21">
        <v>5</v>
      </c>
      <c r="B21" s="6" t="s">
        <v>5</v>
      </c>
      <c r="C21">
        <f t="shared" si="0"/>
        <v>13192.424999999999</v>
      </c>
      <c r="D21">
        <f t="shared" si="1"/>
        <v>55789.35</v>
      </c>
      <c r="E21">
        <f t="shared" si="2"/>
        <v>-42596.925000000003</v>
      </c>
    </row>
    <row r="22" spans="1:5" ht="16" thickBot="1" x14ac:dyDescent="0.25">
      <c r="A22">
        <v>6</v>
      </c>
      <c r="B22" s="6" t="s">
        <v>6</v>
      </c>
      <c r="C22">
        <f t="shared" si="0"/>
        <v>17722.485000000001</v>
      </c>
      <c r="D22">
        <f t="shared" si="1"/>
        <v>11050.409999999998</v>
      </c>
      <c r="E22">
        <f t="shared" si="2"/>
        <v>6672.0750000000025</v>
      </c>
    </row>
    <row r="23" spans="1:5" ht="16" thickBot="1" x14ac:dyDescent="0.25">
      <c r="A23">
        <v>7</v>
      </c>
      <c r="B23" s="6" t="s">
        <v>7</v>
      </c>
      <c r="C23">
        <f t="shared" si="0"/>
        <v>161634.96</v>
      </c>
      <c r="D23">
        <f t="shared" si="1"/>
        <v>88377.659999999989</v>
      </c>
      <c r="E23">
        <f t="shared" si="2"/>
        <v>73257.3</v>
      </c>
    </row>
    <row r="24" spans="1:5" ht="16" thickBot="1" x14ac:dyDescent="0.25">
      <c r="A24">
        <v>8</v>
      </c>
      <c r="B24" s="6" t="s">
        <v>8</v>
      </c>
      <c r="C24">
        <f t="shared" si="0"/>
        <v>0</v>
      </c>
      <c r="D24">
        <f t="shared" si="1"/>
        <v>23.100000000000005</v>
      </c>
      <c r="E24">
        <f t="shared" si="2"/>
        <v>-23.100000000000005</v>
      </c>
    </row>
    <row r="25" spans="1:5" ht="16" thickBot="1" x14ac:dyDescent="0.25">
      <c r="A25">
        <v>9</v>
      </c>
      <c r="B25" s="6" t="s">
        <v>9</v>
      </c>
      <c r="C25">
        <f t="shared" si="0"/>
        <v>187.74</v>
      </c>
      <c r="D25">
        <f t="shared" si="1"/>
        <v>61.710000000000008</v>
      </c>
      <c r="E25">
        <f t="shared" si="2"/>
        <v>126.03</v>
      </c>
    </row>
    <row r="26" spans="1:5" ht="16" thickBot="1" x14ac:dyDescent="0.25">
      <c r="A26">
        <v>10</v>
      </c>
      <c r="B26" s="6" t="s">
        <v>10</v>
      </c>
      <c r="C26">
        <f>AVERAGE(S11:T11)</f>
        <v>1275.885</v>
      </c>
      <c r="D26">
        <f>AVERAGE(C11:E11)</f>
        <v>259.08</v>
      </c>
      <c r="E26">
        <f t="shared" si="2"/>
        <v>1016.8050000000001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-15.757194464497809</v>
      </c>
    </row>
    <row r="32" spans="1:5" x14ac:dyDescent="0.2">
      <c r="B32" s="13" t="s">
        <v>2</v>
      </c>
      <c r="E32" s="14">
        <f t="shared" ref="E32:E40" si="3">(E18/D18)*100</f>
        <v>55.86213391091438</v>
      </c>
    </row>
    <row r="33" spans="2:5" x14ac:dyDescent="0.2">
      <c r="B33" s="13" t="s">
        <v>3</v>
      </c>
      <c r="E33" s="14">
        <f t="shared" si="3"/>
        <v>24.114521841794545</v>
      </c>
    </row>
    <row r="34" spans="2:5" x14ac:dyDescent="0.2">
      <c r="B34" s="13" t="s">
        <v>4</v>
      </c>
      <c r="E34" s="14">
        <f t="shared" si="3"/>
        <v>-66.931389482162842</v>
      </c>
    </row>
    <row r="35" spans="2:5" x14ac:dyDescent="0.2">
      <c r="B35" s="13" t="s">
        <v>5</v>
      </c>
      <c r="E35" s="14">
        <f t="shared" si="3"/>
        <v>-76.353148047073503</v>
      </c>
    </row>
    <row r="36" spans="2:5" x14ac:dyDescent="0.2">
      <c r="B36" s="13" t="s">
        <v>6</v>
      </c>
      <c r="E36" s="14">
        <f t="shared" si="3"/>
        <v>60.378528941460118</v>
      </c>
    </row>
    <row r="37" spans="2:5" x14ac:dyDescent="0.2">
      <c r="B37" s="13" t="s">
        <v>7</v>
      </c>
      <c r="E37" s="14">
        <f t="shared" si="3"/>
        <v>82.891196711929254</v>
      </c>
    </row>
    <row r="38" spans="2:5" x14ac:dyDescent="0.2">
      <c r="B38" s="13" t="s">
        <v>8</v>
      </c>
      <c r="E38" s="14">
        <f t="shared" si="3"/>
        <v>-100</v>
      </c>
    </row>
    <row r="39" spans="2:5" x14ac:dyDescent="0.2">
      <c r="B39" s="13" t="s">
        <v>9</v>
      </c>
      <c r="E39" s="14">
        <f t="shared" si="3"/>
        <v>204.22946037919297</v>
      </c>
    </row>
    <row r="40" spans="2:5" x14ac:dyDescent="0.2">
      <c r="B40" s="13" t="s">
        <v>10</v>
      </c>
      <c r="E40" s="14">
        <f t="shared" si="3"/>
        <v>392.46757758221406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E395-104B-1641-B2C4-BC4A574C8620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40603.949999999997</v>
      </c>
      <c r="D2">
        <v>33128.549999999996</v>
      </c>
      <c r="E2" s="7">
        <v>31364.37</v>
      </c>
      <c r="F2">
        <v>45270.99</v>
      </c>
      <c r="G2">
        <v>31952.879999999997</v>
      </c>
      <c r="H2" s="7">
        <v>31564.35</v>
      </c>
      <c r="I2" s="7">
        <v>41196.69</v>
      </c>
      <c r="J2">
        <v>32483.34</v>
      </c>
      <c r="K2">
        <v>34921.08</v>
      </c>
      <c r="L2" s="7">
        <v>37659.599999999999</v>
      </c>
      <c r="M2">
        <v>41007.51</v>
      </c>
      <c r="N2">
        <v>42339.51</v>
      </c>
      <c r="O2">
        <v>40006.26</v>
      </c>
      <c r="P2" s="7">
        <v>46377.81</v>
      </c>
      <c r="Q2">
        <v>37654.379999999997</v>
      </c>
      <c r="R2">
        <v>38455.379999999997</v>
      </c>
      <c r="S2" s="7">
        <v>36550.080000000002</v>
      </c>
      <c r="T2">
        <v>47693.88</v>
      </c>
    </row>
    <row r="3" spans="1:20" ht="16" thickBot="1" x14ac:dyDescent="0.25">
      <c r="A3">
        <v>2</v>
      </c>
      <c r="B3" s="6" t="s">
        <v>2</v>
      </c>
      <c r="C3">
        <v>7461.09</v>
      </c>
      <c r="D3">
        <v>9472.59</v>
      </c>
      <c r="E3" s="7">
        <v>9088.02</v>
      </c>
      <c r="F3">
        <v>7216.0199999999995</v>
      </c>
      <c r="G3">
        <v>4907.5199999999995</v>
      </c>
      <c r="H3" s="7">
        <v>5728.14</v>
      </c>
      <c r="I3" s="7">
        <v>6553.35</v>
      </c>
      <c r="J3">
        <v>6045.57</v>
      </c>
      <c r="K3">
        <v>5885.0999999999995</v>
      </c>
      <c r="L3" s="7">
        <v>7355.07</v>
      </c>
      <c r="M3">
        <v>4980.33</v>
      </c>
      <c r="N3">
        <v>4183.1099999999997</v>
      </c>
      <c r="O3">
        <v>10776.33</v>
      </c>
      <c r="P3" s="7">
        <v>5487.12</v>
      </c>
      <c r="Q3">
        <v>2908.62</v>
      </c>
      <c r="R3">
        <v>754.02</v>
      </c>
      <c r="S3" s="7">
        <v>5362.02</v>
      </c>
      <c r="T3">
        <v>1383.3</v>
      </c>
    </row>
    <row r="4" spans="1:20" ht="16" thickBot="1" x14ac:dyDescent="0.25">
      <c r="A4">
        <v>3</v>
      </c>
      <c r="B4" s="6" t="s">
        <v>3</v>
      </c>
      <c r="C4">
        <v>2274.0299999999997</v>
      </c>
      <c r="D4">
        <v>4197.87</v>
      </c>
      <c r="E4" s="7">
        <v>1052.0999999999999</v>
      </c>
      <c r="F4">
        <v>4260.1499999999996</v>
      </c>
      <c r="G4">
        <v>1024.02</v>
      </c>
      <c r="H4" s="7">
        <v>8783.64</v>
      </c>
      <c r="I4" s="7">
        <v>815.58</v>
      </c>
      <c r="J4">
        <v>128.25</v>
      </c>
      <c r="K4">
        <v>115.38</v>
      </c>
      <c r="L4" s="7">
        <v>5097.78</v>
      </c>
      <c r="M4">
        <v>537.56999999999994</v>
      </c>
      <c r="N4">
        <v>565.65</v>
      </c>
      <c r="O4">
        <v>262.44</v>
      </c>
      <c r="P4" s="7">
        <v>3.15</v>
      </c>
      <c r="Q4">
        <v>38.97</v>
      </c>
      <c r="R4">
        <v>258.02999999999997</v>
      </c>
      <c r="S4" s="7">
        <v>197.46</v>
      </c>
      <c r="T4">
        <v>39.33</v>
      </c>
    </row>
    <row r="5" spans="1:20" ht="16" thickBot="1" x14ac:dyDescent="0.25">
      <c r="A5">
        <v>4</v>
      </c>
      <c r="B5" s="6" t="s">
        <v>4</v>
      </c>
      <c r="C5">
        <v>44817.75</v>
      </c>
      <c r="D5">
        <v>49888.799999999996</v>
      </c>
      <c r="E5" s="7">
        <v>49113.72</v>
      </c>
      <c r="F5">
        <v>26212.32</v>
      </c>
      <c r="G5">
        <v>52673.49</v>
      </c>
      <c r="H5" s="7">
        <v>21735.9</v>
      </c>
      <c r="I5" s="7">
        <v>44537.49</v>
      </c>
      <c r="J5">
        <v>25926.21</v>
      </c>
      <c r="K5">
        <v>27743.399999999998</v>
      </c>
      <c r="L5" s="7">
        <v>36741.24</v>
      </c>
      <c r="M5">
        <v>32872.68</v>
      </c>
      <c r="N5">
        <v>45166.32</v>
      </c>
      <c r="O5">
        <v>17663.399999999998</v>
      </c>
      <c r="P5" s="7">
        <v>39859.47</v>
      </c>
      <c r="Q5">
        <v>22221.27</v>
      </c>
      <c r="R5">
        <v>50733.36</v>
      </c>
      <c r="S5" s="7">
        <v>39144.42</v>
      </c>
      <c r="T5">
        <v>42016.229999999996</v>
      </c>
    </row>
    <row r="6" spans="1:20" ht="16" thickBot="1" x14ac:dyDescent="0.25">
      <c r="A6">
        <v>5</v>
      </c>
      <c r="B6" s="6" t="s">
        <v>5</v>
      </c>
      <c r="C6">
        <v>38010.959999999999</v>
      </c>
      <c r="D6">
        <v>44135.82</v>
      </c>
      <c r="E6" s="7">
        <v>56417.67</v>
      </c>
      <c r="F6">
        <v>44208.09</v>
      </c>
      <c r="G6">
        <v>54226.89</v>
      </c>
      <c r="H6" s="7">
        <v>30467.25</v>
      </c>
      <c r="I6" s="7">
        <v>66286.53</v>
      </c>
      <c r="J6">
        <v>31913.279999999999</v>
      </c>
      <c r="K6">
        <v>25380.809999999998</v>
      </c>
      <c r="L6" s="7">
        <v>35555.85</v>
      </c>
      <c r="M6">
        <v>38512.71</v>
      </c>
      <c r="N6">
        <v>38259.99</v>
      </c>
      <c r="O6">
        <v>33363.9</v>
      </c>
      <c r="P6" s="7">
        <v>35241.75</v>
      </c>
      <c r="Q6">
        <v>35920.080000000002</v>
      </c>
      <c r="R6">
        <v>36823.5</v>
      </c>
      <c r="S6" s="7">
        <v>31892.94</v>
      </c>
      <c r="T6">
        <v>30920.219999999998</v>
      </c>
    </row>
    <row r="7" spans="1:20" ht="16" thickBot="1" x14ac:dyDescent="0.25">
      <c r="A7">
        <v>6</v>
      </c>
      <c r="B7" s="6" t="s">
        <v>6</v>
      </c>
      <c r="C7">
        <v>50088.42</v>
      </c>
      <c r="D7">
        <v>42645.689999999995</v>
      </c>
      <c r="E7" s="7">
        <v>40871.160000000003</v>
      </c>
      <c r="F7">
        <v>29060.1</v>
      </c>
      <c r="G7">
        <v>34914.78</v>
      </c>
      <c r="H7" s="7">
        <v>36841.5</v>
      </c>
      <c r="I7" s="7">
        <v>34182.54</v>
      </c>
      <c r="J7">
        <v>39908.07</v>
      </c>
      <c r="K7">
        <v>35124.93</v>
      </c>
      <c r="L7" s="7">
        <v>41004.629999999997</v>
      </c>
      <c r="M7">
        <v>35693.279999999999</v>
      </c>
      <c r="N7">
        <v>22329.360000000001</v>
      </c>
      <c r="O7">
        <v>40661.189999999995</v>
      </c>
      <c r="P7" s="7">
        <v>29126.16</v>
      </c>
      <c r="Q7">
        <v>24706.71</v>
      </c>
      <c r="R7">
        <v>35224.65</v>
      </c>
      <c r="S7" s="7">
        <v>36893.61</v>
      </c>
      <c r="T7">
        <v>31036.14</v>
      </c>
    </row>
    <row r="8" spans="1:20" ht="16" thickBot="1" x14ac:dyDescent="0.25">
      <c r="A8">
        <v>7</v>
      </c>
      <c r="B8" s="6" t="s">
        <v>7</v>
      </c>
      <c r="C8">
        <v>66374.37</v>
      </c>
      <c r="D8">
        <v>69992.099999999991</v>
      </c>
      <c r="E8" s="7">
        <v>65005.2</v>
      </c>
      <c r="F8">
        <v>96859.44</v>
      </c>
      <c r="G8">
        <v>73556.28</v>
      </c>
      <c r="H8" s="7">
        <v>118130.85</v>
      </c>
      <c r="I8" s="7">
        <v>59625</v>
      </c>
      <c r="J8">
        <v>116287.01999999999</v>
      </c>
      <c r="K8">
        <v>121695.84</v>
      </c>
      <c r="L8" s="7">
        <v>88944.03</v>
      </c>
      <c r="M8">
        <v>99688.319999999992</v>
      </c>
      <c r="N8">
        <v>99674.55</v>
      </c>
      <c r="O8">
        <v>109322.81999999999</v>
      </c>
      <c r="P8" s="7">
        <v>96391.08</v>
      </c>
      <c r="Q8">
        <v>128188.34999999999</v>
      </c>
      <c r="R8">
        <v>90601.83</v>
      </c>
      <c r="S8" s="7">
        <v>101366.73</v>
      </c>
      <c r="T8">
        <v>98788.14</v>
      </c>
    </row>
    <row r="9" spans="1:20" ht="16" thickBot="1" x14ac:dyDescent="0.25">
      <c r="A9">
        <v>8</v>
      </c>
      <c r="B9" s="6" t="s">
        <v>8</v>
      </c>
      <c r="C9">
        <v>60.66</v>
      </c>
      <c r="D9">
        <v>67.5</v>
      </c>
      <c r="E9" s="7">
        <v>270.18</v>
      </c>
      <c r="F9">
        <v>276.48</v>
      </c>
      <c r="G9">
        <v>153.26999999999998</v>
      </c>
      <c r="H9" s="7">
        <v>50.13</v>
      </c>
      <c r="I9" s="7">
        <v>68.13</v>
      </c>
      <c r="J9">
        <v>2.16</v>
      </c>
      <c r="K9">
        <v>1103.22</v>
      </c>
      <c r="L9" s="7">
        <v>211.14</v>
      </c>
      <c r="M9">
        <v>0.09</v>
      </c>
      <c r="N9">
        <v>279.36</v>
      </c>
      <c r="O9">
        <v>0</v>
      </c>
      <c r="P9" s="7">
        <v>1.17</v>
      </c>
      <c r="Q9">
        <v>1.98</v>
      </c>
      <c r="R9">
        <v>1.6199999999999999</v>
      </c>
      <c r="S9" s="7">
        <v>58.5</v>
      </c>
      <c r="T9">
        <v>0</v>
      </c>
    </row>
    <row r="10" spans="1:20" ht="16" thickBot="1" x14ac:dyDescent="0.25">
      <c r="A10">
        <v>9</v>
      </c>
      <c r="B10" s="6" t="s">
        <v>9</v>
      </c>
      <c r="C10">
        <v>564.75</v>
      </c>
      <c r="D10">
        <v>463.85999999999996</v>
      </c>
      <c r="E10" s="7">
        <v>762.21</v>
      </c>
      <c r="F10">
        <v>379.89</v>
      </c>
      <c r="G10">
        <v>421.38</v>
      </c>
      <c r="H10" s="7">
        <v>379.17</v>
      </c>
      <c r="I10" s="7">
        <v>391.23</v>
      </c>
      <c r="J10">
        <v>940.94999999999993</v>
      </c>
      <c r="K10">
        <v>326.78999999999996</v>
      </c>
      <c r="L10" s="7">
        <v>412.65</v>
      </c>
      <c r="M10">
        <v>532.07999999999993</v>
      </c>
      <c r="N10">
        <v>361.97999999999996</v>
      </c>
      <c r="O10">
        <v>246.32999999999998</v>
      </c>
      <c r="P10" s="7">
        <v>405.36</v>
      </c>
      <c r="Q10">
        <v>370.53</v>
      </c>
      <c r="R10">
        <v>375.93</v>
      </c>
      <c r="S10" s="7">
        <v>199.53</v>
      </c>
      <c r="T10">
        <v>497.07</v>
      </c>
    </row>
    <row r="11" spans="1:20" ht="16" thickBot="1" x14ac:dyDescent="0.25">
      <c r="A11">
        <v>10</v>
      </c>
      <c r="B11" s="6" t="s">
        <v>10</v>
      </c>
      <c r="C11">
        <v>4214.6099999999997</v>
      </c>
      <c r="D11">
        <v>477.81</v>
      </c>
      <c r="E11" s="7">
        <v>525.96</v>
      </c>
      <c r="F11">
        <v>727.11</v>
      </c>
      <c r="G11">
        <v>640.07999999999993</v>
      </c>
      <c r="H11" s="7">
        <v>789.66</v>
      </c>
      <c r="I11" s="7">
        <v>814.05</v>
      </c>
      <c r="J11">
        <v>835.74</v>
      </c>
      <c r="K11">
        <v>2174.04</v>
      </c>
      <c r="L11" s="7">
        <v>1488.6</v>
      </c>
      <c r="M11">
        <v>646.02</v>
      </c>
      <c r="N11">
        <v>1310.76</v>
      </c>
      <c r="O11">
        <v>2167.92</v>
      </c>
      <c r="P11" s="7">
        <v>1577.52</v>
      </c>
      <c r="Q11">
        <v>2459.6999999999998</v>
      </c>
      <c r="R11">
        <v>1242.27</v>
      </c>
      <c r="S11" s="7">
        <v>2805.3</v>
      </c>
      <c r="T11">
        <v>2096.2799999999997</v>
      </c>
    </row>
    <row r="12" spans="1:20" x14ac:dyDescent="0.2">
      <c r="C12">
        <f>SUM(C2:C11)</f>
        <v>254470.59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42121.979999999996</v>
      </c>
      <c r="D17">
        <f>AVERAGE(C2:E2)</f>
        <v>35032.29</v>
      </c>
      <c r="E17">
        <f>C17-D17</f>
        <v>7089.6899999999951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3372.6600000000003</v>
      </c>
      <c r="D18">
        <f t="shared" ref="D18:D25" si="1">AVERAGE(C3:E3)</f>
        <v>8673.9</v>
      </c>
      <c r="E18">
        <f t="shared" ref="E18:E26" si="2">C18-D18</f>
        <v>-5301.24</v>
      </c>
    </row>
    <row r="19" spans="1:5" ht="16" thickBot="1" x14ac:dyDescent="0.25">
      <c r="A19">
        <v>3</v>
      </c>
      <c r="B19" s="6" t="s">
        <v>3</v>
      </c>
      <c r="C19">
        <f t="shared" si="0"/>
        <v>118.39500000000001</v>
      </c>
      <c r="D19">
        <f t="shared" si="1"/>
        <v>2508</v>
      </c>
      <c r="E19">
        <f t="shared" si="2"/>
        <v>-2389.605</v>
      </c>
    </row>
    <row r="20" spans="1:5" ht="16" thickBot="1" x14ac:dyDescent="0.25">
      <c r="A20">
        <v>4</v>
      </c>
      <c r="B20" s="6" t="s">
        <v>4</v>
      </c>
      <c r="C20">
        <f t="shared" si="0"/>
        <v>40580.324999999997</v>
      </c>
      <c r="D20">
        <f t="shared" si="1"/>
        <v>47940.09</v>
      </c>
      <c r="E20">
        <f t="shared" si="2"/>
        <v>-7359.7649999999994</v>
      </c>
    </row>
    <row r="21" spans="1:5" ht="16" thickBot="1" x14ac:dyDescent="0.25">
      <c r="A21">
        <v>5</v>
      </c>
      <c r="B21" s="6" t="s">
        <v>5</v>
      </c>
      <c r="C21">
        <f t="shared" si="0"/>
        <v>31406.579999999998</v>
      </c>
      <c r="D21">
        <f t="shared" si="1"/>
        <v>46188.15</v>
      </c>
      <c r="E21">
        <f t="shared" si="2"/>
        <v>-14781.570000000003</v>
      </c>
    </row>
    <row r="22" spans="1:5" ht="16" thickBot="1" x14ac:dyDescent="0.25">
      <c r="A22">
        <v>6</v>
      </c>
      <c r="B22" s="6" t="s">
        <v>6</v>
      </c>
      <c r="C22">
        <f t="shared" si="0"/>
        <v>33964.875</v>
      </c>
      <c r="D22">
        <f t="shared" si="1"/>
        <v>44535.09</v>
      </c>
      <c r="E22">
        <f t="shared" si="2"/>
        <v>-10570.214999999997</v>
      </c>
    </row>
    <row r="23" spans="1:5" ht="16" thickBot="1" x14ac:dyDescent="0.25">
      <c r="A23">
        <v>7</v>
      </c>
      <c r="B23" s="6" t="s">
        <v>7</v>
      </c>
      <c r="C23">
        <f t="shared" si="0"/>
        <v>100077.435</v>
      </c>
      <c r="D23">
        <f t="shared" si="1"/>
        <v>67123.89</v>
      </c>
      <c r="E23">
        <f t="shared" si="2"/>
        <v>32953.544999999998</v>
      </c>
    </row>
    <row r="24" spans="1:5" ht="16" thickBot="1" x14ac:dyDescent="0.25">
      <c r="A24">
        <v>8</v>
      </c>
      <c r="B24" s="6" t="s">
        <v>8</v>
      </c>
      <c r="C24">
        <f t="shared" si="0"/>
        <v>29.25</v>
      </c>
      <c r="D24">
        <f t="shared" si="1"/>
        <v>132.78</v>
      </c>
      <c r="E24">
        <f t="shared" si="2"/>
        <v>-103.53</v>
      </c>
    </row>
    <row r="25" spans="1:5" ht="16" thickBot="1" x14ac:dyDescent="0.25">
      <c r="A25">
        <v>9</v>
      </c>
      <c r="B25" s="6" t="s">
        <v>9</v>
      </c>
      <c r="C25">
        <f t="shared" si="0"/>
        <v>348.3</v>
      </c>
      <c r="D25">
        <f t="shared" si="1"/>
        <v>596.93999999999994</v>
      </c>
      <c r="E25">
        <f t="shared" si="2"/>
        <v>-248.63999999999993</v>
      </c>
    </row>
    <row r="26" spans="1:5" ht="16" thickBot="1" x14ac:dyDescent="0.25">
      <c r="A26">
        <v>10</v>
      </c>
      <c r="B26" s="6" t="s">
        <v>10</v>
      </c>
      <c r="C26">
        <f>AVERAGE(S11:T11)</f>
        <v>2450.79</v>
      </c>
      <c r="D26">
        <f>AVERAGE(C11:E11)</f>
        <v>1739.46</v>
      </c>
      <c r="E26">
        <f t="shared" si="2"/>
        <v>711.32999999999993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20.23758652374708</v>
      </c>
    </row>
    <row r="32" spans="1:5" x14ac:dyDescent="0.2">
      <c r="B32" s="13" t="s">
        <v>2</v>
      </c>
      <c r="E32" s="14">
        <f t="shared" ref="E32:E40" si="3">(E18/D18)*100</f>
        <v>-61.117144537059453</v>
      </c>
    </row>
    <row r="33" spans="2:5" x14ac:dyDescent="0.2">
      <c r="B33" s="13" t="s">
        <v>3</v>
      </c>
      <c r="E33" s="14">
        <f t="shared" si="3"/>
        <v>-95.279306220095691</v>
      </c>
    </row>
    <row r="34" spans="2:5" x14ac:dyDescent="0.2">
      <c r="B34" s="13" t="s">
        <v>4</v>
      </c>
      <c r="E34" s="14">
        <f t="shared" si="3"/>
        <v>-15.352004971204686</v>
      </c>
    </row>
    <row r="35" spans="2:5" x14ac:dyDescent="0.2">
      <c r="B35" s="13" t="s">
        <v>5</v>
      </c>
      <c r="E35" s="14">
        <f t="shared" si="3"/>
        <v>-32.002948808298235</v>
      </c>
    </row>
    <row r="36" spans="2:5" x14ac:dyDescent="0.2">
      <c r="B36" s="13" t="s">
        <v>6</v>
      </c>
      <c r="E36" s="14">
        <f t="shared" si="3"/>
        <v>-23.734576487888535</v>
      </c>
    </row>
    <row r="37" spans="2:5" x14ac:dyDescent="0.2">
      <c r="B37" s="13" t="s">
        <v>7</v>
      </c>
      <c r="E37" s="14">
        <f t="shared" si="3"/>
        <v>49.093616296671719</v>
      </c>
    </row>
    <row r="38" spans="2:5" x14ac:dyDescent="0.2">
      <c r="B38" s="13" t="s">
        <v>8</v>
      </c>
      <c r="E38" s="14">
        <f t="shared" si="3"/>
        <v>-77.971079981924987</v>
      </c>
    </row>
    <row r="39" spans="2:5" x14ac:dyDescent="0.2">
      <c r="B39" s="13" t="s">
        <v>9</v>
      </c>
      <c r="E39" s="14">
        <f t="shared" si="3"/>
        <v>-41.652427379636137</v>
      </c>
    </row>
    <row r="40" spans="2:5" x14ac:dyDescent="0.2">
      <c r="B40" s="13" t="s">
        <v>10</v>
      </c>
      <c r="E40" s="14">
        <f t="shared" si="3"/>
        <v>40.893725638991405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CAEE-A5EC-BE4D-B235-999D41FAC464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 s="7">
        <v>63871.47</v>
      </c>
      <c r="D2" s="7">
        <v>82499.039999999994</v>
      </c>
      <c r="E2">
        <v>20384.009999999998</v>
      </c>
      <c r="F2" s="7">
        <v>31488.3</v>
      </c>
      <c r="G2">
        <v>35066.339999999997</v>
      </c>
      <c r="H2">
        <v>49560.03</v>
      </c>
      <c r="I2">
        <v>31776.66</v>
      </c>
      <c r="J2">
        <v>39952.71</v>
      </c>
      <c r="K2">
        <v>29820.51</v>
      </c>
      <c r="L2">
        <v>50673.06</v>
      </c>
      <c r="M2">
        <v>32454.629999999997</v>
      </c>
      <c r="N2">
        <v>27911.61</v>
      </c>
      <c r="O2">
        <v>43812.09</v>
      </c>
      <c r="P2" s="7">
        <v>42070.5</v>
      </c>
      <c r="Q2">
        <v>48086.64</v>
      </c>
      <c r="R2" s="7">
        <v>55323.81</v>
      </c>
      <c r="S2">
        <v>41842.35</v>
      </c>
      <c r="T2">
        <v>57152.7</v>
      </c>
    </row>
    <row r="3" spans="1:20" ht="16" thickBot="1" x14ac:dyDescent="0.25">
      <c r="A3">
        <v>2</v>
      </c>
      <c r="B3" s="6" t="s">
        <v>2</v>
      </c>
      <c r="C3" s="7">
        <v>110491.2</v>
      </c>
      <c r="D3" s="7">
        <v>139322.88</v>
      </c>
      <c r="E3">
        <v>156443.66999999998</v>
      </c>
      <c r="F3" s="7">
        <v>128689.47</v>
      </c>
      <c r="G3">
        <v>106353.72</v>
      </c>
      <c r="H3">
        <v>56667.06</v>
      </c>
      <c r="I3">
        <v>127825.73999999999</v>
      </c>
      <c r="J3">
        <v>73602.36</v>
      </c>
      <c r="K3">
        <v>115958.87999999999</v>
      </c>
      <c r="L3">
        <v>82414.259999999995</v>
      </c>
      <c r="M3">
        <v>167549.4</v>
      </c>
      <c r="N3">
        <v>177432.57</v>
      </c>
      <c r="O3">
        <v>112881.59999999999</v>
      </c>
      <c r="P3" s="7">
        <v>87405.21</v>
      </c>
      <c r="Q3">
        <v>87456.06</v>
      </c>
      <c r="R3" s="7">
        <v>66296.97</v>
      </c>
      <c r="S3">
        <v>85755.78</v>
      </c>
      <c r="T3">
        <v>92149.11</v>
      </c>
    </row>
    <row r="4" spans="1:20" ht="16" thickBot="1" x14ac:dyDescent="0.25">
      <c r="A4">
        <v>3</v>
      </c>
      <c r="B4" s="6" t="s">
        <v>3</v>
      </c>
      <c r="C4" s="7">
        <v>10739.79</v>
      </c>
      <c r="D4" s="7">
        <v>6542.73</v>
      </c>
      <c r="E4">
        <v>18464.669999999998</v>
      </c>
      <c r="F4" s="7">
        <v>17063.64</v>
      </c>
      <c r="G4">
        <v>15149.699999999999</v>
      </c>
      <c r="H4">
        <v>67248.539999999994</v>
      </c>
      <c r="I4">
        <v>21313.98</v>
      </c>
      <c r="J4">
        <v>71532.62999999999</v>
      </c>
      <c r="K4">
        <v>34466.129999999997</v>
      </c>
      <c r="L4">
        <v>48656.79</v>
      </c>
      <c r="M4">
        <v>12859.83</v>
      </c>
      <c r="N4">
        <v>9422.2799999999988</v>
      </c>
      <c r="O4">
        <v>35270.19</v>
      </c>
      <c r="P4" s="7">
        <v>1708.56</v>
      </c>
      <c r="Q4">
        <v>11994.57</v>
      </c>
      <c r="R4" s="7">
        <v>5020.47</v>
      </c>
      <c r="S4">
        <v>17361.54</v>
      </c>
      <c r="T4">
        <v>23267.79</v>
      </c>
    </row>
    <row r="5" spans="1:20" ht="16" thickBot="1" x14ac:dyDescent="0.25">
      <c r="A5">
        <v>4</v>
      </c>
      <c r="B5" s="6" t="s">
        <v>4</v>
      </c>
      <c r="C5" s="7">
        <v>1018559.25</v>
      </c>
      <c r="D5" s="7">
        <v>975327.93</v>
      </c>
      <c r="E5">
        <v>921999.96</v>
      </c>
      <c r="F5" s="7">
        <v>1022214.87</v>
      </c>
      <c r="G5">
        <v>1015464.87</v>
      </c>
      <c r="H5">
        <v>999525.69</v>
      </c>
      <c r="I5">
        <v>1025606.61</v>
      </c>
      <c r="J5">
        <v>963420.75</v>
      </c>
      <c r="K5">
        <v>982070.73</v>
      </c>
      <c r="L5">
        <v>955816.83</v>
      </c>
      <c r="M5">
        <v>961836.02999999991</v>
      </c>
      <c r="N5">
        <v>961583.76</v>
      </c>
      <c r="O5">
        <v>742986.9</v>
      </c>
      <c r="P5" s="7">
        <v>1022736.06</v>
      </c>
      <c r="Q5">
        <v>1012435.47</v>
      </c>
      <c r="R5" s="7">
        <v>1016679.15</v>
      </c>
      <c r="S5">
        <v>950631.39</v>
      </c>
      <c r="T5">
        <v>920866.40999999992</v>
      </c>
    </row>
    <row r="6" spans="1:20" ht="16" thickBot="1" x14ac:dyDescent="0.25">
      <c r="A6">
        <v>5</v>
      </c>
      <c r="B6" s="6" t="s">
        <v>5</v>
      </c>
      <c r="C6" s="7">
        <v>16471.8</v>
      </c>
      <c r="D6" s="7">
        <v>8852.2199999999993</v>
      </c>
      <c r="E6">
        <v>101580.84</v>
      </c>
      <c r="F6" s="7">
        <v>10795.05</v>
      </c>
      <c r="G6">
        <v>53777.34</v>
      </c>
      <c r="H6">
        <v>20521.89</v>
      </c>
      <c r="I6">
        <v>9778.41</v>
      </c>
      <c r="J6">
        <v>31554.539999999997</v>
      </c>
      <c r="K6">
        <v>28691.91</v>
      </c>
      <c r="L6">
        <v>59149.079999999994</v>
      </c>
      <c r="M6">
        <v>20852.73</v>
      </c>
      <c r="N6">
        <v>20144.25</v>
      </c>
      <c r="O6">
        <v>203190.47999999998</v>
      </c>
      <c r="P6" s="7">
        <v>26355.33</v>
      </c>
      <c r="Q6">
        <v>32064.48</v>
      </c>
      <c r="R6" s="7">
        <v>24098.13</v>
      </c>
      <c r="S6">
        <v>55362.6</v>
      </c>
      <c r="T6">
        <v>28091.25</v>
      </c>
    </row>
    <row r="7" spans="1:20" ht="16" thickBot="1" x14ac:dyDescent="0.25">
      <c r="A7">
        <v>6</v>
      </c>
      <c r="B7" s="6" t="s">
        <v>6</v>
      </c>
      <c r="C7" s="7">
        <v>4106.34</v>
      </c>
      <c r="D7" s="7">
        <v>4710.6000000000004</v>
      </c>
      <c r="E7">
        <v>3074.7599999999998</v>
      </c>
      <c r="F7" s="7">
        <v>9994.59</v>
      </c>
      <c r="G7">
        <v>4272.3</v>
      </c>
      <c r="H7">
        <v>1220.1299999999999</v>
      </c>
      <c r="I7">
        <v>4859.0999999999995</v>
      </c>
      <c r="J7">
        <v>2518.4699999999998</v>
      </c>
      <c r="K7">
        <v>5013.3599999999997</v>
      </c>
      <c r="L7">
        <v>8171.37</v>
      </c>
      <c r="M7">
        <v>5341.7699999999995</v>
      </c>
      <c r="N7">
        <v>4357.3499999999995</v>
      </c>
      <c r="O7">
        <v>6285.69</v>
      </c>
      <c r="P7" s="7">
        <v>6619.95</v>
      </c>
      <c r="Q7">
        <v>5764.1399999999994</v>
      </c>
      <c r="R7" s="7">
        <v>7101.9</v>
      </c>
      <c r="S7">
        <v>3730.8599999999997</v>
      </c>
      <c r="T7">
        <v>8091</v>
      </c>
    </row>
    <row r="8" spans="1:20" ht="16" thickBot="1" x14ac:dyDescent="0.25">
      <c r="A8">
        <v>7</v>
      </c>
      <c r="B8" s="6" t="s">
        <v>7</v>
      </c>
      <c r="C8" s="7">
        <v>18795.78</v>
      </c>
      <c r="D8" s="7">
        <v>28213.11</v>
      </c>
      <c r="E8">
        <v>19180.62</v>
      </c>
      <c r="F8" s="7">
        <v>22317.03</v>
      </c>
      <c r="G8">
        <v>13683.06</v>
      </c>
      <c r="H8">
        <v>36231.21</v>
      </c>
      <c r="I8">
        <v>16865.009999999998</v>
      </c>
      <c r="J8">
        <v>37307.61</v>
      </c>
      <c r="K8">
        <v>43749.99</v>
      </c>
      <c r="L8">
        <v>34221.15</v>
      </c>
      <c r="M8">
        <v>36724.949999999997</v>
      </c>
      <c r="N8">
        <v>36418.049999999996</v>
      </c>
      <c r="O8">
        <v>95198.22</v>
      </c>
      <c r="P8" s="7">
        <v>54830.879999999997</v>
      </c>
      <c r="Q8">
        <v>42247.979999999996</v>
      </c>
      <c r="R8" s="7">
        <v>65909.429999999993</v>
      </c>
      <c r="S8">
        <v>76920.66</v>
      </c>
      <c r="T8">
        <v>106274.61</v>
      </c>
    </row>
    <row r="9" spans="1:20" ht="16" thickBot="1" x14ac:dyDescent="0.25">
      <c r="A9">
        <v>8</v>
      </c>
      <c r="B9" s="6" t="s">
        <v>8</v>
      </c>
      <c r="C9" s="7">
        <v>27.99</v>
      </c>
      <c r="D9" s="7">
        <v>14.58</v>
      </c>
      <c r="E9">
        <v>115.11</v>
      </c>
      <c r="F9" s="7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7">
        <v>0</v>
      </c>
      <c r="Q9">
        <v>0</v>
      </c>
      <c r="R9" s="7">
        <v>110.25</v>
      </c>
      <c r="S9">
        <v>25.919999999999998</v>
      </c>
      <c r="T9">
        <v>2614.86</v>
      </c>
    </row>
    <row r="10" spans="1:20" ht="16" thickBot="1" x14ac:dyDescent="0.25">
      <c r="A10">
        <v>9</v>
      </c>
      <c r="B10" s="6" t="s">
        <v>9</v>
      </c>
      <c r="C10" s="7">
        <v>3855.06</v>
      </c>
      <c r="D10" s="7">
        <v>3387.87</v>
      </c>
      <c r="E10">
        <v>4101.21</v>
      </c>
      <c r="F10" s="7">
        <v>3163.41</v>
      </c>
      <c r="G10">
        <v>3304.7999999999997</v>
      </c>
      <c r="H10">
        <v>2819.88</v>
      </c>
      <c r="I10">
        <v>3615.66</v>
      </c>
      <c r="J10">
        <v>2787.48</v>
      </c>
      <c r="K10">
        <v>3388.5</v>
      </c>
      <c r="L10">
        <v>3459.06</v>
      </c>
      <c r="M10">
        <v>3833.46</v>
      </c>
      <c r="N10">
        <v>4385.5199999999995</v>
      </c>
      <c r="O10">
        <v>3925.08</v>
      </c>
      <c r="P10" s="7">
        <v>4092.75</v>
      </c>
      <c r="Q10">
        <v>3819.69</v>
      </c>
      <c r="R10" s="7">
        <v>3776.76</v>
      </c>
      <c r="S10">
        <v>5281.47</v>
      </c>
      <c r="T10">
        <v>4298.22</v>
      </c>
    </row>
    <row r="11" spans="1:20" ht="16" thickBot="1" x14ac:dyDescent="0.25">
      <c r="A11">
        <v>10</v>
      </c>
      <c r="B11" s="6" t="s">
        <v>10</v>
      </c>
      <c r="C11" s="7">
        <v>3701.79</v>
      </c>
      <c r="D11" s="7">
        <v>1749.51</v>
      </c>
      <c r="E11">
        <v>5275.62</v>
      </c>
      <c r="F11" s="7">
        <v>4894.1099999999997</v>
      </c>
      <c r="G11">
        <v>3548.3399999999997</v>
      </c>
      <c r="H11">
        <v>16826.04</v>
      </c>
      <c r="I11">
        <v>8979.2999999999993</v>
      </c>
      <c r="J11">
        <v>27943.919999999998</v>
      </c>
      <c r="K11">
        <v>7460.46</v>
      </c>
      <c r="L11">
        <v>8058.87</v>
      </c>
      <c r="M11">
        <v>9167.67</v>
      </c>
      <c r="N11">
        <v>8965.08</v>
      </c>
      <c r="O11">
        <v>7070.2199999999993</v>
      </c>
      <c r="P11" s="7">
        <v>4801.2299999999996</v>
      </c>
      <c r="Q11">
        <v>6751.44</v>
      </c>
      <c r="R11" s="7">
        <v>6303.6</v>
      </c>
      <c r="S11">
        <v>13707.9</v>
      </c>
      <c r="T11">
        <v>7814.5199999999995</v>
      </c>
    </row>
    <row r="12" spans="1:20" x14ac:dyDescent="0.2">
      <c r="C12">
        <f>SUM(C2:C11)</f>
        <v>1250620.4700000002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49497.524999999994</v>
      </c>
      <c r="D17">
        <f>AVERAGE(C2:E2)</f>
        <v>55584.840000000004</v>
      </c>
      <c r="E17">
        <f>C17-D17</f>
        <v>-6087.3150000000096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88952.445000000007</v>
      </c>
      <c r="D18">
        <f t="shared" ref="D18:D25" si="1">AVERAGE(C3:E3)</f>
        <v>135419.25</v>
      </c>
      <c r="E18">
        <f t="shared" ref="E18:E26" si="2">C18-D18</f>
        <v>-46466.804999999993</v>
      </c>
    </row>
    <row r="19" spans="1:5" ht="16" thickBot="1" x14ac:dyDescent="0.25">
      <c r="A19">
        <v>3</v>
      </c>
      <c r="B19" s="6" t="s">
        <v>3</v>
      </c>
      <c r="C19">
        <f t="shared" si="0"/>
        <v>20314.665000000001</v>
      </c>
      <c r="D19">
        <f t="shared" si="1"/>
        <v>11915.730000000001</v>
      </c>
      <c r="E19">
        <f t="shared" si="2"/>
        <v>8398.9349999999995</v>
      </c>
    </row>
    <row r="20" spans="1:5" ht="16" thickBot="1" x14ac:dyDescent="0.25">
      <c r="A20">
        <v>4</v>
      </c>
      <c r="B20" s="6" t="s">
        <v>4</v>
      </c>
      <c r="C20">
        <f t="shared" si="0"/>
        <v>935748.89999999991</v>
      </c>
      <c r="D20">
        <f t="shared" si="1"/>
        <v>971962.38</v>
      </c>
      <c r="E20">
        <f t="shared" si="2"/>
        <v>-36213.480000000098</v>
      </c>
    </row>
    <row r="21" spans="1:5" ht="16" thickBot="1" x14ac:dyDescent="0.25">
      <c r="A21">
        <v>5</v>
      </c>
      <c r="B21" s="6" t="s">
        <v>5</v>
      </c>
      <c r="C21">
        <f t="shared" si="0"/>
        <v>41726.925000000003</v>
      </c>
      <c r="D21">
        <f t="shared" si="1"/>
        <v>42301.619999999995</v>
      </c>
      <c r="E21">
        <f t="shared" si="2"/>
        <v>-574.69499999999243</v>
      </c>
    </row>
    <row r="22" spans="1:5" ht="16" thickBot="1" x14ac:dyDescent="0.25">
      <c r="A22">
        <v>6</v>
      </c>
      <c r="B22" s="6" t="s">
        <v>6</v>
      </c>
      <c r="C22">
        <f t="shared" si="0"/>
        <v>5910.93</v>
      </c>
      <c r="D22">
        <f t="shared" si="1"/>
        <v>3963.9</v>
      </c>
      <c r="E22">
        <f t="shared" si="2"/>
        <v>1947.0300000000002</v>
      </c>
    </row>
    <row r="23" spans="1:5" ht="16" thickBot="1" x14ac:dyDescent="0.25">
      <c r="A23">
        <v>7</v>
      </c>
      <c r="B23" s="6" t="s">
        <v>7</v>
      </c>
      <c r="C23">
        <f t="shared" si="0"/>
        <v>91597.635000000009</v>
      </c>
      <c r="D23">
        <f t="shared" si="1"/>
        <v>22063.17</v>
      </c>
      <c r="E23">
        <f t="shared" si="2"/>
        <v>69534.465000000011</v>
      </c>
    </row>
    <row r="24" spans="1:5" ht="16" thickBot="1" x14ac:dyDescent="0.25">
      <c r="A24">
        <v>8</v>
      </c>
      <c r="B24" s="6" t="s">
        <v>8</v>
      </c>
      <c r="C24">
        <f t="shared" si="0"/>
        <v>1320.39</v>
      </c>
      <c r="D24">
        <f t="shared" si="1"/>
        <v>52.56</v>
      </c>
      <c r="E24">
        <f t="shared" si="2"/>
        <v>1267.8300000000002</v>
      </c>
    </row>
    <row r="25" spans="1:5" ht="16" thickBot="1" x14ac:dyDescent="0.25">
      <c r="A25">
        <v>9</v>
      </c>
      <c r="B25" s="6" t="s">
        <v>9</v>
      </c>
      <c r="C25">
        <f t="shared" si="0"/>
        <v>4789.8450000000003</v>
      </c>
      <c r="D25">
        <f t="shared" si="1"/>
        <v>3781.3799999999997</v>
      </c>
      <c r="E25">
        <f t="shared" si="2"/>
        <v>1008.4650000000006</v>
      </c>
    </row>
    <row r="26" spans="1:5" ht="16" thickBot="1" x14ac:dyDescent="0.25">
      <c r="A26">
        <v>10</v>
      </c>
      <c r="B26" s="6" t="s">
        <v>10</v>
      </c>
      <c r="C26">
        <f>AVERAGE(S11:T11)</f>
        <v>10761.21</v>
      </c>
      <c r="D26">
        <f>AVERAGE(C11:E11)</f>
        <v>3575.64</v>
      </c>
      <c r="E26">
        <f t="shared" si="2"/>
        <v>7185.57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-10.951394301036055</v>
      </c>
    </row>
    <row r="32" spans="1:5" x14ac:dyDescent="0.2">
      <c r="B32" s="13" t="s">
        <v>2</v>
      </c>
      <c r="E32" s="14">
        <f t="shared" ref="E32:E40" si="3">(E18/D18)*100</f>
        <v>-34.313293715627573</v>
      </c>
    </row>
    <row r="33" spans="2:5" x14ac:dyDescent="0.2">
      <c r="B33" s="13" t="s">
        <v>3</v>
      </c>
      <c r="E33" s="14">
        <f t="shared" si="3"/>
        <v>70.48611373369485</v>
      </c>
    </row>
    <row r="34" spans="2:5" x14ac:dyDescent="0.2">
      <c r="B34" s="13" t="s">
        <v>4</v>
      </c>
      <c r="E34" s="14">
        <f t="shared" si="3"/>
        <v>-3.7258108693466201</v>
      </c>
    </row>
    <row r="35" spans="2:5" x14ac:dyDescent="0.2">
      <c r="B35" s="13" t="s">
        <v>5</v>
      </c>
      <c r="E35" s="14">
        <f t="shared" si="3"/>
        <v>-1.3585649911279816</v>
      </c>
    </row>
    <row r="36" spans="2:5" x14ac:dyDescent="0.2">
      <c r="B36" s="13" t="s">
        <v>6</v>
      </c>
      <c r="E36" s="14">
        <f t="shared" si="3"/>
        <v>49.119049421024755</v>
      </c>
    </row>
    <row r="37" spans="2:5" x14ac:dyDescent="0.2">
      <c r="B37" s="13" t="s">
        <v>7</v>
      </c>
      <c r="E37" s="14">
        <f t="shared" si="3"/>
        <v>315.160808714251</v>
      </c>
    </row>
    <row r="38" spans="2:5" x14ac:dyDescent="0.2">
      <c r="B38" s="13" t="s">
        <v>8</v>
      </c>
      <c r="E38" s="14">
        <f t="shared" si="3"/>
        <v>2412.1575342465758</v>
      </c>
    </row>
    <row r="39" spans="2:5" x14ac:dyDescent="0.2">
      <c r="B39" s="13" t="s">
        <v>9</v>
      </c>
      <c r="E39" s="14">
        <f t="shared" si="3"/>
        <v>26.669231867730847</v>
      </c>
    </row>
    <row r="40" spans="2:5" x14ac:dyDescent="0.2">
      <c r="B40" s="13" t="s">
        <v>10</v>
      </c>
      <c r="E40" s="14">
        <f t="shared" si="3"/>
        <v>200.95898915998256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81CB-D76C-B646-A386-E6498C2DD288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32855.22</v>
      </c>
      <c r="D2" s="7">
        <v>30570.57</v>
      </c>
      <c r="E2">
        <v>32490</v>
      </c>
      <c r="F2" s="7">
        <v>32027.13</v>
      </c>
      <c r="G2">
        <v>29454.39</v>
      </c>
      <c r="H2">
        <v>29765.34</v>
      </c>
      <c r="I2">
        <v>30589.379999999997</v>
      </c>
      <c r="J2">
        <v>30987.809999999998</v>
      </c>
      <c r="K2">
        <v>31165.739999999998</v>
      </c>
      <c r="L2" s="7">
        <v>31673.25</v>
      </c>
      <c r="M2">
        <v>30620.43</v>
      </c>
      <c r="N2">
        <v>30385.89</v>
      </c>
      <c r="O2">
        <v>34886.339999999997</v>
      </c>
      <c r="P2" s="7">
        <v>31786.83</v>
      </c>
      <c r="Q2">
        <v>33450.57</v>
      </c>
      <c r="R2">
        <v>32811.479999999996</v>
      </c>
      <c r="S2" s="7">
        <v>32547.42</v>
      </c>
      <c r="T2">
        <v>33879.69</v>
      </c>
    </row>
    <row r="3" spans="1:20" ht="16" thickBot="1" x14ac:dyDescent="0.25">
      <c r="A3">
        <v>2</v>
      </c>
      <c r="B3" s="6" t="s">
        <v>2</v>
      </c>
      <c r="C3">
        <v>3.69</v>
      </c>
      <c r="D3" s="7">
        <v>30.42</v>
      </c>
      <c r="E3">
        <v>622.26</v>
      </c>
      <c r="F3" s="7">
        <v>225.27</v>
      </c>
      <c r="G3">
        <v>469.89</v>
      </c>
      <c r="H3">
        <v>353.52</v>
      </c>
      <c r="I3">
        <v>469.97999999999996</v>
      </c>
      <c r="J3">
        <v>114.92999999999999</v>
      </c>
      <c r="K3">
        <v>638.45999999999992</v>
      </c>
      <c r="L3" s="7">
        <v>260.27999999999997</v>
      </c>
      <c r="M3">
        <v>81.81</v>
      </c>
      <c r="N3">
        <v>313.02</v>
      </c>
      <c r="O3">
        <v>363.78</v>
      </c>
      <c r="P3" s="7">
        <v>123.03</v>
      </c>
      <c r="Q3">
        <v>2262.06</v>
      </c>
      <c r="R3">
        <v>908.55</v>
      </c>
      <c r="S3" s="7">
        <v>322.92</v>
      </c>
      <c r="T3">
        <v>912.42</v>
      </c>
    </row>
    <row r="4" spans="1:20" ht="16" thickBot="1" x14ac:dyDescent="0.25">
      <c r="A4">
        <v>3</v>
      </c>
      <c r="B4" s="6" t="s">
        <v>3</v>
      </c>
      <c r="C4">
        <v>0</v>
      </c>
      <c r="D4" s="7">
        <v>65.7</v>
      </c>
      <c r="E4">
        <v>1102.1399999999999</v>
      </c>
      <c r="F4" s="7">
        <v>315.81</v>
      </c>
      <c r="G4">
        <v>421.65</v>
      </c>
      <c r="H4">
        <v>639.9</v>
      </c>
      <c r="I4">
        <v>28.799999999999997</v>
      </c>
      <c r="J4">
        <v>359.55</v>
      </c>
      <c r="K4">
        <v>12.87</v>
      </c>
      <c r="L4" s="7">
        <v>193.59</v>
      </c>
      <c r="M4">
        <v>23.759999999999998</v>
      </c>
      <c r="N4">
        <v>0.09</v>
      </c>
      <c r="O4">
        <v>186.66</v>
      </c>
      <c r="P4" s="7">
        <v>0</v>
      </c>
      <c r="Q4">
        <v>519.39</v>
      </c>
      <c r="R4">
        <v>0.44999999999999996</v>
      </c>
      <c r="S4" s="7">
        <v>0.45</v>
      </c>
      <c r="T4">
        <v>0.99</v>
      </c>
    </row>
    <row r="5" spans="1:20" ht="16" thickBot="1" x14ac:dyDescent="0.25">
      <c r="A5">
        <v>4</v>
      </c>
      <c r="B5" s="6" t="s">
        <v>4</v>
      </c>
      <c r="C5">
        <v>32308.199999999997</v>
      </c>
      <c r="D5" s="7">
        <v>35240.400000000001</v>
      </c>
      <c r="E5">
        <v>29191.05</v>
      </c>
      <c r="F5" s="7">
        <v>14443.92</v>
      </c>
      <c r="G5">
        <v>35122.86</v>
      </c>
      <c r="H5">
        <v>9923.76</v>
      </c>
      <c r="I5">
        <v>14064.75</v>
      </c>
      <c r="J5">
        <v>9428.94</v>
      </c>
      <c r="K5">
        <v>6598.17</v>
      </c>
      <c r="L5" s="7">
        <v>10897.47</v>
      </c>
      <c r="M5">
        <v>13292.1</v>
      </c>
      <c r="N5">
        <v>6706.8899999999994</v>
      </c>
      <c r="O5">
        <v>10482.119999999999</v>
      </c>
      <c r="P5" s="7">
        <v>18366.21</v>
      </c>
      <c r="Q5">
        <v>15289.92</v>
      </c>
      <c r="R5">
        <v>11096.55</v>
      </c>
      <c r="S5" s="7">
        <v>17159.939999999999</v>
      </c>
      <c r="T5">
        <v>12357.99</v>
      </c>
    </row>
    <row r="6" spans="1:20" ht="16" thickBot="1" x14ac:dyDescent="0.25">
      <c r="A6">
        <v>5</v>
      </c>
      <c r="B6" s="6" t="s">
        <v>5</v>
      </c>
      <c r="C6">
        <v>2817.27</v>
      </c>
      <c r="D6" s="7">
        <v>5281.11</v>
      </c>
      <c r="E6">
        <v>11934.63</v>
      </c>
      <c r="F6" s="7">
        <v>4282.38</v>
      </c>
      <c r="G6">
        <v>13536.72</v>
      </c>
      <c r="H6">
        <v>3692.25</v>
      </c>
      <c r="I6">
        <v>7230.5999999999995</v>
      </c>
      <c r="J6">
        <v>3420.0899999999997</v>
      </c>
      <c r="K6">
        <v>5294.16</v>
      </c>
      <c r="L6" s="7">
        <v>5461.11</v>
      </c>
      <c r="M6">
        <v>6645.24</v>
      </c>
      <c r="N6">
        <v>2984.04</v>
      </c>
      <c r="O6">
        <v>4501.9799999999996</v>
      </c>
      <c r="P6" s="7">
        <v>2909.61</v>
      </c>
      <c r="Q6">
        <v>3744.45</v>
      </c>
      <c r="R6">
        <v>3428.1</v>
      </c>
      <c r="S6" s="7">
        <v>4224.78</v>
      </c>
      <c r="T6">
        <v>3413.0699999999997</v>
      </c>
    </row>
    <row r="7" spans="1:20" ht="16" thickBot="1" x14ac:dyDescent="0.25">
      <c r="A7">
        <v>6</v>
      </c>
      <c r="B7" s="6" t="s">
        <v>6</v>
      </c>
      <c r="C7">
        <v>18981.09</v>
      </c>
      <c r="D7" s="7">
        <v>6390.63</v>
      </c>
      <c r="E7">
        <v>7474.41</v>
      </c>
      <c r="F7" s="7">
        <v>9359.3700000000008</v>
      </c>
      <c r="G7">
        <v>11702.97</v>
      </c>
      <c r="H7">
        <v>9933.48</v>
      </c>
      <c r="I7">
        <v>10806.75</v>
      </c>
      <c r="J7">
        <v>13627.529999999999</v>
      </c>
      <c r="K7">
        <v>6462.99</v>
      </c>
      <c r="L7" s="7">
        <v>9860.2199999999993</v>
      </c>
      <c r="M7">
        <v>8510.94</v>
      </c>
      <c r="N7">
        <v>13110.39</v>
      </c>
      <c r="O7">
        <v>10427.94</v>
      </c>
      <c r="P7" s="7">
        <v>12232.26</v>
      </c>
      <c r="Q7">
        <v>11512.8</v>
      </c>
      <c r="R7">
        <v>19375.559999999998</v>
      </c>
      <c r="S7" s="7">
        <v>13945.23</v>
      </c>
      <c r="T7">
        <v>15422.22</v>
      </c>
    </row>
    <row r="8" spans="1:20" ht="16" thickBot="1" x14ac:dyDescent="0.25">
      <c r="A8">
        <v>7</v>
      </c>
      <c r="B8" s="6" t="s">
        <v>7</v>
      </c>
      <c r="C8">
        <v>59431.5</v>
      </c>
      <c r="D8" s="7">
        <v>68704.740000000005</v>
      </c>
      <c r="E8">
        <v>62953.2</v>
      </c>
      <c r="F8" s="7">
        <v>85627.44</v>
      </c>
      <c r="G8">
        <v>55304.009999999995</v>
      </c>
      <c r="H8">
        <v>91730.7</v>
      </c>
      <c r="I8">
        <v>82743.569999999992</v>
      </c>
      <c r="J8">
        <v>87833.069999999992</v>
      </c>
      <c r="K8">
        <v>95069.61</v>
      </c>
      <c r="L8" s="7">
        <v>87791.67</v>
      </c>
      <c r="M8">
        <v>87215.4</v>
      </c>
      <c r="N8">
        <v>92766.51</v>
      </c>
      <c r="O8">
        <v>85643.01</v>
      </c>
      <c r="P8" s="7">
        <v>80526.509999999995</v>
      </c>
      <c r="Q8">
        <v>79495.92</v>
      </c>
      <c r="R8">
        <v>78499.89</v>
      </c>
      <c r="S8" s="7">
        <v>77465.789999999994</v>
      </c>
      <c r="T8">
        <v>79584.929999999993</v>
      </c>
    </row>
    <row r="9" spans="1:20" ht="16" thickBot="1" x14ac:dyDescent="0.25">
      <c r="A9">
        <v>8</v>
      </c>
      <c r="B9" s="6" t="s">
        <v>8</v>
      </c>
      <c r="C9">
        <v>37.44</v>
      </c>
      <c r="D9" s="7">
        <v>51.48</v>
      </c>
      <c r="E9">
        <v>32.31</v>
      </c>
      <c r="F9" s="7">
        <v>56.97</v>
      </c>
      <c r="G9">
        <v>20.88</v>
      </c>
      <c r="H9">
        <v>35.28</v>
      </c>
      <c r="I9">
        <v>87.66</v>
      </c>
      <c r="J9">
        <v>135.18</v>
      </c>
      <c r="K9">
        <v>195.39</v>
      </c>
      <c r="L9" s="7">
        <v>56.7</v>
      </c>
      <c r="M9">
        <v>19.079999999999998</v>
      </c>
      <c r="N9">
        <v>6.75</v>
      </c>
      <c r="O9">
        <v>0</v>
      </c>
      <c r="P9" s="7">
        <v>0</v>
      </c>
      <c r="Q9">
        <v>56.43</v>
      </c>
      <c r="R9">
        <v>0</v>
      </c>
      <c r="S9" s="7">
        <v>22.77</v>
      </c>
      <c r="T9">
        <v>92.16</v>
      </c>
    </row>
    <row r="10" spans="1:20" ht="16" thickBot="1" x14ac:dyDescent="0.25">
      <c r="A10">
        <v>9</v>
      </c>
      <c r="B10" s="6" t="s">
        <v>9</v>
      </c>
      <c r="C10">
        <v>56.16</v>
      </c>
      <c r="D10" s="7">
        <v>148.13999999999999</v>
      </c>
      <c r="E10">
        <v>750.68999999999994</v>
      </c>
      <c r="F10" s="7">
        <v>125.46</v>
      </c>
      <c r="G10">
        <v>350.46</v>
      </c>
      <c r="H10">
        <v>90.36</v>
      </c>
      <c r="I10">
        <v>208.35</v>
      </c>
      <c r="J10">
        <v>390.41999999999996</v>
      </c>
      <c r="K10">
        <v>348.39</v>
      </c>
      <c r="L10" s="7">
        <v>122.58</v>
      </c>
      <c r="M10">
        <v>17.099999999999998</v>
      </c>
      <c r="N10">
        <v>2.34</v>
      </c>
      <c r="O10">
        <v>24.119999999999997</v>
      </c>
      <c r="P10" s="7">
        <v>162.99</v>
      </c>
      <c r="Q10">
        <v>57.69</v>
      </c>
      <c r="R10">
        <v>28.98</v>
      </c>
      <c r="S10" s="7">
        <v>142.47</v>
      </c>
      <c r="T10">
        <v>164.51999999999998</v>
      </c>
    </row>
    <row r="11" spans="1:20" ht="16" thickBot="1" x14ac:dyDescent="0.25">
      <c r="A11">
        <v>10</v>
      </c>
      <c r="B11" s="6" t="s">
        <v>10</v>
      </c>
      <c r="C11">
        <v>1044.6299999999999</v>
      </c>
      <c r="D11" s="7">
        <v>1052.01</v>
      </c>
      <c r="E11">
        <v>984.51</v>
      </c>
      <c r="F11" s="7">
        <v>1071.45</v>
      </c>
      <c r="G11">
        <v>1151.3699999999999</v>
      </c>
      <c r="H11">
        <v>1370.61</v>
      </c>
      <c r="I11">
        <v>1305.3599999999999</v>
      </c>
      <c r="J11">
        <v>1237.68</v>
      </c>
      <c r="K11">
        <v>1749.4199999999998</v>
      </c>
      <c r="L11" s="7">
        <v>1218.33</v>
      </c>
      <c r="M11">
        <v>1109.3399999999999</v>
      </c>
      <c r="N11">
        <v>1259.28</v>
      </c>
      <c r="O11">
        <v>1019.25</v>
      </c>
      <c r="P11" s="7">
        <v>1427.76</v>
      </c>
      <c r="Q11">
        <v>1145.97</v>
      </c>
      <c r="R11">
        <v>1385.6399999999999</v>
      </c>
      <c r="S11" s="7">
        <v>1703.43</v>
      </c>
      <c r="T11">
        <v>1707.21</v>
      </c>
    </row>
    <row r="12" spans="1:20" x14ac:dyDescent="0.2">
      <c r="C12">
        <f>SUM(C2:C11)</f>
        <v>147535.20000000001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33213.555</v>
      </c>
      <c r="D17">
        <f>AVERAGE(C2:E2)</f>
        <v>31971.930000000004</v>
      </c>
      <c r="E17">
        <f>C17-D17</f>
        <v>1241.6249999999964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617.66999999999996</v>
      </c>
      <c r="D18">
        <f t="shared" ref="D18:D25" si="1">AVERAGE(C3:E3)</f>
        <v>218.79</v>
      </c>
      <c r="E18">
        <f t="shared" ref="E18:E26" si="2">C18-D18</f>
        <v>398.88</v>
      </c>
    </row>
    <row r="19" spans="1:5" ht="16" thickBot="1" x14ac:dyDescent="0.25">
      <c r="A19">
        <v>3</v>
      </c>
      <c r="B19" s="6" t="s">
        <v>3</v>
      </c>
      <c r="C19">
        <f t="shared" si="0"/>
        <v>0.72</v>
      </c>
      <c r="D19">
        <f t="shared" si="1"/>
        <v>389.28</v>
      </c>
      <c r="E19">
        <f t="shared" si="2"/>
        <v>-388.55999999999995</v>
      </c>
    </row>
    <row r="20" spans="1:5" ht="16" thickBot="1" x14ac:dyDescent="0.25">
      <c r="A20">
        <v>4</v>
      </c>
      <c r="B20" s="6" t="s">
        <v>4</v>
      </c>
      <c r="C20">
        <f t="shared" si="0"/>
        <v>14758.965</v>
      </c>
      <c r="D20">
        <f t="shared" si="1"/>
        <v>32246.550000000003</v>
      </c>
      <c r="E20">
        <f t="shared" si="2"/>
        <v>-17487.585000000003</v>
      </c>
    </row>
    <row r="21" spans="1:5" ht="16" thickBot="1" x14ac:dyDescent="0.25">
      <c r="A21">
        <v>5</v>
      </c>
      <c r="B21" s="6" t="s">
        <v>5</v>
      </c>
      <c r="C21">
        <f t="shared" si="0"/>
        <v>3818.9249999999997</v>
      </c>
      <c r="D21">
        <f t="shared" si="1"/>
        <v>6677.6699999999992</v>
      </c>
      <c r="E21">
        <f t="shared" si="2"/>
        <v>-2858.7449999999994</v>
      </c>
    </row>
    <row r="22" spans="1:5" ht="16" thickBot="1" x14ac:dyDescent="0.25">
      <c r="A22">
        <v>6</v>
      </c>
      <c r="B22" s="6" t="s">
        <v>6</v>
      </c>
      <c r="C22">
        <f t="shared" si="0"/>
        <v>14683.724999999999</v>
      </c>
      <c r="D22">
        <f t="shared" si="1"/>
        <v>10948.710000000001</v>
      </c>
      <c r="E22">
        <f t="shared" si="2"/>
        <v>3735.0149999999976</v>
      </c>
    </row>
    <row r="23" spans="1:5" ht="16" thickBot="1" x14ac:dyDescent="0.25">
      <c r="A23">
        <v>7</v>
      </c>
      <c r="B23" s="6" t="s">
        <v>7</v>
      </c>
      <c r="C23">
        <f t="shared" si="0"/>
        <v>78525.359999999986</v>
      </c>
      <c r="D23">
        <f t="shared" si="1"/>
        <v>63696.480000000003</v>
      </c>
      <c r="E23">
        <f t="shared" si="2"/>
        <v>14828.879999999983</v>
      </c>
    </row>
    <row r="24" spans="1:5" ht="16" thickBot="1" x14ac:dyDescent="0.25">
      <c r="A24">
        <v>8</v>
      </c>
      <c r="B24" s="6" t="s">
        <v>8</v>
      </c>
      <c r="C24">
        <f t="shared" si="0"/>
        <v>57.464999999999996</v>
      </c>
      <c r="D24">
        <f t="shared" si="1"/>
        <v>40.409999999999997</v>
      </c>
      <c r="E24">
        <f t="shared" si="2"/>
        <v>17.055</v>
      </c>
    </row>
    <row r="25" spans="1:5" ht="16" thickBot="1" x14ac:dyDescent="0.25">
      <c r="A25">
        <v>9</v>
      </c>
      <c r="B25" s="6" t="s">
        <v>9</v>
      </c>
      <c r="C25">
        <f t="shared" si="0"/>
        <v>153.495</v>
      </c>
      <c r="D25">
        <f t="shared" si="1"/>
        <v>318.33</v>
      </c>
      <c r="E25">
        <f t="shared" si="2"/>
        <v>-164.83499999999998</v>
      </c>
    </row>
    <row r="26" spans="1:5" ht="16" thickBot="1" x14ac:dyDescent="0.25">
      <c r="A26">
        <v>10</v>
      </c>
      <c r="B26" s="6" t="s">
        <v>10</v>
      </c>
      <c r="C26">
        <f>AVERAGE(S11:T11)</f>
        <v>1705.3200000000002</v>
      </c>
      <c r="D26">
        <f>AVERAGE(C11:E11)</f>
        <v>1027.05</v>
      </c>
      <c r="E26">
        <f t="shared" si="2"/>
        <v>678.27000000000021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3.8834846692082592</v>
      </c>
    </row>
    <row r="32" spans="1:5" x14ac:dyDescent="0.2">
      <c r="B32" s="13" t="s">
        <v>2</v>
      </c>
      <c r="E32" s="14">
        <f t="shared" ref="E32:E40" si="3">(E18/D18)*100</f>
        <v>182.31180584121759</v>
      </c>
    </row>
    <row r="33" spans="2:5" x14ac:dyDescent="0.2">
      <c r="B33" s="13" t="s">
        <v>3</v>
      </c>
      <c r="E33" s="14">
        <f t="shared" si="3"/>
        <v>-99.815043156596786</v>
      </c>
    </row>
    <row r="34" spans="2:5" x14ac:dyDescent="0.2">
      <c r="B34" s="13" t="s">
        <v>4</v>
      </c>
      <c r="E34" s="14">
        <f t="shared" si="3"/>
        <v>-54.230871209478224</v>
      </c>
    </row>
    <row r="35" spans="2:5" x14ac:dyDescent="0.2">
      <c r="B35" s="13" t="s">
        <v>5</v>
      </c>
      <c r="E35" s="14">
        <f t="shared" si="3"/>
        <v>-42.81051624294102</v>
      </c>
    </row>
    <row r="36" spans="2:5" x14ac:dyDescent="0.2">
      <c r="B36" s="13" t="s">
        <v>6</v>
      </c>
      <c r="E36" s="14">
        <f t="shared" si="3"/>
        <v>34.113744906934215</v>
      </c>
    </row>
    <row r="37" spans="2:5" x14ac:dyDescent="0.2">
      <c r="B37" s="13" t="s">
        <v>7</v>
      </c>
      <c r="E37" s="14">
        <f t="shared" si="3"/>
        <v>23.280532927408206</v>
      </c>
    </row>
    <row r="38" spans="2:5" x14ac:dyDescent="0.2">
      <c r="B38" s="13" t="s">
        <v>8</v>
      </c>
      <c r="E38" s="14">
        <f t="shared" si="3"/>
        <v>42.204899777282854</v>
      </c>
    </row>
    <row r="39" spans="2:5" x14ac:dyDescent="0.2">
      <c r="B39" s="13" t="s">
        <v>9</v>
      </c>
      <c r="E39" s="14">
        <f t="shared" si="3"/>
        <v>-51.781170483460556</v>
      </c>
    </row>
    <row r="40" spans="2:5" x14ac:dyDescent="0.2">
      <c r="B40" s="13" t="s">
        <v>10</v>
      </c>
      <c r="E40" s="14">
        <f t="shared" si="3"/>
        <v>66.040601723382537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C11F-FD87-AA42-8629-54EF1850C09C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3646.89</v>
      </c>
      <c r="D2" s="7">
        <v>6144.66</v>
      </c>
      <c r="E2">
        <v>1456.56</v>
      </c>
      <c r="F2">
        <v>6109.4699999999993</v>
      </c>
      <c r="G2" s="7">
        <v>826.29</v>
      </c>
      <c r="H2">
        <v>10911.869999999999</v>
      </c>
      <c r="I2" s="7">
        <v>2106.27</v>
      </c>
      <c r="J2">
        <v>4417.92</v>
      </c>
      <c r="K2" s="7">
        <v>2049.39</v>
      </c>
      <c r="L2">
        <v>2111.85</v>
      </c>
      <c r="M2" s="7">
        <v>2784.87</v>
      </c>
      <c r="N2">
        <v>3547.2599999999998</v>
      </c>
      <c r="O2">
        <v>1587.4199999999998</v>
      </c>
      <c r="P2" s="7">
        <v>3503.43</v>
      </c>
      <c r="Q2">
        <v>6405.3899999999994</v>
      </c>
      <c r="R2">
        <v>3459.15</v>
      </c>
      <c r="S2" s="7">
        <v>6258.42</v>
      </c>
      <c r="T2" s="7">
        <v>4114.17</v>
      </c>
    </row>
    <row r="3" spans="1:20" ht="16" thickBot="1" x14ac:dyDescent="0.25">
      <c r="A3">
        <v>2</v>
      </c>
      <c r="B3" s="6" t="s">
        <v>2</v>
      </c>
      <c r="C3">
        <v>0.18</v>
      </c>
      <c r="D3" s="7">
        <v>0</v>
      </c>
      <c r="E3">
        <v>213.29999999999998</v>
      </c>
      <c r="F3">
        <v>30.06</v>
      </c>
      <c r="G3" s="7">
        <v>217.62</v>
      </c>
      <c r="H3">
        <v>28.619999999999997</v>
      </c>
      <c r="I3" s="7">
        <v>251.91</v>
      </c>
      <c r="J3">
        <v>11.34</v>
      </c>
      <c r="K3" s="7">
        <v>447.84</v>
      </c>
      <c r="L3">
        <v>53.46</v>
      </c>
      <c r="M3" s="7">
        <v>0.63</v>
      </c>
      <c r="N3">
        <v>0.63</v>
      </c>
      <c r="O3">
        <v>121.14</v>
      </c>
      <c r="P3" s="7">
        <v>11.7</v>
      </c>
      <c r="Q3">
        <v>182.43</v>
      </c>
      <c r="R3">
        <v>399.24</v>
      </c>
      <c r="S3" s="7">
        <v>528.66</v>
      </c>
      <c r="T3" s="7">
        <v>378.09</v>
      </c>
    </row>
    <row r="4" spans="1:20" ht="16" thickBot="1" x14ac:dyDescent="0.25">
      <c r="A4">
        <v>3</v>
      </c>
      <c r="B4" s="6" t="s">
        <v>3</v>
      </c>
      <c r="C4">
        <v>121.58999999999999</v>
      </c>
      <c r="D4" s="7">
        <v>92.7</v>
      </c>
      <c r="E4">
        <v>852.66</v>
      </c>
      <c r="F4">
        <v>669.06</v>
      </c>
      <c r="G4" s="7">
        <v>1998.81</v>
      </c>
      <c r="H4">
        <v>859.86</v>
      </c>
      <c r="I4" s="7">
        <v>1732.23</v>
      </c>
      <c r="J4">
        <v>853.19999999999993</v>
      </c>
      <c r="K4" s="7">
        <v>370.35</v>
      </c>
      <c r="L4">
        <v>842.31</v>
      </c>
      <c r="M4" s="7">
        <v>303.3</v>
      </c>
      <c r="N4">
        <v>1236.5999999999999</v>
      </c>
      <c r="O4">
        <v>1328.58</v>
      </c>
      <c r="P4" s="7">
        <v>262.70999999999998</v>
      </c>
      <c r="Q4">
        <v>422.90999999999997</v>
      </c>
      <c r="R4">
        <v>196.65</v>
      </c>
      <c r="S4" s="7">
        <v>211.41</v>
      </c>
      <c r="T4" s="7">
        <v>67.5</v>
      </c>
    </row>
    <row r="5" spans="1:20" ht="16" thickBot="1" x14ac:dyDescent="0.25">
      <c r="A5">
        <v>4</v>
      </c>
      <c r="B5" s="6" t="s">
        <v>4</v>
      </c>
      <c r="C5">
        <v>6041.79</v>
      </c>
      <c r="D5" s="7">
        <v>14543.01</v>
      </c>
      <c r="E5">
        <v>7284.0599999999995</v>
      </c>
      <c r="F5">
        <v>8359.02</v>
      </c>
      <c r="G5" s="7">
        <v>10951.02</v>
      </c>
      <c r="H5">
        <v>13631.58</v>
      </c>
      <c r="I5" s="7">
        <v>16737.3</v>
      </c>
      <c r="J5">
        <v>3821.67</v>
      </c>
      <c r="K5" s="7">
        <v>2642.13</v>
      </c>
      <c r="L5">
        <v>11740.77</v>
      </c>
      <c r="M5" s="7">
        <v>5029.83</v>
      </c>
      <c r="N5">
        <v>5545.44</v>
      </c>
      <c r="O5">
        <v>12516.21</v>
      </c>
      <c r="P5" s="7">
        <v>9630.27</v>
      </c>
      <c r="Q5">
        <v>5321.5199999999995</v>
      </c>
      <c r="R5">
        <v>13008.869999999999</v>
      </c>
      <c r="S5" s="7">
        <v>8188.74</v>
      </c>
      <c r="T5" s="7">
        <v>17339.22</v>
      </c>
    </row>
    <row r="6" spans="1:20" ht="16" thickBot="1" x14ac:dyDescent="0.25">
      <c r="A6">
        <v>5</v>
      </c>
      <c r="B6" s="6" t="s">
        <v>5</v>
      </c>
      <c r="C6">
        <v>18641.16</v>
      </c>
      <c r="D6" s="7">
        <v>15999.12</v>
      </c>
      <c r="E6">
        <v>18683.64</v>
      </c>
      <c r="F6">
        <v>7587.09</v>
      </c>
      <c r="G6" s="7">
        <v>9368.1</v>
      </c>
      <c r="H6">
        <v>2735.0099999999998</v>
      </c>
      <c r="I6" s="7">
        <v>5972.04</v>
      </c>
      <c r="J6">
        <v>1717.02</v>
      </c>
      <c r="K6" s="7">
        <v>3640.59</v>
      </c>
      <c r="L6">
        <v>7602.66</v>
      </c>
      <c r="M6" s="7">
        <v>4322.16</v>
      </c>
      <c r="N6">
        <v>1183.23</v>
      </c>
      <c r="O6">
        <v>1181.43</v>
      </c>
      <c r="P6" s="7">
        <v>5502.6</v>
      </c>
      <c r="Q6">
        <v>1499.58</v>
      </c>
      <c r="R6">
        <v>4028.3999999999996</v>
      </c>
      <c r="S6" s="7">
        <v>4893.93</v>
      </c>
      <c r="T6" s="7">
        <v>3560.94</v>
      </c>
    </row>
    <row r="7" spans="1:20" ht="16" thickBot="1" x14ac:dyDescent="0.25">
      <c r="A7">
        <v>6</v>
      </c>
      <c r="B7" s="6" t="s">
        <v>6</v>
      </c>
      <c r="C7">
        <v>536.30999999999995</v>
      </c>
      <c r="D7" s="7">
        <v>392.94</v>
      </c>
      <c r="E7">
        <v>1564.02</v>
      </c>
      <c r="F7">
        <v>1685.7</v>
      </c>
      <c r="G7" s="7">
        <v>679.14</v>
      </c>
      <c r="H7">
        <v>3723.48</v>
      </c>
      <c r="I7" s="7">
        <v>1469.79</v>
      </c>
      <c r="J7">
        <v>1896.03</v>
      </c>
      <c r="K7" s="7">
        <v>546.29999999999995</v>
      </c>
      <c r="L7">
        <v>1145.3399999999999</v>
      </c>
      <c r="M7" s="7">
        <v>678.24</v>
      </c>
      <c r="N7">
        <v>1701.8999999999999</v>
      </c>
      <c r="O7">
        <v>3747.69</v>
      </c>
      <c r="P7" s="7">
        <v>515.25</v>
      </c>
      <c r="Q7">
        <v>887.4</v>
      </c>
      <c r="R7">
        <v>4887.54</v>
      </c>
      <c r="S7" s="7">
        <v>2664.9</v>
      </c>
      <c r="T7" s="7">
        <v>3509.73</v>
      </c>
    </row>
    <row r="8" spans="1:20" ht="16" thickBot="1" x14ac:dyDescent="0.25">
      <c r="A8">
        <v>7</v>
      </c>
      <c r="B8" s="6" t="s">
        <v>7</v>
      </c>
      <c r="C8">
        <v>102917.79</v>
      </c>
      <c r="D8" s="7">
        <v>94808.61</v>
      </c>
      <c r="E8">
        <v>101849.48999999999</v>
      </c>
      <c r="F8">
        <v>107188.2</v>
      </c>
      <c r="G8" s="7">
        <v>107897.94</v>
      </c>
      <c r="H8">
        <v>99845.19</v>
      </c>
      <c r="I8" s="7">
        <v>102972.06</v>
      </c>
      <c r="J8">
        <v>119171.15999999999</v>
      </c>
      <c r="K8" s="7">
        <v>122004</v>
      </c>
      <c r="L8">
        <v>107578.08</v>
      </c>
      <c r="M8" s="7">
        <v>118133.82</v>
      </c>
      <c r="N8">
        <v>118008.26999999999</v>
      </c>
      <c r="O8">
        <v>111281.4</v>
      </c>
      <c r="P8" s="7">
        <v>112063.41</v>
      </c>
      <c r="Q8">
        <v>117006.93</v>
      </c>
      <c r="R8">
        <v>105583.40999999999</v>
      </c>
      <c r="S8" s="7">
        <v>108596.07</v>
      </c>
      <c r="T8" s="7">
        <v>101507.22</v>
      </c>
    </row>
    <row r="9" spans="1:20" ht="16" thickBot="1" x14ac:dyDescent="0.25">
      <c r="A9">
        <v>8</v>
      </c>
      <c r="B9" s="6" t="s">
        <v>8</v>
      </c>
      <c r="C9">
        <v>1.98</v>
      </c>
      <c r="D9" s="7">
        <v>0</v>
      </c>
      <c r="E9">
        <v>2.88</v>
      </c>
      <c r="F9">
        <v>204.29999999999998</v>
      </c>
      <c r="G9" s="7">
        <v>5.49</v>
      </c>
      <c r="H9">
        <v>0</v>
      </c>
      <c r="I9" s="7">
        <v>0</v>
      </c>
      <c r="J9">
        <v>0</v>
      </c>
      <c r="K9" s="7">
        <v>49.86</v>
      </c>
      <c r="L9">
        <v>1.44</v>
      </c>
      <c r="M9" s="7">
        <v>0</v>
      </c>
      <c r="N9">
        <v>0</v>
      </c>
      <c r="O9">
        <v>0</v>
      </c>
      <c r="P9" s="7">
        <v>0</v>
      </c>
      <c r="Q9">
        <v>4.95</v>
      </c>
      <c r="R9">
        <v>0</v>
      </c>
      <c r="S9" s="7">
        <v>32.67</v>
      </c>
      <c r="T9" s="7">
        <v>0</v>
      </c>
    </row>
    <row r="10" spans="1:20" ht="16" thickBot="1" x14ac:dyDescent="0.25">
      <c r="A10">
        <v>9</v>
      </c>
      <c r="B10" s="6" t="s">
        <v>9</v>
      </c>
      <c r="C10">
        <v>32.31</v>
      </c>
      <c r="D10" s="7">
        <v>4.8600000000000003</v>
      </c>
      <c r="E10">
        <v>56.339999999999996</v>
      </c>
      <c r="F10">
        <v>20.97</v>
      </c>
      <c r="G10" s="7">
        <v>38.159999999999997</v>
      </c>
      <c r="H10">
        <v>14.49</v>
      </c>
      <c r="I10" s="7">
        <v>40.409999999999997</v>
      </c>
      <c r="J10">
        <v>51.39</v>
      </c>
      <c r="K10" s="7">
        <v>51.84</v>
      </c>
      <c r="L10">
        <v>21.689999999999998</v>
      </c>
      <c r="M10" s="7">
        <v>29.61</v>
      </c>
      <c r="N10">
        <v>38.07</v>
      </c>
      <c r="O10">
        <v>17.46</v>
      </c>
      <c r="P10" s="7">
        <v>51.93</v>
      </c>
      <c r="Q10">
        <v>1.89</v>
      </c>
      <c r="R10">
        <v>6.39</v>
      </c>
      <c r="S10" s="7">
        <v>7.2</v>
      </c>
      <c r="T10" s="7">
        <v>3.69</v>
      </c>
    </row>
    <row r="11" spans="1:20" ht="16" thickBot="1" x14ac:dyDescent="0.25">
      <c r="A11">
        <v>10</v>
      </c>
      <c r="B11" s="6" t="s">
        <v>10</v>
      </c>
      <c r="C11">
        <v>50.94</v>
      </c>
      <c r="D11" s="7">
        <v>5.04</v>
      </c>
      <c r="E11">
        <v>27.99</v>
      </c>
      <c r="F11">
        <v>137.07</v>
      </c>
      <c r="G11" s="7">
        <v>8.3699999999999992</v>
      </c>
      <c r="H11">
        <v>240.84</v>
      </c>
      <c r="I11" s="7">
        <v>708.93</v>
      </c>
      <c r="J11">
        <v>51.21</v>
      </c>
      <c r="K11" s="7">
        <v>188.64</v>
      </c>
      <c r="L11">
        <v>893.33999999999992</v>
      </c>
      <c r="M11" s="7">
        <v>708.48</v>
      </c>
      <c r="N11">
        <v>729.54</v>
      </c>
      <c r="O11">
        <v>209.60999999999999</v>
      </c>
      <c r="P11" s="7">
        <v>449.64</v>
      </c>
      <c r="Q11">
        <v>257.94</v>
      </c>
      <c r="R11">
        <v>421.28999999999996</v>
      </c>
      <c r="S11" s="7">
        <v>608.94000000000005</v>
      </c>
      <c r="T11" s="7">
        <v>1510.38</v>
      </c>
    </row>
    <row r="12" spans="1:20" x14ac:dyDescent="0.2">
      <c r="C12">
        <f>SUM(C2:C11)</f>
        <v>131990.94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5186.2950000000001</v>
      </c>
      <c r="D17">
        <f>AVERAGE(C2:E2)</f>
        <v>3749.3699999999994</v>
      </c>
      <c r="E17">
        <f>C17-D17</f>
        <v>1436.9250000000006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453.375</v>
      </c>
      <c r="D18">
        <f t="shared" ref="D18:D25" si="1">AVERAGE(C3:E3)</f>
        <v>71.16</v>
      </c>
      <c r="E18">
        <f t="shared" ref="E18:E26" si="2">C18-D18</f>
        <v>382.21500000000003</v>
      </c>
    </row>
    <row r="19" spans="1:5" ht="16" thickBot="1" x14ac:dyDescent="0.25">
      <c r="A19">
        <v>3</v>
      </c>
      <c r="B19" s="6" t="s">
        <v>3</v>
      </c>
      <c r="C19">
        <f t="shared" si="0"/>
        <v>139.45499999999998</v>
      </c>
      <c r="D19">
        <f t="shared" si="1"/>
        <v>355.65000000000003</v>
      </c>
      <c r="E19">
        <f t="shared" si="2"/>
        <v>-216.19500000000005</v>
      </c>
    </row>
    <row r="20" spans="1:5" ht="16" thickBot="1" x14ac:dyDescent="0.25">
      <c r="A20">
        <v>4</v>
      </c>
      <c r="B20" s="6" t="s">
        <v>4</v>
      </c>
      <c r="C20">
        <f t="shared" si="0"/>
        <v>12763.98</v>
      </c>
      <c r="D20">
        <f t="shared" si="1"/>
        <v>9289.6200000000008</v>
      </c>
      <c r="E20">
        <f t="shared" si="2"/>
        <v>3474.3599999999988</v>
      </c>
    </row>
    <row r="21" spans="1:5" ht="16" thickBot="1" x14ac:dyDescent="0.25">
      <c r="A21">
        <v>5</v>
      </c>
      <c r="B21" s="6" t="s">
        <v>5</v>
      </c>
      <c r="C21">
        <f t="shared" si="0"/>
        <v>4227.4350000000004</v>
      </c>
      <c r="D21">
        <f t="shared" si="1"/>
        <v>17774.64</v>
      </c>
      <c r="E21">
        <f t="shared" si="2"/>
        <v>-13547.204999999998</v>
      </c>
    </row>
    <row r="22" spans="1:5" ht="16" thickBot="1" x14ac:dyDescent="0.25">
      <c r="A22">
        <v>6</v>
      </c>
      <c r="B22" s="6" t="s">
        <v>6</v>
      </c>
      <c r="C22">
        <f t="shared" si="0"/>
        <v>3087.3150000000001</v>
      </c>
      <c r="D22">
        <f t="shared" si="1"/>
        <v>831.09</v>
      </c>
      <c r="E22">
        <f t="shared" si="2"/>
        <v>2256.2249999999999</v>
      </c>
    </row>
    <row r="23" spans="1:5" ht="16" thickBot="1" x14ac:dyDescent="0.25">
      <c r="A23">
        <v>7</v>
      </c>
      <c r="B23" s="6" t="s">
        <v>7</v>
      </c>
      <c r="C23">
        <f t="shared" si="0"/>
        <v>105051.645</v>
      </c>
      <c r="D23">
        <f t="shared" si="1"/>
        <v>99858.63</v>
      </c>
      <c r="E23">
        <f t="shared" si="2"/>
        <v>5193.0149999999994</v>
      </c>
    </row>
    <row r="24" spans="1:5" ht="16" thickBot="1" x14ac:dyDescent="0.25">
      <c r="A24">
        <v>8</v>
      </c>
      <c r="B24" s="6" t="s">
        <v>8</v>
      </c>
      <c r="C24">
        <f t="shared" si="0"/>
        <v>16.335000000000001</v>
      </c>
      <c r="D24">
        <f t="shared" si="1"/>
        <v>1.6199999999999999</v>
      </c>
      <c r="E24">
        <f t="shared" si="2"/>
        <v>14.715000000000002</v>
      </c>
    </row>
    <row r="25" spans="1:5" ht="16" thickBot="1" x14ac:dyDescent="0.25">
      <c r="A25">
        <v>9</v>
      </c>
      <c r="B25" s="6" t="s">
        <v>9</v>
      </c>
      <c r="C25">
        <f t="shared" si="0"/>
        <v>5.4450000000000003</v>
      </c>
      <c r="D25">
        <f t="shared" si="1"/>
        <v>31.169999999999998</v>
      </c>
      <c r="E25">
        <f t="shared" si="2"/>
        <v>-25.724999999999998</v>
      </c>
    </row>
    <row r="26" spans="1:5" ht="16" thickBot="1" x14ac:dyDescent="0.25">
      <c r="A26">
        <v>10</v>
      </c>
      <c r="B26" s="6" t="s">
        <v>10</v>
      </c>
      <c r="C26">
        <f>AVERAGE(S11:T11)</f>
        <v>1059.6600000000001</v>
      </c>
      <c r="D26">
        <f>AVERAGE(C11:E11)</f>
        <v>27.99</v>
      </c>
      <c r="E26">
        <f t="shared" si="2"/>
        <v>1031.67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38.324438505668972</v>
      </c>
    </row>
    <row r="32" spans="1:5" x14ac:dyDescent="0.2">
      <c r="B32" s="13" t="s">
        <v>2</v>
      </c>
      <c r="E32" s="14">
        <f t="shared" ref="E32:E40" si="3">(E18/D18)*100</f>
        <v>537.1205733558179</v>
      </c>
    </row>
    <row r="33" spans="2:5" x14ac:dyDescent="0.2">
      <c r="B33" s="13" t="s">
        <v>3</v>
      </c>
      <c r="E33" s="14">
        <f t="shared" si="3"/>
        <v>-60.788696752425139</v>
      </c>
    </row>
    <row r="34" spans="2:5" x14ac:dyDescent="0.2">
      <c r="B34" s="13" t="s">
        <v>4</v>
      </c>
      <c r="E34" s="14">
        <f t="shared" si="3"/>
        <v>37.400453409289057</v>
      </c>
    </row>
    <row r="35" spans="2:5" x14ac:dyDescent="0.2">
      <c r="B35" s="13" t="s">
        <v>5</v>
      </c>
      <c r="E35" s="14">
        <f t="shared" si="3"/>
        <v>-76.216480333778904</v>
      </c>
    </row>
    <row r="36" spans="2:5" x14ac:dyDescent="0.2">
      <c r="B36" s="13" t="s">
        <v>6</v>
      </c>
      <c r="E36" s="14">
        <f t="shared" si="3"/>
        <v>271.47781828682815</v>
      </c>
    </row>
    <row r="37" spans="2:5" x14ac:dyDescent="0.2">
      <c r="B37" s="13" t="s">
        <v>7</v>
      </c>
      <c r="E37" s="14">
        <f t="shared" si="3"/>
        <v>5.2003667584864717</v>
      </c>
    </row>
    <row r="38" spans="2:5" x14ac:dyDescent="0.2">
      <c r="B38" s="13" t="s">
        <v>8</v>
      </c>
      <c r="E38" s="14">
        <f t="shared" si="3"/>
        <v>908.3333333333336</v>
      </c>
    </row>
    <row r="39" spans="2:5" x14ac:dyDescent="0.2">
      <c r="B39" s="13" t="s">
        <v>9</v>
      </c>
      <c r="E39" s="14">
        <f t="shared" si="3"/>
        <v>-82.53128007699712</v>
      </c>
    </row>
    <row r="40" spans="2:5" x14ac:dyDescent="0.2">
      <c r="B40" s="13" t="s">
        <v>10</v>
      </c>
      <c r="E40" s="14">
        <f t="shared" si="3"/>
        <v>3685.852090032155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769C-FB9A-0646-8C2E-04E0A3E06DFF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 s="7">
        <v>365.49</v>
      </c>
      <c r="D2">
        <v>266.94</v>
      </c>
      <c r="E2" s="7">
        <v>167.85</v>
      </c>
      <c r="F2">
        <v>418.14</v>
      </c>
      <c r="G2">
        <v>90.36</v>
      </c>
      <c r="H2" s="7">
        <v>460.62</v>
      </c>
      <c r="I2">
        <v>37.26</v>
      </c>
      <c r="J2">
        <v>157.68</v>
      </c>
      <c r="K2">
        <v>526.41</v>
      </c>
      <c r="L2">
        <v>94.5</v>
      </c>
      <c r="M2">
        <v>113.94</v>
      </c>
      <c r="N2" s="7">
        <v>113.76</v>
      </c>
      <c r="O2">
        <v>84.24</v>
      </c>
      <c r="P2" s="7">
        <v>347.04</v>
      </c>
      <c r="Q2">
        <v>271.44</v>
      </c>
      <c r="R2">
        <v>384.93</v>
      </c>
      <c r="S2" s="7">
        <v>177.75</v>
      </c>
      <c r="T2">
        <v>235.70999999999998</v>
      </c>
    </row>
    <row r="3" spans="1:20" ht="16" thickBot="1" x14ac:dyDescent="0.25">
      <c r="A3">
        <v>2</v>
      </c>
      <c r="B3" s="6" t="s">
        <v>2</v>
      </c>
      <c r="C3" s="7">
        <v>174.6</v>
      </c>
      <c r="D3">
        <v>275.39999999999998</v>
      </c>
      <c r="E3" s="7">
        <v>1.26</v>
      </c>
      <c r="F3">
        <v>6.4799999999999995</v>
      </c>
      <c r="G3">
        <v>10.889999999999999</v>
      </c>
      <c r="H3" s="7">
        <v>3.51</v>
      </c>
      <c r="I3">
        <v>1.08</v>
      </c>
      <c r="J3">
        <v>17.55</v>
      </c>
      <c r="K3">
        <v>85.59</v>
      </c>
      <c r="L3">
        <v>16.649999999999999</v>
      </c>
      <c r="M3">
        <v>1.98</v>
      </c>
      <c r="N3" s="7">
        <v>1.17</v>
      </c>
      <c r="O3">
        <v>878.67</v>
      </c>
      <c r="P3" s="7">
        <v>33.75</v>
      </c>
      <c r="Q3">
        <v>268.64999999999998</v>
      </c>
      <c r="R3">
        <v>14.94</v>
      </c>
      <c r="S3" s="7">
        <v>137.88</v>
      </c>
      <c r="T3">
        <v>748.35</v>
      </c>
    </row>
    <row r="4" spans="1:20" ht="16" thickBot="1" x14ac:dyDescent="0.25">
      <c r="A4">
        <v>3</v>
      </c>
      <c r="B4" s="6" t="s">
        <v>3</v>
      </c>
      <c r="C4" s="7">
        <v>0.09</v>
      </c>
      <c r="D4">
        <v>0.54</v>
      </c>
      <c r="E4" s="7">
        <v>7.02</v>
      </c>
      <c r="F4">
        <v>5.58</v>
      </c>
      <c r="G4">
        <v>164.51999999999998</v>
      </c>
      <c r="H4" s="7">
        <v>15.03</v>
      </c>
      <c r="I4">
        <v>50.129999999999995</v>
      </c>
      <c r="J4">
        <v>11.969999999999999</v>
      </c>
      <c r="K4">
        <v>26.64</v>
      </c>
      <c r="L4">
        <v>4.1399999999999997</v>
      </c>
      <c r="M4">
        <v>49.41</v>
      </c>
      <c r="N4" s="7">
        <v>3.51</v>
      </c>
      <c r="O4">
        <v>181.70999999999998</v>
      </c>
      <c r="P4" s="7">
        <v>24.48</v>
      </c>
      <c r="Q4">
        <v>10.44</v>
      </c>
      <c r="R4">
        <v>23.939999999999998</v>
      </c>
      <c r="S4" s="7">
        <v>69.66</v>
      </c>
      <c r="T4">
        <v>141.03</v>
      </c>
    </row>
    <row r="5" spans="1:20" ht="16" thickBot="1" x14ac:dyDescent="0.25">
      <c r="A5">
        <v>4</v>
      </c>
      <c r="B5" s="6" t="s">
        <v>4</v>
      </c>
      <c r="C5" s="7">
        <v>50529.24</v>
      </c>
      <c r="D5">
        <v>57214.35</v>
      </c>
      <c r="E5" s="7">
        <v>55163.07</v>
      </c>
      <c r="F5">
        <v>38730.78</v>
      </c>
      <c r="G5">
        <v>45974.43</v>
      </c>
      <c r="H5" s="7">
        <v>48038.58</v>
      </c>
      <c r="I5">
        <v>42476.13</v>
      </c>
      <c r="J5">
        <v>15707.43</v>
      </c>
      <c r="K5">
        <v>33862.5</v>
      </c>
      <c r="L5">
        <v>23223.42</v>
      </c>
      <c r="M5">
        <v>24779.16</v>
      </c>
      <c r="N5" s="7">
        <v>29669.4</v>
      </c>
      <c r="O5">
        <v>16936.11</v>
      </c>
      <c r="P5" s="7">
        <v>26800.560000000001</v>
      </c>
      <c r="Q5">
        <v>15736.23</v>
      </c>
      <c r="R5">
        <v>34295.67</v>
      </c>
      <c r="S5" s="7">
        <v>28301.4</v>
      </c>
      <c r="T5">
        <v>27926.82</v>
      </c>
    </row>
    <row r="6" spans="1:20" ht="16" thickBot="1" x14ac:dyDescent="0.25">
      <c r="A6">
        <v>5</v>
      </c>
      <c r="B6" s="6" t="s">
        <v>5</v>
      </c>
      <c r="C6" s="7">
        <v>30040.29</v>
      </c>
      <c r="D6">
        <v>39369.869999999995</v>
      </c>
      <c r="E6" s="7">
        <v>35465.58</v>
      </c>
      <c r="F6">
        <v>20282.04</v>
      </c>
      <c r="G6">
        <v>42087.33</v>
      </c>
      <c r="H6" s="7">
        <v>38588.85</v>
      </c>
      <c r="I6">
        <v>32814.18</v>
      </c>
      <c r="J6">
        <v>3915.54</v>
      </c>
      <c r="K6">
        <v>2802.42</v>
      </c>
      <c r="L6">
        <v>12569.67</v>
      </c>
      <c r="M6">
        <v>20605.59</v>
      </c>
      <c r="N6" s="7">
        <v>17194.86</v>
      </c>
      <c r="O6">
        <v>10284.48</v>
      </c>
      <c r="P6" s="7">
        <v>13075.92</v>
      </c>
      <c r="Q6">
        <v>11231.91</v>
      </c>
      <c r="R6">
        <v>13398.39</v>
      </c>
      <c r="S6" s="7">
        <v>16123.23</v>
      </c>
      <c r="T6">
        <v>15605.01</v>
      </c>
    </row>
    <row r="7" spans="1:20" ht="16" thickBot="1" x14ac:dyDescent="0.25">
      <c r="A7">
        <v>6</v>
      </c>
      <c r="B7" s="6" t="s">
        <v>6</v>
      </c>
      <c r="C7" s="7">
        <v>21514.95</v>
      </c>
      <c r="D7">
        <v>24244.649999999998</v>
      </c>
      <c r="E7" s="7">
        <v>17547.03</v>
      </c>
      <c r="F7">
        <v>28563.21</v>
      </c>
      <c r="G7">
        <v>13381.289999999999</v>
      </c>
      <c r="H7" s="7">
        <v>28538.37</v>
      </c>
      <c r="I7">
        <v>20918.52</v>
      </c>
      <c r="J7">
        <v>32111.91</v>
      </c>
      <c r="K7">
        <v>34119.81</v>
      </c>
      <c r="L7">
        <v>20792.16</v>
      </c>
      <c r="M7">
        <v>28884.87</v>
      </c>
      <c r="N7" s="7">
        <v>33667.379999999997</v>
      </c>
      <c r="O7">
        <v>16323.029999999999</v>
      </c>
      <c r="P7" s="7">
        <v>24970.14</v>
      </c>
      <c r="Q7">
        <v>26687.61</v>
      </c>
      <c r="R7">
        <v>17858.969999999998</v>
      </c>
      <c r="S7" s="7">
        <v>24799.86</v>
      </c>
      <c r="T7">
        <v>16857.18</v>
      </c>
    </row>
    <row r="8" spans="1:20" ht="16" thickBot="1" x14ac:dyDescent="0.25">
      <c r="A8">
        <v>7</v>
      </c>
      <c r="B8" s="6" t="s">
        <v>7</v>
      </c>
      <c r="C8" s="7">
        <v>101092.05</v>
      </c>
      <c r="D8">
        <v>81428.67</v>
      </c>
      <c r="E8" s="7">
        <v>97326</v>
      </c>
      <c r="F8">
        <v>115963.11</v>
      </c>
      <c r="G8">
        <v>100147.95</v>
      </c>
      <c r="H8" s="7">
        <v>89327.88</v>
      </c>
      <c r="I8">
        <v>104941.34999999999</v>
      </c>
      <c r="J8">
        <v>155528.63999999998</v>
      </c>
      <c r="K8">
        <v>136047.78</v>
      </c>
      <c r="L8">
        <v>146422.79999999999</v>
      </c>
      <c r="M8">
        <v>126649.08</v>
      </c>
      <c r="N8" s="7">
        <v>122688.54</v>
      </c>
      <c r="O8">
        <v>158679.09</v>
      </c>
      <c r="P8" s="7">
        <v>135594.81</v>
      </c>
      <c r="Q8">
        <v>147832.38</v>
      </c>
      <c r="R8">
        <v>135394.82999999999</v>
      </c>
      <c r="S8" s="7">
        <v>129102.21</v>
      </c>
      <c r="T8">
        <v>139964.49</v>
      </c>
    </row>
    <row r="9" spans="1:20" ht="16" thickBot="1" x14ac:dyDescent="0.25">
      <c r="A9">
        <v>8</v>
      </c>
      <c r="B9" s="6" t="s">
        <v>8</v>
      </c>
      <c r="C9" s="7">
        <v>4860.2700000000004</v>
      </c>
      <c r="D9">
        <v>5695.74</v>
      </c>
      <c r="E9" s="7">
        <v>3408.39</v>
      </c>
      <c r="F9">
        <v>4176.09</v>
      </c>
      <c r="G9">
        <v>7042.86</v>
      </c>
      <c r="H9" s="7">
        <v>2971.89</v>
      </c>
      <c r="I9">
        <v>5664.87</v>
      </c>
      <c r="J9">
        <v>2316.7799999999997</v>
      </c>
      <c r="K9">
        <v>3300.75</v>
      </c>
      <c r="L9">
        <v>5608.53</v>
      </c>
      <c r="M9">
        <v>5946.75</v>
      </c>
      <c r="N9" s="7">
        <v>7075.62</v>
      </c>
      <c r="O9">
        <v>7295.2199999999993</v>
      </c>
      <c r="P9" s="7">
        <v>6419.79</v>
      </c>
      <c r="Q9">
        <v>7963.29</v>
      </c>
      <c r="R9">
        <v>5856.75</v>
      </c>
      <c r="S9" s="7">
        <v>9367.56</v>
      </c>
      <c r="T9">
        <v>4876.0199999999995</v>
      </c>
    </row>
    <row r="10" spans="1:20" ht="16" thickBot="1" x14ac:dyDescent="0.25">
      <c r="A10">
        <v>9</v>
      </c>
      <c r="B10" s="6" t="s">
        <v>9</v>
      </c>
      <c r="C10" s="7">
        <v>58165.56</v>
      </c>
      <c r="D10">
        <v>58351.68</v>
      </c>
      <c r="E10" s="7">
        <v>57433.32</v>
      </c>
      <c r="F10">
        <v>58478.31</v>
      </c>
      <c r="G10">
        <v>57935.88</v>
      </c>
      <c r="H10" s="7">
        <v>58565.07</v>
      </c>
      <c r="I10">
        <v>58292.909999999996</v>
      </c>
      <c r="J10">
        <v>57255.57</v>
      </c>
      <c r="K10">
        <v>56002.5</v>
      </c>
      <c r="L10">
        <v>57202.11</v>
      </c>
      <c r="M10">
        <v>57456.36</v>
      </c>
      <c r="N10" s="7">
        <v>55385.37</v>
      </c>
      <c r="O10">
        <v>56547.81</v>
      </c>
      <c r="P10" s="7">
        <v>58623.57</v>
      </c>
      <c r="Q10">
        <v>56592.54</v>
      </c>
      <c r="R10">
        <v>57002.49</v>
      </c>
      <c r="S10" s="7">
        <v>55316.07</v>
      </c>
      <c r="T10">
        <v>57652.2</v>
      </c>
    </row>
    <row r="11" spans="1:20" ht="16" thickBot="1" x14ac:dyDescent="0.25">
      <c r="A11">
        <v>10</v>
      </c>
      <c r="B11" s="6" t="s">
        <v>10</v>
      </c>
      <c r="C11" s="7">
        <v>970.56</v>
      </c>
      <c r="D11">
        <v>865.26</v>
      </c>
      <c r="E11" s="7">
        <v>1193.58</v>
      </c>
      <c r="F11">
        <v>1089.3599999999999</v>
      </c>
      <c r="G11">
        <v>877.58999999999992</v>
      </c>
      <c r="H11" s="7">
        <v>1203.3</v>
      </c>
      <c r="I11">
        <v>2516.67</v>
      </c>
      <c r="J11">
        <v>690.03</v>
      </c>
      <c r="K11">
        <v>938.69999999999993</v>
      </c>
      <c r="L11">
        <v>1779.12</v>
      </c>
      <c r="M11">
        <v>3225.96</v>
      </c>
      <c r="N11" s="7">
        <v>1913.49</v>
      </c>
      <c r="O11">
        <v>502.74</v>
      </c>
      <c r="P11" s="7">
        <v>1823.04</v>
      </c>
      <c r="Q11">
        <v>1118.6099999999999</v>
      </c>
      <c r="R11">
        <v>3482.19</v>
      </c>
      <c r="S11" s="7">
        <v>4317.4799999999996</v>
      </c>
      <c r="T11">
        <v>3706.29</v>
      </c>
    </row>
    <row r="12" spans="1:20" x14ac:dyDescent="0.2">
      <c r="C12">
        <f>SUM(C2:C11)</f>
        <v>267713.09999999998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206.73</v>
      </c>
      <c r="D17">
        <f>AVERAGE(C2:E2)</f>
        <v>266.76000000000005</v>
      </c>
      <c r="E17">
        <f>C17-D17</f>
        <v>-60.030000000000058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443.11500000000001</v>
      </c>
      <c r="D18">
        <f t="shared" ref="D18:D25" si="1">AVERAGE(C3:E3)</f>
        <v>150.41999999999999</v>
      </c>
      <c r="E18">
        <f t="shared" ref="E18:E26" si="2">C18-D18</f>
        <v>292.69500000000005</v>
      </c>
    </row>
    <row r="19" spans="1:5" ht="16" thickBot="1" x14ac:dyDescent="0.25">
      <c r="A19">
        <v>3</v>
      </c>
      <c r="B19" s="6" t="s">
        <v>3</v>
      </c>
      <c r="C19">
        <f t="shared" si="0"/>
        <v>105.345</v>
      </c>
      <c r="D19">
        <f t="shared" si="1"/>
        <v>2.5499999999999998</v>
      </c>
      <c r="E19">
        <f t="shared" si="2"/>
        <v>102.795</v>
      </c>
    </row>
    <row r="20" spans="1:5" ht="16" thickBot="1" x14ac:dyDescent="0.25">
      <c r="A20">
        <v>4</v>
      </c>
      <c r="B20" s="6" t="s">
        <v>4</v>
      </c>
      <c r="C20">
        <f t="shared" si="0"/>
        <v>28114.11</v>
      </c>
      <c r="D20">
        <f t="shared" si="1"/>
        <v>54302.22</v>
      </c>
      <c r="E20">
        <f t="shared" si="2"/>
        <v>-26188.11</v>
      </c>
    </row>
    <row r="21" spans="1:5" ht="16" thickBot="1" x14ac:dyDescent="0.25">
      <c r="A21">
        <v>5</v>
      </c>
      <c r="B21" s="6" t="s">
        <v>5</v>
      </c>
      <c r="C21">
        <f t="shared" si="0"/>
        <v>15864.119999999999</v>
      </c>
      <c r="D21">
        <f t="shared" si="1"/>
        <v>34958.58</v>
      </c>
      <c r="E21">
        <f t="shared" si="2"/>
        <v>-19094.460000000003</v>
      </c>
    </row>
    <row r="22" spans="1:5" ht="16" thickBot="1" x14ac:dyDescent="0.25">
      <c r="A22">
        <v>6</v>
      </c>
      <c r="B22" s="6" t="s">
        <v>6</v>
      </c>
      <c r="C22">
        <f t="shared" si="0"/>
        <v>20828.52</v>
      </c>
      <c r="D22">
        <f t="shared" si="1"/>
        <v>21102.21</v>
      </c>
      <c r="E22">
        <f t="shared" si="2"/>
        <v>-273.68999999999869</v>
      </c>
    </row>
    <row r="23" spans="1:5" ht="16" thickBot="1" x14ac:dyDescent="0.25">
      <c r="A23">
        <v>7</v>
      </c>
      <c r="B23" s="6" t="s">
        <v>7</v>
      </c>
      <c r="C23">
        <f t="shared" si="0"/>
        <v>134533.35</v>
      </c>
      <c r="D23">
        <f t="shared" si="1"/>
        <v>93282.239999999991</v>
      </c>
      <c r="E23">
        <f t="shared" si="2"/>
        <v>41251.110000000015</v>
      </c>
    </row>
    <row r="24" spans="1:5" ht="16" thickBot="1" x14ac:dyDescent="0.25">
      <c r="A24">
        <v>8</v>
      </c>
      <c r="B24" s="6" t="s">
        <v>8</v>
      </c>
      <c r="C24">
        <f t="shared" si="0"/>
        <v>7121.7899999999991</v>
      </c>
      <c r="D24">
        <f t="shared" si="1"/>
        <v>4654.8</v>
      </c>
      <c r="E24">
        <f t="shared" si="2"/>
        <v>2466.9899999999989</v>
      </c>
    </row>
    <row r="25" spans="1:5" ht="16" thickBot="1" x14ac:dyDescent="0.25">
      <c r="A25">
        <v>9</v>
      </c>
      <c r="B25" s="6" t="s">
        <v>9</v>
      </c>
      <c r="C25">
        <f t="shared" si="0"/>
        <v>56484.134999999995</v>
      </c>
      <c r="D25">
        <f t="shared" si="1"/>
        <v>57983.519999999997</v>
      </c>
      <c r="E25">
        <f t="shared" si="2"/>
        <v>-1499.385000000002</v>
      </c>
    </row>
    <row r="26" spans="1:5" ht="16" thickBot="1" x14ac:dyDescent="0.25">
      <c r="A26">
        <v>10</v>
      </c>
      <c r="B26" s="6" t="s">
        <v>10</v>
      </c>
      <c r="C26">
        <f>AVERAGE(S11:T11)</f>
        <v>4011.8849999999998</v>
      </c>
      <c r="D26">
        <f>AVERAGE(C11:E11)</f>
        <v>1009.7999999999998</v>
      </c>
      <c r="E26">
        <f t="shared" si="2"/>
        <v>3002.085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-22.503373819163311</v>
      </c>
    </row>
    <row r="32" spans="1:5" x14ac:dyDescent="0.2">
      <c r="B32" s="13" t="s">
        <v>2</v>
      </c>
      <c r="E32" s="14">
        <f t="shared" ref="E32:E40" si="3">(E18/D18)*100</f>
        <v>194.58516154766659</v>
      </c>
    </row>
    <row r="33" spans="2:5" x14ac:dyDescent="0.2">
      <c r="B33" s="13" t="s">
        <v>3</v>
      </c>
      <c r="E33" s="14">
        <f t="shared" si="3"/>
        <v>4031.1764705882351</v>
      </c>
    </row>
    <row r="34" spans="2:5" x14ac:dyDescent="0.2">
      <c r="B34" s="13" t="s">
        <v>4</v>
      </c>
      <c r="E34" s="14">
        <f t="shared" si="3"/>
        <v>-48.226591840996555</v>
      </c>
    </row>
    <row r="35" spans="2:5" x14ac:dyDescent="0.2">
      <c r="B35" s="13" t="s">
        <v>5</v>
      </c>
      <c r="E35" s="14">
        <f t="shared" si="3"/>
        <v>-54.620239151590255</v>
      </c>
    </row>
    <row r="36" spans="2:5" x14ac:dyDescent="0.2">
      <c r="B36" s="13" t="s">
        <v>6</v>
      </c>
      <c r="E36" s="14">
        <f t="shared" si="3"/>
        <v>-1.2969731606310368</v>
      </c>
    </row>
    <row r="37" spans="2:5" x14ac:dyDescent="0.2">
      <c r="B37" s="13" t="s">
        <v>7</v>
      </c>
      <c r="E37" s="14">
        <f t="shared" si="3"/>
        <v>44.221826148257179</v>
      </c>
    </row>
    <row r="38" spans="2:5" x14ac:dyDescent="0.2">
      <c r="B38" s="13" t="s">
        <v>8</v>
      </c>
      <c r="E38" s="14">
        <f t="shared" si="3"/>
        <v>52.998839907192554</v>
      </c>
    </row>
    <row r="39" spans="2:5" x14ac:dyDescent="0.2">
      <c r="B39" s="13" t="s">
        <v>9</v>
      </c>
      <c r="E39" s="14">
        <f t="shared" si="3"/>
        <v>-2.5858812986862509</v>
      </c>
    </row>
    <row r="40" spans="2:5" x14ac:dyDescent="0.2">
      <c r="B40" s="13" t="s">
        <v>10</v>
      </c>
      <c r="E40" s="14">
        <f t="shared" si="3"/>
        <v>297.29500891265604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0499-2A99-2A4E-9F57-FD3A421E3EB8}">
  <dimension ref="A1:T40"/>
  <sheetViews>
    <sheetView workbookViewId="0">
      <selection activeCell="C9" sqref="C9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283961.33999999997</v>
      </c>
      <c r="D2">
        <v>242070.38999999998</v>
      </c>
      <c r="E2" s="7">
        <v>429324.75</v>
      </c>
      <c r="F2">
        <v>238469.84999999998</v>
      </c>
      <c r="G2">
        <v>341244.26999999996</v>
      </c>
      <c r="H2">
        <v>398567.51999999996</v>
      </c>
      <c r="I2">
        <v>321760.44</v>
      </c>
      <c r="J2">
        <v>302736.42</v>
      </c>
      <c r="K2">
        <v>275285.61</v>
      </c>
      <c r="L2" s="7">
        <v>251367.39</v>
      </c>
      <c r="M2">
        <v>369412.47</v>
      </c>
      <c r="N2">
        <v>404447.57999999996</v>
      </c>
      <c r="O2">
        <v>284491.62</v>
      </c>
      <c r="P2">
        <v>349851.69</v>
      </c>
      <c r="Q2">
        <v>187833.96</v>
      </c>
      <c r="R2">
        <v>346178.16</v>
      </c>
      <c r="S2">
        <v>317042.90999999997</v>
      </c>
      <c r="T2" s="7">
        <v>320208.12</v>
      </c>
    </row>
    <row r="3" spans="1:20" ht="16" thickBot="1" x14ac:dyDescent="0.25">
      <c r="A3">
        <v>2</v>
      </c>
      <c r="B3" s="6" t="s">
        <v>2</v>
      </c>
      <c r="C3">
        <v>16303.68</v>
      </c>
      <c r="D3">
        <v>59648.49</v>
      </c>
      <c r="E3" s="7">
        <v>164891.51999999999</v>
      </c>
      <c r="F3">
        <v>184905.53999999998</v>
      </c>
      <c r="G3">
        <v>194984.91</v>
      </c>
      <c r="H3">
        <v>51078.96</v>
      </c>
      <c r="I3">
        <v>125013.23999999999</v>
      </c>
      <c r="J3">
        <v>69677.19</v>
      </c>
      <c r="K3">
        <v>6021.8099999999995</v>
      </c>
      <c r="L3" s="7">
        <v>20109.78</v>
      </c>
      <c r="M3">
        <v>86768.28</v>
      </c>
      <c r="N3">
        <v>54266.22</v>
      </c>
      <c r="O3">
        <v>25667.55</v>
      </c>
      <c r="P3">
        <v>28529.64</v>
      </c>
      <c r="Q3">
        <v>5530.86</v>
      </c>
      <c r="R3">
        <v>48036.689999999995</v>
      </c>
      <c r="S3">
        <v>79170.3</v>
      </c>
      <c r="T3" s="7">
        <v>74644.83</v>
      </c>
    </row>
    <row r="4" spans="1:20" ht="16" thickBot="1" x14ac:dyDescent="0.25">
      <c r="A4">
        <v>3</v>
      </c>
      <c r="B4" s="6" t="s">
        <v>3</v>
      </c>
      <c r="C4">
        <v>4353.03</v>
      </c>
      <c r="D4">
        <v>10767.69</v>
      </c>
      <c r="E4" s="7">
        <v>6341.04</v>
      </c>
      <c r="F4">
        <v>31798.89</v>
      </c>
      <c r="G4">
        <v>16644.96</v>
      </c>
      <c r="H4">
        <v>14616.81</v>
      </c>
      <c r="I4">
        <v>824.04</v>
      </c>
      <c r="J4">
        <v>9021.24</v>
      </c>
      <c r="K4">
        <v>8024.3099999999995</v>
      </c>
      <c r="L4" s="7">
        <v>4478.8500000000004</v>
      </c>
      <c r="M4">
        <v>11915.1</v>
      </c>
      <c r="N4">
        <v>9760.9499999999989</v>
      </c>
      <c r="O4">
        <v>36878.67</v>
      </c>
      <c r="P4">
        <v>2513.61</v>
      </c>
      <c r="Q4">
        <v>61759.619999999995</v>
      </c>
      <c r="R4">
        <v>11816.279999999999</v>
      </c>
      <c r="S4">
        <v>23060.43</v>
      </c>
      <c r="T4" s="7">
        <v>50011.29</v>
      </c>
    </row>
    <row r="5" spans="1:20" ht="16" thickBot="1" x14ac:dyDescent="0.25">
      <c r="A5">
        <v>4</v>
      </c>
      <c r="B5" s="6" t="s">
        <v>4</v>
      </c>
      <c r="C5">
        <v>2369198.4299999997</v>
      </c>
      <c r="D5">
        <v>2372608.7999999998</v>
      </c>
      <c r="E5" s="7">
        <v>1905759</v>
      </c>
      <c r="F5">
        <v>2016822.24</v>
      </c>
      <c r="G5">
        <v>1838042.0999999999</v>
      </c>
      <c r="H5">
        <v>2072079.0899999999</v>
      </c>
      <c r="I5">
        <v>2131707.33</v>
      </c>
      <c r="J5">
        <v>2099497.5</v>
      </c>
      <c r="K5">
        <v>1860582.8699999999</v>
      </c>
      <c r="L5" s="7">
        <v>2103350.67</v>
      </c>
      <c r="M5">
        <v>2043283.41</v>
      </c>
      <c r="N5">
        <v>1957431.78</v>
      </c>
      <c r="O5">
        <v>1712917.26</v>
      </c>
      <c r="P5">
        <v>2089272.24</v>
      </c>
      <c r="Q5">
        <v>1933583.94</v>
      </c>
      <c r="R5">
        <v>1878520.41</v>
      </c>
      <c r="S5">
        <v>1767222.72</v>
      </c>
      <c r="T5" s="7">
        <v>1860957.36</v>
      </c>
    </row>
    <row r="6" spans="1:20" ht="16" thickBot="1" x14ac:dyDescent="0.25">
      <c r="A6">
        <v>5</v>
      </c>
      <c r="B6" s="6" t="s">
        <v>5</v>
      </c>
      <c r="C6">
        <v>75249.899999999994</v>
      </c>
      <c r="D6">
        <v>30203.46</v>
      </c>
      <c r="E6" s="7">
        <v>94673.7</v>
      </c>
      <c r="F6">
        <v>74215.709999999992</v>
      </c>
      <c r="G6">
        <v>158109.21</v>
      </c>
      <c r="H6">
        <v>99682.739999999991</v>
      </c>
      <c r="I6">
        <v>116517.23999999999</v>
      </c>
      <c r="J6">
        <v>46180.17</v>
      </c>
      <c r="K6">
        <v>80808.03</v>
      </c>
      <c r="L6" s="7">
        <v>87015.51</v>
      </c>
      <c r="M6">
        <v>63452.88</v>
      </c>
      <c r="N6">
        <v>62988.84</v>
      </c>
      <c r="O6">
        <v>218400.93</v>
      </c>
      <c r="P6">
        <v>70529.22</v>
      </c>
      <c r="Q6">
        <v>101559.33</v>
      </c>
      <c r="R6">
        <v>58618.89</v>
      </c>
      <c r="S6">
        <v>46875.96</v>
      </c>
      <c r="T6" s="7">
        <v>65685.509999999995</v>
      </c>
    </row>
    <row r="7" spans="1:20" ht="16" thickBot="1" x14ac:dyDescent="0.25">
      <c r="A7">
        <v>6</v>
      </c>
      <c r="B7" s="6" t="s">
        <v>6</v>
      </c>
      <c r="C7">
        <v>0</v>
      </c>
      <c r="D7">
        <v>1.26</v>
      </c>
      <c r="E7" s="7">
        <v>0</v>
      </c>
      <c r="F7">
        <v>39.6</v>
      </c>
      <c r="G7">
        <v>0</v>
      </c>
      <c r="H7">
        <v>0</v>
      </c>
      <c r="I7">
        <v>0</v>
      </c>
      <c r="J7">
        <v>0</v>
      </c>
      <c r="K7">
        <v>21.15</v>
      </c>
      <c r="L7" s="7">
        <v>0</v>
      </c>
      <c r="M7">
        <v>0</v>
      </c>
      <c r="N7">
        <v>1.7999999999999998</v>
      </c>
      <c r="O7">
        <v>2.88</v>
      </c>
      <c r="P7">
        <v>12.959999999999999</v>
      </c>
      <c r="Q7">
        <v>0.44999999999999996</v>
      </c>
      <c r="R7">
        <v>0.44999999999999996</v>
      </c>
      <c r="S7">
        <v>99.45</v>
      </c>
      <c r="T7" s="7">
        <v>66.599999999999994</v>
      </c>
    </row>
    <row r="8" spans="1:20" ht="16" thickBot="1" x14ac:dyDescent="0.25">
      <c r="A8">
        <v>7</v>
      </c>
      <c r="B8" s="6" t="s">
        <v>7</v>
      </c>
      <c r="C8">
        <v>285776.09999999998</v>
      </c>
      <c r="D8">
        <v>319636.89</v>
      </c>
      <c r="E8" s="7">
        <v>431320.32000000001</v>
      </c>
      <c r="F8">
        <v>487734.02999999997</v>
      </c>
      <c r="G8">
        <v>486963.63</v>
      </c>
      <c r="H8">
        <v>393920.27999999997</v>
      </c>
      <c r="I8">
        <v>341118.26999999996</v>
      </c>
      <c r="J8">
        <v>506854.98</v>
      </c>
      <c r="K8">
        <v>790269.48</v>
      </c>
      <c r="L8" s="7">
        <v>557891.37</v>
      </c>
      <c r="M8">
        <v>458445.77999999997</v>
      </c>
      <c r="N8">
        <v>541936.26</v>
      </c>
      <c r="O8">
        <v>754899.84</v>
      </c>
      <c r="P8">
        <v>488821.94999999995</v>
      </c>
      <c r="Q8">
        <v>741259.62</v>
      </c>
      <c r="R8">
        <v>688699.98</v>
      </c>
      <c r="S8">
        <v>796441.86</v>
      </c>
      <c r="T8" s="7">
        <v>654013.80000000005</v>
      </c>
    </row>
    <row r="9" spans="1:20" ht="16" thickBot="1" x14ac:dyDescent="0.25">
      <c r="A9">
        <v>8</v>
      </c>
      <c r="B9" s="6" t="s">
        <v>8</v>
      </c>
      <c r="C9" s="22">
        <v>0.1</v>
      </c>
      <c r="D9">
        <v>0</v>
      </c>
      <c r="E9" s="7">
        <v>0</v>
      </c>
      <c r="F9">
        <v>268.64999999999998</v>
      </c>
      <c r="G9">
        <v>0</v>
      </c>
      <c r="H9">
        <v>89.36999999999999</v>
      </c>
      <c r="I9">
        <v>14.399999999999999</v>
      </c>
      <c r="J9">
        <v>126.44999999999999</v>
      </c>
      <c r="K9">
        <v>0</v>
      </c>
      <c r="L9" s="7">
        <v>169.38</v>
      </c>
      <c r="M9">
        <v>1.53</v>
      </c>
      <c r="N9">
        <v>902.69999999999993</v>
      </c>
      <c r="O9">
        <v>11.879999999999999</v>
      </c>
      <c r="P9">
        <v>53.82</v>
      </c>
      <c r="Q9">
        <v>5.3999999999999995</v>
      </c>
      <c r="R9">
        <v>163.53</v>
      </c>
      <c r="S9">
        <v>23.13</v>
      </c>
      <c r="T9" s="7">
        <v>313.83</v>
      </c>
    </row>
    <row r="10" spans="1:20" ht="16" thickBot="1" x14ac:dyDescent="0.25">
      <c r="A10">
        <v>9</v>
      </c>
      <c r="B10" s="6" t="s">
        <v>9</v>
      </c>
      <c r="C10">
        <v>3392.19</v>
      </c>
      <c r="D10">
        <v>4825.53</v>
      </c>
      <c r="E10" s="7">
        <v>3118.68</v>
      </c>
      <c r="F10">
        <v>3805.3799999999997</v>
      </c>
      <c r="G10">
        <v>3176.91</v>
      </c>
      <c r="H10">
        <v>3431.6099999999997</v>
      </c>
      <c r="I10">
        <v>2941.29</v>
      </c>
      <c r="J10">
        <v>3067.02</v>
      </c>
      <c r="K10">
        <v>3143.0699999999997</v>
      </c>
      <c r="L10" s="7">
        <v>3056.58</v>
      </c>
      <c r="M10">
        <v>3271.14</v>
      </c>
      <c r="N10">
        <v>3547.7999999999997</v>
      </c>
      <c r="O10">
        <v>2854.2599999999998</v>
      </c>
      <c r="P10">
        <v>5067.1799999999994</v>
      </c>
      <c r="Q10">
        <v>3797.46</v>
      </c>
      <c r="R10">
        <v>3553.3799999999997</v>
      </c>
      <c r="S10">
        <v>3417.2999999999997</v>
      </c>
      <c r="T10" s="7">
        <v>4992.12</v>
      </c>
    </row>
    <row r="11" spans="1:20" ht="16" thickBot="1" x14ac:dyDescent="0.25">
      <c r="A11">
        <v>10</v>
      </c>
      <c r="B11" s="6" t="s">
        <v>10</v>
      </c>
      <c r="C11">
        <v>5418.63</v>
      </c>
      <c r="D11">
        <v>3890.79</v>
      </c>
      <c r="E11" s="7">
        <v>8224.2900000000009</v>
      </c>
      <c r="F11">
        <v>5593.41</v>
      </c>
      <c r="G11">
        <v>4487.3099999999995</v>
      </c>
      <c r="H11">
        <v>10186.92</v>
      </c>
      <c r="I11">
        <v>3757.0499999999997</v>
      </c>
      <c r="J11">
        <v>6492.33</v>
      </c>
      <c r="K11">
        <v>19496.969999999998</v>
      </c>
      <c r="L11" s="7">
        <v>16213.77</v>
      </c>
      <c r="M11">
        <v>7102.71</v>
      </c>
      <c r="N11">
        <v>8369.369999999999</v>
      </c>
      <c r="O11">
        <v>7528.41</v>
      </c>
      <c r="P11">
        <v>9000.99</v>
      </c>
      <c r="Q11">
        <v>8322.66</v>
      </c>
      <c r="R11">
        <v>8065.53</v>
      </c>
      <c r="S11">
        <v>10299.24</v>
      </c>
      <c r="T11" s="7">
        <v>12759.84</v>
      </c>
    </row>
    <row r="12" spans="1:20" x14ac:dyDescent="0.2">
      <c r="C12">
        <f>SUM(C2:C11)</f>
        <v>3043653.3999999994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318625.51500000001</v>
      </c>
      <c r="D17">
        <f>AVERAGE(C2:E2)</f>
        <v>318452.15999999997</v>
      </c>
      <c r="E17">
        <f>C17-D17</f>
        <v>173.35500000003958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76907.565000000002</v>
      </c>
      <c r="D18">
        <f t="shared" ref="D18:D25" si="1">AVERAGE(C3:E3)</f>
        <v>80281.23</v>
      </c>
      <c r="E18">
        <f t="shared" ref="E18:E26" si="2">C18-D18</f>
        <v>-3373.6649999999936</v>
      </c>
    </row>
    <row r="19" spans="1:5" ht="16" thickBot="1" x14ac:dyDescent="0.25">
      <c r="A19">
        <v>3</v>
      </c>
      <c r="B19" s="6" t="s">
        <v>3</v>
      </c>
      <c r="C19">
        <f t="shared" si="0"/>
        <v>36535.86</v>
      </c>
      <c r="D19">
        <f t="shared" si="1"/>
        <v>7153.920000000001</v>
      </c>
      <c r="E19">
        <f t="shared" si="2"/>
        <v>29381.94</v>
      </c>
    </row>
    <row r="20" spans="1:5" ht="16" thickBot="1" x14ac:dyDescent="0.25">
      <c r="A20">
        <v>4</v>
      </c>
      <c r="B20" s="6" t="s">
        <v>4</v>
      </c>
      <c r="C20">
        <f t="shared" si="0"/>
        <v>1814090.04</v>
      </c>
      <c r="D20">
        <f t="shared" si="1"/>
        <v>2215855.4099999997</v>
      </c>
      <c r="E20">
        <f t="shared" si="2"/>
        <v>-401765.36999999965</v>
      </c>
    </row>
    <row r="21" spans="1:5" ht="16" thickBot="1" x14ac:dyDescent="0.25">
      <c r="A21">
        <v>5</v>
      </c>
      <c r="B21" s="6" t="s">
        <v>5</v>
      </c>
      <c r="C21">
        <f t="shared" si="0"/>
        <v>56280.735000000001</v>
      </c>
      <c r="D21">
        <f t="shared" si="1"/>
        <v>66709.02</v>
      </c>
      <c r="E21">
        <f t="shared" si="2"/>
        <v>-10428.285000000003</v>
      </c>
    </row>
    <row r="22" spans="1:5" ht="16" thickBot="1" x14ac:dyDescent="0.25">
      <c r="A22">
        <v>6</v>
      </c>
      <c r="B22" s="6" t="s">
        <v>6</v>
      </c>
      <c r="C22">
        <f t="shared" si="0"/>
        <v>83.025000000000006</v>
      </c>
      <c r="D22">
        <f t="shared" si="1"/>
        <v>0.42</v>
      </c>
      <c r="E22">
        <f t="shared" si="2"/>
        <v>82.605000000000004</v>
      </c>
    </row>
    <row r="23" spans="1:5" ht="16" thickBot="1" x14ac:dyDescent="0.25">
      <c r="A23">
        <v>7</v>
      </c>
      <c r="B23" s="6" t="s">
        <v>7</v>
      </c>
      <c r="C23">
        <f t="shared" si="0"/>
        <v>725227.83000000007</v>
      </c>
      <c r="D23">
        <f t="shared" si="1"/>
        <v>345577.77</v>
      </c>
      <c r="E23">
        <f t="shared" si="2"/>
        <v>379650.06000000006</v>
      </c>
    </row>
    <row r="24" spans="1:5" ht="16" thickBot="1" x14ac:dyDescent="0.25">
      <c r="A24">
        <v>8</v>
      </c>
      <c r="B24" s="6" t="s">
        <v>8</v>
      </c>
      <c r="C24">
        <f t="shared" si="0"/>
        <v>168.48</v>
      </c>
      <c r="D24">
        <f t="shared" si="1"/>
        <v>3.3333333333333333E-2</v>
      </c>
      <c r="E24">
        <f t="shared" si="2"/>
        <v>168.44666666666666</v>
      </c>
    </row>
    <row r="25" spans="1:5" ht="16" thickBot="1" x14ac:dyDescent="0.25">
      <c r="A25">
        <v>9</v>
      </c>
      <c r="B25" s="6" t="s">
        <v>9</v>
      </c>
      <c r="C25">
        <f t="shared" si="0"/>
        <v>4204.71</v>
      </c>
      <c r="D25">
        <f t="shared" si="1"/>
        <v>3778.7999999999997</v>
      </c>
      <c r="E25">
        <f t="shared" si="2"/>
        <v>425.91000000000031</v>
      </c>
    </row>
    <row r="26" spans="1:5" ht="16" thickBot="1" x14ac:dyDescent="0.25">
      <c r="A26">
        <v>10</v>
      </c>
      <c r="B26" s="6" t="s">
        <v>10</v>
      </c>
      <c r="C26">
        <f>AVERAGE(S11:T11)</f>
        <v>11529.54</v>
      </c>
      <c r="D26">
        <f>AVERAGE(C11:E11)</f>
        <v>5844.57</v>
      </c>
      <c r="E26">
        <f t="shared" si="2"/>
        <v>5684.9700000000012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5.4436748050331829E-2</v>
      </c>
    </row>
    <row r="32" spans="1:5" x14ac:dyDescent="0.2">
      <c r="B32" s="13" t="s">
        <v>2</v>
      </c>
      <c r="E32" s="14">
        <f t="shared" ref="E32:E40" si="3">(E18/D18)*100</f>
        <v>-4.2023085595474727</v>
      </c>
    </row>
    <row r="33" spans="2:5" x14ac:dyDescent="0.2">
      <c r="B33" s="13" t="s">
        <v>3</v>
      </c>
      <c r="E33" s="14">
        <f t="shared" si="3"/>
        <v>410.71105072463763</v>
      </c>
    </row>
    <row r="34" spans="2:5" x14ac:dyDescent="0.2">
      <c r="B34" s="13" t="s">
        <v>4</v>
      </c>
      <c r="E34" s="14">
        <f t="shared" si="3"/>
        <v>-18.131389267858395</v>
      </c>
    </row>
    <row r="35" spans="2:5" x14ac:dyDescent="0.2">
      <c r="B35" s="13" t="s">
        <v>5</v>
      </c>
      <c r="E35" s="14">
        <f t="shared" si="3"/>
        <v>-15.632496175179913</v>
      </c>
    </row>
    <row r="36" spans="2:5" x14ac:dyDescent="0.2">
      <c r="B36" s="13" t="s">
        <v>6</v>
      </c>
      <c r="E36" s="14">
        <f t="shared" si="3"/>
        <v>19667.857142857145</v>
      </c>
    </row>
    <row r="37" spans="2:5" x14ac:dyDescent="0.2">
      <c r="B37" s="13" t="s">
        <v>7</v>
      </c>
      <c r="E37" s="14">
        <f t="shared" si="3"/>
        <v>109.85951440105654</v>
      </c>
    </row>
    <row r="38" spans="2:5" x14ac:dyDescent="0.2">
      <c r="B38" s="13" t="s">
        <v>8</v>
      </c>
      <c r="E38" s="14">
        <f t="shared" si="3"/>
        <v>505339.99999999994</v>
      </c>
    </row>
    <row r="39" spans="2:5" x14ac:dyDescent="0.2">
      <c r="B39" s="13" t="s">
        <v>9</v>
      </c>
      <c r="E39" s="14">
        <f t="shared" si="3"/>
        <v>11.271038424896801</v>
      </c>
    </row>
    <row r="40" spans="2:5" x14ac:dyDescent="0.2">
      <c r="B40" s="13" t="s">
        <v>10</v>
      </c>
      <c r="E40" s="14">
        <f t="shared" si="3"/>
        <v>97.269260185094907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CB01-FF3D-944D-BA21-40770A141CF7}">
  <dimension ref="A1:T40"/>
  <sheetViews>
    <sheetView workbookViewId="0">
      <selection activeCell="E38" sqref="E38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23297.67</v>
      </c>
      <c r="D2" s="7">
        <v>34503.480000000003</v>
      </c>
      <c r="E2">
        <v>11924.1</v>
      </c>
      <c r="F2">
        <v>16858.98</v>
      </c>
      <c r="G2">
        <v>8057.4299999999994</v>
      </c>
      <c r="H2" s="7">
        <v>22023.54</v>
      </c>
      <c r="I2" s="7">
        <v>14335.11</v>
      </c>
      <c r="J2">
        <v>14602.23</v>
      </c>
      <c r="K2" s="7">
        <v>23474.61</v>
      </c>
      <c r="L2">
        <v>26939.969999999998</v>
      </c>
      <c r="M2">
        <v>9820.35</v>
      </c>
      <c r="N2" s="7">
        <v>13008.6</v>
      </c>
      <c r="O2" s="7">
        <v>16451.28</v>
      </c>
      <c r="P2">
        <v>16536.329999999998</v>
      </c>
      <c r="Q2">
        <v>20884.95</v>
      </c>
      <c r="R2">
        <v>18286.649999999998</v>
      </c>
      <c r="S2" s="7">
        <v>18046.169999999998</v>
      </c>
      <c r="T2">
        <v>16504.11</v>
      </c>
    </row>
    <row r="3" spans="1:20" ht="16" thickBot="1" x14ac:dyDescent="0.25">
      <c r="A3">
        <v>2</v>
      </c>
      <c r="B3" s="6" t="s">
        <v>2</v>
      </c>
      <c r="C3">
        <v>20109.599999999999</v>
      </c>
      <c r="D3" s="7">
        <v>19502.28</v>
      </c>
      <c r="E3">
        <v>49518.81</v>
      </c>
      <c r="F3">
        <v>24944.04</v>
      </c>
      <c r="G3">
        <v>53784.45</v>
      </c>
      <c r="H3" s="7">
        <v>17057.97</v>
      </c>
      <c r="I3" s="7">
        <v>48789.18</v>
      </c>
      <c r="J3">
        <v>10252.35</v>
      </c>
      <c r="K3" s="7">
        <v>13085.91</v>
      </c>
      <c r="L3">
        <v>22405.32</v>
      </c>
      <c r="M3">
        <v>26219.52</v>
      </c>
      <c r="N3" s="7">
        <v>26545.59</v>
      </c>
      <c r="O3" s="7">
        <v>23440.95</v>
      </c>
      <c r="P3">
        <v>18264.689999999999</v>
      </c>
      <c r="Q3">
        <v>10329.299999999999</v>
      </c>
      <c r="R3">
        <v>17788.77</v>
      </c>
      <c r="S3" s="7">
        <v>14739.84</v>
      </c>
      <c r="T3">
        <v>24176.16</v>
      </c>
    </row>
    <row r="4" spans="1:20" ht="16" thickBot="1" x14ac:dyDescent="0.25">
      <c r="A4">
        <v>3</v>
      </c>
      <c r="B4" s="6" t="s">
        <v>3</v>
      </c>
      <c r="C4">
        <v>9786.7799999999988</v>
      </c>
      <c r="D4" s="7">
        <v>4883.3100000000004</v>
      </c>
      <c r="E4">
        <v>24130.71</v>
      </c>
      <c r="F4">
        <v>12684.51</v>
      </c>
      <c r="G4">
        <v>34669.53</v>
      </c>
      <c r="H4" s="7">
        <v>19628.82</v>
      </c>
      <c r="I4" s="7">
        <v>31639.23</v>
      </c>
      <c r="J4">
        <v>44315.549999999996</v>
      </c>
      <c r="K4" s="7">
        <v>8508.33</v>
      </c>
      <c r="L4">
        <v>11113.65</v>
      </c>
      <c r="M4">
        <v>34153.74</v>
      </c>
      <c r="N4" s="7">
        <v>31907.61</v>
      </c>
      <c r="O4" s="7">
        <v>12084.93</v>
      </c>
      <c r="P4">
        <v>7498.17</v>
      </c>
      <c r="Q4">
        <v>16663.5</v>
      </c>
      <c r="R4">
        <v>10880.279999999999</v>
      </c>
      <c r="S4" s="7">
        <v>6889.14</v>
      </c>
      <c r="T4">
        <v>7058.4299999999994</v>
      </c>
    </row>
    <row r="5" spans="1:20" ht="16" thickBot="1" x14ac:dyDescent="0.25">
      <c r="A5">
        <v>4</v>
      </c>
      <c r="B5" s="6" t="s">
        <v>4</v>
      </c>
      <c r="C5">
        <v>720512.1</v>
      </c>
      <c r="D5" s="7">
        <v>677582.46</v>
      </c>
      <c r="E5">
        <v>658692.99</v>
      </c>
      <c r="F5">
        <v>707771.7</v>
      </c>
      <c r="G5">
        <v>677536.83</v>
      </c>
      <c r="H5" s="7">
        <v>699885.27</v>
      </c>
      <c r="I5" s="7">
        <v>678645.99</v>
      </c>
      <c r="J5">
        <v>658146.78</v>
      </c>
      <c r="K5" s="7">
        <v>710036.91</v>
      </c>
      <c r="L5">
        <v>654882.39</v>
      </c>
      <c r="M5">
        <v>633054.78</v>
      </c>
      <c r="N5" s="7">
        <v>644701.14</v>
      </c>
      <c r="O5" s="7">
        <v>462142.44</v>
      </c>
      <c r="P5">
        <v>684963.63</v>
      </c>
      <c r="Q5">
        <v>622561.41</v>
      </c>
      <c r="R5">
        <v>667246.5</v>
      </c>
      <c r="S5" s="7">
        <v>527778</v>
      </c>
      <c r="T5">
        <v>631694.06999999995</v>
      </c>
    </row>
    <row r="6" spans="1:20" ht="16" thickBot="1" x14ac:dyDescent="0.25">
      <c r="A6">
        <v>5</v>
      </c>
      <c r="B6" s="6" t="s">
        <v>5</v>
      </c>
      <c r="C6">
        <v>24741.360000000001</v>
      </c>
      <c r="D6" s="7">
        <v>23662.98</v>
      </c>
      <c r="E6">
        <v>57283.65</v>
      </c>
      <c r="F6">
        <v>27018.45</v>
      </c>
      <c r="G6">
        <v>25602.57</v>
      </c>
      <c r="H6" s="7">
        <v>17862.75</v>
      </c>
      <c r="I6" s="7">
        <v>12731.85</v>
      </c>
      <c r="J6">
        <v>29380.14</v>
      </c>
      <c r="K6" s="7">
        <v>29446.47</v>
      </c>
      <c r="L6">
        <v>35765.729999999996</v>
      </c>
      <c r="M6">
        <v>46377.9</v>
      </c>
      <c r="N6" s="7">
        <v>28175.22</v>
      </c>
      <c r="O6" s="7">
        <v>192649.86</v>
      </c>
      <c r="P6">
        <v>28370.969999999998</v>
      </c>
      <c r="Q6">
        <v>56025.9</v>
      </c>
      <c r="R6">
        <v>31479.75</v>
      </c>
      <c r="S6" s="7">
        <v>73151.64</v>
      </c>
      <c r="T6">
        <v>50137.47</v>
      </c>
    </row>
    <row r="7" spans="1:20" ht="16" thickBot="1" x14ac:dyDescent="0.25">
      <c r="A7">
        <v>6</v>
      </c>
      <c r="B7" s="6" t="s">
        <v>6</v>
      </c>
      <c r="C7">
        <v>2298.5099999999998</v>
      </c>
      <c r="D7" s="7">
        <v>2628.63</v>
      </c>
      <c r="E7">
        <v>2588.67</v>
      </c>
      <c r="F7">
        <v>4109.04</v>
      </c>
      <c r="G7">
        <v>3356.46</v>
      </c>
      <c r="H7" s="7">
        <v>3800.61</v>
      </c>
      <c r="I7" s="7">
        <v>3320.73</v>
      </c>
      <c r="J7">
        <v>5236.29</v>
      </c>
      <c r="K7" s="7">
        <v>3502.98</v>
      </c>
      <c r="L7">
        <v>6898.1399999999994</v>
      </c>
      <c r="M7">
        <v>4475.88</v>
      </c>
      <c r="N7" s="7">
        <v>3852.45</v>
      </c>
      <c r="O7" s="7">
        <v>5302.98</v>
      </c>
      <c r="P7">
        <v>5278.86</v>
      </c>
      <c r="Q7">
        <v>9549</v>
      </c>
      <c r="R7">
        <v>5553.8099999999995</v>
      </c>
      <c r="S7" s="7">
        <v>2942.46</v>
      </c>
      <c r="T7">
        <v>3565.44</v>
      </c>
    </row>
    <row r="8" spans="1:20" ht="16" thickBot="1" x14ac:dyDescent="0.25">
      <c r="A8">
        <v>7</v>
      </c>
      <c r="B8" s="6" t="s">
        <v>7</v>
      </c>
      <c r="C8">
        <v>19034.37</v>
      </c>
      <c r="D8" s="7">
        <v>57300.39</v>
      </c>
      <c r="E8">
        <v>15343.109999999999</v>
      </c>
      <c r="F8">
        <v>24425.64</v>
      </c>
      <c r="G8">
        <v>16787.88</v>
      </c>
      <c r="H8" s="7">
        <v>31462.38</v>
      </c>
      <c r="I8" s="7">
        <v>26975.79</v>
      </c>
      <c r="J8">
        <v>35394.299999999996</v>
      </c>
      <c r="K8" s="7">
        <v>25673.85</v>
      </c>
      <c r="L8">
        <v>57727.35</v>
      </c>
      <c r="M8">
        <v>60675.03</v>
      </c>
      <c r="N8" s="7">
        <v>58360.77</v>
      </c>
      <c r="O8" s="7">
        <v>107406.27</v>
      </c>
      <c r="P8">
        <v>52551.45</v>
      </c>
      <c r="Q8">
        <v>82163.429999999993</v>
      </c>
      <c r="R8">
        <v>66497.399999999994</v>
      </c>
      <c r="S8" s="7">
        <v>171487.89</v>
      </c>
      <c r="T8">
        <v>86893.739999999991</v>
      </c>
    </row>
    <row r="9" spans="1:20" ht="16" thickBot="1" x14ac:dyDescent="0.25">
      <c r="A9">
        <v>8</v>
      </c>
      <c r="B9" s="6" t="s">
        <v>8</v>
      </c>
      <c r="C9">
        <v>0</v>
      </c>
      <c r="D9" s="7">
        <v>0</v>
      </c>
      <c r="E9">
        <v>0</v>
      </c>
      <c r="F9">
        <v>0</v>
      </c>
      <c r="G9">
        <v>0</v>
      </c>
      <c r="H9" s="7">
        <v>0</v>
      </c>
      <c r="I9" s="7">
        <v>0</v>
      </c>
      <c r="J9">
        <v>1.08</v>
      </c>
      <c r="K9" s="7">
        <v>0</v>
      </c>
      <c r="L9">
        <v>24.029999999999998</v>
      </c>
      <c r="M9">
        <v>4.05</v>
      </c>
      <c r="N9" s="7">
        <v>0</v>
      </c>
      <c r="O9" s="7">
        <v>9.81</v>
      </c>
      <c r="P9">
        <v>0.27</v>
      </c>
      <c r="Q9">
        <v>0</v>
      </c>
      <c r="R9">
        <v>2.79</v>
      </c>
      <c r="S9" s="7">
        <v>0</v>
      </c>
      <c r="T9">
        <v>1.17</v>
      </c>
    </row>
    <row r="10" spans="1:20" ht="16" thickBot="1" x14ac:dyDescent="0.25">
      <c r="A10">
        <v>9</v>
      </c>
      <c r="B10" s="6" t="s">
        <v>9</v>
      </c>
      <c r="C10">
        <v>148.22999999999999</v>
      </c>
      <c r="D10" s="7">
        <v>309.33</v>
      </c>
      <c r="E10">
        <v>182.97</v>
      </c>
      <c r="F10">
        <v>108.36</v>
      </c>
      <c r="G10">
        <v>112.5</v>
      </c>
      <c r="H10" s="7">
        <v>311.76</v>
      </c>
      <c r="I10" s="7">
        <v>266.22000000000003</v>
      </c>
      <c r="J10">
        <v>274.32</v>
      </c>
      <c r="K10" s="7">
        <v>217.89</v>
      </c>
      <c r="L10">
        <v>157.76999999999998</v>
      </c>
      <c r="M10">
        <v>276.75</v>
      </c>
      <c r="N10" s="7">
        <v>277.02</v>
      </c>
      <c r="O10" s="7">
        <v>141.12</v>
      </c>
      <c r="P10">
        <v>198.18</v>
      </c>
      <c r="Q10">
        <v>151.56</v>
      </c>
      <c r="R10">
        <v>393.21</v>
      </c>
      <c r="S10" s="7">
        <v>316.62</v>
      </c>
      <c r="T10">
        <v>496.89</v>
      </c>
    </row>
    <row r="11" spans="1:20" ht="16" thickBot="1" x14ac:dyDescent="0.25">
      <c r="A11">
        <v>10</v>
      </c>
      <c r="B11" s="6" t="s">
        <v>10</v>
      </c>
      <c r="C11">
        <v>1616.1299999999999</v>
      </c>
      <c r="D11" s="7">
        <v>1171.8900000000001</v>
      </c>
      <c r="E11">
        <v>1879.74</v>
      </c>
      <c r="F11">
        <v>3624.0299999999997</v>
      </c>
      <c r="G11">
        <v>1637.1</v>
      </c>
      <c r="H11" s="7">
        <v>9511.65</v>
      </c>
      <c r="I11" s="7">
        <v>4840.6499999999996</v>
      </c>
      <c r="J11">
        <v>23941.71</v>
      </c>
      <c r="K11" s="7">
        <v>7597.8</v>
      </c>
      <c r="L11">
        <v>5630.4</v>
      </c>
      <c r="M11">
        <v>6486.75</v>
      </c>
      <c r="N11" s="7">
        <v>14716.35</v>
      </c>
      <c r="O11" s="7">
        <v>1915.11</v>
      </c>
      <c r="P11">
        <v>7882.2</v>
      </c>
      <c r="Q11">
        <v>3215.7</v>
      </c>
      <c r="R11">
        <v>3415.5899999999997</v>
      </c>
      <c r="S11" s="7">
        <v>6192.99</v>
      </c>
      <c r="T11">
        <v>1017.27</v>
      </c>
    </row>
    <row r="12" spans="1:20" x14ac:dyDescent="0.2">
      <c r="C12">
        <f>SUM(C2:C11)</f>
        <v>821544.75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17275.14</v>
      </c>
      <c r="D17">
        <f>AVERAGE(C2:E2)</f>
        <v>23241.75</v>
      </c>
      <c r="E17">
        <f>C17-D17</f>
        <v>-5966.6100000000006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19458</v>
      </c>
      <c r="D18">
        <f t="shared" ref="D18:D25" si="1">AVERAGE(C3:E3)</f>
        <v>29710.23</v>
      </c>
      <c r="E18">
        <f t="shared" ref="E18:E26" si="2">C18-D18</f>
        <v>-10252.23</v>
      </c>
    </row>
    <row r="19" spans="1:5" ht="16" thickBot="1" x14ac:dyDescent="0.25">
      <c r="A19">
        <v>3</v>
      </c>
      <c r="B19" s="6" t="s">
        <v>3</v>
      </c>
      <c r="C19">
        <f t="shared" si="0"/>
        <v>6973.7849999999999</v>
      </c>
      <c r="D19">
        <f t="shared" si="1"/>
        <v>12933.6</v>
      </c>
      <c r="E19">
        <f t="shared" si="2"/>
        <v>-5959.8150000000005</v>
      </c>
    </row>
    <row r="20" spans="1:5" ht="16" thickBot="1" x14ac:dyDescent="0.25">
      <c r="A20">
        <v>4</v>
      </c>
      <c r="B20" s="6" t="s">
        <v>4</v>
      </c>
      <c r="C20">
        <f t="shared" si="0"/>
        <v>579736.03499999992</v>
      </c>
      <c r="D20">
        <f t="shared" si="1"/>
        <v>685595.85</v>
      </c>
      <c r="E20">
        <f t="shared" si="2"/>
        <v>-105859.81500000006</v>
      </c>
    </row>
    <row r="21" spans="1:5" ht="16" thickBot="1" x14ac:dyDescent="0.25">
      <c r="A21">
        <v>5</v>
      </c>
      <c r="B21" s="6" t="s">
        <v>5</v>
      </c>
      <c r="C21">
        <f t="shared" si="0"/>
        <v>61644.555</v>
      </c>
      <c r="D21">
        <f t="shared" si="1"/>
        <v>35229.329999999994</v>
      </c>
      <c r="E21">
        <f t="shared" si="2"/>
        <v>26415.225000000006</v>
      </c>
    </row>
    <row r="22" spans="1:5" ht="16" thickBot="1" x14ac:dyDescent="0.25">
      <c r="A22">
        <v>6</v>
      </c>
      <c r="B22" s="6" t="s">
        <v>6</v>
      </c>
      <c r="C22">
        <f t="shared" si="0"/>
        <v>3253.95</v>
      </c>
      <c r="D22">
        <f t="shared" si="1"/>
        <v>2505.27</v>
      </c>
      <c r="E22">
        <f t="shared" si="2"/>
        <v>748.67999999999984</v>
      </c>
    </row>
    <row r="23" spans="1:5" ht="16" thickBot="1" x14ac:dyDescent="0.25">
      <c r="A23">
        <v>7</v>
      </c>
      <c r="B23" s="6" t="s">
        <v>7</v>
      </c>
      <c r="C23">
        <f t="shared" si="0"/>
        <v>129190.815</v>
      </c>
      <c r="D23">
        <f t="shared" si="1"/>
        <v>30559.289999999997</v>
      </c>
      <c r="E23">
        <f t="shared" si="2"/>
        <v>98631.525000000009</v>
      </c>
    </row>
    <row r="24" spans="1:5" ht="16" thickBot="1" x14ac:dyDescent="0.25">
      <c r="A24">
        <v>8</v>
      </c>
      <c r="B24" s="6" t="s">
        <v>8</v>
      </c>
      <c r="C24">
        <f t="shared" si="0"/>
        <v>0.58499999999999996</v>
      </c>
      <c r="D24">
        <f t="shared" si="1"/>
        <v>0</v>
      </c>
      <c r="E24">
        <f t="shared" si="2"/>
        <v>0.58499999999999996</v>
      </c>
    </row>
    <row r="25" spans="1:5" ht="16" thickBot="1" x14ac:dyDescent="0.25">
      <c r="A25">
        <v>9</v>
      </c>
      <c r="B25" s="6" t="s">
        <v>9</v>
      </c>
      <c r="C25">
        <f t="shared" si="0"/>
        <v>406.755</v>
      </c>
      <c r="D25">
        <f t="shared" si="1"/>
        <v>213.51</v>
      </c>
      <c r="E25">
        <f t="shared" si="2"/>
        <v>193.245</v>
      </c>
    </row>
    <row r="26" spans="1:5" ht="16" thickBot="1" x14ac:dyDescent="0.25">
      <c r="A26">
        <v>10</v>
      </c>
      <c r="B26" s="6" t="s">
        <v>10</v>
      </c>
      <c r="C26">
        <f>AVERAGE(S11:T11)</f>
        <v>3605.13</v>
      </c>
      <c r="D26">
        <f>AVERAGE(C11:E11)</f>
        <v>1555.92</v>
      </c>
      <c r="E26">
        <f t="shared" si="2"/>
        <v>2049.21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-25.671948110619901</v>
      </c>
    </row>
    <row r="32" spans="1:5" x14ac:dyDescent="0.2">
      <c r="B32" s="13" t="s">
        <v>2</v>
      </c>
      <c r="E32" s="14">
        <f t="shared" ref="E32:E40" si="3">(E18/D18)*100</f>
        <v>-34.507407044644218</v>
      </c>
    </row>
    <row r="33" spans="2:5" x14ac:dyDescent="0.2">
      <c r="B33" s="13" t="s">
        <v>3</v>
      </c>
      <c r="E33" s="14">
        <f t="shared" si="3"/>
        <v>-46.080093709408054</v>
      </c>
    </row>
    <row r="34" spans="2:5" x14ac:dyDescent="0.2">
      <c r="B34" s="13" t="s">
        <v>4</v>
      </c>
      <c r="E34" s="14">
        <f t="shared" si="3"/>
        <v>-15.440556561128552</v>
      </c>
    </row>
    <row r="35" spans="2:5" x14ac:dyDescent="0.2">
      <c r="B35" s="13" t="s">
        <v>5</v>
      </c>
      <c r="E35" s="14">
        <f t="shared" si="3"/>
        <v>74.980775961393562</v>
      </c>
    </row>
    <row r="36" spans="2:5" x14ac:dyDescent="0.2">
      <c r="B36" s="13" t="s">
        <v>6</v>
      </c>
      <c r="E36" s="14">
        <f t="shared" si="3"/>
        <v>29.884204097761913</v>
      </c>
    </row>
    <row r="37" spans="2:5" x14ac:dyDescent="0.2">
      <c r="B37" s="13" t="s">
        <v>7</v>
      </c>
      <c r="E37" s="14">
        <f t="shared" si="3"/>
        <v>322.75463533347806</v>
      </c>
    </row>
    <row r="38" spans="2:5" x14ac:dyDescent="0.2">
      <c r="B38" s="13" t="s">
        <v>8</v>
      </c>
      <c r="E38" s="23">
        <v>0</v>
      </c>
    </row>
    <row r="39" spans="2:5" x14ac:dyDescent="0.2">
      <c r="B39" s="13" t="s">
        <v>9</v>
      </c>
      <c r="E39" s="14">
        <f t="shared" si="3"/>
        <v>90.508641281438813</v>
      </c>
    </row>
    <row r="40" spans="2:5" x14ac:dyDescent="0.2">
      <c r="B40" s="13" t="s">
        <v>10</v>
      </c>
      <c r="E40" s="14">
        <f t="shared" si="3"/>
        <v>131.70407218880146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1004-221C-004A-8181-D99402C72406}">
  <dimension ref="A1:T40"/>
  <sheetViews>
    <sheetView workbookViewId="0">
      <selection activeCell="A30" sqref="A30:E40"/>
    </sheetView>
  </sheetViews>
  <sheetFormatPr baseColWidth="10" defaultRowHeight="15" x14ac:dyDescent="0.2"/>
  <cols>
    <col min="5" max="5" width="12.6640625" bestFit="1" customWidth="1"/>
  </cols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48124.17</v>
      </c>
      <c r="D2">
        <v>39354.839999999997</v>
      </c>
      <c r="E2" s="7">
        <v>25114.86</v>
      </c>
      <c r="F2" s="7">
        <v>37917.72</v>
      </c>
      <c r="G2" s="7">
        <v>30313.08</v>
      </c>
      <c r="H2">
        <v>40219.83</v>
      </c>
      <c r="I2">
        <v>27898.289999999997</v>
      </c>
      <c r="J2">
        <v>37339.11</v>
      </c>
      <c r="K2">
        <v>38643.479999999996</v>
      </c>
      <c r="L2">
        <v>31488.03</v>
      </c>
      <c r="M2" s="7">
        <v>29694.87</v>
      </c>
      <c r="N2" s="7">
        <v>35398.53</v>
      </c>
      <c r="O2">
        <v>31522.59</v>
      </c>
      <c r="P2">
        <v>37513.35</v>
      </c>
      <c r="Q2">
        <v>30391.559999999998</v>
      </c>
      <c r="R2">
        <v>39513.869999999995</v>
      </c>
      <c r="S2">
        <v>30465.360000000001</v>
      </c>
      <c r="T2">
        <v>31364.01</v>
      </c>
    </row>
    <row r="3" spans="1:20" ht="16" thickBot="1" x14ac:dyDescent="0.25">
      <c r="A3">
        <v>2</v>
      </c>
      <c r="B3" s="6" t="s">
        <v>2</v>
      </c>
      <c r="C3">
        <v>1175.94</v>
      </c>
      <c r="D3">
        <v>2658.42</v>
      </c>
      <c r="E3" s="7">
        <v>7277.31</v>
      </c>
      <c r="F3" s="7">
        <v>6075.09</v>
      </c>
      <c r="G3" s="7">
        <v>5752.8</v>
      </c>
      <c r="H3">
        <v>4344.4799999999996</v>
      </c>
      <c r="I3">
        <v>2856.33</v>
      </c>
      <c r="J3">
        <v>4641.21</v>
      </c>
      <c r="K3">
        <v>8657.01</v>
      </c>
      <c r="L3">
        <v>12574.619999999999</v>
      </c>
      <c r="M3" s="7">
        <v>3920.85</v>
      </c>
      <c r="N3" s="7">
        <v>19678.32</v>
      </c>
      <c r="O3">
        <v>11249.279999999999</v>
      </c>
      <c r="P3">
        <v>6995.79</v>
      </c>
      <c r="Q3">
        <v>12047.58</v>
      </c>
      <c r="R3">
        <v>8313.75</v>
      </c>
      <c r="S3">
        <v>8664.39</v>
      </c>
      <c r="T3">
        <v>18193.05</v>
      </c>
    </row>
    <row r="4" spans="1:20" ht="16" thickBot="1" x14ac:dyDescent="0.25">
      <c r="A4">
        <v>3</v>
      </c>
      <c r="B4" s="6" t="s">
        <v>3</v>
      </c>
      <c r="C4">
        <v>1162.8899999999999</v>
      </c>
      <c r="D4">
        <v>1041.8399999999999</v>
      </c>
      <c r="E4" s="7">
        <v>4562.1899999999996</v>
      </c>
      <c r="F4" s="7">
        <v>9013.32</v>
      </c>
      <c r="G4" s="7">
        <v>10903.95</v>
      </c>
      <c r="H4">
        <v>8037.7199999999993</v>
      </c>
      <c r="I4">
        <v>4438.62</v>
      </c>
      <c r="J4">
        <v>9036.5399999999991</v>
      </c>
      <c r="K4">
        <v>3139.74</v>
      </c>
      <c r="L4">
        <v>3406.5899999999997</v>
      </c>
      <c r="M4" s="7">
        <v>6903.9</v>
      </c>
      <c r="N4" s="7">
        <v>14047.74</v>
      </c>
      <c r="O4">
        <v>3117.42</v>
      </c>
      <c r="P4">
        <v>7593.12</v>
      </c>
      <c r="Q4">
        <v>3052.98</v>
      </c>
      <c r="R4">
        <v>407.88</v>
      </c>
      <c r="S4">
        <v>1209.8699999999999</v>
      </c>
      <c r="T4">
        <v>2005.47</v>
      </c>
    </row>
    <row r="5" spans="1:20" ht="16" thickBot="1" x14ac:dyDescent="0.25">
      <c r="A5">
        <v>4</v>
      </c>
      <c r="B5" s="6" t="s">
        <v>4</v>
      </c>
      <c r="C5">
        <v>521618.22</v>
      </c>
      <c r="D5">
        <v>492542.55</v>
      </c>
      <c r="E5" s="7">
        <v>484062.03</v>
      </c>
      <c r="F5" s="7">
        <v>475206.66</v>
      </c>
      <c r="G5" s="7">
        <v>490457.52</v>
      </c>
      <c r="H5">
        <v>447623.37</v>
      </c>
      <c r="I5">
        <v>496987.47</v>
      </c>
      <c r="J5">
        <v>470060.63999999996</v>
      </c>
      <c r="K5">
        <v>456907.58999999997</v>
      </c>
      <c r="L5">
        <v>429960.95999999996</v>
      </c>
      <c r="M5" s="7">
        <v>453855.51</v>
      </c>
      <c r="N5" s="7">
        <v>429258.23999999999</v>
      </c>
      <c r="O5">
        <v>504918.99</v>
      </c>
      <c r="P5">
        <v>454763.16</v>
      </c>
      <c r="Q5">
        <v>382167.36</v>
      </c>
      <c r="R5">
        <v>494465.76</v>
      </c>
      <c r="S5">
        <v>481404.32999999996</v>
      </c>
      <c r="T5">
        <v>464787.54</v>
      </c>
    </row>
    <row r="6" spans="1:20" ht="16" thickBot="1" x14ac:dyDescent="0.25">
      <c r="A6">
        <v>5</v>
      </c>
      <c r="B6" s="6" t="s">
        <v>5</v>
      </c>
      <c r="C6">
        <v>351304.38</v>
      </c>
      <c r="D6">
        <v>374743.62</v>
      </c>
      <c r="E6" s="7">
        <v>348126.48</v>
      </c>
      <c r="F6" s="7">
        <v>345030.3</v>
      </c>
      <c r="G6" s="7">
        <v>331659.18</v>
      </c>
      <c r="H6">
        <v>363099.69</v>
      </c>
      <c r="I6">
        <v>354653.82</v>
      </c>
      <c r="J6">
        <v>339214.23</v>
      </c>
      <c r="K6">
        <v>383230.8</v>
      </c>
      <c r="L6">
        <v>377864.19</v>
      </c>
      <c r="M6" s="7">
        <v>377654.85</v>
      </c>
      <c r="N6" s="7">
        <v>363399.3</v>
      </c>
      <c r="O6">
        <v>309620.15999999997</v>
      </c>
      <c r="P6">
        <v>368600.39999999997</v>
      </c>
      <c r="Q6">
        <v>411481.17</v>
      </c>
      <c r="R6">
        <v>305573.84999999998</v>
      </c>
      <c r="S6">
        <v>325162.52999999997</v>
      </c>
      <c r="T6">
        <v>319152.59999999998</v>
      </c>
    </row>
    <row r="7" spans="1:20" ht="16" thickBot="1" x14ac:dyDescent="0.25">
      <c r="A7">
        <v>6</v>
      </c>
      <c r="B7" s="6" t="s">
        <v>6</v>
      </c>
      <c r="C7">
        <v>34.199999999999996</v>
      </c>
      <c r="D7">
        <v>24.21</v>
      </c>
      <c r="E7" s="7">
        <v>101.25</v>
      </c>
      <c r="F7" s="7">
        <v>208.08</v>
      </c>
      <c r="G7" s="7">
        <v>161.19</v>
      </c>
      <c r="H7">
        <v>199.35</v>
      </c>
      <c r="I7">
        <v>101.61</v>
      </c>
      <c r="J7">
        <v>131.04</v>
      </c>
      <c r="K7">
        <v>12.6</v>
      </c>
      <c r="L7">
        <v>163.98</v>
      </c>
      <c r="M7" s="7">
        <v>927.81</v>
      </c>
      <c r="N7" s="7">
        <v>167.22</v>
      </c>
      <c r="O7">
        <v>399.24</v>
      </c>
      <c r="P7">
        <v>102.69</v>
      </c>
      <c r="Q7">
        <v>82.8</v>
      </c>
      <c r="R7">
        <v>460.79999999999995</v>
      </c>
      <c r="S7">
        <v>118.25999999999999</v>
      </c>
      <c r="T7">
        <v>109.89</v>
      </c>
    </row>
    <row r="8" spans="1:20" ht="16" thickBot="1" x14ac:dyDescent="0.25">
      <c r="A8">
        <v>7</v>
      </c>
      <c r="B8" s="6" t="s">
        <v>7</v>
      </c>
      <c r="C8">
        <v>28157.309999999998</v>
      </c>
      <c r="D8">
        <v>41868</v>
      </c>
      <c r="E8" s="7">
        <v>82424.160000000003</v>
      </c>
      <c r="F8" s="7">
        <v>78769.89</v>
      </c>
      <c r="G8" s="7">
        <v>83766.78</v>
      </c>
      <c r="H8">
        <v>88247.97</v>
      </c>
      <c r="I8">
        <v>65787.569999999992</v>
      </c>
      <c r="J8">
        <v>91803.87</v>
      </c>
      <c r="K8">
        <v>60877.53</v>
      </c>
      <c r="L8">
        <v>95448.15</v>
      </c>
      <c r="M8" s="7">
        <v>79858.98</v>
      </c>
      <c r="N8" s="7">
        <v>88294.32</v>
      </c>
      <c r="O8">
        <v>90793.44</v>
      </c>
      <c r="P8">
        <v>76411.259999999995</v>
      </c>
      <c r="Q8">
        <v>109597.59</v>
      </c>
      <c r="R8">
        <v>101523.59999999999</v>
      </c>
      <c r="S8">
        <v>102855.95999999999</v>
      </c>
      <c r="T8">
        <v>115089.3</v>
      </c>
    </row>
    <row r="9" spans="1:20" ht="16" thickBot="1" x14ac:dyDescent="0.25">
      <c r="A9">
        <v>8</v>
      </c>
      <c r="B9" s="6" t="s">
        <v>8</v>
      </c>
      <c r="C9">
        <v>1504.8899999999999</v>
      </c>
      <c r="D9">
        <v>815.31</v>
      </c>
      <c r="E9" s="7">
        <v>318.33</v>
      </c>
      <c r="F9" s="7">
        <v>1006.11</v>
      </c>
      <c r="G9" s="7">
        <v>561.96</v>
      </c>
      <c r="H9">
        <v>1674.54</v>
      </c>
      <c r="I9">
        <v>448.02</v>
      </c>
      <c r="J9">
        <v>523.62</v>
      </c>
      <c r="K9">
        <v>778.58999999999992</v>
      </c>
      <c r="L9">
        <v>1025.73</v>
      </c>
      <c r="M9" s="7">
        <v>456.21</v>
      </c>
      <c r="N9" s="7">
        <v>2039.04</v>
      </c>
      <c r="O9">
        <v>753.3</v>
      </c>
      <c r="P9">
        <v>680.76</v>
      </c>
      <c r="Q9">
        <v>360</v>
      </c>
      <c r="R9">
        <v>1157.3999999999999</v>
      </c>
      <c r="S9">
        <v>291.33</v>
      </c>
      <c r="T9">
        <v>665.91</v>
      </c>
    </row>
    <row r="10" spans="1:20" ht="16" thickBot="1" x14ac:dyDescent="0.25">
      <c r="A10">
        <v>9</v>
      </c>
      <c r="B10" s="6" t="s">
        <v>9</v>
      </c>
      <c r="C10">
        <v>709.74</v>
      </c>
      <c r="D10">
        <v>456.12</v>
      </c>
      <c r="E10" s="7">
        <v>235.53</v>
      </c>
      <c r="F10" s="7">
        <v>531.45000000000005</v>
      </c>
      <c r="G10" s="7">
        <v>417.51</v>
      </c>
      <c r="H10">
        <v>549.9</v>
      </c>
      <c r="I10">
        <v>692.91</v>
      </c>
      <c r="J10">
        <v>531</v>
      </c>
      <c r="K10">
        <v>864.36</v>
      </c>
      <c r="L10">
        <v>634.5</v>
      </c>
      <c r="M10" s="7">
        <v>667.89</v>
      </c>
      <c r="N10" s="7">
        <v>996.75</v>
      </c>
      <c r="O10">
        <v>544.77</v>
      </c>
      <c r="P10">
        <v>860.85</v>
      </c>
      <c r="Q10">
        <v>718.38</v>
      </c>
      <c r="R10">
        <v>795.51</v>
      </c>
      <c r="S10">
        <v>681.83999999999992</v>
      </c>
      <c r="T10">
        <v>530.01</v>
      </c>
    </row>
    <row r="11" spans="1:20" ht="16" thickBot="1" x14ac:dyDescent="0.25">
      <c r="A11">
        <v>10</v>
      </c>
      <c r="B11" s="6" t="s">
        <v>10</v>
      </c>
      <c r="C11">
        <v>601.47</v>
      </c>
      <c r="D11">
        <v>888.3</v>
      </c>
      <c r="E11" s="7">
        <v>2171.0700000000002</v>
      </c>
      <c r="F11" s="7">
        <v>634.59</v>
      </c>
      <c r="G11" s="7">
        <v>399.24</v>
      </c>
      <c r="H11">
        <v>396.36</v>
      </c>
      <c r="I11">
        <v>528.56999999999994</v>
      </c>
      <c r="J11">
        <v>1111.95</v>
      </c>
      <c r="K11">
        <v>1281.51</v>
      </c>
      <c r="L11">
        <v>1826.46</v>
      </c>
      <c r="M11" s="7">
        <v>452.34</v>
      </c>
      <c r="N11" s="7">
        <v>1113.75</v>
      </c>
      <c r="O11">
        <v>1474.02</v>
      </c>
      <c r="P11">
        <v>871.82999999999993</v>
      </c>
      <c r="Q11">
        <v>4493.79</v>
      </c>
      <c r="R11">
        <v>2180.79</v>
      </c>
      <c r="S11">
        <v>3539.3399999999997</v>
      </c>
      <c r="T11">
        <v>2495.4299999999998</v>
      </c>
    </row>
    <row r="12" spans="1:20" x14ac:dyDescent="0.2">
      <c r="C12">
        <f>SUM(C2:C11)</f>
        <v>954393.20999999985</v>
      </c>
      <c r="E12">
        <f>SUM(E2:E11)</f>
        <v>954393.21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30914.684999999998</v>
      </c>
      <c r="D17">
        <f>AVERAGE(C2:E2)</f>
        <v>37531.29</v>
      </c>
      <c r="E17">
        <f>C17-D17</f>
        <v>-6616.6050000000032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13428.72</v>
      </c>
      <c r="D18">
        <f t="shared" ref="D18:D25" si="1">AVERAGE(C3:E3)</f>
        <v>3703.89</v>
      </c>
      <c r="E18">
        <f t="shared" ref="E18:E26" si="2">C18-D18</f>
        <v>9724.83</v>
      </c>
    </row>
    <row r="19" spans="1:5" ht="16" thickBot="1" x14ac:dyDescent="0.25">
      <c r="A19">
        <v>3</v>
      </c>
      <c r="B19" s="6" t="s">
        <v>3</v>
      </c>
      <c r="C19">
        <f t="shared" si="0"/>
        <v>1607.67</v>
      </c>
      <c r="D19">
        <f t="shared" si="1"/>
        <v>2255.64</v>
      </c>
      <c r="E19">
        <f t="shared" si="2"/>
        <v>-647.9699999999998</v>
      </c>
    </row>
    <row r="20" spans="1:5" ht="16" thickBot="1" x14ac:dyDescent="0.25">
      <c r="A20">
        <v>4</v>
      </c>
      <c r="B20" s="6" t="s">
        <v>4</v>
      </c>
      <c r="C20">
        <f t="shared" si="0"/>
        <v>473095.93499999994</v>
      </c>
      <c r="D20">
        <f t="shared" si="1"/>
        <v>499407.60000000003</v>
      </c>
      <c r="E20">
        <f t="shared" si="2"/>
        <v>-26311.665000000095</v>
      </c>
    </row>
    <row r="21" spans="1:5" ht="16" thickBot="1" x14ac:dyDescent="0.25">
      <c r="A21">
        <v>5</v>
      </c>
      <c r="B21" s="6" t="s">
        <v>5</v>
      </c>
      <c r="C21">
        <f t="shared" si="0"/>
        <v>322157.56499999994</v>
      </c>
      <c r="D21">
        <f t="shared" si="1"/>
        <v>358058.16</v>
      </c>
      <c r="E21">
        <f t="shared" si="2"/>
        <v>-35900.59500000003</v>
      </c>
    </row>
    <row r="22" spans="1:5" ht="16" thickBot="1" x14ac:dyDescent="0.25">
      <c r="A22">
        <v>6</v>
      </c>
      <c r="B22" s="6" t="s">
        <v>6</v>
      </c>
      <c r="C22">
        <f t="shared" si="0"/>
        <v>114.07499999999999</v>
      </c>
      <c r="D22">
        <f t="shared" si="1"/>
        <v>53.22</v>
      </c>
      <c r="E22">
        <f t="shared" si="2"/>
        <v>60.85499999999999</v>
      </c>
    </row>
    <row r="23" spans="1:5" ht="16" thickBot="1" x14ac:dyDescent="0.25">
      <c r="A23">
        <v>7</v>
      </c>
      <c r="B23" s="6" t="s">
        <v>7</v>
      </c>
      <c r="C23">
        <f t="shared" si="0"/>
        <v>108972.63</v>
      </c>
      <c r="D23">
        <f t="shared" si="1"/>
        <v>50816.49</v>
      </c>
      <c r="E23">
        <f t="shared" si="2"/>
        <v>58156.140000000007</v>
      </c>
    </row>
    <row r="24" spans="1:5" ht="16" thickBot="1" x14ac:dyDescent="0.25">
      <c r="A24">
        <v>8</v>
      </c>
      <c r="B24" s="6" t="s">
        <v>8</v>
      </c>
      <c r="C24">
        <f t="shared" si="0"/>
        <v>478.62</v>
      </c>
      <c r="D24">
        <f t="shared" si="1"/>
        <v>879.50999999999988</v>
      </c>
      <c r="E24">
        <f t="shared" si="2"/>
        <v>-400.88999999999987</v>
      </c>
    </row>
    <row r="25" spans="1:5" ht="16" thickBot="1" x14ac:dyDescent="0.25">
      <c r="A25">
        <v>9</v>
      </c>
      <c r="B25" s="6" t="s">
        <v>9</v>
      </c>
      <c r="C25">
        <f t="shared" si="0"/>
        <v>605.92499999999995</v>
      </c>
      <c r="D25">
        <f t="shared" si="1"/>
        <v>467.13000000000005</v>
      </c>
      <c r="E25">
        <f t="shared" si="2"/>
        <v>138.7949999999999</v>
      </c>
    </row>
    <row r="26" spans="1:5" ht="16" thickBot="1" x14ac:dyDescent="0.25">
      <c r="A26">
        <v>10</v>
      </c>
      <c r="B26" s="6" t="s">
        <v>10</v>
      </c>
      <c r="C26">
        <f>AVERAGE(S11:T11)</f>
        <v>3017.3849999999998</v>
      </c>
      <c r="D26">
        <f>AVERAGE(C11:E11)</f>
        <v>1220.28</v>
      </c>
      <c r="E26">
        <f t="shared" si="2"/>
        <v>1797.1049999999998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-17.62956988688639</v>
      </c>
    </row>
    <row r="32" spans="1:5" x14ac:dyDescent="0.2">
      <c r="B32" s="13" t="s">
        <v>2</v>
      </c>
      <c r="E32" s="14">
        <f t="shared" ref="E32:E40" si="3">(E18/D18)*100</f>
        <v>262.55720337267036</v>
      </c>
    </row>
    <row r="33" spans="2:5" x14ac:dyDescent="0.2">
      <c r="B33" s="13" t="s">
        <v>3</v>
      </c>
      <c r="E33" s="14">
        <f t="shared" si="3"/>
        <v>-28.726658509336588</v>
      </c>
    </row>
    <row r="34" spans="2:5" x14ac:dyDescent="0.2">
      <c r="B34" s="13" t="s">
        <v>4</v>
      </c>
      <c r="E34" s="14">
        <f t="shared" si="3"/>
        <v>-5.2685752079063457</v>
      </c>
    </row>
    <row r="35" spans="2:5" x14ac:dyDescent="0.2">
      <c r="B35" s="13" t="s">
        <v>5</v>
      </c>
      <c r="E35" s="14">
        <f t="shared" si="3"/>
        <v>-10.026470280694074</v>
      </c>
    </row>
    <row r="36" spans="2:5" x14ac:dyDescent="0.2">
      <c r="B36" s="13" t="s">
        <v>6</v>
      </c>
      <c r="E36" s="14">
        <f t="shared" si="3"/>
        <v>114.34611048478014</v>
      </c>
    </row>
    <row r="37" spans="2:5" x14ac:dyDescent="0.2">
      <c r="B37" s="13" t="s">
        <v>7</v>
      </c>
      <c r="E37" s="14">
        <f t="shared" si="3"/>
        <v>114.44344148917016</v>
      </c>
    </row>
    <row r="38" spans="2:5" x14ac:dyDescent="0.2">
      <c r="B38" s="13" t="s">
        <v>8</v>
      </c>
      <c r="E38" s="14">
        <f t="shared" si="3"/>
        <v>-45.581062182351531</v>
      </c>
    </row>
    <row r="39" spans="2:5" x14ac:dyDescent="0.2">
      <c r="B39" s="13" t="s">
        <v>9</v>
      </c>
      <c r="E39" s="14">
        <f t="shared" si="3"/>
        <v>29.712285659238301</v>
      </c>
    </row>
    <row r="40" spans="2:5" x14ac:dyDescent="0.2">
      <c r="B40" s="13" t="s">
        <v>10</v>
      </c>
      <c r="E40" s="14">
        <f t="shared" si="3"/>
        <v>147.26988887796242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9010-64E7-2D48-90F3-E661511226F2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 s="9">
        <v>122611.14</v>
      </c>
      <c r="D2" s="7">
        <v>111655.89</v>
      </c>
      <c r="E2" s="7">
        <v>80503.38</v>
      </c>
      <c r="F2" s="7">
        <v>73755.899999999994</v>
      </c>
      <c r="G2">
        <v>122626.08</v>
      </c>
      <c r="H2">
        <v>114854.48999999999</v>
      </c>
      <c r="I2">
        <v>133716.06</v>
      </c>
      <c r="J2">
        <v>136118.97</v>
      </c>
      <c r="K2">
        <v>157517.37</v>
      </c>
      <c r="L2">
        <v>195987.78</v>
      </c>
      <c r="M2" s="7">
        <v>140888.79</v>
      </c>
      <c r="N2" s="7">
        <v>154119.32999999999</v>
      </c>
      <c r="O2">
        <v>143049.41999999998</v>
      </c>
      <c r="P2" s="7">
        <v>139418.19</v>
      </c>
      <c r="Q2" s="7">
        <v>176611.5</v>
      </c>
      <c r="R2">
        <v>228384.9</v>
      </c>
      <c r="S2" s="7">
        <v>144065.60999999999</v>
      </c>
      <c r="T2">
        <v>123981.39</v>
      </c>
    </row>
    <row r="3" spans="1:20" ht="16" thickBot="1" x14ac:dyDescent="0.25">
      <c r="A3">
        <v>2</v>
      </c>
      <c r="B3" s="6" t="s">
        <v>2</v>
      </c>
      <c r="C3" s="9">
        <v>82407.69</v>
      </c>
      <c r="D3" s="7">
        <v>80214.210000000006</v>
      </c>
      <c r="E3" s="7">
        <v>115046.73</v>
      </c>
      <c r="F3" s="7">
        <v>111698.19</v>
      </c>
      <c r="G3">
        <v>42492.33</v>
      </c>
      <c r="H3">
        <v>44723.34</v>
      </c>
      <c r="I3">
        <v>44476.83</v>
      </c>
      <c r="J3">
        <v>23450.76</v>
      </c>
      <c r="K3">
        <v>15519.24</v>
      </c>
      <c r="L3">
        <v>12898.35</v>
      </c>
      <c r="M3" s="7">
        <v>44221.5</v>
      </c>
      <c r="N3" s="7">
        <v>40332.33</v>
      </c>
      <c r="O3">
        <v>37697.58</v>
      </c>
      <c r="P3" s="7">
        <v>32131.26</v>
      </c>
      <c r="Q3" s="7">
        <v>13196.07</v>
      </c>
      <c r="R3">
        <v>20392.11</v>
      </c>
      <c r="S3" s="7">
        <v>45456.3</v>
      </c>
      <c r="T3">
        <v>57311.82</v>
      </c>
    </row>
    <row r="4" spans="1:20" ht="16" thickBot="1" x14ac:dyDescent="0.25">
      <c r="A4">
        <v>3</v>
      </c>
      <c r="B4" s="6" t="s">
        <v>3</v>
      </c>
      <c r="C4" s="9">
        <v>824.67</v>
      </c>
      <c r="D4" s="7">
        <v>2751.39</v>
      </c>
      <c r="E4" s="7">
        <v>3341.79</v>
      </c>
      <c r="F4" s="7">
        <v>12088.71</v>
      </c>
      <c r="G4">
        <v>109.08</v>
      </c>
      <c r="H4">
        <v>3878.2799999999997</v>
      </c>
      <c r="I4">
        <v>1279.44</v>
      </c>
      <c r="J4">
        <v>3758.7599999999998</v>
      </c>
      <c r="K4">
        <v>1096.02</v>
      </c>
      <c r="L4">
        <v>4827.42</v>
      </c>
      <c r="M4" s="7">
        <v>2127.7800000000002</v>
      </c>
      <c r="N4" s="7">
        <v>600.48</v>
      </c>
      <c r="O4">
        <v>1994.9399999999998</v>
      </c>
      <c r="P4" s="7">
        <v>1143</v>
      </c>
      <c r="Q4" s="7">
        <v>9569.07</v>
      </c>
      <c r="R4">
        <v>377.09999999999997</v>
      </c>
      <c r="S4" s="7">
        <v>2253.5100000000002</v>
      </c>
      <c r="T4">
        <v>916.19999999999993</v>
      </c>
    </row>
    <row r="5" spans="1:20" ht="16" thickBot="1" x14ac:dyDescent="0.25">
      <c r="A5">
        <v>4</v>
      </c>
      <c r="B5" s="6" t="s">
        <v>4</v>
      </c>
      <c r="C5" s="9">
        <v>373763.43</v>
      </c>
      <c r="D5" s="7">
        <v>387666.99</v>
      </c>
      <c r="E5" s="7">
        <v>346843.08</v>
      </c>
      <c r="F5" s="7">
        <v>358594.92</v>
      </c>
      <c r="G5">
        <v>404629.01999999996</v>
      </c>
      <c r="H5">
        <v>408225.77999999997</v>
      </c>
      <c r="I5">
        <v>376309.89</v>
      </c>
      <c r="J5">
        <v>373252.41</v>
      </c>
      <c r="K5">
        <v>392640.3</v>
      </c>
      <c r="L5">
        <v>344583.99</v>
      </c>
      <c r="M5" s="7">
        <v>365006.07</v>
      </c>
      <c r="N5" s="7">
        <v>358657.2</v>
      </c>
      <c r="O5">
        <v>374630.39999999997</v>
      </c>
      <c r="P5" s="7">
        <v>387864.81</v>
      </c>
      <c r="Q5" s="7">
        <v>378796.14</v>
      </c>
      <c r="R5">
        <v>314706.77999999997</v>
      </c>
      <c r="S5" s="7">
        <v>375818.94</v>
      </c>
      <c r="T5">
        <v>366730.92</v>
      </c>
    </row>
    <row r="6" spans="1:20" ht="16" thickBot="1" x14ac:dyDescent="0.25">
      <c r="A6">
        <v>5</v>
      </c>
      <c r="B6" s="6" t="s">
        <v>5</v>
      </c>
      <c r="C6" s="9">
        <v>8851.23</v>
      </c>
      <c r="D6" s="7">
        <v>5553.81</v>
      </c>
      <c r="E6" s="7">
        <v>32737.23</v>
      </c>
      <c r="F6" s="7">
        <v>20887.02</v>
      </c>
      <c r="G6">
        <v>15003</v>
      </c>
      <c r="H6">
        <v>7288.38</v>
      </c>
      <c r="I6">
        <v>27341.55</v>
      </c>
      <c r="J6">
        <v>33415.47</v>
      </c>
      <c r="K6">
        <v>18998.55</v>
      </c>
      <c r="L6">
        <v>27126.27</v>
      </c>
      <c r="M6" s="7">
        <v>29252.34</v>
      </c>
      <c r="N6" s="7">
        <v>29437.919999999998</v>
      </c>
      <c r="O6">
        <v>18798.75</v>
      </c>
      <c r="P6" s="7">
        <v>19353.689999999999</v>
      </c>
      <c r="Q6" s="7">
        <v>8641.35</v>
      </c>
      <c r="R6">
        <v>8287.92</v>
      </c>
      <c r="S6" s="7">
        <v>10049.4</v>
      </c>
      <c r="T6">
        <v>19039.5</v>
      </c>
    </row>
    <row r="7" spans="1:20" ht="16" thickBot="1" x14ac:dyDescent="0.25">
      <c r="A7">
        <v>6</v>
      </c>
      <c r="B7" s="6" t="s">
        <v>6</v>
      </c>
      <c r="C7" s="9">
        <v>0.1</v>
      </c>
      <c r="D7" s="7">
        <v>0</v>
      </c>
      <c r="E7" s="7">
        <v>0</v>
      </c>
      <c r="F7" s="7">
        <v>0</v>
      </c>
      <c r="G7">
        <v>9.09</v>
      </c>
      <c r="H7">
        <v>8.73</v>
      </c>
      <c r="I7">
        <v>0</v>
      </c>
      <c r="J7">
        <v>0</v>
      </c>
      <c r="K7">
        <v>0</v>
      </c>
      <c r="L7">
        <v>0</v>
      </c>
      <c r="M7" s="7">
        <v>0</v>
      </c>
      <c r="N7" s="7">
        <v>0</v>
      </c>
      <c r="O7">
        <v>0</v>
      </c>
      <c r="P7" s="7">
        <v>0</v>
      </c>
      <c r="Q7" s="7">
        <v>382.95</v>
      </c>
      <c r="R7">
        <v>5.04</v>
      </c>
      <c r="S7" s="7">
        <v>5.58</v>
      </c>
      <c r="T7">
        <v>2.52</v>
      </c>
    </row>
    <row r="8" spans="1:20" ht="16" thickBot="1" x14ac:dyDescent="0.25">
      <c r="A8">
        <v>7</v>
      </c>
      <c r="B8" s="6" t="s">
        <v>7</v>
      </c>
      <c r="C8" s="9">
        <v>3444.93</v>
      </c>
      <c r="D8" s="7">
        <v>3873.33</v>
      </c>
      <c r="E8" s="7">
        <v>13050.27</v>
      </c>
      <c r="F8" s="7">
        <v>11150.55</v>
      </c>
      <c r="G8">
        <v>5697.99</v>
      </c>
      <c r="H8">
        <v>10524.15</v>
      </c>
      <c r="I8">
        <v>7361.6399999999994</v>
      </c>
      <c r="J8">
        <v>18483.48</v>
      </c>
      <c r="K8">
        <v>4962.0599999999995</v>
      </c>
      <c r="L8">
        <v>7005.33</v>
      </c>
      <c r="M8" s="7">
        <v>7768.17</v>
      </c>
      <c r="N8" s="7">
        <v>9432.36</v>
      </c>
      <c r="O8">
        <v>12049.83</v>
      </c>
      <c r="P8" s="7">
        <v>10713.87</v>
      </c>
      <c r="Q8" s="7">
        <v>3017.52</v>
      </c>
      <c r="R8">
        <v>16932.509999999998</v>
      </c>
      <c r="S8" s="7">
        <v>14919.48</v>
      </c>
      <c r="T8">
        <v>20337.21</v>
      </c>
    </row>
    <row r="9" spans="1:20" ht="16" thickBot="1" x14ac:dyDescent="0.25">
      <c r="A9">
        <v>8</v>
      </c>
      <c r="B9" s="6" t="s">
        <v>8</v>
      </c>
      <c r="C9" s="9">
        <v>31.23</v>
      </c>
      <c r="D9" s="7">
        <v>26.91</v>
      </c>
      <c r="E9" s="7">
        <v>339.21</v>
      </c>
      <c r="F9" s="7">
        <v>643.41</v>
      </c>
      <c r="G9">
        <v>0.36</v>
      </c>
      <c r="H9">
        <v>1036.08</v>
      </c>
      <c r="I9">
        <v>0</v>
      </c>
      <c r="J9">
        <v>263.61</v>
      </c>
      <c r="K9">
        <v>0.44999999999999996</v>
      </c>
      <c r="L9">
        <v>3.69</v>
      </c>
      <c r="M9" s="7">
        <v>524.79</v>
      </c>
      <c r="N9" s="7">
        <v>3.6</v>
      </c>
      <c r="O9">
        <v>370.71</v>
      </c>
      <c r="P9" s="7">
        <v>2.88</v>
      </c>
      <c r="Q9" s="7">
        <v>179.73</v>
      </c>
      <c r="R9">
        <v>31.049999999999997</v>
      </c>
      <c r="S9" s="7">
        <v>15.57</v>
      </c>
      <c r="T9">
        <v>835.74</v>
      </c>
    </row>
    <row r="10" spans="1:20" ht="16" thickBot="1" x14ac:dyDescent="0.25">
      <c r="A10">
        <v>9</v>
      </c>
      <c r="B10" s="6" t="s">
        <v>9</v>
      </c>
      <c r="C10" s="9">
        <v>1550.52</v>
      </c>
      <c r="D10" s="7">
        <v>1967.76</v>
      </c>
      <c r="E10" s="7">
        <v>1405.17</v>
      </c>
      <c r="F10" s="7">
        <v>1684.98</v>
      </c>
      <c r="G10">
        <v>998.64</v>
      </c>
      <c r="H10">
        <v>1236.1499999999999</v>
      </c>
      <c r="I10">
        <v>1163.97</v>
      </c>
      <c r="J10">
        <v>1407.6</v>
      </c>
      <c r="K10">
        <v>1007.37</v>
      </c>
      <c r="L10">
        <v>933.12</v>
      </c>
      <c r="M10" s="7">
        <v>1307.43</v>
      </c>
      <c r="N10" s="7">
        <v>1444.41</v>
      </c>
      <c r="O10">
        <v>1155.4199999999998</v>
      </c>
      <c r="P10" s="7">
        <v>1206.99</v>
      </c>
      <c r="Q10" s="7">
        <v>913.95</v>
      </c>
      <c r="R10">
        <v>1089.81</v>
      </c>
      <c r="S10" s="7">
        <v>1092.06</v>
      </c>
      <c r="T10">
        <v>1350.27</v>
      </c>
    </row>
    <row r="11" spans="1:20" ht="16" thickBot="1" x14ac:dyDescent="0.25">
      <c r="A11">
        <v>10</v>
      </c>
      <c r="B11" s="6" t="s">
        <v>10</v>
      </c>
      <c r="C11" s="9">
        <v>3441.42</v>
      </c>
      <c r="D11" s="7">
        <v>3215.97</v>
      </c>
      <c r="E11" s="7">
        <v>3659.4</v>
      </c>
      <c r="F11" s="7">
        <v>6422.58</v>
      </c>
      <c r="G11">
        <v>5360.67</v>
      </c>
      <c r="H11">
        <v>5150.88</v>
      </c>
      <c r="I11">
        <v>5276.88</v>
      </c>
      <c r="J11">
        <v>6775.2</v>
      </c>
      <c r="K11">
        <v>5184.8999999999996</v>
      </c>
      <c r="L11">
        <v>3560.31</v>
      </c>
      <c r="M11" s="7">
        <v>5829.39</v>
      </c>
      <c r="N11" s="7">
        <v>2898.63</v>
      </c>
      <c r="O11">
        <v>7179.21</v>
      </c>
      <c r="P11" s="7">
        <v>5091.57</v>
      </c>
      <c r="Q11" s="7">
        <v>5617.98</v>
      </c>
      <c r="R11">
        <v>6719.04</v>
      </c>
      <c r="S11" s="7">
        <v>3249.81</v>
      </c>
      <c r="T11">
        <v>6420.69</v>
      </c>
    </row>
    <row r="12" spans="1:20" x14ac:dyDescent="0.2">
      <c r="C12">
        <f>SUM(C1:C11)</f>
        <v>598916.3600000001</v>
      </c>
      <c r="D12">
        <f t="shared" ref="D12:T12" si="0">SUM(D1:D11)</f>
        <v>598921.26</v>
      </c>
      <c r="E12">
        <f t="shared" si="0"/>
        <v>598926.26</v>
      </c>
      <c r="F12">
        <f t="shared" si="0"/>
        <v>598928.26</v>
      </c>
      <c r="G12">
        <f t="shared" si="0"/>
        <v>598929.26</v>
      </c>
      <c r="H12">
        <f t="shared" si="0"/>
        <v>598930.25999999989</v>
      </c>
      <c r="I12">
        <f t="shared" si="0"/>
        <v>598931.26</v>
      </c>
      <c r="J12">
        <f t="shared" si="0"/>
        <v>598932.25999999989</v>
      </c>
      <c r="K12">
        <f t="shared" si="0"/>
        <v>598933.26</v>
      </c>
      <c r="L12">
        <f t="shared" si="0"/>
        <v>598934.26</v>
      </c>
      <c r="M12">
        <f t="shared" si="0"/>
        <v>598935.26000000013</v>
      </c>
      <c r="N12">
        <f t="shared" si="0"/>
        <v>598936.26</v>
      </c>
      <c r="O12">
        <f t="shared" si="0"/>
        <v>598937.25999999989</v>
      </c>
      <c r="P12">
        <f t="shared" si="0"/>
        <v>598938.25999999989</v>
      </c>
      <c r="Q12">
        <f t="shared" si="0"/>
        <v>598939.25999999989</v>
      </c>
      <c r="R12">
        <f t="shared" si="0"/>
        <v>598940.26000000024</v>
      </c>
      <c r="S12">
        <f t="shared" si="0"/>
        <v>598941.26</v>
      </c>
      <c r="T12">
        <f t="shared" si="0"/>
        <v>598944.25999999989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134023.5</v>
      </c>
      <c r="D17">
        <f>AVERAGE(C2:E2)</f>
        <v>104923.47000000002</v>
      </c>
      <c r="E17">
        <f>C17-D17</f>
        <v>29100.029999999984</v>
      </c>
    </row>
    <row r="18" spans="1:5" ht="16" thickBot="1" x14ac:dyDescent="0.25">
      <c r="A18">
        <v>2</v>
      </c>
      <c r="B18" s="6" t="s">
        <v>2</v>
      </c>
      <c r="C18">
        <f t="shared" ref="C18:C25" si="1">AVERAGE(S3:T3)</f>
        <v>51384.06</v>
      </c>
      <c r="D18">
        <f t="shared" ref="D18:D25" si="2">AVERAGE(C3:E3)</f>
        <v>92556.21</v>
      </c>
      <c r="E18">
        <f t="shared" ref="E18:E26" si="3">C18-D18</f>
        <v>-41172.150000000009</v>
      </c>
    </row>
    <row r="19" spans="1:5" ht="16" thickBot="1" x14ac:dyDescent="0.25">
      <c r="A19">
        <v>3</v>
      </c>
      <c r="B19" s="6" t="s">
        <v>3</v>
      </c>
      <c r="C19">
        <f t="shared" si="1"/>
        <v>1584.855</v>
      </c>
      <c r="D19">
        <f t="shared" si="2"/>
        <v>2305.9500000000003</v>
      </c>
      <c r="E19">
        <f t="shared" si="3"/>
        <v>-721.09500000000025</v>
      </c>
    </row>
    <row r="20" spans="1:5" ht="16" thickBot="1" x14ac:dyDescent="0.25">
      <c r="A20">
        <v>4</v>
      </c>
      <c r="B20" s="6" t="s">
        <v>4</v>
      </c>
      <c r="C20">
        <f t="shared" si="1"/>
        <v>371274.93</v>
      </c>
      <c r="D20">
        <f t="shared" si="2"/>
        <v>369424.5</v>
      </c>
      <c r="E20">
        <f t="shared" si="3"/>
        <v>1850.429999999993</v>
      </c>
    </row>
    <row r="21" spans="1:5" ht="16" thickBot="1" x14ac:dyDescent="0.25">
      <c r="A21">
        <v>5</v>
      </c>
      <c r="B21" s="6" t="s">
        <v>5</v>
      </c>
      <c r="C21">
        <f t="shared" si="1"/>
        <v>14544.45</v>
      </c>
      <c r="D21">
        <f t="shared" si="2"/>
        <v>15714.090000000002</v>
      </c>
      <c r="E21">
        <f t="shared" si="3"/>
        <v>-1169.6400000000012</v>
      </c>
    </row>
    <row r="22" spans="1:5" ht="16" thickBot="1" x14ac:dyDescent="0.25">
      <c r="A22">
        <v>6</v>
      </c>
      <c r="B22" s="6" t="s">
        <v>6</v>
      </c>
      <c r="C22">
        <f t="shared" si="1"/>
        <v>4.05</v>
      </c>
      <c r="D22">
        <f t="shared" si="2"/>
        <v>3.3333333333333333E-2</v>
      </c>
      <c r="E22">
        <f t="shared" si="3"/>
        <v>4.0166666666666666</v>
      </c>
    </row>
    <row r="23" spans="1:5" ht="16" thickBot="1" x14ac:dyDescent="0.25">
      <c r="A23">
        <v>7</v>
      </c>
      <c r="B23" s="6" t="s">
        <v>7</v>
      </c>
      <c r="C23">
        <f t="shared" si="1"/>
        <v>17628.345000000001</v>
      </c>
      <c r="D23">
        <f t="shared" si="2"/>
        <v>6789.5099999999993</v>
      </c>
      <c r="E23">
        <f t="shared" si="3"/>
        <v>10838.835000000003</v>
      </c>
    </row>
    <row r="24" spans="1:5" ht="16" thickBot="1" x14ac:dyDescent="0.25">
      <c r="A24">
        <v>8</v>
      </c>
      <c r="B24" s="6" t="s">
        <v>8</v>
      </c>
      <c r="C24">
        <f t="shared" si="1"/>
        <v>425.65500000000003</v>
      </c>
      <c r="D24">
        <f t="shared" si="2"/>
        <v>132.44999999999999</v>
      </c>
      <c r="E24">
        <f t="shared" si="3"/>
        <v>293.20500000000004</v>
      </c>
    </row>
    <row r="25" spans="1:5" ht="16" thickBot="1" x14ac:dyDescent="0.25">
      <c r="A25">
        <v>9</v>
      </c>
      <c r="B25" s="6" t="s">
        <v>9</v>
      </c>
      <c r="C25">
        <f t="shared" si="1"/>
        <v>1221.165</v>
      </c>
      <c r="D25">
        <f t="shared" si="2"/>
        <v>1641.1499999999999</v>
      </c>
      <c r="E25">
        <f t="shared" si="3"/>
        <v>-419.9849999999999</v>
      </c>
    </row>
    <row r="26" spans="1:5" ht="16" thickBot="1" x14ac:dyDescent="0.25">
      <c r="A26">
        <v>10</v>
      </c>
      <c r="B26" s="6" t="s">
        <v>10</v>
      </c>
      <c r="C26">
        <f>AVERAGE(S11:T11)</f>
        <v>4835.25</v>
      </c>
      <c r="D26">
        <f>AVERAGE(C11:E11)</f>
        <v>3438.93</v>
      </c>
      <c r="E26">
        <f t="shared" si="3"/>
        <v>1396.3200000000002</v>
      </c>
    </row>
    <row r="27" spans="1:5" x14ac:dyDescent="0.2">
      <c r="E27">
        <f>SUM(E17:E26)</f>
        <v>-3.3333333364225837E-2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27.734528795130377</v>
      </c>
    </row>
    <row r="32" spans="1:5" x14ac:dyDescent="0.2">
      <c r="B32" s="13" t="s">
        <v>2</v>
      </c>
      <c r="E32" s="14">
        <f t="shared" ref="E32:E40" si="4">(E18/D18)*100</f>
        <v>-44.483400951702762</v>
      </c>
    </row>
    <row r="33" spans="2:5" x14ac:dyDescent="0.2">
      <c r="B33" s="13" t="s">
        <v>3</v>
      </c>
      <c r="E33" s="14">
        <f t="shared" si="4"/>
        <v>-31.271059650035781</v>
      </c>
    </row>
    <row r="34" spans="2:5" x14ac:dyDescent="0.2">
      <c r="B34" s="13" t="s">
        <v>4</v>
      </c>
      <c r="E34" s="14">
        <f t="shared" si="4"/>
        <v>0.50089531149125011</v>
      </c>
    </row>
    <row r="35" spans="2:5" x14ac:dyDescent="0.2">
      <c r="B35" s="13" t="s">
        <v>5</v>
      </c>
      <c r="E35" s="14">
        <f t="shared" si="4"/>
        <v>-7.4432563387380437</v>
      </c>
    </row>
    <row r="36" spans="2:5" x14ac:dyDescent="0.2">
      <c r="B36" s="13" t="s">
        <v>6</v>
      </c>
      <c r="E36" s="14">
        <f t="shared" si="4"/>
        <v>12050</v>
      </c>
    </row>
    <row r="37" spans="2:5" x14ac:dyDescent="0.2">
      <c r="B37" s="13" t="s">
        <v>7</v>
      </c>
      <c r="E37" s="14">
        <f t="shared" si="4"/>
        <v>159.64090192075722</v>
      </c>
    </row>
    <row r="38" spans="2:5" x14ac:dyDescent="0.2">
      <c r="B38" s="13" t="s">
        <v>8</v>
      </c>
      <c r="E38" s="14">
        <f t="shared" si="4"/>
        <v>221.3703284258211</v>
      </c>
    </row>
    <row r="39" spans="2:5" x14ac:dyDescent="0.2">
      <c r="B39" s="13" t="s">
        <v>9</v>
      </c>
      <c r="E39" s="14">
        <f t="shared" si="4"/>
        <v>-25.590896627364955</v>
      </c>
    </row>
    <row r="40" spans="2:5" x14ac:dyDescent="0.2">
      <c r="B40" s="13" t="s">
        <v>10</v>
      </c>
      <c r="E40" s="14">
        <f t="shared" si="4"/>
        <v>40.60332719770394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D515-FC94-BE4D-868B-4299A72519A4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2162.25</v>
      </c>
      <c r="D2">
        <v>2417.85</v>
      </c>
      <c r="E2">
        <v>1637.01</v>
      </c>
      <c r="F2">
        <v>9481.59</v>
      </c>
      <c r="G2">
        <v>1164.24</v>
      </c>
      <c r="H2">
        <v>1936.35</v>
      </c>
      <c r="I2">
        <v>2832.5699999999997</v>
      </c>
      <c r="J2" s="7">
        <v>1369.8</v>
      </c>
      <c r="K2">
        <v>2857.41</v>
      </c>
      <c r="L2">
        <v>2148.9299999999998</v>
      </c>
      <c r="M2">
        <v>1654.9199999999998</v>
      </c>
      <c r="N2">
        <v>4195.9799999999996</v>
      </c>
      <c r="O2" s="7">
        <v>3260.43</v>
      </c>
      <c r="P2">
        <v>2877.39</v>
      </c>
      <c r="Q2">
        <v>2449.2599999999998</v>
      </c>
      <c r="R2">
        <v>3760.47</v>
      </c>
      <c r="S2">
        <v>6570.54</v>
      </c>
      <c r="T2" s="7">
        <v>7230.24</v>
      </c>
    </row>
    <row r="3" spans="1:20" ht="16" thickBot="1" x14ac:dyDescent="0.25">
      <c r="A3">
        <v>2</v>
      </c>
      <c r="B3" s="6" t="s">
        <v>2</v>
      </c>
      <c r="C3">
        <v>3654.72</v>
      </c>
      <c r="D3">
        <v>3130.29</v>
      </c>
      <c r="E3">
        <v>5986.44</v>
      </c>
      <c r="F3">
        <v>12447.27</v>
      </c>
      <c r="G3">
        <v>4422.6899999999996</v>
      </c>
      <c r="H3">
        <v>5054.22</v>
      </c>
      <c r="I3">
        <v>4102.74</v>
      </c>
      <c r="J3" s="7">
        <v>5975.37</v>
      </c>
      <c r="K3">
        <v>4659.3</v>
      </c>
      <c r="L3">
        <v>4549.05</v>
      </c>
      <c r="M3">
        <v>5241.6899999999996</v>
      </c>
      <c r="N3">
        <v>6100.38</v>
      </c>
      <c r="O3" s="7">
        <v>4727.79</v>
      </c>
      <c r="P3">
        <v>1463.76</v>
      </c>
      <c r="Q3">
        <v>1649.1599999999999</v>
      </c>
      <c r="R3">
        <v>1337.6699999999998</v>
      </c>
      <c r="S3">
        <v>3911.94</v>
      </c>
      <c r="T3" s="7">
        <v>3478.05</v>
      </c>
    </row>
    <row r="4" spans="1:20" ht="16" thickBot="1" x14ac:dyDescent="0.25">
      <c r="A4">
        <v>3</v>
      </c>
      <c r="B4" s="6" t="s">
        <v>3</v>
      </c>
      <c r="C4">
        <v>6602.04</v>
      </c>
      <c r="D4">
        <v>3338.0099999999998</v>
      </c>
      <c r="E4">
        <v>2375.8199999999997</v>
      </c>
      <c r="F4">
        <v>1905.12</v>
      </c>
      <c r="G4">
        <v>1619.28</v>
      </c>
      <c r="H4">
        <v>2759.58</v>
      </c>
      <c r="I4">
        <v>1380.4199999999998</v>
      </c>
      <c r="J4" s="7">
        <v>546.29999999999995</v>
      </c>
      <c r="K4">
        <v>2474.2799999999997</v>
      </c>
      <c r="L4">
        <v>2676.69</v>
      </c>
      <c r="M4">
        <v>724.94999999999993</v>
      </c>
      <c r="N4">
        <v>711.99</v>
      </c>
      <c r="O4" s="7">
        <v>2298.87</v>
      </c>
      <c r="P4">
        <v>61.919999999999995</v>
      </c>
      <c r="Q4">
        <v>935.64</v>
      </c>
      <c r="R4">
        <v>178.65</v>
      </c>
      <c r="S4">
        <v>2694.24</v>
      </c>
      <c r="T4" s="7">
        <v>2956.86</v>
      </c>
    </row>
    <row r="5" spans="1:20" ht="16" thickBot="1" x14ac:dyDescent="0.25">
      <c r="A5">
        <v>4</v>
      </c>
      <c r="B5" s="6" t="s">
        <v>4</v>
      </c>
      <c r="C5">
        <v>282568.5</v>
      </c>
      <c r="D5">
        <v>359230.5</v>
      </c>
      <c r="E5">
        <v>227331.44999999998</v>
      </c>
      <c r="F5">
        <v>179753.75999999998</v>
      </c>
      <c r="G5">
        <v>226783.16999999998</v>
      </c>
      <c r="H5">
        <v>148928.94</v>
      </c>
      <c r="I5">
        <v>247588.11</v>
      </c>
      <c r="J5" s="7">
        <v>184610.7</v>
      </c>
      <c r="K5">
        <v>165700.44</v>
      </c>
      <c r="L5">
        <v>222502.13999999998</v>
      </c>
      <c r="M5">
        <v>185352.75</v>
      </c>
      <c r="N5">
        <v>202234.22999999998</v>
      </c>
      <c r="O5" s="7">
        <v>154100.34</v>
      </c>
      <c r="P5">
        <v>218812.77</v>
      </c>
      <c r="Q5">
        <v>163325.34</v>
      </c>
      <c r="R5">
        <v>212918.85</v>
      </c>
      <c r="S5">
        <v>194767.19999999998</v>
      </c>
      <c r="T5" s="7">
        <v>205846.74</v>
      </c>
    </row>
    <row r="6" spans="1:20" ht="16" thickBot="1" x14ac:dyDescent="0.25">
      <c r="A6">
        <v>5</v>
      </c>
      <c r="B6" s="6" t="s">
        <v>5</v>
      </c>
      <c r="C6">
        <v>113328.18</v>
      </c>
      <c r="D6">
        <v>88976.87999999999</v>
      </c>
      <c r="E6">
        <v>137807.37</v>
      </c>
      <c r="F6">
        <v>123891.48</v>
      </c>
      <c r="G6">
        <v>138543.66</v>
      </c>
      <c r="H6">
        <v>136353.41999999998</v>
      </c>
      <c r="I6">
        <v>139743.9</v>
      </c>
      <c r="J6" s="7">
        <v>134109.99</v>
      </c>
      <c r="K6">
        <v>92766.06</v>
      </c>
      <c r="L6">
        <v>110290.31999999999</v>
      </c>
      <c r="M6">
        <v>120612.23999999999</v>
      </c>
      <c r="N6">
        <v>124271.54999999999</v>
      </c>
      <c r="O6" s="7">
        <v>107572.14</v>
      </c>
      <c r="P6">
        <v>109185.84</v>
      </c>
      <c r="Q6">
        <v>111027.51</v>
      </c>
      <c r="R6">
        <v>112308.20999999999</v>
      </c>
      <c r="S6">
        <v>82008.72</v>
      </c>
      <c r="T6" s="7">
        <v>80315.37</v>
      </c>
    </row>
    <row r="7" spans="1:20" ht="16" thickBot="1" x14ac:dyDescent="0.25">
      <c r="A7">
        <v>6</v>
      </c>
      <c r="B7" s="6" t="s">
        <v>6</v>
      </c>
      <c r="C7">
        <v>2533.5899999999997</v>
      </c>
      <c r="D7">
        <v>889.11</v>
      </c>
      <c r="E7">
        <v>1355.04</v>
      </c>
      <c r="F7">
        <v>1340.1</v>
      </c>
      <c r="G7">
        <v>188.28</v>
      </c>
      <c r="H7">
        <v>161.1</v>
      </c>
      <c r="I7">
        <v>926.64</v>
      </c>
      <c r="J7" s="7">
        <v>644.85</v>
      </c>
      <c r="K7">
        <v>2463.39</v>
      </c>
      <c r="L7">
        <v>422.28</v>
      </c>
      <c r="M7">
        <v>2356.4699999999998</v>
      </c>
      <c r="N7">
        <v>559.26</v>
      </c>
      <c r="O7" s="7">
        <v>3133.62</v>
      </c>
      <c r="P7">
        <v>872.73</v>
      </c>
      <c r="Q7">
        <v>1395.72</v>
      </c>
      <c r="R7">
        <v>2072.0699999999997</v>
      </c>
      <c r="S7">
        <v>1773.36</v>
      </c>
      <c r="T7" s="7">
        <v>1952.82</v>
      </c>
    </row>
    <row r="8" spans="1:20" ht="16" thickBot="1" x14ac:dyDescent="0.25">
      <c r="A8">
        <v>7</v>
      </c>
      <c r="B8" s="6" t="s">
        <v>7</v>
      </c>
      <c r="C8">
        <v>180823.86</v>
      </c>
      <c r="D8">
        <v>136371.69</v>
      </c>
      <c r="E8">
        <v>218888.19</v>
      </c>
      <c r="F8">
        <v>264538.26</v>
      </c>
      <c r="G8">
        <v>222013.08</v>
      </c>
      <c r="H8">
        <v>297514.44</v>
      </c>
      <c r="I8">
        <v>199111.41</v>
      </c>
      <c r="J8" s="7">
        <v>268343.90999999997</v>
      </c>
      <c r="K8">
        <v>320965.92</v>
      </c>
      <c r="L8">
        <v>251409.87</v>
      </c>
      <c r="M8">
        <v>280514.25</v>
      </c>
      <c r="N8">
        <v>253287.36</v>
      </c>
      <c r="O8" s="7">
        <v>318204.53999999998</v>
      </c>
      <c r="P8">
        <v>258260.94</v>
      </c>
      <c r="Q8">
        <v>311222.96999999997</v>
      </c>
      <c r="R8">
        <v>261689.4</v>
      </c>
      <c r="S8">
        <v>300324.51</v>
      </c>
      <c r="T8" s="7">
        <v>292899.15000000002</v>
      </c>
    </row>
    <row r="9" spans="1:20" ht="16" thickBot="1" x14ac:dyDescent="0.25">
      <c r="A9">
        <v>8</v>
      </c>
      <c r="B9" s="6" t="s">
        <v>8</v>
      </c>
      <c r="C9">
        <v>19.079999999999998</v>
      </c>
      <c r="D9">
        <v>18.45</v>
      </c>
      <c r="E9">
        <v>42.57</v>
      </c>
      <c r="F9">
        <v>671.31</v>
      </c>
      <c r="G9">
        <v>2.61</v>
      </c>
      <c r="H9">
        <v>0</v>
      </c>
      <c r="I9">
        <v>12.51</v>
      </c>
      <c r="J9" s="7">
        <v>68.760000000000005</v>
      </c>
      <c r="K9">
        <v>42.93</v>
      </c>
      <c r="L9">
        <v>228.06</v>
      </c>
      <c r="M9">
        <v>5.49</v>
      </c>
      <c r="N9">
        <v>21.509999999999998</v>
      </c>
      <c r="O9" s="7">
        <v>0.45</v>
      </c>
      <c r="P9">
        <v>0</v>
      </c>
      <c r="Q9">
        <v>32.22</v>
      </c>
      <c r="R9">
        <v>0</v>
      </c>
      <c r="S9">
        <v>10.62</v>
      </c>
      <c r="T9" s="7">
        <v>1.98</v>
      </c>
    </row>
    <row r="10" spans="1:20" ht="16" thickBot="1" x14ac:dyDescent="0.25">
      <c r="A10">
        <v>9</v>
      </c>
      <c r="B10" s="6" t="s">
        <v>9</v>
      </c>
      <c r="C10">
        <v>9501.48</v>
      </c>
      <c r="D10">
        <v>9021.869999999999</v>
      </c>
      <c r="E10">
        <v>6241.32</v>
      </c>
      <c r="F10">
        <v>6957.09</v>
      </c>
      <c r="G10">
        <v>8013.33</v>
      </c>
      <c r="H10">
        <v>7284.0599999999995</v>
      </c>
      <c r="I10">
        <v>7080.75</v>
      </c>
      <c r="J10" s="7">
        <v>6103.62</v>
      </c>
      <c r="K10">
        <v>8271.09</v>
      </c>
      <c r="L10">
        <v>5625.7199999999993</v>
      </c>
      <c r="M10">
        <v>5492.7</v>
      </c>
      <c r="N10">
        <v>9045.7199999999993</v>
      </c>
      <c r="O10" s="7">
        <v>6232.05</v>
      </c>
      <c r="P10">
        <v>8654.31</v>
      </c>
      <c r="Q10">
        <v>6746.2199999999993</v>
      </c>
      <c r="R10">
        <v>6366.33</v>
      </c>
      <c r="S10">
        <v>7422.21</v>
      </c>
      <c r="T10" s="7">
        <v>5550.75</v>
      </c>
    </row>
    <row r="11" spans="1:20" ht="16" thickBot="1" x14ac:dyDescent="0.25">
      <c r="A11">
        <v>10</v>
      </c>
      <c r="B11" s="6" t="s">
        <v>10</v>
      </c>
      <c r="C11">
        <v>3217.77</v>
      </c>
      <c r="D11">
        <v>1016.8199999999999</v>
      </c>
      <c r="E11">
        <v>2746.2599999999998</v>
      </c>
      <c r="F11">
        <v>3425.49</v>
      </c>
      <c r="G11">
        <v>1661.1299999999999</v>
      </c>
      <c r="H11">
        <v>4419.3599999999997</v>
      </c>
      <c r="I11">
        <v>1632.4199999999998</v>
      </c>
      <c r="J11" s="7">
        <v>2638.17</v>
      </c>
      <c r="K11">
        <v>4210.6499999999996</v>
      </c>
      <c r="L11">
        <v>4558.41</v>
      </c>
      <c r="M11">
        <v>2456.0099999999998</v>
      </c>
      <c r="N11">
        <v>3983.49</v>
      </c>
      <c r="O11" s="7">
        <v>4881.24</v>
      </c>
      <c r="P11">
        <v>4221.8099999999995</v>
      </c>
      <c r="Q11">
        <v>5627.4299999999994</v>
      </c>
      <c r="R11">
        <v>3779.8199999999997</v>
      </c>
      <c r="S11">
        <v>4928.13</v>
      </c>
      <c r="T11" s="7">
        <v>4179.51</v>
      </c>
    </row>
    <row r="12" spans="1:20" x14ac:dyDescent="0.2">
      <c r="C12">
        <f>SUM(C2:C11)</f>
        <v>604411.47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6900.3899999999994</v>
      </c>
      <c r="D17">
        <f>AVERAGE(C2:E2)</f>
        <v>2072.3700000000003</v>
      </c>
      <c r="E17">
        <f>C17-D17</f>
        <v>4828.0199999999986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3694.9949999999999</v>
      </c>
      <c r="D18">
        <f t="shared" ref="D18:D25" si="1">AVERAGE(C3:E3)</f>
        <v>4257.1500000000005</v>
      </c>
      <c r="E18">
        <f t="shared" ref="E18:E26" si="2">C18-D18</f>
        <v>-562.15500000000065</v>
      </c>
    </row>
    <row r="19" spans="1:5" ht="16" thickBot="1" x14ac:dyDescent="0.25">
      <c r="A19">
        <v>3</v>
      </c>
      <c r="B19" s="6" t="s">
        <v>3</v>
      </c>
      <c r="C19">
        <f t="shared" si="0"/>
        <v>2825.55</v>
      </c>
      <c r="D19">
        <f t="shared" si="1"/>
        <v>4105.29</v>
      </c>
      <c r="E19">
        <f t="shared" si="2"/>
        <v>-1279.7399999999998</v>
      </c>
    </row>
    <row r="20" spans="1:5" ht="16" thickBot="1" x14ac:dyDescent="0.25">
      <c r="A20">
        <v>4</v>
      </c>
      <c r="B20" s="6" t="s">
        <v>4</v>
      </c>
      <c r="C20">
        <f t="shared" si="0"/>
        <v>200306.96999999997</v>
      </c>
      <c r="D20">
        <f t="shared" si="1"/>
        <v>289710.14999999997</v>
      </c>
      <c r="E20">
        <f t="shared" si="2"/>
        <v>-89403.18</v>
      </c>
    </row>
    <row r="21" spans="1:5" ht="16" thickBot="1" x14ac:dyDescent="0.25">
      <c r="A21">
        <v>5</v>
      </c>
      <c r="B21" s="6" t="s">
        <v>5</v>
      </c>
      <c r="C21">
        <f t="shared" si="0"/>
        <v>81162.044999999998</v>
      </c>
      <c r="D21">
        <f t="shared" si="1"/>
        <v>113370.81</v>
      </c>
      <c r="E21">
        <f t="shared" si="2"/>
        <v>-32208.764999999999</v>
      </c>
    </row>
    <row r="22" spans="1:5" ht="16" thickBot="1" x14ac:dyDescent="0.25">
      <c r="A22">
        <v>6</v>
      </c>
      <c r="B22" s="6" t="s">
        <v>6</v>
      </c>
      <c r="C22">
        <f t="shared" si="0"/>
        <v>1863.09</v>
      </c>
      <c r="D22">
        <f t="shared" si="1"/>
        <v>1592.58</v>
      </c>
      <c r="E22">
        <f t="shared" si="2"/>
        <v>270.51</v>
      </c>
    </row>
    <row r="23" spans="1:5" ht="16" thickBot="1" x14ac:dyDescent="0.25">
      <c r="A23">
        <v>7</v>
      </c>
      <c r="B23" s="6" t="s">
        <v>7</v>
      </c>
      <c r="C23">
        <f t="shared" si="0"/>
        <v>296611.83</v>
      </c>
      <c r="D23">
        <f t="shared" si="1"/>
        <v>178694.58</v>
      </c>
      <c r="E23">
        <f t="shared" si="2"/>
        <v>117917.25000000003</v>
      </c>
    </row>
    <row r="24" spans="1:5" ht="16" thickBot="1" x14ac:dyDescent="0.25">
      <c r="A24">
        <v>8</v>
      </c>
      <c r="B24" s="6" t="s">
        <v>8</v>
      </c>
      <c r="C24">
        <f t="shared" si="0"/>
        <v>6.3</v>
      </c>
      <c r="D24">
        <f t="shared" si="1"/>
        <v>26.7</v>
      </c>
      <c r="E24">
        <f t="shared" si="2"/>
        <v>-20.399999999999999</v>
      </c>
    </row>
    <row r="25" spans="1:5" ht="16" thickBot="1" x14ac:dyDescent="0.25">
      <c r="A25">
        <v>9</v>
      </c>
      <c r="B25" s="6" t="s">
        <v>9</v>
      </c>
      <c r="C25">
        <f t="shared" si="0"/>
        <v>6486.48</v>
      </c>
      <c r="D25">
        <f t="shared" si="1"/>
        <v>8254.89</v>
      </c>
      <c r="E25">
        <f t="shared" si="2"/>
        <v>-1768.4099999999999</v>
      </c>
    </row>
    <row r="26" spans="1:5" ht="16" thickBot="1" x14ac:dyDescent="0.25">
      <c r="A26">
        <v>10</v>
      </c>
      <c r="B26" s="6" t="s">
        <v>10</v>
      </c>
      <c r="C26">
        <f>AVERAGE(S11:T11)</f>
        <v>4553.82</v>
      </c>
      <c r="D26">
        <f>AVERAGE(C11:E11)</f>
        <v>2326.9500000000003</v>
      </c>
      <c r="E26">
        <f t="shared" si="2"/>
        <v>2226.8699999999994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232.97094630785034</v>
      </c>
    </row>
    <row r="32" spans="1:5" x14ac:dyDescent="0.2">
      <c r="B32" s="13" t="s">
        <v>2</v>
      </c>
      <c r="E32" s="14">
        <f t="shared" ref="E32:E40" si="3">(E18/D18)*100</f>
        <v>-13.20496106550158</v>
      </c>
    </row>
    <row r="33" spans="2:5" x14ac:dyDescent="0.2">
      <c r="B33" s="13" t="s">
        <v>3</v>
      </c>
      <c r="E33" s="14">
        <f t="shared" si="3"/>
        <v>-31.172950023019077</v>
      </c>
    </row>
    <row r="34" spans="2:5" x14ac:dyDescent="0.2">
      <c r="B34" s="13" t="s">
        <v>4</v>
      </c>
      <c r="E34" s="14">
        <f t="shared" si="3"/>
        <v>-30.859526323119852</v>
      </c>
    </row>
    <row r="35" spans="2:5" x14ac:dyDescent="0.2">
      <c r="B35" s="13" t="s">
        <v>5</v>
      </c>
      <c r="E35" s="14">
        <f t="shared" si="3"/>
        <v>-28.410103976499773</v>
      </c>
    </row>
    <row r="36" spans="2:5" x14ac:dyDescent="0.2">
      <c r="B36" s="13" t="s">
        <v>6</v>
      </c>
      <c r="E36" s="14">
        <f t="shared" si="3"/>
        <v>16.985645933014354</v>
      </c>
    </row>
    <row r="37" spans="2:5" x14ac:dyDescent="0.2">
      <c r="B37" s="13" t="s">
        <v>7</v>
      </c>
      <c r="E37" s="14">
        <f t="shared" si="3"/>
        <v>65.988151403361002</v>
      </c>
    </row>
    <row r="38" spans="2:5" x14ac:dyDescent="0.2">
      <c r="B38" s="13" t="s">
        <v>8</v>
      </c>
      <c r="E38" s="14">
        <f t="shared" si="3"/>
        <v>-76.404494382022463</v>
      </c>
    </row>
    <row r="39" spans="2:5" x14ac:dyDescent="0.2">
      <c r="B39" s="13" t="s">
        <v>9</v>
      </c>
      <c r="E39" s="14">
        <f t="shared" si="3"/>
        <v>-21.422574982828362</v>
      </c>
    </row>
    <row r="40" spans="2:5" x14ac:dyDescent="0.2">
      <c r="B40" s="13" t="s">
        <v>10</v>
      </c>
      <c r="E40" s="14">
        <f t="shared" si="3"/>
        <v>95.699091084896509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4A0A-4006-6843-850C-F720D3E4FA14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59069.34</v>
      </c>
      <c r="D2" s="7">
        <v>58845.78</v>
      </c>
      <c r="E2">
        <v>54878.579999999994</v>
      </c>
      <c r="F2" s="7">
        <v>65054.97</v>
      </c>
      <c r="G2">
        <v>48510.99</v>
      </c>
      <c r="H2" s="7">
        <v>52374.6</v>
      </c>
      <c r="I2" s="7">
        <v>58010.31</v>
      </c>
      <c r="J2" s="7">
        <v>48314.43</v>
      </c>
      <c r="K2" s="7">
        <v>28818.720000000001</v>
      </c>
      <c r="L2">
        <v>36619.11</v>
      </c>
      <c r="M2">
        <v>50313.689999999995</v>
      </c>
      <c r="N2">
        <v>48824.46</v>
      </c>
      <c r="O2" s="7">
        <v>27275.85</v>
      </c>
      <c r="P2">
        <v>48250.259999999995</v>
      </c>
      <c r="Q2" s="7">
        <v>42594.21</v>
      </c>
      <c r="R2">
        <v>51463.439999999995</v>
      </c>
      <c r="S2">
        <v>30730.949999999997</v>
      </c>
      <c r="T2">
        <v>35714.61</v>
      </c>
    </row>
    <row r="3" spans="1:20" ht="16" thickBot="1" x14ac:dyDescent="0.25">
      <c r="A3">
        <v>2</v>
      </c>
      <c r="B3" s="6" t="s">
        <v>2</v>
      </c>
      <c r="C3">
        <v>9978.0299999999988</v>
      </c>
      <c r="D3" s="7">
        <v>7508.7</v>
      </c>
      <c r="E3">
        <v>23085.899999999998</v>
      </c>
      <c r="F3" s="7">
        <v>15874.47</v>
      </c>
      <c r="G3">
        <v>18052.2</v>
      </c>
      <c r="H3" s="7">
        <v>11604.96</v>
      </c>
      <c r="I3" s="7">
        <v>16673.400000000001</v>
      </c>
      <c r="J3" s="7">
        <v>18233.099999999999</v>
      </c>
      <c r="K3" s="7">
        <v>26588.07</v>
      </c>
      <c r="L3">
        <v>20974.23</v>
      </c>
      <c r="M3">
        <v>11531.16</v>
      </c>
      <c r="N3">
        <v>19376.82</v>
      </c>
      <c r="O3" s="7">
        <v>29307.06</v>
      </c>
      <c r="P3">
        <v>20821.86</v>
      </c>
      <c r="Q3" s="7">
        <v>13958.55</v>
      </c>
      <c r="R3">
        <v>11217.15</v>
      </c>
      <c r="S3">
        <v>20818.349999999999</v>
      </c>
      <c r="T3">
        <v>27619.02</v>
      </c>
    </row>
    <row r="4" spans="1:20" ht="16" thickBot="1" x14ac:dyDescent="0.25">
      <c r="A4">
        <v>3</v>
      </c>
      <c r="B4" s="6" t="s">
        <v>3</v>
      </c>
      <c r="C4">
        <v>13967.64</v>
      </c>
      <c r="D4" s="7">
        <v>4679.91</v>
      </c>
      <c r="E4">
        <v>7483.32</v>
      </c>
      <c r="F4" s="7">
        <v>7533.09</v>
      </c>
      <c r="G4">
        <v>13810.14</v>
      </c>
      <c r="H4" s="7">
        <v>10172.25</v>
      </c>
      <c r="I4" s="7">
        <v>5820.39</v>
      </c>
      <c r="J4" s="7">
        <v>5308.11</v>
      </c>
      <c r="K4" s="7">
        <v>10140.030000000001</v>
      </c>
      <c r="L4">
        <v>4287.5999999999995</v>
      </c>
      <c r="M4">
        <v>10022.67</v>
      </c>
      <c r="N4">
        <v>8768.34</v>
      </c>
      <c r="O4" s="7">
        <v>5930.64</v>
      </c>
      <c r="P4">
        <v>2986.56</v>
      </c>
      <c r="Q4" s="7">
        <v>6721.2</v>
      </c>
      <c r="R4">
        <v>2380.5899999999997</v>
      </c>
      <c r="S4">
        <v>9587.43</v>
      </c>
      <c r="T4">
        <v>12980.25</v>
      </c>
    </row>
    <row r="5" spans="1:20" ht="16" thickBot="1" x14ac:dyDescent="0.25">
      <c r="A5">
        <v>4</v>
      </c>
      <c r="B5" s="6" t="s">
        <v>4</v>
      </c>
      <c r="C5">
        <v>509336.01</v>
      </c>
      <c r="D5" s="7">
        <v>581801.85</v>
      </c>
      <c r="E5">
        <v>469500.20999999996</v>
      </c>
      <c r="F5" s="7">
        <v>401924.7</v>
      </c>
      <c r="G5">
        <v>459553.32</v>
      </c>
      <c r="H5" s="7">
        <v>379938.87</v>
      </c>
      <c r="I5" s="7">
        <v>446681.07</v>
      </c>
      <c r="J5" s="7">
        <v>365193.99</v>
      </c>
      <c r="K5" s="7">
        <v>324715.40999999997</v>
      </c>
      <c r="L5">
        <v>394928.82</v>
      </c>
      <c r="M5">
        <v>376141.76999999996</v>
      </c>
      <c r="N5">
        <v>327206.51999999996</v>
      </c>
      <c r="O5" s="7">
        <v>382089.24</v>
      </c>
      <c r="P5">
        <v>433812.32999999996</v>
      </c>
      <c r="Q5" s="7">
        <v>332950.5</v>
      </c>
      <c r="R5">
        <v>361778.85</v>
      </c>
      <c r="S5">
        <v>359372.7</v>
      </c>
      <c r="T5">
        <v>396827.64</v>
      </c>
    </row>
    <row r="6" spans="1:20" ht="16" thickBot="1" x14ac:dyDescent="0.25">
      <c r="A6">
        <v>5</v>
      </c>
      <c r="B6" s="6" t="s">
        <v>5</v>
      </c>
      <c r="C6">
        <v>40630.68</v>
      </c>
      <c r="D6" s="7">
        <v>21279.96</v>
      </c>
      <c r="E6">
        <v>49517.369999999995</v>
      </c>
      <c r="F6" s="7">
        <v>59913.27</v>
      </c>
      <c r="G6">
        <v>62916.299999999996</v>
      </c>
      <c r="H6" s="7">
        <v>46391.58</v>
      </c>
      <c r="I6" s="7">
        <v>53348.4</v>
      </c>
      <c r="J6" s="7">
        <v>55872.72</v>
      </c>
      <c r="K6" s="7">
        <v>47732.85</v>
      </c>
      <c r="L6">
        <v>44987.4</v>
      </c>
      <c r="M6">
        <v>69603.66</v>
      </c>
      <c r="N6">
        <v>65341.53</v>
      </c>
      <c r="O6" s="7">
        <v>57204.81</v>
      </c>
      <c r="P6">
        <v>45287.009999999995</v>
      </c>
      <c r="Q6" s="7">
        <v>58694.22</v>
      </c>
      <c r="R6">
        <v>57258.36</v>
      </c>
      <c r="S6">
        <v>36052.379999999997</v>
      </c>
      <c r="T6">
        <v>34892.28</v>
      </c>
    </row>
    <row r="7" spans="1:20" ht="16" thickBot="1" x14ac:dyDescent="0.25">
      <c r="A7">
        <v>6</v>
      </c>
      <c r="B7" s="6" t="s">
        <v>6</v>
      </c>
      <c r="C7">
        <v>5562.54</v>
      </c>
      <c r="D7" s="7">
        <v>3981.69</v>
      </c>
      <c r="E7">
        <v>5757.57</v>
      </c>
      <c r="F7" s="7">
        <v>4904.1000000000004</v>
      </c>
      <c r="G7">
        <v>5995.71</v>
      </c>
      <c r="H7" s="7">
        <v>6062.04</v>
      </c>
      <c r="I7" s="7">
        <v>7275.24</v>
      </c>
      <c r="J7" s="7">
        <v>6595.2</v>
      </c>
      <c r="K7" s="7">
        <v>7353.45</v>
      </c>
      <c r="L7">
        <v>6857.82</v>
      </c>
      <c r="M7">
        <v>7794.2699999999995</v>
      </c>
      <c r="N7">
        <v>6657.21</v>
      </c>
      <c r="O7" s="7">
        <v>8502.39</v>
      </c>
      <c r="P7">
        <v>6133.59</v>
      </c>
      <c r="Q7" s="7">
        <v>6518.34</v>
      </c>
      <c r="R7">
        <v>6809.8499999999995</v>
      </c>
      <c r="S7">
        <v>6523.5599999999995</v>
      </c>
      <c r="T7">
        <v>6088.5</v>
      </c>
    </row>
    <row r="8" spans="1:20" ht="16" thickBot="1" x14ac:dyDescent="0.25">
      <c r="A8">
        <v>7</v>
      </c>
      <c r="B8" s="6" t="s">
        <v>7</v>
      </c>
      <c r="C8">
        <v>175047.75</v>
      </c>
      <c r="D8" s="7">
        <v>137107.17000000001</v>
      </c>
      <c r="E8">
        <v>204287.31</v>
      </c>
      <c r="F8" s="7">
        <v>255503.07</v>
      </c>
      <c r="G8">
        <v>205953.84</v>
      </c>
      <c r="H8" s="7">
        <v>306235.98</v>
      </c>
      <c r="I8" s="7">
        <v>227753.01</v>
      </c>
      <c r="J8" s="7">
        <v>314038.8</v>
      </c>
      <c r="K8" s="7">
        <v>365490.9</v>
      </c>
      <c r="L8">
        <v>298559.07</v>
      </c>
      <c r="M8">
        <v>289311.83999999997</v>
      </c>
      <c r="N8">
        <v>330579.63</v>
      </c>
      <c r="O8" s="7">
        <v>303241.32</v>
      </c>
      <c r="P8">
        <v>255876.03</v>
      </c>
      <c r="Q8" s="7">
        <v>351887.04</v>
      </c>
      <c r="R8">
        <v>321487.64999999997</v>
      </c>
      <c r="S8">
        <v>350736.39</v>
      </c>
      <c r="T8">
        <v>297315.71999999997</v>
      </c>
    </row>
    <row r="9" spans="1:20" ht="16" thickBot="1" x14ac:dyDescent="0.25">
      <c r="A9">
        <v>8</v>
      </c>
      <c r="B9" s="6" t="s">
        <v>8</v>
      </c>
      <c r="C9">
        <v>32.76</v>
      </c>
      <c r="D9" s="7">
        <v>0</v>
      </c>
      <c r="E9">
        <v>0</v>
      </c>
      <c r="F9" s="7">
        <v>1172.97</v>
      </c>
      <c r="G9">
        <v>0.09</v>
      </c>
      <c r="H9" s="7">
        <v>21.33</v>
      </c>
      <c r="I9" s="7">
        <v>13.23</v>
      </c>
      <c r="J9" s="7">
        <v>8.1</v>
      </c>
      <c r="K9" s="7">
        <v>0</v>
      </c>
      <c r="L9">
        <v>56.339999999999996</v>
      </c>
      <c r="M9">
        <v>0</v>
      </c>
      <c r="N9">
        <v>205.38</v>
      </c>
      <c r="O9" s="7">
        <v>7.2</v>
      </c>
      <c r="P9">
        <v>22.23</v>
      </c>
      <c r="Q9" s="7">
        <v>1.17</v>
      </c>
      <c r="R9">
        <v>4.2299999999999995</v>
      </c>
      <c r="S9">
        <v>0</v>
      </c>
      <c r="T9">
        <v>0.36</v>
      </c>
    </row>
    <row r="10" spans="1:20" ht="16" thickBot="1" x14ac:dyDescent="0.25">
      <c r="A10">
        <v>9</v>
      </c>
      <c r="B10" s="6" t="s">
        <v>9</v>
      </c>
      <c r="C10">
        <v>910.26</v>
      </c>
      <c r="D10" s="7">
        <v>1140.48</v>
      </c>
      <c r="E10">
        <v>823.68</v>
      </c>
      <c r="F10" s="7">
        <v>729.54</v>
      </c>
      <c r="G10">
        <v>797.85</v>
      </c>
      <c r="H10" s="7">
        <v>741.51</v>
      </c>
      <c r="I10" s="7">
        <v>627.29999999999995</v>
      </c>
      <c r="J10" s="7">
        <v>643.86</v>
      </c>
      <c r="K10" s="7">
        <v>928.53</v>
      </c>
      <c r="L10">
        <v>490.22999999999996</v>
      </c>
      <c r="M10">
        <v>1034.73</v>
      </c>
      <c r="N10">
        <v>974.96999999999991</v>
      </c>
      <c r="O10" s="7">
        <v>625.04999999999995</v>
      </c>
      <c r="P10">
        <v>1206.18</v>
      </c>
      <c r="Q10" s="7">
        <v>863.91</v>
      </c>
      <c r="R10">
        <v>1276.3799999999999</v>
      </c>
      <c r="S10">
        <v>745.56</v>
      </c>
      <c r="T10">
        <v>2013.12</v>
      </c>
    </row>
    <row r="11" spans="1:20" ht="16" thickBot="1" x14ac:dyDescent="0.25">
      <c r="A11">
        <v>10</v>
      </c>
      <c r="B11" s="6" t="s">
        <v>10</v>
      </c>
      <c r="C11">
        <v>2685.69</v>
      </c>
      <c r="D11" s="7">
        <v>875.16</v>
      </c>
      <c r="E11">
        <v>1886.76</v>
      </c>
      <c r="F11" s="7">
        <v>4610.5200000000004</v>
      </c>
      <c r="G11">
        <v>1630.26</v>
      </c>
      <c r="H11" s="7">
        <v>3677.58</v>
      </c>
      <c r="I11" s="7">
        <v>1018.35</v>
      </c>
      <c r="J11" s="7">
        <v>3012.39</v>
      </c>
      <c r="K11" s="7">
        <v>5452.74</v>
      </c>
      <c r="L11">
        <v>9460.08</v>
      </c>
      <c r="M11">
        <v>1466.9099999999999</v>
      </c>
      <c r="N11">
        <v>9285.84</v>
      </c>
      <c r="O11" s="7">
        <v>3037.14</v>
      </c>
      <c r="P11">
        <v>2824.65</v>
      </c>
      <c r="Q11" s="7">
        <v>3031.56</v>
      </c>
      <c r="R11">
        <v>3544.2</v>
      </c>
      <c r="S11">
        <v>2653.38</v>
      </c>
      <c r="T11">
        <v>3769.2</v>
      </c>
    </row>
    <row r="12" spans="1:20" x14ac:dyDescent="0.2">
      <c r="C12">
        <f>SUM(C2:C11)</f>
        <v>817220.70000000007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33222.78</v>
      </c>
      <c r="D17">
        <f>AVERAGE(C2:E2)</f>
        <v>57597.899999999994</v>
      </c>
      <c r="E17">
        <f>C17-D17</f>
        <v>-24375.119999999995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24218.684999999998</v>
      </c>
      <c r="D18">
        <f t="shared" ref="D18:D25" si="1">AVERAGE(C3:E3)</f>
        <v>13524.21</v>
      </c>
      <c r="E18">
        <f t="shared" ref="E18:E26" si="2">C18-D18</f>
        <v>10694.474999999999</v>
      </c>
    </row>
    <row r="19" spans="1:5" ht="16" thickBot="1" x14ac:dyDescent="0.25">
      <c r="A19">
        <v>3</v>
      </c>
      <c r="B19" s="6" t="s">
        <v>3</v>
      </c>
      <c r="C19">
        <f t="shared" si="0"/>
        <v>11283.84</v>
      </c>
      <c r="D19">
        <f t="shared" si="1"/>
        <v>8710.2899999999991</v>
      </c>
      <c r="E19">
        <f t="shared" si="2"/>
        <v>2573.5500000000011</v>
      </c>
    </row>
    <row r="20" spans="1:5" ht="16" thickBot="1" x14ac:dyDescent="0.25">
      <c r="A20">
        <v>4</v>
      </c>
      <c r="B20" s="6" t="s">
        <v>4</v>
      </c>
      <c r="C20">
        <f t="shared" si="0"/>
        <v>378100.17000000004</v>
      </c>
      <c r="D20">
        <f t="shared" si="1"/>
        <v>520212.68999999994</v>
      </c>
      <c r="E20">
        <f t="shared" si="2"/>
        <v>-142112.5199999999</v>
      </c>
    </row>
    <row r="21" spans="1:5" ht="16" thickBot="1" x14ac:dyDescent="0.25">
      <c r="A21">
        <v>5</v>
      </c>
      <c r="B21" s="6" t="s">
        <v>5</v>
      </c>
      <c r="C21">
        <f t="shared" si="0"/>
        <v>35472.33</v>
      </c>
      <c r="D21">
        <f t="shared" si="1"/>
        <v>37142.67</v>
      </c>
      <c r="E21">
        <f t="shared" si="2"/>
        <v>-1670.3399999999965</v>
      </c>
    </row>
    <row r="22" spans="1:5" ht="16" thickBot="1" x14ac:dyDescent="0.25">
      <c r="A22">
        <v>6</v>
      </c>
      <c r="B22" s="6" t="s">
        <v>6</v>
      </c>
      <c r="C22">
        <f t="shared" si="0"/>
        <v>6306.03</v>
      </c>
      <c r="D22">
        <f t="shared" si="1"/>
        <v>5100.5999999999995</v>
      </c>
      <c r="E22">
        <f t="shared" si="2"/>
        <v>1205.4300000000003</v>
      </c>
    </row>
    <row r="23" spans="1:5" ht="16" thickBot="1" x14ac:dyDescent="0.25">
      <c r="A23">
        <v>7</v>
      </c>
      <c r="B23" s="6" t="s">
        <v>7</v>
      </c>
      <c r="C23">
        <f t="shared" si="0"/>
        <v>324026.05499999999</v>
      </c>
      <c r="D23">
        <f t="shared" si="1"/>
        <v>172147.41</v>
      </c>
      <c r="E23">
        <f t="shared" si="2"/>
        <v>151878.64499999999</v>
      </c>
    </row>
    <row r="24" spans="1:5" ht="16" thickBot="1" x14ac:dyDescent="0.25">
      <c r="A24">
        <v>8</v>
      </c>
      <c r="B24" s="6" t="s">
        <v>8</v>
      </c>
      <c r="C24">
        <f t="shared" si="0"/>
        <v>0.18</v>
      </c>
      <c r="D24">
        <f t="shared" si="1"/>
        <v>10.92</v>
      </c>
      <c r="E24">
        <f t="shared" si="2"/>
        <v>-10.74</v>
      </c>
    </row>
    <row r="25" spans="1:5" ht="16" thickBot="1" x14ac:dyDescent="0.25">
      <c r="A25">
        <v>9</v>
      </c>
      <c r="B25" s="6" t="s">
        <v>9</v>
      </c>
      <c r="C25">
        <f t="shared" si="0"/>
        <v>1379.34</v>
      </c>
      <c r="D25">
        <f t="shared" si="1"/>
        <v>958.13999999999987</v>
      </c>
      <c r="E25">
        <f t="shared" si="2"/>
        <v>421.20000000000005</v>
      </c>
    </row>
    <row r="26" spans="1:5" ht="16" thickBot="1" x14ac:dyDescent="0.25">
      <c r="A26">
        <v>10</v>
      </c>
      <c r="B26" s="6" t="s">
        <v>10</v>
      </c>
      <c r="C26">
        <f>AVERAGE(S11:T11)</f>
        <v>3211.29</v>
      </c>
      <c r="D26">
        <f>AVERAGE(C11:E11)</f>
        <v>1815.87</v>
      </c>
      <c r="E26">
        <f t="shared" si="2"/>
        <v>1395.42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-42.31945956362992</v>
      </c>
    </row>
    <row r="32" spans="1:5" x14ac:dyDescent="0.2">
      <c r="B32" s="13" t="s">
        <v>2</v>
      </c>
      <c r="E32" s="14">
        <f t="shared" ref="E32:E40" si="3">(E18/D18)*100</f>
        <v>79.076522769167283</v>
      </c>
    </row>
    <row r="33" spans="2:5" x14ac:dyDescent="0.2">
      <c r="B33" s="13" t="s">
        <v>3</v>
      </c>
      <c r="E33" s="14">
        <f t="shared" si="3"/>
        <v>29.54608859176906</v>
      </c>
    </row>
    <row r="34" spans="2:5" x14ac:dyDescent="0.2">
      <c r="B34" s="13" t="s">
        <v>4</v>
      </c>
      <c r="E34" s="14">
        <f t="shared" si="3"/>
        <v>-27.318157117620473</v>
      </c>
    </row>
    <row r="35" spans="2:5" x14ac:dyDescent="0.2">
      <c r="B35" s="13" t="s">
        <v>5</v>
      </c>
      <c r="E35" s="14">
        <f t="shared" si="3"/>
        <v>-4.4970918891937401</v>
      </c>
    </row>
    <row r="36" spans="2:5" x14ac:dyDescent="0.2">
      <c r="B36" s="13" t="s">
        <v>6</v>
      </c>
      <c r="E36" s="14">
        <f t="shared" si="3"/>
        <v>23.633101988001421</v>
      </c>
    </row>
    <row r="37" spans="2:5" x14ac:dyDescent="0.2">
      <c r="B37" s="13" t="s">
        <v>7</v>
      </c>
      <c r="E37" s="14">
        <f t="shared" si="3"/>
        <v>88.225925095242502</v>
      </c>
    </row>
    <row r="38" spans="2:5" x14ac:dyDescent="0.2">
      <c r="B38" s="13" t="s">
        <v>8</v>
      </c>
      <c r="E38" s="14">
        <f t="shared" si="3"/>
        <v>-98.35164835164835</v>
      </c>
    </row>
    <row r="39" spans="2:5" x14ac:dyDescent="0.2">
      <c r="B39" s="13" t="s">
        <v>9</v>
      </c>
      <c r="E39" s="14">
        <f t="shared" si="3"/>
        <v>43.960172834867564</v>
      </c>
    </row>
    <row r="40" spans="2:5" x14ac:dyDescent="0.2">
      <c r="B40" s="13" t="s">
        <v>10</v>
      </c>
      <c r="E40" s="14">
        <f t="shared" si="3"/>
        <v>76.845809446711499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E431-C397-CD4D-817A-4942F6DB9757}">
  <dimension ref="A1:T40"/>
  <sheetViews>
    <sheetView tabSelected="1" workbookViewId="0">
      <selection activeCell="B10" sqref="B10:T1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42879.42</v>
      </c>
      <c r="D2">
        <v>67800.599999999991</v>
      </c>
      <c r="E2" s="7">
        <v>45803.43</v>
      </c>
      <c r="F2">
        <v>81426.42</v>
      </c>
      <c r="G2" s="7">
        <v>52158.42</v>
      </c>
      <c r="H2">
        <v>61181.189999999995</v>
      </c>
      <c r="I2">
        <v>53907.93</v>
      </c>
      <c r="J2">
        <v>42252.119999999995</v>
      </c>
      <c r="K2">
        <v>5882.8499999999995</v>
      </c>
      <c r="L2" s="7">
        <v>46843.199999999997</v>
      </c>
      <c r="M2">
        <v>70746.84</v>
      </c>
      <c r="N2">
        <v>78249.69</v>
      </c>
      <c r="O2">
        <v>2243.6999999999998</v>
      </c>
      <c r="P2" s="7">
        <v>66140.19</v>
      </c>
      <c r="Q2">
        <v>43141.59</v>
      </c>
      <c r="R2">
        <v>69454.259999999995</v>
      </c>
      <c r="S2" s="7">
        <v>40289.31</v>
      </c>
      <c r="T2">
        <v>40734.449999999997</v>
      </c>
    </row>
    <row r="3" spans="1:20" ht="16" thickBot="1" x14ac:dyDescent="0.25">
      <c r="A3">
        <v>2</v>
      </c>
      <c r="B3" s="6" t="s">
        <v>2</v>
      </c>
      <c r="C3">
        <v>16.47</v>
      </c>
      <c r="D3">
        <v>1059.3</v>
      </c>
      <c r="E3" s="7">
        <v>2206.2600000000002</v>
      </c>
      <c r="F3">
        <v>43.11</v>
      </c>
      <c r="G3" s="7">
        <v>1882.53</v>
      </c>
      <c r="H3">
        <v>6356.07</v>
      </c>
      <c r="I3">
        <v>517.41</v>
      </c>
      <c r="J3">
        <v>3778.2</v>
      </c>
      <c r="K3">
        <v>55111.049999999996</v>
      </c>
      <c r="L3" s="7">
        <v>4519.3500000000004</v>
      </c>
      <c r="M3">
        <v>5758.29</v>
      </c>
      <c r="N3">
        <v>6121.62</v>
      </c>
      <c r="O3">
        <v>16564.05</v>
      </c>
      <c r="P3" s="7">
        <v>5533.83</v>
      </c>
      <c r="Q3">
        <v>6439.86</v>
      </c>
      <c r="R3">
        <v>665.73</v>
      </c>
      <c r="S3" s="7">
        <v>4958.46</v>
      </c>
      <c r="T3">
        <v>6338.5199999999995</v>
      </c>
    </row>
    <row r="4" spans="1:20" ht="16" thickBot="1" x14ac:dyDescent="0.25">
      <c r="A4">
        <v>3</v>
      </c>
      <c r="B4" s="6" t="s">
        <v>3</v>
      </c>
      <c r="C4">
        <v>835.02</v>
      </c>
      <c r="D4">
        <v>1384.29</v>
      </c>
      <c r="E4" s="7">
        <v>1982.7</v>
      </c>
      <c r="F4">
        <v>3148.2</v>
      </c>
      <c r="G4" s="7">
        <v>1442.34</v>
      </c>
      <c r="H4">
        <v>11168.64</v>
      </c>
      <c r="I4">
        <v>8472.6</v>
      </c>
      <c r="J4">
        <v>3779.0099999999998</v>
      </c>
      <c r="K4">
        <v>28575.719999999998</v>
      </c>
      <c r="L4" s="7">
        <v>2115.27</v>
      </c>
      <c r="M4">
        <v>8061.21</v>
      </c>
      <c r="N4">
        <v>3622.8599999999997</v>
      </c>
      <c r="O4">
        <v>3215.0699999999997</v>
      </c>
      <c r="P4" s="7">
        <v>816.84</v>
      </c>
      <c r="Q4">
        <v>14810.67</v>
      </c>
      <c r="R4">
        <v>207.45</v>
      </c>
      <c r="S4" s="7">
        <v>3894.57</v>
      </c>
      <c r="T4">
        <v>5964.48</v>
      </c>
    </row>
    <row r="5" spans="1:20" ht="16" thickBot="1" x14ac:dyDescent="0.25">
      <c r="A5">
        <v>4</v>
      </c>
      <c r="B5" s="6" t="s">
        <v>4</v>
      </c>
      <c r="C5">
        <v>2380436.9099999997</v>
      </c>
      <c r="D5">
        <v>2312709.48</v>
      </c>
      <c r="E5" s="7">
        <v>2436401.79</v>
      </c>
      <c r="F5">
        <v>2351159.37</v>
      </c>
      <c r="G5" s="7">
        <v>2440273.14</v>
      </c>
      <c r="H5">
        <v>2278965.69</v>
      </c>
      <c r="I5">
        <v>2426152.23</v>
      </c>
      <c r="J5">
        <v>2396479.9499999997</v>
      </c>
      <c r="K5">
        <v>2180659.9499999997</v>
      </c>
      <c r="L5" s="7">
        <v>2309115.69</v>
      </c>
      <c r="M5">
        <v>2389554.09</v>
      </c>
      <c r="N5">
        <v>2396430.27</v>
      </c>
      <c r="O5">
        <v>2296597.6799999997</v>
      </c>
      <c r="P5" s="7">
        <v>2318633.37</v>
      </c>
      <c r="Q5">
        <v>2230140.06</v>
      </c>
      <c r="R5">
        <v>2348562.33</v>
      </c>
      <c r="S5" s="7">
        <v>2177788.86</v>
      </c>
      <c r="T5">
        <v>2346305.31</v>
      </c>
    </row>
    <row r="6" spans="1:20" ht="16" thickBot="1" x14ac:dyDescent="0.25">
      <c r="A6">
        <v>5</v>
      </c>
      <c r="B6" s="6" t="s">
        <v>5</v>
      </c>
      <c r="C6">
        <v>124922.61</v>
      </c>
      <c r="D6">
        <v>167386.04999999999</v>
      </c>
      <c r="E6" s="7">
        <v>73126.259999999995</v>
      </c>
      <c r="F6">
        <v>95241.51</v>
      </c>
      <c r="G6" s="7">
        <v>68248.98</v>
      </c>
      <c r="H6">
        <v>178795.71</v>
      </c>
      <c r="I6">
        <v>52085.34</v>
      </c>
      <c r="J6">
        <v>86073.66</v>
      </c>
      <c r="K6">
        <v>290240.90999999997</v>
      </c>
      <c r="L6" s="7">
        <v>178266.15</v>
      </c>
      <c r="M6">
        <v>66501.899999999994</v>
      </c>
      <c r="N6">
        <v>63429.75</v>
      </c>
      <c r="O6">
        <v>232558.74</v>
      </c>
      <c r="P6" s="7">
        <v>162395.64000000001</v>
      </c>
      <c r="Q6">
        <v>258236.63999999998</v>
      </c>
      <c r="R6">
        <v>144207.99</v>
      </c>
      <c r="S6" s="7">
        <v>338491.62</v>
      </c>
      <c r="T6">
        <v>160682.04</v>
      </c>
    </row>
    <row r="7" spans="1:20" ht="16" thickBot="1" x14ac:dyDescent="0.25">
      <c r="A7">
        <v>6</v>
      </c>
      <c r="B7" s="6" t="s">
        <v>6</v>
      </c>
      <c r="C7">
        <v>0</v>
      </c>
      <c r="D7">
        <v>0</v>
      </c>
      <c r="E7" s="7">
        <v>0</v>
      </c>
      <c r="F7">
        <v>0</v>
      </c>
      <c r="G7" s="7">
        <v>0</v>
      </c>
      <c r="H7">
        <v>0</v>
      </c>
      <c r="I7">
        <v>0</v>
      </c>
      <c r="J7">
        <v>0</v>
      </c>
      <c r="K7">
        <v>0</v>
      </c>
      <c r="L7" s="7">
        <v>0</v>
      </c>
      <c r="M7">
        <v>0</v>
      </c>
      <c r="N7">
        <v>0</v>
      </c>
      <c r="O7">
        <v>0</v>
      </c>
      <c r="P7" s="7">
        <v>0</v>
      </c>
      <c r="Q7">
        <v>0</v>
      </c>
      <c r="R7">
        <v>0</v>
      </c>
      <c r="S7" s="7">
        <v>0</v>
      </c>
      <c r="T7">
        <v>0</v>
      </c>
    </row>
    <row r="8" spans="1:20" ht="16" thickBot="1" x14ac:dyDescent="0.25">
      <c r="A8">
        <v>7</v>
      </c>
      <c r="B8" s="6" t="s">
        <v>7</v>
      </c>
      <c r="C8">
        <v>642.15</v>
      </c>
      <c r="D8">
        <v>1232.46</v>
      </c>
      <c r="E8" s="7">
        <v>111.78</v>
      </c>
      <c r="F8">
        <v>901.43999999999994</v>
      </c>
      <c r="G8" s="7">
        <v>895.32</v>
      </c>
      <c r="H8">
        <v>2570.2199999999998</v>
      </c>
      <c r="I8">
        <v>1149.3899999999999</v>
      </c>
      <c r="J8">
        <v>4641.3</v>
      </c>
      <c r="K8">
        <v>2911.5</v>
      </c>
      <c r="L8" s="7">
        <v>5000.49</v>
      </c>
      <c r="M8">
        <v>2494.98</v>
      </c>
      <c r="N8">
        <v>2364.66</v>
      </c>
      <c r="O8">
        <v>5844.24</v>
      </c>
      <c r="P8" s="7">
        <v>5024.5200000000004</v>
      </c>
      <c r="Q8">
        <v>899.64</v>
      </c>
      <c r="R8">
        <v>2095.29</v>
      </c>
      <c r="S8" s="7">
        <v>3366.9</v>
      </c>
      <c r="T8">
        <v>2765.16</v>
      </c>
    </row>
    <row r="9" spans="1:20" ht="16" thickBot="1" x14ac:dyDescent="0.25">
      <c r="A9">
        <v>8</v>
      </c>
      <c r="B9" s="6" t="s">
        <v>8</v>
      </c>
      <c r="C9">
        <v>0</v>
      </c>
      <c r="D9">
        <v>0</v>
      </c>
      <c r="E9" s="7">
        <v>0</v>
      </c>
      <c r="F9">
        <v>0</v>
      </c>
      <c r="G9" s="7">
        <v>0</v>
      </c>
      <c r="H9">
        <v>0</v>
      </c>
      <c r="I9">
        <v>0</v>
      </c>
      <c r="J9">
        <v>0</v>
      </c>
      <c r="K9">
        <v>0</v>
      </c>
      <c r="L9" s="7">
        <v>0</v>
      </c>
      <c r="M9">
        <v>0</v>
      </c>
      <c r="N9">
        <v>0</v>
      </c>
      <c r="O9">
        <v>0</v>
      </c>
      <c r="P9" s="7">
        <v>0</v>
      </c>
      <c r="Q9">
        <v>0</v>
      </c>
      <c r="R9">
        <v>0</v>
      </c>
      <c r="S9" s="7">
        <v>0</v>
      </c>
      <c r="T9">
        <v>0</v>
      </c>
    </row>
    <row r="10" spans="1:20" ht="16" thickBot="1" x14ac:dyDescent="0.25">
      <c r="A10">
        <v>9</v>
      </c>
      <c r="B10" s="6" t="s">
        <v>9</v>
      </c>
      <c r="C10">
        <v>11.52</v>
      </c>
      <c r="D10">
        <v>25.919999999999998</v>
      </c>
      <c r="E10" s="7">
        <v>5.13</v>
      </c>
      <c r="F10">
        <v>985.58999999999992</v>
      </c>
      <c r="G10" s="7">
        <v>186.21</v>
      </c>
      <c r="H10">
        <v>31.32</v>
      </c>
      <c r="I10">
        <v>531.72</v>
      </c>
      <c r="J10">
        <v>820.17</v>
      </c>
      <c r="K10">
        <v>749.43</v>
      </c>
      <c r="L10" s="7">
        <v>448.47</v>
      </c>
      <c r="M10">
        <v>728.28</v>
      </c>
      <c r="N10">
        <v>479.7</v>
      </c>
      <c r="O10">
        <v>681.3</v>
      </c>
      <c r="P10" s="7">
        <v>948.69</v>
      </c>
      <c r="Q10">
        <v>1122.3899999999999</v>
      </c>
      <c r="R10">
        <v>786.06</v>
      </c>
      <c r="S10" s="7">
        <v>933.21</v>
      </c>
      <c r="T10">
        <v>1071.18</v>
      </c>
    </row>
    <row r="11" spans="1:20" ht="16" thickBot="1" x14ac:dyDescent="0.25">
      <c r="A11">
        <v>10</v>
      </c>
      <c r="B11" s="6" t="s">
        <v>10</v>
      </c>
      <c r="C11">
        <v>48558.239999999998</v>
      </c>
      <c r="D11">
        <v>46704.24</v>
      </c>
      <c r="E11" s="7">
        <v>38664.99</v>
      </c>
      <c r="F11">
        <v>65396.7</v>
      </c>
      <c r="G11" s="7">
        <v>33215.4</v>
      </c>
      <c r="H11">
        <v>59233.5</v>
      </c>
      <c r="I11">
        <v>55485.72</v>
      </c>
      <c r="J11">
        <v>60477.93</v>
      </c>
      <c r="K11">
        <v>34170.93</v>
      </c>
      <c r="L11" s="7">
        <v>51993.72</v>
      </c>
      <c r="M11">
        <v>54456.75</v>
      </c>
      <c r="N11">
        <v>47603.79</v>
      </c>
      <c r="O11">
        <v>40597.56</v>
      </c>
      <c r="P11" s="7">
        <v>38809.26</v>
      </c>
      <c r="Q11">
        <v>43511.49</v>
      </c>
      <c r="R11">
        <v>32323.23</v>
      </c>
      <c r="S11" s="7">
        <v>28579.41</v>
      </c>
      <c r="T11">
        <v>34441.199999999997</v>
      </c>
    </row>
    <row r="12" spans="1:20" x14ac:dyDescent="0.2">
      <c r="C12">
        <f>SUM(C2:C11)</f>
        <v>2598302.34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40511.879999999997</v>
      </c>
      <c r="D17">
        <f>AVERAGE(C2:E2)</f>
        <v>52161.149999999994</v>
      </c>
      <c r="E17">
        <f>C17-D17</f>
        <v>-11649.269999999997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5648.49</v>
      </c>
      <c r="D18">
        <f t="shared" ref="D18:D25" si="1">AVERAGE(C3:E3)</f>
        <v>1094.01</v>
      </c>
      <c r="E18">
        <f t="shared" ref="E18:E26" si="2">C18-D18</f>
        <v>4554.4799999999996</v>
      </c>
    </row>
    <row r="19" spans="1:5" ht="16" thickBot="1" x14ac:dyDescent="0.25">
      <c r="A19">
        <v>3</v>
      </c>
      <c r="B19" s="6" t="s">
        <v>3</v>
      </c>
      <c r="C19">
        <f t="shared" si="0"/>
        <v>4929.5249999999996</v>
      </c>
      <c r="D19">
        <f t="shared" si="1"/>
        <v>1400.67</v>
      </c>
      <c r="E19">
        <f t="shared" si="2"/>
        <v>3528.8549999999996</v>
      </c>
    </row>
    <row r="20" spans="1:5" ht="16" thickBot="1" x14ac:dyDescent="0.25">
      <c r="A20">
        <v>4</v>
      </c>
      <c r="B20" s="6" t="s">
        <v>4</v>
      </c>
      <c r="C20">
        <f t="shared" si="0"/>
        <v>2262047.085</v>
      </c>
      <c r="D20">
        <f t="shared" si="1"/>
        <v>2376516.06</v>
      </c>
      <c r="E20">
        <f t="shared" si="2"/>
        <v>-114468.97500000009</v>
      </c>
    </row>
    <row r="21" spans="1:5" ht="16" thickBot="1" x14ac:dyDescent="0.25">
      <c r="A21">
        <v>5</v>
      </c>
      <c r="B21" s="6" t="s">
        <v>5</v>
      </c>
      <c r="C21">
        <f t="shared" si="0"/>
        <v>249586.83000000002</v>
      </c>
      <c r="D21">
        <f t="shared" si="1"/>
        <v>121811.64</v>
      </c>
      <c r="E21">
        <f t="shared" si="2"/>
        <v>127775.19000000002</v>
      </c>
    </row>
    <row r="22" spans="1:5" ht="16" thickBot="1" x14ac:dyDescent="0.25">
      <c r="A22">
        <v>6</v>
      </c>
      <c r="B22" s="6" t="s">
        <v>6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ht="16" thickBot="1" x14ac:dyDescent="0.25">
      <c r="A23">
        <v>7</v>
      </c>
      <c r="B23" s="6" t="s">
        <v>7</v>
      </c>
      <c r="C23">
        <f t="shared" si="0"/>
        <v>3066.0299999999997</v>
      </c>
      <c r="D23">
        <f t="shared" si="1"/>
        <v>662.13</v>
      </c>
      <c r="E23">
        <f t="shared" si="2"/>
        <v>2403.8999999999996</v>
      </c>
    </row>
    <row r="24" spans="1:5" ht="16" thickBot="1" x14ac:dyDescent="0.25">
      <c r="A24">
        <v>8</v>
      </c>
      <c r="B24" s="6" t="s">
        <v>8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ht="16" thickBot="1" x14ac:dyDescent="0.25">
      <c r="A25">
        <v>9</v>
      </c>
      <c r="B25" s="6" t="s">
        <v>9</v>
      </c>
      <c r="C25">
        <f t="shared" si="0"/>
        <v>1002.1950000000001</v>
      </c>
      <c r="D25">
        <f t="shared" si="1"/>
        <v>14.19</v>
      </c>
      <c r="E25">
        <f t="shared" si="2"/>
        <v>988.005</v>
      </c>
    </row>
    <row r="26" spans="1:5" ht="16" thickBot="1" x14ac:dyDescent="0.25">
      <c r="A26">
        <v>10</v>
      </c>
      <c r="B26" s="6" t="s">
        <v>10</v>
      </c>
      <c r="C26">
        <f>AVERAGE(S11:T11)</f>
        <v>31510.305</v>
      </c>
      <c r="D26">
        <f>AVERAGE(C11:E11)</f>
        <v>44642.49</v>
      </c>
      <c r="E26">
        <f t="shared" si="2"/>
        <v>-13132.184999999998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-22.333230766576271</v>
      </c>
    </row>
    <row r="32" spans="1:5" x14ac:dyDescent="0.2">
      <c r="B32" s="13" t="s">
        <v>2</v>
      </c>
      <c r="E32" s="14">
        <f t="shared" ref="E32:E40" si="3">(E18/D18)*100</f>
        <v>416.31063701428684</v>
      </c>
    </row>
    <row r="33" spans="2:5" x14ac:dyDescent="0.2">
      <c r="B33" s="13" t="s">
        <v>3</v>
      </c>
      <c r="E33" s="14">
        <f t="shared" si="3"/>
        <v>251.94049990361754</v>
      </c>
    </row>
    <row r="34" spans="2:5" x14ac:dyDescent="0.2">
      <c r="B34" s="13" t="s">
        <v>4</v>
      </c>
      <c r="E34" s="14">
        <f t="shared" si="3"/>
        <v>-4.8166716365468236</v>
      </c>
    </row>
    <row r="35" spans="2:5" x14ac:dyDescent="0.2">
      <c r="B35" s="13" t="s">
        <v>5</v>
      </c>
      <c r="E35" s="14">
        <f t="shared" si="3"/>
        <v>104.89571439970761</v>
      </c>
    </row>
    <row r="36" spans="2:5" x14ac:dyDescent="0.2">
      <c r="B36" s="13" t="s">
        <v>6</v>
      </c>
      <c r="E36" s="14">
        <v>0</v>
      </c>
    </row>
    <row r="37" spans="2:5" x14ac:dyDescent="0.2">
      <c r="B37" s="13" t="s">
        <v>7</v>
      </c>
      <c r="E37" s="14">
        <f t="shared" si="3"/>
        <v>363.05559331249145</v>
      </c>
    </row>
    <row r="38" spans="2:5" x14ac:dyDescent="0.2">
      <c r="B38" s="13" t="s">
        <v>8</v>
      </c>
      <c r="E38" s="14">
        <v>0</v>
      </c>
    </row>
    <row r="39" spans="2:5" x14ac:dyDescent="0.2">
      <c r="B39" s="13" t="s">
        <v>9</v>
      </c>
      <c r="E39" s="14">
        <f t="shared" si="3"/>
        <v>6962.6849894291754</v>
      </c>
    </row>
    <row r="40" spans="2:5" x14ac:dyDescent="0.2">
      <c r="B40" s="13" t="s">
        <v>10</v>
      </c>
      <c r="E40" s="14">
        <f t="shared" si="3"/>
        <v>-29.416336319949892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E3C6-221B-9A42-A00F-D203E3DC0B65}">
  <dimension ref="A1:T40"/>
  <sheetViews>
    <sheetView workbookViewId="0">
      <selection activeCell="K42" sqref="K42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20815.739999999998</v>
      </c>
      <c r="D2">
        <v>46741.68</v>
      </c>
      <c r="E2">
        <v>28128.329999999998</v>
      </c>
      <c r="F2" s="7">
        <v>24629.94</v>
      </c>
      <c r="G2">
        <v>28966.05</v>
      </c>
      <c r="H2">
        <v>18536.669999999998</v>
      </c>
      <c r="I2">
        <v>30644.73</v>
      </c>
      <c r="J2" s="7">
        <v>19911.599999999999</v>
      </c>
      <c r="K2">
        <v>48676.95</v>
      </c>
      <c r="L2">
        <v>42651.18</v>
      </c>
      <c r="M2">
        <v>25721.55</v>
      </c>
      <c r="N2">
        <v>35614.35</v>
      </c>
      <c r="O2" s="7">
        <v>20460.96</v>
      </c>
      <c r="P2">
        <v>40377.15</v>
      </c>
      <c r="Q2">
        <v>24145.29</v>
      </c>
      <c r="R2">
        <v>37271.07</v>
      </c>
      <c r="S2" s="7">
        <v>44889.3</v>
      </c>
      <c r="T2">
        <v>42451.29</v>
      </c>
    </row>
    <row r="3" spans="1:20" ht="16" thickBot="1" x14ac:dyDescent="0.25">
      <c r="A3">
        <v>2</v>
      </c>
      <c r="B3" s="6" t="s">
        <v>2</v>
      </c>
      <c r="C3">
        <v>20811.059999999998</v>
      </c>
      <c r="D3">
        <v>14884.109999999999</v>
      </c>
      <c r="E3">
        <v>24099.3</v>
      </c>
      <c r="F3" s="7">
        <v>17053.02</v>
      </c>
      <c r="G3">
        <v>33637.409999999996</v>
      </c>
      <c r="H3">
        <v>10357.92</v>
      </c>
      <c r="I3">
        <v>8202.7799999999988</v>
      </c>
      <c r="J3" s="7">
        <v>7680.87</v>
      </c>
      <c r="K3">
        <v>35614.26</v>
      </c>
      <c r="L3">
        <v>34109.549999999996</v>
      </c>
      <c r="M3">
        <v>16583.939999999999</v>
      </c>
      <c r="N3">
        <v>31917.059999999998</v>
      </c>
      <c r="O3" s="7">
        <v>9471.33</v>
      </c>
      <c r="P3">
        <v>16498.71</v>
      </c>
      <c r="Q3">
        <v>20897.64</v>
      </c>
      <c r="R3">
        <v>17427.87</v>
      </c>
      <c r="S3" s="7">
        <v>20749.41</v>
      </c>
      <c r="T3">
        <v>22919.399999999998</v>
      </c>
    </row>
    <row r="4" spans="1:20" ht="16" thickBot="1" x14ac:dyDescent="0.25">
      <c r="A4">
        <v>3</v>
      </c>
      <c r="B4" s="6" t="s">
        <v>3</v>
      </c>
      <c r="C4">
        <v>19662.03</v>
      </c>
      <c r="D4">
        <v>35991.99</v>
      </c>
      <c r="E4">
        <v>19409.669999999998</v>
      </c>
      <c r="F4" s="7">
        <v>39773.25</v>
      </c>
      <c r="G4">
        <v>24914.34</v>
      </c>
      <c r="H4">
        <v>31933.71</v>
      </c>
      <c r="I4">
        <v>56002.95</v>
      </c>
      <c r="J4" s="7">
        <v>33149.25</v>
      </c>
      <c r="K4">
        <v>18953.009999999998</v>
      </c>
      <c r="L4">
        <v>34150.949999999997</v>
      </c>
      <c r="M4">
        <v>47381.67</v>
      </c>
      <c r="N4">
        <v>41631.119999999995</v>
      </c>
      <c r="O4" s="7">
        <v>42118.92</v>
      </c>
      <c r="P4">
        <v>27969.66</v>
      </c>
      <c r="Q4">
        <v>75817.17</v>
      </c>
      <c r="R4">
        <v>45734.939999999995</v>
      </c>
      <c r="S4" s="7">
        <v>23219.37</v>
      </c>
      <c r="T4">
        <v>23042.34</v>
      </c>
    </row>
    <row r="5" spans="1:20" ht="16" thickBot="1" x14ac:dyDescent="0.25">
      <c r="A5">
        <v>4</v>
      </c>
      <c r="B5" s="6" t="s">
        <v>4</v>
      </c>
      <c r="C5">
        <v>2538279</v>
      </c>
      <c r="D5">
        <v>2549246.4</v>
      </c>
      <c r="E5">
        <v>2406908.6999999997</v>
      </c>
      <c r="F5" s="7">
        <v>2749084.92</v>
      </c>
      <c r="G5">
        <v>2451556.2599999998</v>
      </c>
      <c r="H5">
        <v>2505339.81</v>
      </c>
      <c r="I5">
        <v>2314143.63</v>
      </c>
      <c r="J5" s="7">
        <v>2376097.83</v>
      </c>
      <c r="K5">
        <v>2428297.7399999998</v>
      </c>
      <c r="L5">
        <v>2284063.7399999998</v>
      </c>
      <c r="M5">
        <v>2569175.5499999998</v>
      </c>
      <c r="N5">
        <v>2406316.5</v>
      </c>
      <c r="O5" s="7">
        <v>2191178.7000000002</v>
      </c>
      <c r="P5">
        <v>2168215.7399999998</v>
      </c>
      <c r="Q5">
        <v>2150876.88</v>
      </c>
      <c r="R5">
        <v>2293093.62</v>
      </c>
      <c r="S5" s="7">
        <v>2368545.39</v>
      </c>
      <c r="T5">
        <v>2451450.2399999998</v>
      </c>
    </row>
    <row r="6" spans="1:20" ht="16" thickBot="1" x14ac:dyDescent="0.25">
      <c r="A6">
        <v>5</v>
      </c>
      <c r="B6" s="6" t="s">
        <v>5</v>
      </c>
      <c r="C6">
        <v>1058437.8</v>
      </c>
      <c r="D6">
        <v>1296153.0899999999</v>
      </c>
      <c r="E6">
        <v>1301579.9099999999</v>
      </c>
      <c r="F6" s="7">
        <v>1111704.6599999999</v>
      </c>
      <c r="G6">
        <v>1185908.5799999998</v>
      </c>
      <c r="H6">
        <v>1239940.8899999999</v>
      </c>
      <c r="I6">
        <v>1361356.92</v>
      </c>
      <c r="J6" s="7">
        <v>1416298.95</v>
      </c>
      <c r="K6">
        <v>1574456.8499999999</v>
      </c>
      <c r="L6">
        <v>1572452.8199999998</v>
      </c>
      <c r="M6">
        <v>1439299.8</v>
      </c>
      <c r="N6">
        <v>1379567.07</v>
      </c>
      <c r="O6" s="7">
        <v>2209834.71</v>
      </c>
      <c r="P6">
        <v>1559397.51</v>
      </c>
      <c r="Q6">
        <v>1421952.39</v>
      </c>
      <c r="R6">
        <v>1261634.8499999999</v>
      </c>
      <c r="S6" s="7">
        <v>1381636.44</v>
      </c>
      <c r="T6">
        <v>1437082.38</v>
      </c>
    </row>
    <row r="7" spans="1:20" ht="16" thickBot="1" x14ac:dyDescent="0.25">
      <c r="A7">
        <v>6</v>
      </c>
      <c r="B7" s="6" t="s">
        <v>6</v>
      </c>
      <c r="C7">
        <v>0</v>
      </c>
      <c r="D7">
        <v>0</v>
      </c>
      <c r="E7">
        <v>0</v>
      </c>
      <c r="F7" s="7">
        <v>0</v>
      </c>
      <c r="G7">
        <v>0</v>
      </c>
      <c r="H7">
        <v>0</v>
      </c>
      <c r="I7">
        <v>0</v>
      </c>
      <c r="J7" s="7">
        <v>0</v>
      </c>
      <c r="K7">
        <v>0</v>
      </c>
      <c r="L7">
        <v>0</v>
      </c>
      <c r="M7">
        <v>0</v>
      </c>
      <c r="N7">
        <v>0</v>
      </c>
      <c r="O7" s="7">
        <v>0</v>
      </c>
      <c r="P7">
        <v>0</v>
      </c>
      <c r="Q7">
        <v>0</v>
      </c>
      <c r="R7">
        <v>0</v>
      </c>
      <c r="S7" s="7">
        <v>0</v>
      </c>
      <c r="T7">
        <v>0</v>
      </c>
    </row>
    <row r="8" spans="1:20" ht="16" thickBot="1" x14ac:dyDescent="0.25">
      <c r="A8">
        <v>7</v>
      </c>
      <c r="B8" s="6" t="s">
        <v>7</v>
      </c>
      <c r="C8">
        <v>2617.38</v>
      </c>
      <c r="D8">
        <v>1501.2</v>
      </c>
      <c r="E8">
        <v>1822.32</v>
      </c>
      <c r="F8" s="7">
        <v>300.14999999999998</v>
      </c>
      <c r="G8">
        <v>1808.1</v>
      </c>
      <c r="H8">
        <v>2527.02</v>
      </c>
      <c r="I8">
        <v>1719.45</v>
      </c>
      <c r="J8" s="7">
        <v>1160.55</v>
      </c>
      <c r="K8">
        <v>421.56</v>
      </c>
      <c r="L8">
        <v>231.12</v>
      </c>
      <c r="M8">
        <v>2035.8</v>
      </c>
      <c r="N8">
        <v>2583.36</v>
      </c>
      <c r="O8" s="7">
        <v>3048.21</v>
      </c>
      <c r="P8">
        <v>6441.84</v>
      </c>
      <c r="Q8">
        <v>1646.82</v>
      </c>
      <c r="R8">
        <v>1661.9399999999998</v>
      </c>
      <c r="S8" s="7">
        <v>3934.71</v>
      </c>
      <c r="T8">
        <v>6275.88</v>
      </c>
    </row>
    <row r="9" spans="1:20" ht="16" thickBot="1" x14ac:dyDescent="0.25">
      <c r="A9">
        <v>8</v>
      </c>
      <c r="B9" s="6" t="s">
        <v>8</v>
      </c>
      <c r="C9">
        <v>1504.8899999999999</v>
      </c>
      <c r="D9">
        <v>1160.46</v>
      </c>
      <c r="E9">
        <v>120.14999999999999</v>
      </c>
      <c r="F9" s="7">
        <v>669.6</v>
      </c>
      <c r="G9">
        <v>541.43999999999994</v>
      </c>
      <c r="H9">
        <v>1092.33</v>
      </c>
      <c r="I9">
        <v>935.55</v>
      </c>
      <c r="J9" s="7">
        <v>7026.39</v>
      </c>
      <c r="K9">
        <v>2066.94</v>
      </c>
      <c r="L9">
        <v>1583.01</v>
      </c>
      <c r="M9">
        <v>1096.74</v>
      </c>
      <c r="N9">
        <v>3568.3199999999997</v>
      </c>
      <c r="O9" s="7">
        <v>1227.8699999999999</v>
      </c>
      <c r="P9">
        <v>2335.41</v>
      </c>
      <c r="Q9">
        <v>3842.2799999999997</v>
      </c>
      <c r="R9">
        <v>525.15</v>
      </c>
      <c r="S9" s="7">
        <v>1975.5</v>
      </c>
      <c r="T9">
        <v>1264.32</v>
      </c>
    </row>
    <row r="10" spans="1:20" ht="16" thickBot="1" x14ac:dyDescent="0.25">
      <c r="A10">
        <v>9</v>
      </c>
      <c r="B10" s="6" t="s">
        <v>9</v>
      </c>
      <c r="C10">
        <v>487470.87</v>
      </c>
      <c r="D10">
        <v>487612.07999999996</v>
      </c>
      <c r="E10">
        <v>500374.70999999996</v>
      </c>
      <c r="F10" s="7">
        <v>496777.59</v>
      </c>
      <c r="G10">
        <v>491987.51999999996</v>
      </c>
      <c r="H10">
        <v>487975.41</v>
      </c>
      <c r="I10">
        <v>488601.08999999997</v>
      </c>
      <c r="J10" s="7">
        <v>480744.81</v>
      </c>
      <c r="K10">
        <v>496574.91</v>
      </c>
      <c r="L10">
        <v>480163.32</v>
      </c>
      <c r="M10">
        <v>494588.15999999997</v>
      </c>
      <c r="N10">
        <v>493213.41</v>
      </c>
      <c r="O10" s="7">
        <v>491660.28</v>
      </c>
      <c r="P10">
        <v>514239.93</v>
      </c>
      <c r="Q10">
        <v>495891.99</v>
      </c>
      <c r="R10">
        <v>496033.47</v>
      </c>
      <c r="S10" s="7">
        <v>500061.96</v>
      </c>
      <c r="T10">
        <v>493728.83999999997</v>
      </c>
    </row>
    <row r="11" spans="1:20" ht="16" thickBot="1" x14ac:dyDescent="0.25">
      <c r="A11">
        <v>10</v>
      </c>
      <c r="B11" s="6" t="s">
        <v>10</v>
      </c>
      <c r="C11">
        <v>3453295.59</v>
      </c>
      <c r="D11">
        <v>3169603.35</v>
      </c>
      <c r="E11">
        <v>3320451.27</v>
      </c>
      <c r="F11" s="7">
        <v>3162901.23</v>
      </c>
      <c r="G11">
        <v>3383574.6599999997</v>
      </c>
      <c r="H11">
        <v>3305190.6</v>
      </c>
      <c r="I11">
        <v>3341287.26</v>
      </c>
      <c r="J11" s="7">
        <v>3260824.11</v>
      </c>
      <c r="K11">
        <v>2997832.1399999997</v>
      </c>
      <c r="L11">
        <v>3153488.67</v>
      </c>
      <c r="M11">
        <v>3007011.15</v>
      </c>
      <c r="N11">
        <v>3208483.17</v>
      </c>
      <c r="O11" s="7">
        <v>2633893.38</v>
      </c>
      <c r="P11">
        <v>3267418.4099999997</v>
      </c>
      <c r="Q11">
        <v>3407823.9</v>
      </c>
      <c r="R11">
        <v>3449511.4499999997</v>
      </c>
      <c r="S11" s="7">
        <v>3257882.28</v>
      </c>
      <c r="T11">
        <v>3124679.67</v>
      </c>
    </row>
    <row r="12" spans="1:20" x14ac:dyDescent="0.2">
      <c r="C12">
        <f>SUM(C2:C11)</f>
        <v>7602894.3599999994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43670.294999999998</v>
      </c>
      <c r="D17">
        <f>AVERAGE(C2:E2)</f>
        <v>31895.25</v>
      </c>
      <c r="E17">
        <f>C17-D17</f>
        <v>11775.044999999998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21834.404999999999</v>
      </c>
      <c r="D18">
        <f t="shared" ref="D18:D25" si="1">AVERAGE(C3:E3)</f>
        <v>19931.490000000002</v>
      </c>
      <c r="E18">
        <f t="shared" ref="E18:E26" si="2">C18-D18</f>
        <v>1902.9149999999972</v>
      </c>
    </row>
    <row r="19" spans="1:5" ht="16" thickBot="1" x14ac:dyDescent="0.25">
      <c r="A19">
        <v>3</v>
      </c>
      <c r="B19" s="6" t="s">
        <v>3</v>
      </c>
      <c r="C19">
        <f t="shared" si="0"/>
        <v>23130.855</v>
      </c>
      <c r="D19">
        <f t="shared" si="1"/>
        <v>25021.23</v>
      </c>
      <c r="E19">
        <f t="shared" si="2"/>
        <v>-1890.375</v>
      </c>
    </row>
    <row r="20" spans="1:5" ht="16" thickBot="1" x14ac:dyDescent="0.25">
      <c r="A20">
        <v>4</v>
      </c>
      <c r="B20" s="6" t="s">
        <v>4</v>
      </c>
      <c r="C20">
        <f t="shared" si="0"/>
        <v>2409997.8149999999</v>
      </c>
      <c r="D20">
        <f t="shared" si="1"/>
        <v>2498144.6999999997</v>
      </c>
      <c r="E20">
        <f t="shared" si="2"/>
        <v>-88146.884999999776</v>
      </c>
    </row>
    <row r="21" spans="1:5" ht="16" thickBot="1" x14ac:dyDescent="0.25">
      <c r="A21">
        <v>5</v>
      </c>
      <c r="B21" s="6" t="s">
        <v>5</v>
      </c>
      <c r="C21">
        <f t="shared" si="0"/>
        <v>1409359.41</v>
      </c>
      <c r="D21">
        <f t="shared" si="1"/>
        <v>1218723.5999999999</v>
      </c>
      <c r="E21">
        <f t="shared" si="2"/>
        <v>190635.81000000006</v>
      </c>
    </row>
    <row r="22" spans="1:5" ht="16" thickBot="1" x14ac:dyDescent="0.25">
      <c r="A22">
        <v>6</v>
      </c>
      <c r="B22" s="6" t="s">
        <v>6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ht="16" thickBot="1" x14ac:dyDescent="0.25">
      <c r="A23">
        <v>7</v>
      </c>
      <c r="B23" s="6" t="s">
        <v>7</v>
      </c>
      <c r="C23">
        <f t="shared" si="0"/>
        <v>5105.2950000000001</v>
      </c>
      <c r="D23">
        <f t="shared" si="1"/>
        <v>1980.3</v>
      </c>
      <c r="E23">
        <f t="shared" si="2"/>
        <v>3124.9949999999999</v>
      </c>
    </row>
    <row r="24" spans="1:5" ht="16" thickBot="1" x14ac:dyDescent="0.25">
      <c r="A24">
        <v>8</v>
      </c>
      <c r="B24" s="6" t="s">
        <v>8</v>
      </c>
      <c r="C24">
        <f t="shared" si="0"/>
        <v>1619.9099999999999</v>
      </c>
      <c r="D24">
        <f t="shared" si="1"/>
        <v>928.5</v>
      </c>
      <c r="E24">
        <f t="shared" si="2"/>
        <v>691.40999999999985</v>
      </c>
    </row>
    <row r="25" spans="1:5" ht="16" thickBot="1" x14ac:dyDescent="0.25">
      <c r="A25">
        <v>9</v>
      </c>
      <c r="B25" s="6" t="s">
        <v>9</v>
      </c>
      <c r="C25">
        <f t="shared" si="0"/>
        <v>496895.4</v>
      </c>
      <c r="D25">
        <f t="shared" si="1"/>
        <v>491819.22</v>
      </c>
      <c r="E25">
        <f t="shared" si="2"/>
        <v>5076.1800000000512</v>
      </c>
    </row>
    <row r="26" spans="1:5" ht="16" thickBot="1" x14ac:dyDescent="0.25">
      <c r="A26">
        <v>10</v>
      </c>
      <c r="B26" s="6" t="s">
        <v>10</v>
      </c>
      <c r="C26">
        <f>AVERAGE(S11:T11)</f>
        <v>3191280.9749999996</v>
      </c>
      <c r="D26">
        <f>AVERAGE(C11:E11)</f>
        <v>3314450.07</v>
      </c>
      <c r="E26">
        <f t="shared" si="2"/>
        <v>-123169.0950000002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36.917863945258297</v>
      </c>
    </row>
    <row r="32" spans="1:5" x14ac:dyDescent="0.2">
      <c r="B32" s="13" t="s">
        <v>2</v>
      </c>
      <c r="E32" s="14">
        <f t="shared" ref="E32:E40" si="3">(E18/D18)*100</f>
        <v>9.5472792049164266</v>
      </c>
    </row>
    <row r="33" spans="2:5" x14ac:dyDescent="0.2">
      <c r="B33" s="13" t="s">
        <v>3</v>
      </c>
      <c r="E33" s="14">
        <f t="shared" si="3"/>
        <v>-7.5550842224782713</v>
      </c>
    </row>
    <row r="34" spans="2:5" x14ac:dyDescent="0.2">
      <c r="B34" s="13" t="s">
        <v>4</v>
      </c>
      <c r="E34" s="14">
        <f t="shared" si="3"/>
        <v>-3.5284939659419963</v>
      </c>
    </row>
    <row r="35" spans="2:5" x14ac:dyDescent="0.2">
      <c r="B35" s="13" t="s">
        <v>5</v>
      </c>
      <c r="E35" s="14">
        <f t="shared" si="3"/>
        <v>15.642251450616044</v>
      </c>
    </row>
    <row r="36" spans="2:5" x14ac:dyDescent="0.2">
      <c r="B36" s="13" t="s">
        <v>6</v>
      </c>
      <c r="E36" s="14">
        <v>0</v>
      </c>
    </row>
    <row r="37" spans="2:5" x14ac:dyDescent="0.2">
      <c r="B37" s="13" t="s">
        <v>7</v>
      </c>
      <c r="E37" s="14">
        <f t="shared" si="3"/>
        <v>157.80412058778973</v>
      </c>
    </row>
    <row r="38" spans="2:5" x14ac:dyDescent="0.2">
      <c r="B38" s="13" t="s">
        <v>8</v>
      </c>
      <c r="E38" s="14">
        <f t="shared" si="3"/>
        <v>74.465266558966064</v>
      </c>
    </row>
    <row r="39" spans="2:5" x14ac:dyDescent="0.2">
      <c r="B39" s="13" t="s">
        <v>9</v>
      </c>
      <c r="E39" s="14">
        <f t="shared" si="3"/>
        <v>1.0321231447603962</v>
      </c>
    </row>
    <row r="40" spans="2:5" x14ac:dyDescent="0.2">
      <c r="B40" s="13" t="s">
        <v>10</v>
      </c>
      <c r="E40" s="14">
        <f t="shared" si="3"/>
        <v>-3.716124617921917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44A5-4A35-6B45-B07D-D63AE89919EC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113436.36</v>
      </c>
      <c r="D2" s="7">
        <v>122786.1</v>
      </c>
      <c r="E2" s="7">
        <v>113640.48</v>
      </c>
      <c r="F2" s="7">
        <v>120068.82</v>
      </c>
      <c r="G2">
        <v>100360.35</v>
      </c>
      <c r="H2">
        <v>118084.23</v>
      </c>
      <c r="I2">
        <v>115075.17</v>
      </c>
      <c r="J2">
        <v>116427.51</v>
      </c>
      <c r="K2">
        <v>123549.39</v>
      </c>
      <c r="L2">
        <v>118962.62999999999</v>
      </c>
      <c r="M2">
        <v>114318.18</v>
      </c>
      <c r="N2">
        <v>107193.59999999999</v>
      </c>
      <c r="O2" s="7">
        <v>147064.59</v>
      </c>
      <c r="P2">
        <v>126705.69</v>
      </c>
      <c r="Q2">
        <v>122991.84</v>
      </c>
      <c r="R2">
        <v>116103.59999999999</v>
      </c>
      <c r="S2" s="7">
        <v>111803.04</v>
      </c>
      <c r="T2">
        <v>101403.81</v>
      </c>
    </row>
    <row r="3" spans="1:20" ht="16" thickBot="1" x14ac:dyDescent="0.25">
      <c r="A3">
        <v>2</v>
      </c>
      <c r="B3" s="6" t="s">
        <v>2</v>
      </c>
      <c r="C3">
        <v>106.11</v>
      </c>
      <c r="D3" s="7">
        <v>1323.09</v>
      </c>
      <c r="E3" s="7">
        <v>6628.23</v>
      </c>
      <c r="F3" s="7">
        <v>1652.4</v>
      </c>
      <c r="G3">
        <v>9276.57</v>
      </c>
      <c r="H3">
        <v>883.17</v>
      </c>
      <c r="I3">
        <v>1865.1599999999999</v>
      </c>
      <c r="J3">
        <v>2194.65</v>
      </c>
      <c r="K3">
        <v>2369.52</v>
      </c>
      <c r="L3">
        <v>1063.44</v>
      </c>
      <c r="M3">
        <v>2603.9699999999998</v>
      </c>
      <c r="N3">
        <v>2256.39</v>
      </c>
      <c r="O3" s="7">
        <v>6955.92</v>
      </c>
      <c r="P3">
        <v>1219.23</v>
      </c>
      <c r="Q3">
        <v>9714.24</v>
      </c>
      <c r="R3">
        <v>1181.52</v>
      </c>
      <c r="S3" s="7">
        <v>8087.76</v>
      </c>
      <c r="T3">
        <v>10774.26</v>
      </c>
    </row>
    <row r="4" spans="1:20" ht="16" thickBot="1" x14ac:dyDescent="0.25">
      <c r="A4">
        <v>3</v>
      </c>
      <c r="B4" s="6" t="s">
        <v>3</v>
      </c>
      <c r="C4">
        <v>297.99</v>
      </c>
      <c r="D4" s="7">
        <v>2339.5500000000002</v>
      </c>
      <c r="E4" s="7">
        <v>11338.38</v>
      </c>
      <c r="F4" s="7">
        <v>5478.3</v>
      </c>
      <c r="G4">
        <v>6679.17</v>
      </c>
      <c r="H4">
        <v>2112.5699999999997</v>
      </c>
      <c r="I4">
        <v>1158.93</v>
      </c>
      <c r="J4">
        <v>1469.25</v>
      </c>
      <c r="K4">
        <v>830.79</v>
      </c>
      <c r="L4">
        <v>1757.7</v>
      </c>
      <c r="M4">
        <v>965.96999999999991</v>
      </c>
      <c r="N4">
        <v>590.85</v>
      </c>
      <c r="O4" s="7">
        <v>4043.79</v>
      </c>
      <c r="P4">
        <v>558.72</v>
      </c>
      <c r="Q4">
        <v>1697.3999999999999</v>
      </c>
      <c r="R4">
        <v>1659.87</v>
      </c>
      <c r="S4" s="7">
        <v>444.96</v>
      </c>
      <c r="T4">
        <v>1095.03</v>
      </c>
    </row>
    <row r="5" spans="1:20" ht="16" thickBot="1" x14ac:dyDescent="0.25">
      <c r="A5">
        <v>4</v>
      </c>
      <c r="B5" s="6" t="s">
        <v>4</v>
      </c>
      <c r="C5">
        <v>288020.07</v>
      </c>
      <c r="D5" s="7">
        <v>249503.13</v>
      </c>
      <c r="E5" s="7">
        <v>233628.84</v>
      </c>
      <c r="F5" s="7">
        <v>212310</v>
      </c>
      <c r="G5">
        <v>264596.03999999998</v>
      </c>
      <c r="H5">
        <v>178254.63</v>
      </c>
      <c r="I5">
        <v>219340.62</v>
      </c>
      <c r="J5">
        <v>186426.72</v>
      </c>
      <c r="K5">
        <v>150342.21</v>
      </c>
      <c r="L5">
        <v>158498.54999999999</v>
      </c>
      <c r="M5">
        <v>187844.75999999998</v>
      </c>
      <c r="N5">
        <v>175934.25</v>
      </c>
      <c r="O5" s="7">
        <v>138991.95000000001</v>
      </c>
      <c r="P5">
        <v>200520.63</v>
      </c>
      <c r="Q5">
        <v>172159.91999999998</v>
      </c>
      <c r="R5">
        <v>200059.83</v>
      </c>
      <c r="S5" s="7">
        <v>200615.94</v>
      </c>
      <c r="T5">
        <v>194867.46</v>
      </c>
    </row>
    <row r="6" spans="1:20" ht="16" thickBot="1" x14ac:dyDescent="0.25">
      <c r="A6">
        <v>5</v>
      </c>
      <c r="B6" s="6" t="s">
        <v>5</v>
      </c>
      <c r="C6">
        <v>114868.8</v>
      </c>
      <c r="D6" s="7">
        <v>121467.87</v>
      </c>
      <c r="E6" s="7">
        <v>154389.6</v>
      </c>
      <c r="F6" s="7">
        <v>97490.61</v>
      </c>
      <c r="G6">
        <v>130046.48999999999</v>
      </c>
      <c r="H6">
        <v>110256.65999999999</v>
      </c>
      <c r="I6">
        <v>111775.59</v>
      </c>
      <c r="J6">
        <v>111763.62</v>
      </c>
      <c r="K6">
        <v>127918.62</v>
      </c>
      <c r="L6">
        <v>105251.12999999999</v>
      </c>
      <c r="M6">
        <v>92431.8</v>
      </c>
      <c r="N6">
        <v>109085.12999999999</v>
      </c>
      <c r="O6" s="7">
        <v>125933.22</v>
      </c>
      <c r="P6">
        <v>106629.93</v>
      </c>
      <c r="Q6">
        <v>121447.26</v>
      </c>
      <c r="R6">
        <v>124498.34999999999</v>
      </c>
      <c r="S6" s="7">
        <v>99023.67</v>
      </c>
      <c r="T6">
        <v>110210.67</v>
      </c>
    </row>
    <row r="7" spans="1:20" ht="16" thickBot="1" x14ac:dyDescent="0.25">
      <c r="A7">
        <v>6</v>
      </c>
      <c r="B7" s="6" t="s">
        <v>6</v>
      </c>
      <c r="C7">
        <v>41634.81</v>
      </c>
      <c r="D7" s="7">
        <v>30548.7</v>
      </c>
      <c r="E7" s="7">
        <v>14198.13</v>
      </c>
      <c r="F7" s="7">
        <v>34186.86</v>
      </c>
      <c r="G7">
        <v>30186.449999999997</v>
      </c>
      <c r="H7">
        <v>36654.39</v>
      </c>
      <c r="I7">
        <v>35394.119999999995</v>
      </c>
      <c r="J7">
        <v>22462.829999999998</v>
      </c>
      <c r="K7">
        <v>19356.03</v>
      </c>
      <c r="L7">
        <v>33989.94</v>
      </c>
      <c r="M7">
        <v>37161.72</v>
      </c>
      <c r="N7">
        <v>27162.989999999998</v>
      </c>
      <c r="O7" s="7">
        <v>46551.24</v>
      </c>
      <c r="P7">
        <v>41534.909999999996</v>
      </c>
      <c r="Q7">
        <v>41790.869999999995</v>
      </c>
      <c r="R7">
        <v>40408.019999999997</v>
      </c>
      <c r="S7" s="7">
        <v>36844.47</v>
      </c>
      <c r="T7">
        <v>39432.51</v>
      </c>
    </row>
    <row r="8" spans="1:20" ht="16" thickBot="1" x14ac:dyDescent="0.25">
      <c r="A8">
        <v>7</v>
      </c>
      <c r="B8" s="6" t="s">
        <v>7</v>
      </c>
      <c r="C8">
        <v>125861.58</v>
      </c>
      <c r="D8" s="7">
        <v>159756.84</v>
      </c>
      <c r="E8" s="7">
        <v>147647.25</v>
      </c>
      <c r="F8" s="7">
        <v>214405.47</v>
      </c>
      <c r="G8">
        <v>144846.35999999999</v>
      </c>
      <c r="H8">
        <v>237009.24</v>
      </c>
      <c r="I8">
        <v>203319.9</v>
      </c>
      <c r="J8">
        <v>242170.11</v>
      </c>
      <c r="K8">
        <v>259650.99</v>
      </c>
      <c r="L8">
        <v>262209.42</v>
      </c>
      <c r="M8">
        <v>239899.94999999998</v>
      </c>
      <c r="N8">
        <v>250754.66999999998</v>
      </c>
      <c r="O8" s="7">
        <v>210658.05</v>
      </c>
      <c r="P8">
        <v>206514.27</v>
      </c>
      <c r="Q8">
        <v>214816.5</v>
      </c>
      <c r="R8">
        <v>202339.08</v>
      </c>
      <c r="S8" s="7">
        <v>223233.12</v>
      </c>
      <c r="T8">
        <v>225403.11</v>
      </c>
    </row>
    <row r="9" spans="1:20" ht="16" thickBot="1" x14ac:dyDescent="0.25">
      <c r="A9">
        <v>8</v>
      </c>
      <c r="B9" s="6" t="s">
        <v>8</v>
      </c>
      <c r="C9">
        <v>111.42</v>
      </c>
      <c r="D9" s="7">
        <v>98.73</v>
      </c>
      <c r="E9" s="7">
        <v>85.77</v>
      </c>
      <c r="F9" s="7">
        <v>193.14</v>
      </c>
      <c r="G9">
        <v>19.62</v>
      </c>
      <c r="H9">
        <v>104.75999999999999</v>
      </c>
      <c r="I9">
        <v>85.59</v>
      </c>
      <c r="J9">
        <v>163.35</v>
      </c>
      <c r="K9">
        <v>15.479999999999999</v>
      </c>
      <c r="L9">
        <v>509.21999999999997</v>
      </c>
      <c r="M9">
        <v>56.879999999999995</v>
      </c>
      <c r="N9">
        <v>177.75</v>
      </c>
      <c r="O9" s="7">
        <v>627.21</v>
      </c>
      <c r="P9">
        <v>101.42999999999999</v>
      </c>
      <c r="Q9">
        <v>532.89</v>
      </c>
      <c r="R9">
        <v>108.17999999999999</v>
      </c>
      <c r="S9" s="7">
        <v>263.33999999999997</v>
      </c>
      <c r="T9">
        <v>299.88</v>
      </c>
    </row>
    <row r="10" spans="1:20" ht="16" thickBot="1" x14ac:dyDescent="0.25">
      <c r="A10">
        <v>9</v>
      </c>
      <c r="B10" s="6" t="s">
        <v>9</v>
      </c>
      <c r="C10">
        <v>58.86</v>
      </c>
      <c r="D10" s="7">
        <v>109.35</v>
      </c>
      <c r="E10" s="7">
        <v>255.96</v>
      </c>
      <c r="F10" s="7">
        <v>64.709999999999994</v>
      </c>
      <c r="G10">
        <v>92.97</v>
      </c>
      <c r="H10">
        <v>105.57</v>
      </c>
      <c r="I10">
        <v>137.16</v>
      </c>
      <c r="J10">
        <v>337.14</v>
      </c>
      <c r="K10">
        <v>322.02</v>
      </c>
      <c r="L10">
        <v>227.79</v>
      </c>
      <c r="M10">
        <v>166.85999999999999</v>
      </c>
      <c r="N10">
        <v>89.28</v>
      </c>
      <c r="O10" s="7">
        <v>124.47</v>
      </c>
      <c r="P10">
        <v>306.45</v>
      </c>
      <c r="Q10">
        <v>124.02</v>
      </c>
      <c r="R10">
        <v>113.31</v>
      </c>
      <c r="S10" s="7">
        <v>176.4</v>
      </c>
      <c r="T10">
        <v>219.42</v>
      </c>
    </row>
    <row r="11" spans="1:20" ht="16" thickBot="1" x14ac:dyDescent="0.25">
      <c r="A11">
        <v>10</v>
      </c>
      <c r="B11" s="6" t="s">
        <v>10</v>
      </c>
      <c r="C11">
        <v>14642.369999999999</v>
      </c>
      <c r="D11" s="7">
        <v>11105.01</v>
      </c>
      <c r="E11" s="7">
        <v>17225.73</v>
      </c>
      <c r="F11" s="7">
        <v>13188.06</v>
      </c>
      <c r="G11">
        <v>12934.35</v>
      </c>
      <c r="H11">
        <v>15573.15</v>
      </c>
      <c r="I11">
        <v>10886.13</v>
      </c>
      <c r="J11">
        <v>15623.189999999999</v>
      </c>
      <c r="K11">
        <v>14683.32</v>
      </c>
      <c r="L11">
        <v>16568.55</v>
      </c>
      <c r="M11">
        <v>23588.28</v>
      </c>
      <c r="N11">
        <v>25793.46</v>
      </c>
      <c r="O11" s="7">
        <v>18087.93</v>
      </c>
      <c r="P11">
        <v>14947.109999999999</v>
      </c>
      <c r="Q11">
        <v>13763.43</v>
      </c>
      <c r="R11">
        <v>12566.609999999999</v>
      </c>
      <c r="S11" s="7">
        <v>18545.669999999998</v>
      </c>
      <c r="T11">
        <v>15332.22</v>
      </c>
    </row>
    <row r="12" spans="1:20" x14ac:dyDescent="0.2">
      <c r="C12">
        <f>SUM(C2:C11)</f>
        <v>699038.37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106603.42499999999</v>
      </c>
      <c r="D17">
        <f>AVERAGE(C2:E2)</f>
        <v>116620.98</v>
      </c>
      <c r="E17">
        <f>C17-D17</f>
        <v>-10017.555000000008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9431.01</v>
      </c>
      <c r="D18">
        <f t="shared" ref="D18:D25" si="1">AVERAGE(C3:E3)</f>
        <v>2685.81</v>
      </c>
      <c r="E18">
        <f t="shared" ref="E18:E26" si="2">C18-D18</f>
        <v>6745.2000000000007</v>
      </c>
    </row>
    <row r="19" spans="1:5" ht="16" thickBot="1" x14ac:dyDescent="0.25">
      <c r="A19">
        <v>3</v>
      </c>
      <c r="B19" s="6" t="s">
        <v>3</v>
      </c>
      <c r="C19">
        <f t="shared" si="0"/>
        <v>769.995</v>
      </c>
      <c r="D19">
        <f t="shared" si="1"/>
        <v>4658.6399999999994</v>
      </c>
      <c r="E19">
        <f t="shared" si="2"/>
        <v>-3888.6449999999995</v>
      </c>
    </row>
    <row r="20" spans="1:5" ht="16" thickBot="1" x14ac:dyDescent="0.25">
      <c r="A20">
        <v>4</v>
      </c>
      <c r="B20" s="6" t="s">
        <v>4</v>
      </c>
      <c r="C20">
        <f t="shared" si="0"/>
        <v>197741.7</v>
      </c>
      <c r="D20">
        <f t="shared" si="1"/>
        <v>257050.67999999996</v>
      </c>
      <c r="E20">
        <f t="shared" si="2"/>
        <v>-59308.979999999952</v>
      </c>
    </row>
    <row r="21" spans="1:5" ht="16" thickBot="1" x14ac:dyDescent="0.25">
      <c r="A21">
        <v>5</v>
      </c>
      <c r="B21" s="6" t="s">
        <v>5</v>
      </c>
      <c r="C21">
        <f t="shared" si="0"/>
        <v>104617.17</v>
      </c>
      <c r="D21">
        <f t="shared" si="1"/>
        <v>130242.09000000001</v>
      </c>
      <c r="E21">
        <f t="shared" si="2"/>
        <v>-25624.920000000013</v>
      </c>
    </row>
    <row r="22" spans="1:5" ht="16" thickBot="1" x14ac:dyDescent="0.25">
      <c r="A22">
        <v>6</v>
      </c>
      <c r="B22" s="6" t="s">
        <v>6</v>
      </c>
      <c r="C22">
        <f t="shared" si="0"/>
        <v>38138.490000000005</v>
      </c>
      <c r="D22">
        <f t="shared" si="1"/>
        <v>28793.88</v>
      </c>
      <c r="E22">
        <f t="shared" si="2"/>
        <v>9344.6100000000042</v>
      </c>
    </row>
    <row r="23" spans="1:5" ht="16" thickBot="1" x14ac:dyDescent="0.25">
      <c r="A23">
        <v>7</v>
      </c>
      <c r="B23" s="6" t="s">
        <v>7</v>
      </c>
      <c r="C23">
        <f t="shared" si="0"/>
        <v>224318.11499999999</v>
      </c>
      <c r="D23">
        <f t="shared" si="1"/>
        <v>144421.88999999998</v>
      </c>
      <c r="E23">
        <f t="shared" si="2"/>
        <v>79896.225000000006</v>
      </c>
    </row>
    <row r="24" spans="1:5" ht="16" thickBot="1" x14ac:dyDescent="0.25">
      <c r="A24">
        <v>8</v>
      </c>
      <c r="B24" s="6" t="s">
        <v>8</v>
      </c>
      <c r="C24">
        <f t="shared" si="0"/>
        <v>281.61</v>
      </c>
      <c r="D24">
        <f t="shared" si="1"/>
        <v>98.64</v>
      </c>
      <c r="E24">
        <f t="shared" si="2"/>
        <v>182.97000000000003</v>
      </c>
    </row>
    <row r="25" spans="1:5" ht="16" thickBot="1" x14ac:dyDescent="0.25">
      <c r="A25">
        <v>9</v>
      </c>
      <c r="B25" s="6" t="s">
        <v>9</v>
      </c>
      <c r="C25">
        <f t="shared" si="0"/>
        <v>197.91</v>
      </c>
      <c r="D25">
        <f t="shared" si="1"/>
        <v>141.38999999999999</v>
      </c>
      <c r="E25">
        <f t="shared" si="2"/>
        <v>56.52000000000001</v>
      </c>
    </row>
    <row r="26" spans="1:5" ht="16" thickBot="1" x14ac:dyDescent="0.25">
      <c r="A26">
        <v>10</v>
      </c>
      <c r="B26" s="6" t="s">
        <v>10</v>
      </c>
      <c r="C26">
        <f>AVERAGE(S11:T11)</f>
        <v>16938.945</v>
      </c>
      <c r="D26">
        <f>AVERAGE(C11:E11)</f>
        <v>14324.37</v>
      </c>
      <c r="E26">
        <f t="shared" si="2"/>
        <v>2614.5749999999989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-8.5898394954321322</v>
      </c>
    </row>
    <row r="32" spans="1:5" x14ac:dyDescent="0.2">
      <c r="B32" s="13" t="s">
        <v>2</v>
      </c>
      <c r="E32" s="14">
        <f t="shared" ref="E32:E40" si="3">(E18/D18)*100</f>
        <v>251.14211355233618</v>
      </c>
    </row>
    <row r="33" spans="2:5" x14ac:dyDescent="0.2">
      <c r="B33" s="13" t="s">
        <v>3</v>
      </c>
      <c r="E33" s="14">
        <f t="shared" si="3"/>
        <v>-83.471678429756324</v>
      </c>
    </row>
    <row r="34" spans="2:5" x14ac:dyDescent="0.2">
      <c r="B34" s="13" t="s">
        <v>4</v>
      </c>
      <c r="E34" s="14">
        <f t="shared" si="3"/>
        <v>-23.072874189634497</v>
      </c>
    </row>
    <row r="35" spans="2:5" x14ac:dyDescent="0.2">
      <c r="B35" s="13" t="s">
        <v>5</v>
      </c>
      <c r="E35" s="14">
        <f t="shared" si="3"/>
        <v>-19.674837834681561</v>
      </c>
    </row>
    <row r="36" spans="2:5" x14ac:dyDescent="0.2">
      <c r="B36" s="13" t="s">
        <v>6</v>
      </c>
      <c r="E36" s="14">
        <f t="shared" si="3"/>
        <v>32.453458860007764</v>
      </c>
    </row>
    <row r="37" spans="2:5" x14ac:dyDescent="0.2">
      <c r="B37" s="13" t="s">
        <v>7</v>
      </c>
      <c r="E37" s="14">
        <f t="shared" si="3"/>
        <v>55.321409379146068</v>
      </c>
    </row>
    <row r="38" spans="2:5" x14ac:dyDescent="0.2">
      <c r="B38" s="13" t="s">
        <v>8</v>
      </c>
      <c r="E38" s="14">
        <f t="shared" si="3"/>
        <v>185.49270072992704</v>
      </c>
    </row>
    <row r="39" spans="2:5" x14ac:dyDescent="0.2">
      <c r="B39" s="13" t="s">
        <v>9</v>
      </c>
      <c r="E39" s="14">
        <f t="shared" si="3"/>
        <v>39.974538510502875</v>
      </c>
    </row>
    <row r="40" spans="2:5" x14ac:dyDescent="0.2">
      <c r="B40" s="13" t="s">
        <v>10</v>
      </c>
      <c r="E40" s="14">
        <f t="shared" si="3"/>
        <v>18.252635194427391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3FEE-4699-AF48-9E73-D54F30A1B9C0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2373.39</v>
      </c>
      <c r="D2">
        <v>4392.8999999999996</v>
      </c>
      <c r="E2">
        <v>179.37</v>
      </c>
      <c r="F2" s="7">
        <v>395.28</v>
      </c>
      <c r="G2">
        <v>933.66</v>
      </c>
      <c r="H2">
        <v>3313.7999999999997</v>
      </c>
      <c r="I2" s="7">
        <v>186.12</v>
      </c>
      <c r="J2">
        <v>1842.57</v>
      </c>
      <c r="K2" s="7">
        <v>297.08999999999997</v>
      </c>
      <c r="L2" s="7">
        <v>143.63999999999999</v>
      </c>
      <c r="M2">
        <v>206.73</v>
      </c>
      <c r="N2">
        <v>823.94999999999993</v>
      </c>
      <c r="O2">
        <v>506.52</v>
      </c>
      <c r="P2">
        <v>248.13</v>
      </c>
      <c r="Q2">
        <v>365.31</v>
      </c>
      <c r="R2">
        <v>671.85</v>
      </c>
      <c r="S2">
        <v>413.09999999999997</v>
      </c>
      <c r="T2">
        <v>550.79999999999995</v>
      </c>
    </row>
    <row r="3" spans="1:20" ht="16" thickBot="1" x14ac:dyDescent="0.25">
      <c r="A3">
        <v>2</v>
      </c>
      <c r="B3" s="6" t="s">
        <v>2</v>
      </c>
      <c r="C3">
        <v>0</v>
      </c>
      <c r="D3">
        <v>0</v>
      </c>
      <c r="E3">
        <v>151.29</v>
      </c>
      <c r="F3" s="7">
        <v>0</v>
      </c>
      <c r="G3">
        <v>70.56</v>
      </c>
      <c r="H3">
        <v>0.09</v>
      </c>
      <c r="I3" s="7">
        <v>0.45</v>
      </c>
      <c r="J3">
        <v>0</v>
      </c>
      <c r="K3" s="7">
        <v>4.41</v>
      </c>
      <c r="L3" s="7">
        <v>0.36</v>
      </c>
      <c r="M3">
        <v>0</v>
      </c>
      <c r="N3">
        <v>0</v>
      </c>
      <c r="O3">
        <v>745.56</v>
      </c>
      <c r="P3">
        <v>104.94</v>
      </c>
      <c r="Q3">
        <v>199.17</v>
      </c>
      <c r="R3">
        <v>142.47</v>
      </c>
      <c r="S3">
        <v>397.08</v>
      </c>
      <c r="T3">
        <v>242.28</v>
      </c>
    </row>
    <row r="4" spans="1:20" ht="16" thickBot="1" x14ac:dyDescent="0.25">
      <c r="A4">
        <v>3</v>
      </c>
      <c r="B4" s="6" t="s">
        <v>3</v>
      </c>
      <c r="C4">
        <v>46.44</v>
      </c>
      <c r="D4">
        <v>34.65</v>
      </c>
      <c r="E4">
        <v>1735.2</v>
      </c>
      <c r="F4" s="7">
        <v>3649.59</v>
      </c>
      <c r="G4">
        <v>1232.46</v>
      </c>
      <c r="H4">
        <v>5014.8</v>
      </c>
      <c r="I4" s="7">
        <v>332.01</v>
      </c>
      <c r="J4">
        <v>4095.18</v>
      </c>
      <c r="K4" s="7">
        <v>2.88</v>
      </c>
      <c r="L4" s="7">
        <v>368.82</v>
      </c>
      <c r="M4">
        <v>139.85999999999999</v>
      </c>
      <c r="N4">
        <v>7523.0099999999993</v>
      </c>
      <c r="O4">
        <v>363.06</v>
      </c>
      <c r="P4">
        <v>81.27</v>
      </c>
      <c r="Q4">
        <v>562.23</v>
      </c>
      <c r="R4">
        <v>351.63</v>
      </c>
      <c r="S4">
        <v>2686.77</v>
      </c>
      <c r="T4">
        <v>1357.74</v>
      </c>
    </row>
    <row r="5" spans="1:20" ht="16" thickBot="1" x14ac:dyDescent="0.25">
      <c r="A5">
        <v>4</v>
      </c>
      <c r="B5" s="6" t="s">
        <v>4</v>
      </c>
      <c r="C5">
        <v>75157.56</v>
      </c>
      <c r="D5">
        <v>82524.33</v>
      </c>
      <c r="E5">
        <v>51648.39</v>
      </c>
      <c r="F5" s="7">
        <v>33553.26</v>
      </c>
      <c r="G5">
        <v>44548.83</v>
      </c>
      <c r="H5">
        <v>23643.45</v>
      </c>
      <c r="I5" s="7">
        <v>36972.449999999997</v>
      </c>
      <c r="J5">
        <v>25212.78</v>
      </c>
      <c r="K5" s="7">
        <v>24243.66</v>
      </c>
      <c r="L5" s="7">
        <v>26340.03</v>
      </c>
      <c r="M5">
        <v>36457.83</v>
      </c>
      <c r="N5">
        <v>22633.559999999998</v>
      </c>
      <c r="O5">
        <v>21282.12</v>
      </c>
      <c r="P5">
        <v>15855.48</v>
      </c>
      <c r="Q5">
        <v>22181.579999999998</v>
      </c>
      <c r="R5">
        <v>26364.69</v>
      </c>
      <c r="S5">
        <v>36773.369999999995</v>
      </c>
      <c r="T5">
        <v>25490.969999999998</v>
      </c>
    </row>
    <row r="6" spans="1:20" ht="16" thickBot="1" x14ac:dyDescent="0.25">
      <c r="A6">
        <v>5</v>
      </c>
      <c r="B6" s="6" t="s">
        <v>5</v>
      </c>
      <c r="C6">
        <v>76443.03</v>
      </c>
      <c r="D6">
        <v>42332.04</v>
      </c>
      <c r="E6">
        <v>95499.45</v>
      </c>
      <c r="F6" s="7">
        <v>63169.47</v>
      </c>
      <c r="G6">
        <v>47350.17</v>
      </c>
      <c r="H6">
        <v>37510.47</v>
      </c>
      <c r="I6" s="7">
        <v>56029.14</v>
      </c>
      <c r="J6">
        <v>22564.17</v>
      </c>
      <c r="K6" s="7">
        <v>24000.48</v>
      </c>
      <c r="L6" s="7">
        <v>41311.35</v>
      </c>
      <c r="M6">
        <v>37307.43</v>
      </c>
      <c r="N6">
        <v>27548.28</v>
      </c>
      <c r="O6">
        <v>12690.09</v>
      </c>
      <c r="P6">
        <v>29813.399999999998</v>
      </c>
      <c r="Q6">
        <v>23154.12</v>
      </c>
      <c r="R6">
        <v>30330.899999999998</v>
      </c>
      <c r="S6">
        <v>33768</v>
      </c>
      <c r="T6">
        <v>30103.02</v>
      </c>
    </row>
    <row r="7" spans="1:20" ht="16" thickBot="1" x14ac:dyDescent="0.25">
      <c r="A7">
        <v>6</v>
      </c>
      <c r="B7" s="6" t="s">
        <v>6</v>
      </c>
      <c r="C7">
        <v>3716.19</v>
      </c>
      <c r="D7">
        <v>4962.5999999999995</v>
      </c>
      <c r="E7">
        <v>3738.87</v>
      </c>
      <c r="F7" s="7">
        <v>5324.94</v>
      </c>
      <c r="G7">
        <v>4892.13</v>
      </c>
      <c r="H7">
        <v>9452.52</v>
      </c>
      <c r="I7" s="7">
        <v>5605.56</v>
      </c>
      <c r="J7">
        <v>14264.279999999999</v>
      </c>
      <c r="K7" s="7">
        <v>4381.6499999999996</v>
      </c>
      <c r="L7" s="7">
        <v>4914.45</v>
      </c>
      <c r="M7">
        <v>4649.67</v>
      </c>
      <c r="N7">
        <v>2861.1</v>
      </c>
      <c r="O7">
        <v>7698.5099999999993</v>
      </c>
      <c r="P7">
        <v>3048.12</v>
      </c>
      <c r="Q7">
        <v>7883.37</v>
      </c>
      <c r="R7">
        <v>10335.69</v>
      </c>
      <c r="S7">
        <v>13130.73</v>
      </c>
      <c r="T7">
        <v>11559.24</v>
      </c>
    </row>
    <row r="8" spans="1:20" ht="16" thickBot="1" x14ac:dyDescent="0.25">
      <c r="A8">
        <v>7</v>
      </c>
      <c r="B8" s="6" t="s">
        <v>7</v>
      </c>
      <c r="C8">
        <v>101426.48999999999</v>
      </c>
      <c r="D8">
        <v>122580.72</v>
      </c>
      <c r="E8">
        <v>107563.5</v>
      </c>
      <c r="F8" s="7">
        <v>153407.07</v>
      </c>
      <c r="G8">
        <v>160785.9</v>
      </c>
      <c r="H8">
        <v>180780.57</v>
      </c>
      <c r="I8" s="7">
        <v>160568.1</v>
      </c>
      <c r="J8">
        <v>192572.55</v>
      </c>
      <c r="K8" s="7">
        <v>207344.16</v>
      </c>
      <c r="L8" s="7">
        <v>185721.03</v>
      </c>
      <c r="M8">
        <v>180116.37</v>
      </c>
      <c r="N8">
        <v>198825.03</v>
      </c>
      <c r="O8">
        <v>217493.63999999998</v>
      </c>
      <c r="P8">
        <v>211453.02</v>
      </c>
      <c r="Q8">
        <v>204999.56999999998</v>
      </c>
      <c r="R8">
        <v>192160.8</v>
      </c>
      <c r="S8">
        <v>170706.6</v>
      </c>
      <c r="T8">
        <v>189062.91</v>
      </c>
    </row>
    <row r="9" spans="1:20" ht="16" thickBot="1" x14ac:dyDescent="0.25">
      <c r="A9">
        <v>8</v>
      </c>
      <c r="B9" s="6" t="s">
        <v>8</v>
      </c>
      <c r="C9">
        <v>1028.97</v>
      </c>
      <c r="D9">
        <v>1435.05</v>
      </c>
      <c r="E9">
        <v>126.44999999999999</v>
      </c>
      <c r="F9" s="7">
        <v>911.88</v>
      </c>
      <c r="G9">
        <v>206.82</v>
      </c>
      <c r="H9">
        <v>399.87</v>
      </c>
      <c r="I9" s="7">
        <v>471.78</v>
      </c>
      <c r="J9">
        <v>279.27</v>
      </c>
      <c r="K9" s="7">
        <v>73.89</v>
      </c>
      <c r="L9" s="7">
        <v>1295.73</v>
      </c>
      <c r="M9">
        <v>646.91999999999996</v>
      </c>
      <c r="N9">
        <v>388.8</v>
      </c>
      <c r="O9">
        <v>718.65</v>
      </c>
      <c r="P9">
        <v>165.23999999999998</v>
      </c>
      <c r="Q9">
        <v>1413</v>
      </c>
      <c r="R9">
        <v>380.34</v>
      </c>
      <c r="S9">
        <v>787.94999999999993</v>
      </c>
      <c r="T9">
        <v>510.21</v>
      </c>
    </row>
    <row r="10" spans="1:20" ht="16" thickBot="1" x14ac:dyDescent="0.25">
      <c r="A10">
        <v>9</v>
      </c>
      <c r="B10" s="6" t="s">
        <v>9</v>
      </c>
      <c r="C10">
        <v>55364.85</v>
      </c>
      <c r="D10">
        <v>55463.040000000001</v>
      </c>
      <c r="E10">
        <v>55264.14</v>
      </c>
      <c r="F10" s="7">
        <v>55288.800000000003</v>
      </c>
      <c r="G10">
        <v>55753.02</v>
      </c>
      <c r="H10">
        <v>54963.18</v>
      </c>
      <c r="I10" s="7">
        <v>55282.05</v>
      </c>
      <c r="J10">
        <v>54982.799999999996</v>
      </c>
      <c r="K10" s="7">
        <v>55334.97</v>
      </c>
      <c r="L10" s="7">
        <v>54996.39</v>
      </c>
      <c r="M10">
        <v>55169.909999999996</v>
      </c>
      <c r="N10">
        <v>55436.31</v>
      </c>
      <c r="O10">
        <v>54718.02</v>
      </c>
      <c r="P10">
        <v>55124.28</v>
      </c>
      <c r="Q10">
        <v>54629.64</v>
      </c>
      <c r="R10">
        <v>55096.92</v>
      </c>
      <c r="S10">
        <v>55123.199999999997</v>
      </c>
      <c r="T10">
        <v>54916.29</v>
      </c>
    </row>
    <row r="11" spans="1:20" ht="16" thickBot="1" x14ac:dyDescent="0.25">
      <c r="A11">
        <v>10</v>
      </c>
      <c r="B11" s="6" t="s">
        <v>10</v>
      </c>
      <c r="C11">
        <v>699.75</v>
      </c>
      <c r="D11">
        <v>2531.3399999999997</v>
      </c>
      <c r="E11">
        <v>350.01</v>
      </c>
      <c r="F11" s="7">
        <v>556.38</v>
      </c>
      <c r="G11">
        <v>483.12</v>
      </c>
      <c r="H11">
        <v>1177.9199999999998</v>
      </c>
      <c r="I11" s="7">
        <v>809.01</v>
      </c>
      <c r="J11">
        <v>443.07</v>
      </c>
      <c r="K11" s="7">
        <v>573.48</v>
      </c>
      <c r="L11" s="7">
        <v>1164.8699999999999</v>
      </c>
      <c r="M11">
        <v>1561.95</v>
      </c>
      <c r="N11">
        <v>216.63</v>
      </c>
      <c r="O11">
        <v>40.5</v>
      </c>
      <c r="P11">
        <v>362.78999999999996</v>
      </c>
      <c r="Q11">
        <v>868.68</v>
      </c>
      <c r="R11">
        <v>421.38</v>
      </c>
      <c r="S11">
        <v>2469.87</v>
      </c>
      <c r="T11">
        <v>2463.21</v>
      </c>
    </row>
    <row r="12" spans="1:20" x14ac:dyDescent="0.2">
      <c r="C12">
        <f>SUM(C2:C11)</f>
        <v>316256.67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481.94999999999993</v>
      </c>
      <c r="D17">
        <f>AVERAGE(C2:E2)</f>
        <v>2315.2199999999998</v>
      </c>
      <c r="E17">
        <f>C17-D17</f>
        <v>-1833.27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319.68</v>
      </c>
      <c r="D18">
        <f t="shared" ref="D18:D25" si="1">AVERAGE(C3:E3)</f>
        <v>50.43</v>
      </c>
      <c r="E18">
        <f t="shared" ref="E18:E26" si="2">C18-D18</f>
        <v>269.25</v>
      </c>
    </row>
    <row r="19" spans="1:5" ht="16" thickBot="1" x14ac:dyDescent="0.25">
      <c r="A19">
        <v>3</v>
      </c>
      <c r="B19" s="6" t="s">
        <v>3</v>
      </c>
      <c r="C19">
        <f t="shared" si="0"/>
        <v>2022.2550000000001</v>
      </c>
      <c r="D19">
        <f t="shared" si="1"/>
        <v>605.42999999999995</v>
      </c>
      <c r="E19">
        <f t="shared" si="2"/>
        <v>1416.8250000000003</v>
      </c>
    </row>
    <row r="20" spans="1:5" ht="16" thickBot="1" x14ac:dyDescent="0.25">
      <c r="A20">
        <v>4</v>
      </c>
      <c r="B20" s="6" t="s">
        <v>4</v>
      </c>
      <c r="C20">
        <f t="shared" si="0"/>
        <v>31132.17</v>
      </c>
      <c r="D20">
        <f t="shared" si="1"/>
        <v>69776.760000000009</v>
      </c>
      <c r="E20">
        <f t="shared" si="2"/>
        <v>-38644.590000000011</v>
      </c>
    </row>
    <row r="21" spans="1:5" ht="16" thickBot="1" x14ac:dyDescent="0.25">
      <c r="A21">
        <v>5</v>
      </c>
      <c r="B21" s="6" t="s">
        <v>5</v>
      </c>
      <c r="C21">
        <f t="shared" si="0"/>
        <v>31935.510000000002</v>
      </c>
      <c r="D21">
        <f t="shared" si="1"/>
        <v>71424.840000000011</v>
      </c>
      <c r="E21">
        <f t="shared" si="2"/>
        <v>-39489.330000000009</v>
      </c>
    </row>
    <row r="22" spans="1:5" ht="16" thickBot="1" x14ac:dyDescent="0.25">
      <c r="A22">
        <v>6</v>
      </c>
      <c r="B22" s="6" t="s">
        <v>6</v>
      </c>
      <c r="C22">
        <f t="shared" si="0"/>
        <v>12344.985000000001</v>
      </c>
      <c r="D22">
        <f t="shared" si="1"/>
        <v>4139.22</v>
      </c>
      <c r="E22">
        <f t="shared" si="2"/>
        <v>8205.7649999999994</v>
      </c>
    </row>
    <row r="23" spans="1:5" ht="16" thickBot="1" x14ac:dyDescent="0.25">
      <c r="A23">
        <v>7</v>
      </c>
      <c r="B23" s="6" t="s">
        <v>7</v>
      </c>
      <c r="C23">
        <f t="shared" si="0"/>
        <v>179884.755</v>
      </c>
      <c r="D23">
        <f t="shared" si="1"/>
        <v>110523.56999999999</v>
      </c>
      <c r="E23">
        <f t="shared" si="2"/>
        <v>69361.185000000012</v>
      </c>
    </row>
    <row r="24" spans="1:5" ht="16" thickBot="1" x14ac:dyDescent="0.25">
      <c r="A24">
        <v>8</v>
      </c>
      <c r="B24" s="6" t="s">
        <v>8</v>
      </c>
      <c r="C24">
        <f t="shared" si="0"/>
        <v>649.07999999999993</v>
      </c>
      <c r="D24">
        <f t="shared" si="1"/>
        <v>863.4899999999999</v>
      </c>
      <c r="E24">
        <f t="shared" si="2"/>
        <v>-214.40999999999997</v>
      </c>
    </row>
    <row r="25" spans="1:5" ht="16" thickBot="1" x14ac:dyDescent="0.25">
      <c r="A25">
        <v>9</v>
      </c>
      <c r="B25" s="6" t="s">
        <v>9</v>
      </c>
      <c r="C25">
        <f t="shared" si="0"/>
        <v>55019.744999999995</v>
      </c>
      <c r="D25">
        <f t="shared" si="1"/>
        <v>55364.01</v>
      </c>
      <c r="E25">
        <f t="shared" si="2"/>
        <v>-344.26500000000669</v>
      </c>
    </row>
    <row r="26" spans="1:5" ht="16" thickBot="1" x14ac:dyDescent="0.25">
      <c r="A26">
        <v>10</v>
      </c>
      <c r="B26" s="6" t="s">
        <v>10</v>
      </c>
      <c r="C26">
        <f>AVERAGE(S11:T11)</f>
        <v>2466.54</v>
      </c>
      <c r="D26">
        <f>AVERAGE(C11:E11)</f>
        <v>1193.6999999999998</v>
      </c>
      <c r="E26">
        <f t="shared" si="2"/>
        <v>1272.8400000000001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-79.183403737009883</v>
      </c>
    </row>
    <row r="32" spans="1:5" x14ac:dyDescent="0.2">
      <c r="B32" s="13" t="s">
        <v>2</v>
      </c>
      <c r="E32" s="14">
        <f t="shared" ref="E32:E40" si="3">(E18/D18)*100</f>
        <v>533.90838786436643</v>
      </c>
    </row>
    <row r="33" spans="2:5" x14ac:dyDescent="0.2">
      <c r="B33" s="13" t="s">
        <v>3</v>
      </c>
      <c r="E33" s="14">
        <f t="shared" si="3"/>
        <v>234.01962241712505</v>
      </c>
    </row>
    <row r="34" spans="2:5" x14ac:dyDescent="0.2">
      <c r="B34" s="13" t="s">
        <v>4</v>
      </c>
      <c r="E34" s="14">
        <f t="shared" si="3"/>
        <v>-55.38318202220912</v>
      </c>
    </row>
    <row r="35" spans="2:5" x14ac:dyDescent="0.2">
      <c r="B35" s="13" t="s">
        <v>5</v>
      </c>
      <c r="E35" s="14">
        <f t="shared" si="3"/>
        <v>-55.287950242520679</v>
      </c>
    </row>
    <row r="36" spans="2:5" x14ac:dyDescent="0.2">
      <c r="B36" s="13" t="s">
        <v>6</v>
      </c>
      <c r="E36" s="14">
        <f t="shared" si="3"/>
        <v>198.24423442097785</v>
      </c>
    </row>
    <row r="37" spans="2:5" x14ac:dyDescent="0.2">
      <c r="B37" s="13" t="s">
        <v>7</v>
      </c>
      <c r="E37" s="14">
        <f t="shared" si="3"/>
        <v>62.756916918264594</v>
      </c>
    </row>
    <row r="38" spans="2:5" x14ac:dyDescent="0.2">
      <c r="B38" s="13" t="s">
        <v>8</v>
      </c>
      <c r="E38" s="14">
        <f t="shared" si="3"/>
        <v>-24.830629190841815</v>
      </c>
    </row>
    <row r="39" spans="2:5" x14ac:dyDescent="0.2">
      <c r="B39" s="13" t="s">
        <v>9</v>
      </c>
      <c r="E39" s="14">
        <f t="shared" si="3"/>
        <v>-0.62182092662725597</v>
      </c>
    </row>
    <row r="40" spans="2:5" x14ac:dyDescent="0.2">
      <c r="B40" s="13" t="s">
        <v>10</v>
      </c>
      <c r="E40" s="14">
        <f t="shared" si="3"/>
        <v>106.62980648404124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7E60-0A30-764A-9F6F-ADCDC29C1153}">
  <dimension ref="A1:T40"/>
  <sheetViews>
    <sheetView workbookViewId="0">
      <selection activeCell="H41" sqref="H41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1744.11</v>
      </c>
      <c r="D2">
        <v>994.77</v>
      </c>
      <c r="E2">
        <v>218.7</v>
      </c>
      <c r="F2" s="7">
        <v>447.66</v>
      </c>
      <c r="G2">
        <v>213.03</v>
      </c>
      <c r="H2">
        <v>693.63</v>
      </c>
      <c r="I2">
        <v>295.02</v>
      </c>
      <c r="J2">
        <v>322.38</v>
      </c>
      <c r="K2" s="7">
        <v>863.64</v>
      </c>
      <c r="L2" s="7">
        <v>945.18</v>
      </c>
      <c r="M2">
        <v>312.3</v>
      </c>
      <c r="N2">
        <v>173.34</v>
      </c>
      <c r="O2">
        <v>818.37</v>
      </c>
      <c r="P2">
        <v>368.82</v>
      </c>
      <c r="Q2" s="7">
        <v>385.92</v>
      </c>
      <c r="R2">
        <v>486.45</v>
      </c>
      <c r="S2" s="7">
        <v>253.8</v>
      </c>
      <c r="T2">
        <v>187.92</v>
      </c>
    </row>
    <row r="3" spans="1:20" ht="16" thickBot="1" x14ac:dyDescent="0.25">
      <c r="A3">
        <v>2</v>
      </c>
      <c r="B3" s="6" t="s">
        <v>2</v>
      </c>
      <c r="C3">
        <v>236.34</v>
      </c>
      <c r="D3">
        <v>313.02</v>
      </c>
      <c r="E3">
        <v>1305.99</v>
      </c>
      <c r="F3" s="7">
        <v>562.59</v>
      </c>
      <c r="G3">
        <v>900.27</v>
      </c>
      <c r="H3">
        <v>673.29</v>
      </c>
      <c r="I3">
        <v>1001.52</v>
      </c>
      <c r="J3">
        <v>137.51999999999998</v>
      </c>
      <c r="K3" s="7">
        <v>250.65</v>
      </c>
      <c r="L3" s="7">
        <v>704.97</v>
      </c>
      <c r="M3">
        <v>662.4</v>
      </c>
      <c r="N3">
        <v>226.98</v>
      </c>
      <c r="O3">
        <v>538.55999999999995</v>
      </c>
      <c r="P3">
        <v>384.75</v>
      </c>
      <c r="Q3" s="7">
        <v>142.02000000000001</v>
      </c>
      <c r="R3">
        <v>419.66999999999996</v>
      </c>
      <c r="S3" s="7">
        <v>690.93</v>
      </c>
      <c r="T3">
        <v>790.56</v>
      </c>
    </row>
    <row r="4" spans="1:20" ht="16" thickBot="1" x14ac:dyDescent="0.25">
      <c r="A4">
        <v>3</v>
      </c>
      <c r="B4" s="6" t="s">
        <v>3</v>
      </c>
      <c r="C4">
        <v>180.45</v>
      </c>
      <c r="D4">
        <v>3.51</v>
      </c>
      <c r="E4">
        <v>356.31</v>
      </c>
      <c r="F4" s="7">
        <v>203.13</v>
      </c>
      <c r="G4">
        <v>223.10999999999999</v>
      </c>
      <c r="H4">
        <v>1270.08</v>
      </c>
      <c r="I4">
        <v>474.65999999999997</v>
      </c>
      <c r="J4">
        <v>696.78</v>
      </c>
      <c r="K4" s="7">
        <v>324.45</v>
      </c>
      <c r="L4" s="7">
        <v>2.0699999999999998</v>
      </c>
      <c r="M4">
        <v>767.33999999999992</v>
      </c>
      <c r="N4">
        <v>342.53999999999996</v>
      </c>
      <c r="O4">
        <v>11.52</v>
      </c>
      <c r="P4">
        <v>5.85</v>
      </c>
      <c r="Q4" s="7">
        <v>79.56</v>
      </c>
      <c r="R4">
        <v>13.5</v>
      </c>
      <c r="S4" s="7">
        <v>190.71</v>
      </c>
      <c r="T4">
        <v>44.46</v>
      </c>
    </row>
    <row r="5" spans="1:20" ht="16" thickBot="1" x14ac:dyDescent="0.25">
      <c r="A5">
        <v>4</v>
      </c>
      <c r="B5" s="6" t="s">
        <v>4</v>
      </c>
      <c r="C5">
        <v>15891.75</v>
      </c>
      <c r="D5">
        <v>13139.1</v>
      </c>
      <c r="E5">
        <v>14322.24</v>
      </c>
      <c r="F5" s="7">
        <v>16059.96</v>
      </c>
      <c r="G5">
        <v>13107.42</v>
      </c>
      <c r="H5">
        <v>10957.23</v>
      </c>
      <c r="I5">
        <v>14691.42</v>
      </c>
      <c r="J5">
        <v>13557.06</v>
      </c>
      <c r="K5" s="7">
        <v>14394.42</v>
      </c>
      <c r="L5" s="7">
        <v>14515.92</v>
      </c>
      <c r="M5">
        <v>13180.68</v>
      </c>
      <c r="N5">
        <v>13478.31</v>
      </c>
      <c r="O5">
        <v>8477.91</v>
      </c>
      <c r="P5">
        <v>12398.22</v>
      </c>
      <c r="Q5" s="7">
        <v>10011.870000000001</v>
      </c>
      <c r="R5">
        <v>11124.63</v>
      </c>
      <c r="S5" s="7">
        <v>8188.47</v>
      </c>
      <c r="T5">
        <v>9073.89</v>
      </c>
    </row>
    <row r="6" spans="1:20" ht="16" thickBot="1" x14ac:dyDescent="0.25">
      <c r="A6">
        <v>5</v>
      </c>
      <c r="B6" s="6" t="s">
        <v>5</v>
      </c>
      <c r="C6">
        <v>54.449999999999996</v>
      </c>
      <c r="D6">
        <v>2.52</v>
      </c>
      <c r="E6">
        <v>1300.4099999999999</v>
      </c>
      <c r="F6" s="7">
        <v>8.82</v>
      </c>
      <c r="G6">
        <v>2076.75</v>
      </c>
      <c r="H6">
        <v>280.52999999999997</v>
      </c>
      <c r="I6">
        <v>320.21999999999997</v>
      </c>
      <c r="J6">
        <v>1207.1699999999998</v>
      </c>
      <c r="K6" s="7">
        <v>201.33</v>
      </c>
      <c r="L6" s="7">
        <v>1810.35</v>
      </c>
      <c r="M6">
        <v>1015.92</v>
      </c>
      <c r="N6">
        <v>306</v>
      </c>
      <c r="O6">
        <v>3212.1</v>
      </c>
      <c r="P6">
        <v>469.26</v>
      </c>
      <c r="Q6" s="7">
        <v>984.96</v>
      </c>
      <c r="R6">
        <v>296.90999999999997</v>
      </c>
      <c r="S6" s="7">
        <v>1591.74</v>
      </c>
      <c r="T6">
        <v>2829.7799999999997</v>
      </c>
    </row>
    <row r="7" spans="1:20" ht="16" thickBot="1" x14ac:dyDescent="0.25">
      <c r="A7">
        <v>6</v>
      </c>
      <c r="B7" s="6" t="s">
        <v>6</v>
      </c>
      <c r="C7">
        <v>0</v>
      </c>
      <c r="D7">
        <v>0.27</v>
      </c>
      <c r="E7">
        <v>3.15</v>
      </c>
      <c r="F7" s="7">
        <v>6.48</v>
      </c>
      <c r="G7">
        <v>1.53</v>
      </c>
      <c r="H7">
        <v>2.25</v>
      </c>
      <c r="I7">
        <v>4.95</v>
      </c>
      <c r="J7">
        <v>0.63</v>
      </c>
      <c r="K7" s="7">
        <v>3.87</v>
      </c>
      <c r="L7" s="7">
        <v>7.65</v>
      </c>
      <c r="M7">
        <v>2.16</v>
      </c>
      <c r="N7">
        <v>0</v>
      </c>
      <c r="O7">
        <v>6.21</v>
      </c>
      <c r="P7">
        <v>4.2299999999999995</v>
      </c>
      <c r="Q7" s="7">
        <v>64.62</v>
      </c>
      <c r="R7">
        <v>4.68</v>
      </c>
      <c r="S7" s="7">
        <v>1.44</v>
      </c>
      <c r="T7">
        <v>1.71</v>
      </c>
    </row>
    <row r="8" spans="1:20" ht="16" thickBot="1" x14ac:dyDescent="0.25">
      <c r="A8">
        <v>7</v>
      </c>
      <c r="B8" s="6" t="s">
        <v>7</v>
      </c>
      <c r="C8">
        <v>451.53</v>
      </c>
      <c r="D8">
        <v>3779.0099999999998</v>
      </c>
      <c r="E8">
        <v>267.48</v>
      </c>
      <c r="F8" s="7">
        <v>1421.55</v>
      </c>
      <c r="G8">
        <v>343.89</v>
      </c>
      <c r="H8">
        <v>2950.74</v>
      </c>
      <c r="I8">
        <v>440.82</v>
      </c>
      <c r="J8">
        <v>435.69</v>
      </c>
      <c r="K8" s="7">
        <v>671.49</v>
      </c>
      <c r="L8" s="7">
        <v>973.17</v>
      </c>
      <c r="M8">
        <v>1056.78</v>
      </c>
      <c r="N8">
        <v>836.18999999999994</v>
      </c>
      <c r="O8">
        <v>3157.47</v>
      </c>
      <c r="P8">
        <v>1147.95</v>
      </c>
      <c r="Q8" s="7">
        <v>3801.6</v>
      </c>
      <c r="R8">
        <v>2892.42</v>
      </c>
      <c r="S8" s="7">
        <v>3113.73</v>
      </c>
      <c r="T8">
        <v>4604.49</v>
      </c>
    </row>
    <row r="9" spans="1:20" ht="16" thickBot="1" x14ac:dyDescent="0.25">
      <c r="A9">
        <v>8</v>
      </c>
      <c r="B9" s="6" t="s">
        <v>8</v>
      </c>
      <c r="C9">
        <v>0</v>
      </c>
      <c r="D9">
        <v>0</v>
      </c>
      <c r="E9">
        <v>0</v>
      </c>
      <c r="F9" s="7">
        <v>0</v>
      </c>
      <c r="G9">
        <v>0</v>
      </c>
      <c r="H9">
        <v>0</v>
      </c>
      <c r="I9">
        <v>0</v>
      </c>
      <c r="J9">
        <v>0</v>
      </c>
      <c r="K9" s="7">
        <v>0</v>
      </c>
      <c r="L9" s="7">
        <v>0</v>
      </c>
      <c r="M9">
        <v>0</v>
      </c>
      <c r="N9">
        <v>0</v>
      </c>
      <c r="O9">
        <v>0</v>
      </c>
      <c r="P9">
        <v>0</v>
      </c>
      <c r="Q9" s="7">
        <v>0</v>
      </c>
      <c r="R9">
        <v>0</v>
      </c>
      <c r="S9" s="7">
        <v>0</v>
      </c>
      <c r="T9">
        <v>0</v>
      </c>
    </row>
    <row r="10" spans="1:20" ht="16" thickBot="1" x14ac:dyDescent="0.25">
      <c r="A10">
        <v>9</v>
      </c>
      <c r="B10" s="6" t="s">
        <v>9</v>
      </c>
      <c r="C10">
        <v>551.34</v>
      </c>
      <c r="D10">
        <v>532.43999999999994</v>
      </c>
      <c r="E10">
        <v>175.41</v>
      </c>
      <c r="F10" s="7">
        <v>369.09</v>
      </c>
      <c r="G10">
        <v>277.74</v>
      </c>
      <c r="H10">
        <v>593.28</v>
      </c>
      <c r="I10">
        <v>546.56999999999994</v>
      </c>
      <c r="J10">
        <v>491.58</v>
      </c>
      <c r="K10" s="7">
        <v>408.78</v>
      </c>
      <c r="L10" s="7">
        <v>350.82</v>
      </c>
      <c r="M10">
        <v>625.59</v>
      </c>
      <c r="N10">
        <v>202.41</v>
      </c>
      <c r="O10">
        <v>379.8</v>
      </c>
      <c r="P10">
        <v>360.53999999999996</v>
      </c>
      <c r="Q10" s="7">
        <v>354.42</v>
      </c>
      <c r="R10">
        <v>454.59</v>
      </c>
      <c r="S10" s="7">
        <v>626.13</v>
      </c>
      <c r="T10">
        <v>633.68999999999994</v>
      </c>
    </row>
    <row r="11" spans="1:20" ht="16" thickBot="1" x14ac:dyDescent="0.25">
      <c r="A11">
        <v>10</v>
      </c>
      <c r="B11" s="6" t="s">
        <v>10</v>
      </c>
      <c r="C11">
        <v>2231.46</v>
      </c>
      <c r="D11">
        <v>2576.79</v>
      </c>
      <c r="E11">
        <v>3391.74</v>
      </c>
      <c r="F11" s="7">
        <v>2262.15</v>
      </c>
      <c r="G11">
        <v>4197.6899999999996</v>
      </c>
      <c r="H11">
        <v>3920.3999999999996</v>
      </c>
      <c r="I11">
        <v>3566.25</v>
      </c>
      <c r="J11">
        <v>4492.62</v>
      </c>
      <c r="K11" s="7">
        <v>4222.8</v>
      </c>
      <c r="L11" s="7">
        <v>2031.3</v>
      </c>
      <c r="M11">
        <v>3718.2599999999998</v>
      </c>
      <c r="N11">
        <v>5775.66</v>
      </c>
      <c r="O11">
        <v>4739.49</v>
      </c>
      <c r="P11">
        <v>6201.8099999999995</v>
      </c>
      <c r="Q11" s="7">
        <v>5516.46</v>
      </c>
      <c r="R11">
        <v>5648.58</v>
      </c>
      <c r="S11" s="7">
        <v>6684.48</v>
      </c>
      <c r="T11">
        <v>3174.93</v>
      </c>
    </row>
    <row r="12" spans="1:20" x14ac:dyDescent="0.2">
      <c r="C12">
        <f>SUM(C2:C11)</f>
        <v>21341.43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220.86</v>
      </c>
      <c r="D17">
        <f>AVERAGE(C2:E2)</f>
        <v>985.86</v>
      </c>
      <c r="E17">
        <f>C17-D17</f>
        <v>-765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740.74499999999989</v>
      </c>
      <c r="D18">
        <f t="shared" ref="D18:D25" si="1">AVERAGE(C3:E3)</f>
        <v>618.44999999999993</v>
      </c>
      <c r="E18">
        <f t="shared" ref="E18:E26" si="2">C18-D18</f>
        <v>122.29499999999996</v>
      </c>
    </row>
    <row r="19" spans="1:5" ht="16" thickBot="1" x14ac:dyDescent="0.25">
      <c r="A19">
        <v>3</v>
      </c>
      <c r="B19" s="6" t="s">
        <v>3</v>
      </c>
      <c r="C19">
        <f t="shared" si="0"/>
        <v>117.58500000000001</v>
      </c>
      <c r="D19">
        <f t="shared" si="1"/>
        <v>180.09</v>
      </c>
      <c r="E19">
        <f t="shared" si="2"/>
        <v>-62.504999999999995</v>
      </c>
    </row>
    <row r="20" spans="1:5" ht="16" thickBot="1" x14ac:dyDescent="0.25">
      <c r="A20">
        <v>4</v>
      </c>
      <c r="B20" s="6" t="s">
        <v>4</v>
      </c>
      <c r="C20">
        <f t="shared" si="0"/>
        <v>8631.18</v>
      </c>
      <c r="D20">
        <f t="shared" si="1"/>
        <v>14451.029999999999</v>
      </c>
      <c r="E20">
        <f t="shared" si="2"/>
        <v>-5819.8499999999985</v>
      </c>
    </row>
    <row r="21" spans="1:5" ht="16" thickBot="1" x14ac:dyDescent="0.25">
      <c r="A21">
        <v>5</v>
      </c>
      <c r="B21" s="6" t="s">
        <v>5</v>
      </c>
      <c r="C21">
        <f t="shared" si="0"/>
        <v>2210.7599999999998</v>
      </c>
      <c r="D21">
        <f t="shared" si="1"/>
        <v>452.46</v>
      </c>
      <c r="E21">
        <f t="shared" si="2"/>
        <v>1758.2999999999997</v>
      </c>
    </row>
    <row r="22" spans="1:5" ht="16" thickBot="1" x14ac:dyDescent="0.25">
      <c r="A22">
        <v>6</v>
      </c>
      <c r="B22" s="6" t="s">
        <v>6</v>
      </c>
      <c r="C22">
        <f t="shared" si="0"/>
        <v>1.575</v>
      </c>
      <c r="D22">
        <f t="shared" si="1"/>
        <v>1.1399999999999999</v>
      </c>
      <c r="E22">
        <f t="shared" si="2"/>
        <v>0.43500000000000005</v>
      </c>
    </row>
    <row r="23" spans="1:5" ht="16" thickBot="1" x14ac:dyDescent="0.25">
      <c r="A23">
        <v>7</v>
      </c>
      <c r="B23" s="6" t="s">
        <v>7</v>
      </c>
      <c r="C23">
        <f t="shared" si="0"/>
        <v>3859.1099999999997</v>
      </c>
      <c r="D23">
        <f t="shared" si="1"/>
        <v>1499.3400000000001</v>
      </c>
      <c r="E23">
        <f t="shared" si="2"/>
        <v>2359.7699999999995</v>
      </c>
    </row>
    <row r="24" spans="1:5" ht="16" thickBot="1" x14ac:dyDescent="0.25">
      <c r="A24">
        <v>8</v>
      </c>
      <c r="B24" s="6" t="s">
        <v>8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ht="16" thickBot="1" x14ac:dyDescent="0.25">
      <c r="A25">
        <v>9</v>
      </c>
      <c r="B25" s="6" t="s">
        <v>9</v>
      </c>
      <c r="C25">
        <f t="shared" si="0"/>
        <v>629.91</v>
      </c>
      <c r="D25">
        <f t="shared" si="1"/>
        <v>419.73</v>
      </c>
      <c r="E25">
        <f t="shared" si="2"/>
        <v>210.17999999999995</v>
      </c>
    </row>
    <row r="26" spans="1:5" ht="16" thickBot="1" x14ac:dyDescent="0.25">
      <c r="A26">
        <v>10</v>
      </c>
      <c r="B26" s="6" t="s">
        <v>10</v>
      </c>
      <c r="C26">
        <f>AVERAGE(S11:T11)</f>
        <v>4929.7049999999999</v>
      </c>
      <c r="D26">
        <f>AVERAGE(C11:E11)</f>
        <v>2733.33</v>
      </c>
      <c r="E26">
        <f t="shared" si="2"/>
        <v>2196.375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-77.597224758079236</v>
      </c>
    </row>
    <row r="32" spans="1:5" x14ac:dyDescent="0.2">
      <c r="B32" s="13" t="s">
        <v>2</v>
      </c>
      <c r="E32" s="14">
        <f t="shared" ref="E32:E40" si="3">(E18/D18)*100</f>
        <v>19.77443609022556</v>
      </c>
    </row>
    <row r="33" spans="2:5" x14ac:dyDescent="0.2">
      <c r="B33" s="13" t="s">
        <v>3</v>
      </c>
      <c r="E33" s="14">
        <f t="shared" si="3"/>
        <v>-34.707646176911538</v>
      </c>
    </row>
    <row r="34" spans="2:5" x14ac:dyDescent="0.2">
      <c r="B34" s="13" t="s">
        <v>4</v>
      </c>
      <c r="E34" s="14">
        <f t="shared" si="3"/>
        <v>-40.272907882690703</v>
      </c>
    </row>
    <row r="35" spans="2:5" x14ac:dyDescent="0.2">
      <c r="B35" s="13" t="s">
        <v>5</v>
      </c>
      <c r="E35" s="14">
        <f t="shared" si="3"/>
        <v>388.60893780665691</v>
      </c>
    </row>
    <row r="36" spans="2:5" x14ac:dyDescent="0.2">
      <c r="B36" s="13" t="s">
        <v>6</v>
      </c>
      <c r="E36" s="14">
        <f t="shared" si="3"/>
        <v>38.15789473684211</v>
      </c>
    </row>
    <row r="37" spans="2:5" x14ac:dyDescent="0.2">
      <c r="B37" s="13" t="s">
        <v>7</v>
      </c>
      <c r="E37" s="14">
        <f t="shared" si="3"/>
        <v>157.38725039017163</v>
      </c>
    </row>
    <row r="38" spans="2:5" x14ac:dyDescent="0.2">
      <c r="B38" s="13" t="s">
        <v>8</v>
      </c>
      <c r="E38" s="14">
        <v>0</v>
      </c>
    </row>
    <row r="39" spans="2:5" x14ac:dyDescent="0.2">
      <c r="B39" s="13" t="s">
        <v>9</v>
      </c>
      <c r="E39" s="14">
        <f t="shared" si="3"/>
        <v>50.075048245300536</v>
      </c>
    </row>
    <row r="40" spans="2:5" x14ac:dyDescent="0.2">
      <c r="B40" s="13" t="s">
        <v>10</v>
      </c>
      <c r="E40" s="14">
        <f t="shared" si="3"/>
        <v>80.355280921074296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A2A8-4B3D-264C-A6EC-E8A4E6FB8983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39488.58</v>
      </c>
      <c r="D2" s="7">
        <v>34587.269999999997</v>
      </c>
      <c r="E2">
        <v>36091.08</v>
      </c>
      <c r="F2">
        <v>52648.29</v>
      </c>
      <c r="G2">
        <v>33582.6</v>
      </c>
      <c r="H2" s="7">
        <v>37961.370000000003</v>
      </c>
      <c r="I2">
        <v>42947.82</v>
      </c>
      <c r="J2">
        <v>39957.21</v>
      </c>
      <c r="K2">
        <v>42839.1</v>
      </c>
      <c r="L2">
        <v>38315.699999999997</v>
      </c>
      <c r="M2">
        <v>37782.269999999997</v>
      </c>
      <c r="N2" s="7">
        <v>39734.28</v>
      </c>
      <c r="O2" s="7">
        <v>48150.9</v>
      </c>
      <c r="P2">
        <v>41059.439999999995</v>
      </c>
      <c r="Q2" s="7">
        <v>36267.839999999997</v>
      </c>
      <c r="R2">
        <v>35883.629999999997</v>
      </c>
      <c r="S2">
        <v>39781.979999999996</v>
      </c>
      <c r="T2">
        <v>44158.77</v>
      </c>
    </row>
    <row r="3" spans="1:20" ht="16" thickBot="1" x14ac:dyDescent="0.25">
      <c r="A3">
        <v>2</v>
      </c>
      <c r="B3" s="6" t="s">
        <v>2</v>
      </c>
      <c r="C3">
        <v>2566.5299999999997</v>
      </c>
      <c r="D3" s="7">
        <v>5150.5200000000004</v>
      </c>
      <c r="E3">
        <v>11469.689999999999</v>
      </c>
      <c r="F3">
        <v>3479.04</v>
      </c>
      <c r="G3">
        <v>4828.59</v>
      </c>
      <c r="H3" s="7">
        <v>3391.47</v>
      </c>
      <c r="I3">
        <v>6505.74</v>
      </c>
      <c r="J3">
        <v>1878.21</v>
      </c>
      <c r="K3">
        <v>2176.4699999999998</v>
      </c>
      <c r="L3">
        <v>5576.4</v>
      </c>
      <c r="M3">
        <v>3445.47</v>
      </c>
      <c r="N3" s="7">
        <v>3079.71</v>
      </c>
      <c r="O3" s="7">
        <v>3102.3</v>
      </c>
      <c r="P3">
        <v>563.13</v>
      </c>
      <c r="Q3" s="7">
        <v>3712.14</v>
      </c>
      <c r="R3">
        <v>2149.11</v>
      </c>
      <c r="S3">
        <v>2249.0099999999998</v>
      </c>
      <c r="T3">
        <v>1849.4099999999999</v>
      </c>
    </row>
    <row r="4" spans="1:20" ht="16" thickBot="1" x14ac:dyDescent="0.25">
      <c r="A4">
        <v>3</v>
      </c>
      <c r="B4" s="6" t="s">
        <v>3</v>
      </c>
      <c r="C4">
        <v>843.83999999999992</v>
      </c>
      <c r="D4" s="7">
        <v>2431.71</v>
      </c>
      <c r="E4">
        <v>2592.63</v>
      </c>
      <c r="F4">
        <v>2120.67</v>
      </c>
      <c r="G4">
        <v>1514.61</v>
      </c>
      <c r="H4" s="7">
        <v>5013.18</v>
      </c>
      <c r="I4">
        <v>1116.45</v>
      </c>
      <c r="J4">
        <v>70.289999999999992</v>
      </c>
      <c r="K4">
        <v>0.80999999999999994</v>
      </c>
      <c r="L4">
        <v>3219.66</v>
      </c>
      <c r="M4">
        <v>541.26</v>
      </c>
      <c r="N4" s="7">
        <v>639.27</v>
      </c>
      <c r="O4" s="7">
        <v>232.47</v>
      </c>
      <c r="P4">
        <v>0</v>
      </c>
      <c r="Q4" s="7">
        <v>607.23</v>
      </c>
      <c r="R4">
        <v>0.36</v>
      </c>
      <c r="S4">
        <v>8.01</v>
      </c>
      <c r="T4">
        <v>8.3699999999999992</v>
      </c>
    </row>
    <row r="5" spans="1:20" ht="16" thickBot="1" x14ac:dyDescent="0.25">
      <c r="A5">
        <v>4</v>
      </c>
      <c r="B5" s="6" t="s">
        <v>4</v>
      </c>
      <c r="C5">
        <v>47302.38</v>
      </c>
      <c r="D5" s="7">
        <v>51771.15</v>
      </c>
      <c r="E5">
        <v>38914.92</v>
      </c>
      <c r="F5">
        <v>7219.17</v>
      </c>
      <c r="G5">
        <v>53610.479999999996</v>
      </c>
      <c r="H5" s="7">
        <v>7226.28</v>
      </c>
      <c r="I5">
        <v>28682.1</v>
      </c>
      <c r="J5">
        <v>4820.3099999999995</v>
      </c>
      <c r="K5">
        <v>8100.63</v>
      </c>
      <c r="L5">
        <v>16055.64</v>
      </c>
      <c r="M5">
        <v>10359.629999999999</v>
      </c>
      <c r="N5" s="7">
        <v>20450.52</v>
      </c>
      <c r="O5" s="7">
        <v>9302.31</v>
      </c>
      <c r="P5">
        <v>36160.29</v>
      </c>
      <c r="Q5" s="7">
        <v>14456.25</v>
      </c>
      <c r="R5">
        <v>26255.16</v>
      </c>
      <c r="S5">
        <v>25650.18</v>
      </c>
      <c r="T5">
        <v>20204.82</v>
      </c>
    </row>
    <row r="6" spans="1:20" ht="16" thickBot="1" x14ac:dyDescent="0.25">
      <c r="A6">
        <v>5</v>
      </c>
      <c r="B6" s="6" t="s">
        <v>5</v>
      </c>
      <c r="C6">
        <v>17210.25</v>
      </c>
      <c r="D6" s="7">
        <v>13670.55</v>
      </c>
      <c r="E6">
        <v>21091.77</v>
      </c>
      <c r="F6">
        <v>13156.83</v>
      </c>
      <c r="G6">
        <v>20974.05</v>
      </c>
      <c r="H6" s="7">
        <v>4683.96</v>
      </c>
      <c r="I6">
        <v>27207.360000000001</v>
      </c>
      <c r="J6">
        <v>7657.11</v>
      </c>
      <c r="K6">
        <v>3774.24</v>
      </c>
      <c r="L6">
        <v>7958.25</v>
      </c>
      <c r="M6">
        <v>11107.35</v>
      </c>
      <c r="N6" s="7">
        <v>10328.76</v>
      </c>
      <c r="O6" s="7">
        <v>8534.7900000000009</v>
      </c>
      <c r="P6">
        <v>6857.28</v>
      </c>
      <c r="Q6" s="7">
        <v>4559.8500000000004</v>
      </c>
      <c r="R6">
        <v>4344.57</v>
      </c>
      <c r="S6">
        <v>4150.26</v>
      </c>
      <c r="T6">
        <v>3739.23</v>
      </c>
    </row>
    <row r="7" spans="1:20" ht="16" thickBot="1" x14ac:dyDescent="0.25">
      <c r="A7">
        <v>6</v>
      </c>
      <c r="B7" s="6" t="s">
        <v>6</v>
      </c>
      <c r="C7">
        <v>36735.75</v>
      </c>
      <c r="D7" s="7">
        <v>28527.66</v>
      </c>
      <c r="E7">
        <v>35719.47</v>
      </c>
      <c r="F7">
        <v>32562.809999999998</v>
      </c>
      <c r="G7">
        <v>33365.25</v>
      </c>
      <c r="H7" s="7">
        <v>36806.94</v>
      </c>
      <c r="I7">
        <v>32659.649999999998</v>
      </c>
      <c r="J7">
        <v>36571.949999999997</v>
      </c>
      <c r="K7">
        <v>36738.99</v>
      </c>
      <c r="L7">
        <v>37205.82</v>
      </c>
      <c r="M7">
        <v>32455.89</v>
      </c>
      <c r="N7" s="7">
        <v>30216.959999999999</v>
      </c>
      <c r="O7" s="7">
        <v>33121.71</v>
      </c>
      <c r="P7">
        <v>34069.409999999996</v>
      </c>
      <c r="Q7" s="7">
        <v>32465.61</v>
      </c>
      <c r="R7">
        <v>42038.82</v>
      </c>
      <c r="S7">
        <v>38483.64</v>
      </c>
      <c r="T7">
        <v>40998.239999999998</v>
      </c>
    </row>
    <row r="8" spans="1:20" ht="16" thickBot="1" x14ac:dyDescent="0.25">
      <c r="A8">
        <v>7</v>
      </c>
      <c r="B8" s="6" t="s">
        <v>7</v>
      </c>
      <c r="C8">
        <v>107627.94</v>
      </c>
      <c r="D8" s="7">
        <v>115457.58</v>
      </c>
      <c r="E8">
        <v>105168.23999999999</v>
      </c>
      <c r="F8">
        <v>140341.04999999999</v>
      </c>
      <c r="G8">
        <v>103562.37</v>
      </c>
      <c r="H8" s="7">
        <v>156142.07999999999</v>
      </c>
      <c r="I8">
        <v>112363.01999999999</v>
      </c>
      <c r="J8">
        <v>160110.18</v>
      </c>
      <c r="K8">
        <v>156672.63</v>
      </c>
      <c r="L8">
        <v>142886.07</v>
      </c>
      <c r="M8">
        <v>155718.72</v>
      </c>
      <c r="N8" s="7">
        <v>146961.45000000001</v>
      </c>
      <c r="O8" s="7">
        <v>148831.92000000001</v>
      </c>
      <c r="P8">
        <v>132528.06</v>
      </c>
      <c r="Q8" s="7">
        <v>159362.82</v>
      </c>
      <c r="R8">
        <v>140944.59</v>
      </c>
      <c r="S8">
        <v>141119.46</v>
      </c>
      <c r="T8">
        <v>140199.12</v>
      </c>
    </row>
    <row r="9" spans="1:20" ht="16" thickBot="1" x14ac:dyDescent="0.25">
      <c r="A9">
        <v>8</v>
      </c>
      <c r="B9" s="6" t="s">
        <v>8</v>
      </c>
      <c r="C9">
        <v>36.72</v>
      </c>
      <c r="D9" s="7">
        <v>36.54</v>
      </c>
      <c r="E9">
        <v>168.66</v>
      </c>
      <c r="F9">
        <v>111.24</v>
      </c>
      <c r="G9">
        <v>72.899999999999991</v>
      </c>
      <c r="H9" s="7">
        <v>5.04</v>
      </c>
      <c r="I9">
        <v>26.73</v>
      </c>
      <c r="J9">
        <v>0.09</v>
      </c>
      <c r="K9">
        <v>991.43999999999994</v>
      </c>
      <c r="L9">
        <v>299.33999999999997</v>
      </c>
      <c r="M9">
        <v>10.98</v>
      </c>
      <c r="N9" s="7">
        <v>107.1</v>
      </c>
      <c r="O9" s="7">
        <v>0</v>
      </c>
      <c r="P9">
        <v>0</v>
      </c>
      <c r="Q9" s="7">
        <v>0</v>
      </c>
      <c r="R9">
        <v>0</v>
      </c>
      <c r="S9">
        <v>26.009999999999998</v>
      </c>
      <c r="T9">
        <v>12.51</v>
      </c>
    </row>
    <row r="10" spans="1:20" ht="16" thickBot="1" x14ac:dyDescent="0.25">
      <c r="A10">
        <v>9</v>
      </c>
      <c r="B10" s="6" t="s">
        <v>9</v>
      </c>
      <c r="C10">
        <v>549</v>
      </c>
      <c r="D10" s="7">
        <v>963.18</v>
      </c>
      <c r="E10">
        <v>1261.08</v>
      </c>
      <c r="F10">
        <v>772.29</v>
      </c>
      <c r="G10">
        <v>846.54</v>
      </c>
      <c r="H10" s="7">
        <v>1170.18</v>
      </c>
      <c r="I10">
        <v>948.42</v>
      </c>
      <c r="J10">
        <v>1359.36</v>
      </c>
      <c r="K10">
        <v>726.66</v>
      </c>
      <c r="L10">
        <v>761.49</v>
      </c>
      <c r="M10">
        <v>1018.26</v>
      </c>
      <c r="N10" s="7">
        <v>851.04</v>
      </c>
      <c r="O10" s="7">
        <v>621.09</v>
      </c>
      <c r="P10">
        <v>824.93999999999994</v>
      </c>
      <c r="Q10" s="7">
        <v>742.14</v>
      </c>
      <c r="R10">
        <v>758.61</v>
      </c>
      <c r="S10">
        <v>706.14</v>
      </c>
      <c r="T10">
        <v>809.1</v>
      </c>
    </row>
    <row r="11" spans="1:20" ht="16" thickBot="1" x14ac:dyDescent="0.25">
      <c r="A11">
        <v>10</v>
      </c>
      <c r="B11" s="6" t="s">
        <v>10</v>
      </c>
      <c r="C11">
        <v>285.12</v>
      </c>
      <c r="D11" s="7">
        <v>49.95</v>
      </c>
      <c r="E11">
        <v>168.57</v>
      </c>
      <c r="F11">
        <v>234.72</v>
      </c>
      <c r="G11">
        <v>288.71999999999997</v>
      </c>
      <c r="H11" s="7">
        <v>245.61</v>
      </c>
      <c r="I11">
        <v>188.82</v>
      </c>
      <c r="J11">
        <v>221.4</v>
      </c>
      <c r="K11">
        <v>625.14</v>
      </c>
      <c r="L11">
        <v>367.74</v>
      </c>
      <c r="M11">
        <v>206.28</v>
      </c>
      <c r="N11" s="7">
        <v>277.02</v>
      </c>
      <c r="O11" s="7">
        <v>748.62</v>
      </c>
      <c r="P11">
        <v>583.55999999999995</v>
      </c>
      <c r="Q11" s="7">
        <v>472.23</v>
      </c>
      <c r="R11">
        <v>271.26</v>
      </c>
      <c r="S11">
        <v>471.41999999999996</v>
      </c>
      <c r="T11">
        <v>666.54</v>
      </c>
    </row>
    <row r="12" spans="1:20" x14ac:dyDescent="0.2">
      <c r="C12">
        <f>SUM(C2:C11)</f>
        <v>252646.11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41970.375</v>
      </c>
      <c r="D17">
        <f>AVERAGE(C2:E2)</f>
        <v>36722.310000000005</v>
      </c>
      <c r="E17">
        <f>C17-D17</f>
        <v>5248.0649999999951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2049.21</v>
      </c>
      <c r="D18">
        <f t="shared" ref="D18:D25" si="1">AVERAGE(C3:E3)</f>
        <v>6395.579999999999</v>
      </c>
      <c r="E18">
        <f t="shared" ref="E18:E26" si="2">C18-D18</f>
        <v>-4346.369999999999</v>
      </c>
    </row>
    <row r="19" spans="1:5" ht="16" thickBot="1" x14ac:dyDescent="0.25">
      <c r="A19">
        <v>3</v>
      </c>
      <c r="B19" s="6" t="s">
        <v>3</v>
      </c>
      <c r="C19">
        <f t="shared" si="0"/>
        <v>8.19</v>
      </c>
      <c r="D19">
        <f t="shared" si="1"/>
        <v>1956.0600000000002</v>
      </c>
      <c r="E19">
        <f t="shared" si="2"/>
        <v>-1947.8700000000001</v>
      </c>
    </row>
    <row r="20" spans="1:5" ht="16" thickBot="1" x14ac:dyDescent="0.25">
      <c r="A20">
        <v>4</v>
      </c>
      <c r="B20" s="6" t="s">
        <v>4</v>
      </c>
      <c r="C20">
        <f t="shared" si="0"/>
        <v>22927.5</v>
      </c>
      <c r="D20">
        <f t="shared" si="1"/>
        <v>45996.15</v>
      </c>
      <c r="E20">
        <f t="shared" si="2"/>
        <v>-23068.65</v>
      </c>
    </row>
    <row r="21" spans="1:5" ht="16" thickBot="1" x14ac:dyDescent="0.25">
      <c r="A21">
        <v>5</v>
      </c>
      <c r="B21" s="6" t="s">
        <v>5</v>
      </c>
      <c r="C21">
        <f t="shared" si="0"/>
        <v>3944.7449999999999</v>
      </c>
      <c r="D21">
        <f t="shared" si="1"/>
        <v>17324.189999999999</v>
      </c>
      <c r="E21">
        <f t="shared" si="2"/>
        <v>-13379.445</v>
      </c>
    </row>
    <row r="22" spans="1:5" ht="16" thickBot="1" x14ac:dyDescent="0.25">
      <c r="A22">
        <v>6</v>
      </c>
      <c r="B22" s="6" t="s">
        <v>6</v>
      </c>
      <c r="C22">
        <f t="shared" si="0"/>
        <v>39740.94</v>
      </c>
      <c r="D22">
        <f t="shared" si="1"/>
        <v>33660.959999999999</v>
      </c>
      <c r="E22">
        <f t="shared" si="2"/>
        <v>6079.9800000000032</v>
      </c>
    </row>
    <row r="23" spans="1:5" ht="16" thickBot="1" x14ac:dyDescent="0.25">
      <c r="A23">
        <v>7</v>
      </c>
      <c r="B23" s="6" t="s">
        <v>7</v>
      </c>
      <c r="C23">
        <f t="shared" si="0"/>
        <v>140659.28999999998</v>
      </c>
      <c r="D23">
        <f t="shared" si="1"/>
        <v>109417.92</v>
      </c>
      <c r="E23">
        <f t="shared" si="2"/>
        <v>31241.369999999981</v>
      </c>
    </row>
    <row r="24" spans="1:5" ht="16" thickBot="1" x14ac:dyDescent="0.25">
      <c r="A24">
        <v>8</v>
      </c>
      <c r="B24" s="6" t="s">
        <v>8</v>
      </c>
      <c r="C24">
        <f t="shared" si="0"/>
        <v>19.259999999999998</v>
      </c>
      <c r="D24">
        <f t="shared" si="1"/>
        <v>80.64</v>
      </c>
      <c r="E24">
        <f t="shared" si="2"/>
        <v>-61.38</v>
      </c>
    </row>
    <row r="25" spans="1:5" ht="16" thickBot="1" x14ac:dyDescent="0.25">
      <c r="A25">
        <v>9</v>
      </c>
      <c r="B25" s="6" t="s">
        <v>9</v>
      </c>
      <c r="C25">
        <f t="shared" si="0"/>
        <v>757.62</v>
      </c>
      <c r="D25">
        <f t="shared" si="1"/>
        <v>924.42</v>
      </c>
      <c r="E25">
        <f t="shared" si="2"/>
        <v>-166.79999999999995</v>
      </c>
    </row>
    <row r="26" spans="1:5" ht="16" thickBot="1" x14ac:dyDescent="0.25">
      <c r="A26">
        <v>10</v>
      </c>
      <c r="B26" s="6" t="s">
        <v>10</v>
      </c>
      <c r="C26">
        <f>AVERAGE(S11:T11)</f>
        <v>568.98</v>
      </c>
      <c r="D26">
        <f>AVERAGE(C11:E11)</f>
        <v>167.88</v>
      </c>
      <c r="E26">
        <f t="shared" si="2"/>
        <v>401.1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14.291216974095569</v>
      </c>
    </row>
    <row r="32" spans="1:5" x14ac:dyDescent="0.2">
      <c r="B32" s="13" t="s">
        <v>2</v>
      </c>
      <c r="E32" s="14">
        <f t="shared" ref="E32:E40" si="3">(E18/D18)*100</f>
        <v>-67.958965410486613</v>
      </c>
    </row>
    <row r="33" spans="2:5" x14ac:dyDescent="0.2">
      <c r="B33" s="13" t="s">
        <v>3</v>
      </c>
      <c r="E33" s="14">
        <f t="shared" si="3"/>
        <v>-99.581301187080157</v>
      </c>
    </row>
    <row r="34" spans="2:5" x14ac:dyDescent="0.2">
      <c r="B34" s="13" t="s">
        <v>4</v>
      </c>
      <c r="E34" s="14">
        <f t="shared" si="3"/>
        <v>-50.153436755032757</v>
      </c>
    </row>
    <row r="35" spans="2:5" x14ac:dyDescent="0.2">
      <c r="B35" s="13" t="s">
        <v>5</v>
      </c>
      <c r="E35" s="14">
        <f t="shared" si="3"/>
        <v>-77.22984451221096</v>
      </c>
    </row>
    <row r="36" spans="2:5" x14ac:dyDescent="0.2">
      <c r="B36" s="13" t="s">
        <v>6</v>
      </c>
      <c r="E36" s="14">
        <f t="shared" si="3"/>
        <v>18.062408202261622</v>
      </c>
    </row>
    <row r="37" spans="2:5" x14ac:dyDescent="0.2">
      <c r="B37" s="13" t="s">
        <v>7</v>
      </c>
      <c r="E37" s="14">
        <f t="shared" si="3"/>
        <v>28.552334023531046</v>
      </c>
    </row>
    <row r="38" spans="2:5" x14ac:dyDescent="0.2">
      <c r="B38" s="13" t="s">
        <v>8</v>
      </c>
      <c r="E38" s="14">
        <f t="shared" si="3"/>
        <v>-76.116071428571431</v>
      </c>
    </row>
    <row r="39" spans="2:5" x14ac:dyDescent="0.2">
      <c r="B39" s="13" t="s">
        <v>9</v>
      </c>
      <c r="E39" s="14">
        <f t="shared" si="3"/>
        <v>-18.043746349062108</v>
      </c>
    </row>
    <row r="40" spans="2:5" x14ac:dyDescent="0.2">
      <c r="B40" s="13" t="s">
        <v>10</v>
      </c>
      <c r="E40" s="14">
        <f t="shared" si="3"/>
        <v>238.92065761258044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BE55-ABFA-904B-B962-B0EEDE6F9FF6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3264.2999999999997</v>
      </c>
      <c r="D2">
        <v>1788.75</v>
      </c>
      <c r="E2">
        <v>2263.5899999999997</v>
      </c>
      <c r="F2">
        <v>3887.37</v>
      </c>
      <c r="G2">
        <v>2147.7599999999998</v>
      </c>
      <c r="H2" s="7">
        <v>2737.08</v>
      </c>
      <c r="I2">
        <v>2880.81</v>
      </c>
      <c r="J2">
        <v>2776.95</v>
      </c>
      <c r="K2">
        <v>2432.3399999999997</v>
      </c>
      <c r="L2">
        <v>1355.58</v>
      </c>
      <c r="M2">
        <v>2416.6799999999998</v>
      </c>
      <c r="N2">
        <v>2345.67</v>
      </c>
      <c r="O2" s="7">
        <v>1846.35</v>
      </c>
      <c r="P2">
        <v>3679.47</v>
      </c>
      <c r="Q2">
        <v>2316.96</v>
      </c>
      <c r="R2" s="7">
        <v>3468.96</v>
      </c>
      <c r="S2">
        <v>980.09999999999991</v>
      </c>
      <c r="T2">
        <v>3468.24</v>
      </c>
    </row>
    <row r="3" spans="1:20" ht="16" thickBot="1" x14ac:dyDescent="0.25">
      <c r="A3">
        <v>2</v>
      </c>
      <c r="B3" s="6" t="s">
        <v>2</v>
      </c>
      <c r="C3">
        <v>1749.24</v>
      </c>
      <c r="D3">
        <v>1735.47</v>
      </c>
      <c r="E3">
        <v>2951.2799999999997</v>
      </c>
      <c r="F3">
        <v>1537.56</v>
      </c>
      <c r="G3">
        <v>2441.88</v>
      </c>
      <c r="H3" s="7">
        <v>1633.95</v>
      </c>
      <c r="I3">
        <v>2356.65</v>
      </c>
      <c r="J3">
        <v>611.01</v>
      </c>
      <c r="K3">
        <v>997.38</v>
      </c>
      <c r="L3">
        <v>2485.44</v>
      </c>
      <c r="M3">
        <v>2542.5</v>
      </c>
      <c r="N3">
        <v>707.49</v>
      </c>
      <c r="O3" s="7">
        <v>1789.56</v>
      </c>
      <c r="P3">
        <v>505.62</v>
      </c>
      <c r="Q3">
        <v>1596.96</v>
      </c>
      <c r="R3" s="7">
        <v>337.59</v>
      </c>
      <c r="S3">
        <v>2053.2599999999998</v>
      </c>
      <c r="T3">
        <v>1212.93</v>
      </c>
    </row>
    <row r="4" spans="1:20" ht="16" thickBot="1" x14ac:dyDescent="0.25">
      <c r="A4">
        <v>3</v>
      </c>
      <c r="B4" s="6" t="s">
        <v>3</v>
      </c>
      <c r="C4">
        <v>421.74</v>
      </c>
      <c r="D4">
        <v>759.32999999999993</v>
      </c>
      <c r="E4">
        <v>379.8</v>
      </c>
      <c r="F4">
        <v>1812.96</v>
      </c>
      <c r="G4">
        <v>147.6</v>
      </c>
      <c r="H4" s="7">
        <v>1294.6500000000001</v>
      </c>
      <c r="I4">
        <v>135.18</v>
      </c>
      <c r="J4">
        <v>167.67</v>
      </c>
      <c r="K4">
        <v>41.67</v>
      </c>
      <c r="L4">
        <v>1119.33</v>
      </c>
      <c r="M4">
        <v>227.16</v>
      </c>
      <c r="N4">
        <v>83.16</v>
      </c>
      <c r="O4" s="7">
        <v>406.62</v>
      </c>
      <c r="P4">
        <v>1.7999999999999998</v>
      </c>
      <c r="Q4">
        <v>220.59</v>
      </c>
      <c r="R4" s="7">
        <v>23.22</v>
      </c>
      <c r="S4">
        <v>50.94</v>
      </c>
      <c r="T4">
        <v>40.769999999999996</v>
      </c>
    </row>
    <row r="5" spans="1:20" ht="16" thickBot="1" x14ac:dyDescent="0.25">
      <c r="A5">
        <v>4</v>
      </c>
      <c r="B5" s="6" t="s">
        <v>4</v>
      </c>
      <c r="C5">
        <v>20499.57</v>
      </c>
      <c r="D5">
        <v>24030.54</v>
      </c>
      <c r="E5">
        <v>16418.25</v>
      </c>
      <c r="F5">
        <v>12217.14</v>
      </c>
      <c r="G5">
        <v>23611.14</v>
      </c>
      <c r="H5" s="7">
        <v>13175.82</v>
      </c>
      <c r="I5">
        <v>13166.91</v>
      </c>
      <c r="J5">
        <v>11255.039999999999</v>
      </c>
      <c r="K5">
        <v>18351.809999999998</v>
      </c>
      <c r="L5">
        <v>15495.93</v>
      </c>
      <c r="M5">
        <v>12748.32</v>
      </c>
      <c r="N5">
        <v>15785.64</v>
      </c>
      <c r="O5" s="7">
        <v>9847.35</v>
      </c>
      <c r="P5">
        <v>10846.26</v>
      </c>
      <c r="Q5">
        <v>13707.81</v>
      </c>
      <c r="R5" s="7">
        <v>17118</v>
      </c>
      <c r="S5">
        <v>19921.32</v>
      </c>
      <c r="T5">
        <v>21836.61</v>
      </c>
    </row>
    <row r="6" spans="1:20" ht="16" thickBot="1" x14ac:dyDescent="0.25">
      <c r="A6">
        <v>5</v>
      </c>
      <c r="B6" s="6" t="s">
        <v>5</v>
      </c>
      <c r="C6">
        <v>23889.149999999998</v>
      </c>
      <c r="D6">
        <v>24140.52</v>
      </c>
      <c r="E6">
        <v>31603.949999999997</v>
      </c>
      <c r="F6">
        <v>26751.329999999998</v>
      </c>
      <c r="G6">
        <v>27384.66</v>
      </c>
      <c r="H6" s="7">
        <v>23916.240000000002</v>
      </c>
      <c r="I6">
        <v>37316.519999999997</v>
      </c>
      <c r="J6">
        <v>25846.289999999997</v>
      </c>
      <c r="K6">
        <v>15096.96</v>
      </c>
      <c r="L6">
        <v>24618.6</v>
      </c>
      <c r="M6">
        <v>25925.67</v>
      </c>
      <c r="N6">
        <v>26944.829999999998</v>
      </c>
      <c r="O6" s="7">
        <v>25365.96</v>
      </c>
      <c r="P6">
        <v>24286.05</v>
      </c>
      <c r="Q6">
        <v>20859.3</v>
      </c>
      <c r="R6" s="7">
        <v>26715.87</v>
      </c>
      <c r="S6">
        <v>19286.73</v>
      </c>
      <c r="T6">
        <v>15064.47</v>
      </c>
    </row>
    <row r="7" spans="1:20" ht="16" thickBot="1" x14ac:dyDescent="0.25">
      <c r="A7">
        <v>6</v>
      </c>
      <c r="B7" s="6" t="s">
        <v>6</v>
      </c>
      <c r="C7">
        <v>1793.1599999999999</v>
      </c>
      <c r="D7">
        <v>1420.74</v>
      </c>
      <c r="E7">
        <v>1292.6699999999998</v>
      </c>
      <c r="F7">
        <v>311.03999999999996</v>
      </c>
      <c r="G7">
        <v>1193.76</v>
      </c>
      <c r="H7" s="7">
        <v>1207.6199999999999</v>
      </c>
      <c r="I7">
        <v>642.24</v>
      </c>
      <c r="J7">
        <v>486.27</v>
      </c>
      <c r="K7">
        <v>1196.46</v>
      </c>
      <c r="L7">
        <v>491.94</v>
      </c>
      <c r="M7">
        <v>887.21999999999991</v>
      </c>
      <c r="N7">
        <v>405.27</v>
      </c>
      <c r="O7" s="7">
        <v>2005.2</v>
      </c>
      <c r="P7">
        <v>961.46999999999991</v>
      </c>
      <c r="Q7">
        <v>1632.6899999999998</v>
      </c>
      <c r="R7" s="7">
        <v>1041.03</v>
      </c>
      <c r="S7">
        <v>447.57</v>
      </c>
      <c r="T7">
        <v>1089.54</v>
      </c>
    </row>
    <row r="8" spans="1:20" ht="16" thickBot="1" x14ac:dyDescent="0.25">
      <c r="A8">
        <v>7</v>
      </c>
      <c r="B8" s="6" t="s">
        <v>7</v>
      </c>
      <c r="C8">
        <v>9840.51</v>
      </c>
      <c r="D8">
        <v>11567.789999999999</v>
      </c>
      <c r="E8">
        <v>9839.25</v>
      </c>
      <c r="F8">
        <v>17648.099999999999</v>
      </c>
      <c r="G8">
        <v>7761.33</v>
      </c>
      <c r="H8" s="7">
        <v>19906.560000000001</v>
      </c>
      <c r="I8">
        <v>7931.61</v>
      </c>
      <c r="J8">
        <v>23339.34</v>
      </c>
      <c r="K8">
        <v>23778.45</v>
      </c>
      <c r="L8">
        <v>16099.109999999999</v>
      </c>
      <c r="M8">
        <v>19525.77</v>
      </c>
      <c r="N8">
        <v>15314.31</v>
      </c>
      <c r="O8" s="7">
        <v>18983.7</v>
      </c>
      <c r="P8">
        <v>21655.62</v>
      </c>
      <c r="Q8">
        <v>19845.09</v>
      </c>
      <c r="R8" s="7">
        <v>14528.79</v>
      </c>
      <c r="S8">
        <v>15655.41</v>
      </c>
      <c r="T8">
        <v>18158.849999999999</v>
      </c>
    </row>
    <row r="9" spans="1:20" ht="16" thickBot="1" x14ac:dyDescent="0.25">
      <c r="A9">
        <v>8</v>
      </c>
      <c r="B9" s="6" t="s">
        <v>8</v>
      </c>
      <c r="C9">
        <v>7.7399999999999993</v>
      </c>
      <c r="D9">
        <v>21.33</v>
      </c>
      <c r="E9">
        <v>60.93</v>
      </c>
      <c r="F9">
        <v>70.83</v>
      </c>
      <c r="G9">
        <v>29.7</v>
      </c>
      <c r="H9" s="7">
        <v>0.63</v>
      </c>
      <c r="I9">
        <v>31.049999999999997</v>
      </c>
      <c r="J9">
        <v>0</v>
      </c>
      <c r="K9">
        <v>203.22</v>
      </c>
      <c r="L9">
        <v>108.72</v>
      </c>
      <c r="M9">
        <v>0</v>
      </c>
      <c r="N9">
        <v>72.899999999999991</v>
      </c>
      <c r="O9" s="7">
        <v>0</v>
      </c>
      <c r="P9">
        <v>0</v>
      </c>
      <c r="Q9">
        <v>0</v>
      </c>
      <c r="R9" s="7">
        <v>0</v>
      </c>
      <c r="S9">
        <v>73.44</v>
      </c>
      <c r="T9">
        <v>0</v>
      </c>
    </row>
    <row r="10" spans="1:20" ht="16" thickBot="1" x14ac:dyDescent="0.25">
      <c r="A10">
        <v>9</v>
      </c>
      <c r="B10" s="6" t="s">
        <v>9</v>
      </c>
      <c r="C10">
        <v>206.19</v>
      </c>
      <c r="D10">
        <v>398.88</v>
      </c>
      <c r="E10">
        <v>444.33</v>
      </c>
      <c r="F10">
        <v>327.78</v>
      </c>
      <c r="G10">
        <v>340.46999999999997</v>
      </c>
      <c r="H10" s="7">
        <v>273.95999999999998</v>
      </c>
      <c r="I10">
        <v>393.03</v>
      </c>
      <c r="J10">
        <v>477.81</v>
      </c>
      <c r="K10">
        <v>214.73999999999998</v>
      </c>
      <c r="L10">
        <v>299.43</v>
      </c>
      <c r="M10">
        <v>359.72999999999996</v>
      </c>
      <c r="N10">
        <v>211.59</v>
      </c>
      <c r="O10" s="7">
        <v>147.78</v>
      </c>
      <c r="P10">
        <v>355.14</v>
      </c>
      <c r="Q10">
        <v>247.95</v>
      </c>
      <c r="R10" s="7">
        <v>280.52999999999997</v>
      </c>
      <c r="S10">
        <v>215.01</v>
      </c>
      <c r="T10">
        <v>380.07</v>
      </c>
    </row>
    <row r="11" spans="1:20" ht="16" thickBot="1" x14ac:dyDescent="0.25">
      <c r="A11">
        <v>10</v>
      </c>
      <c r="B11" s="6" t="s">
        <v>10</v>
      </c>
      <c r="C11">
        <v>9127.5299999999988</v>
      </c>
      <c r="D11">
        <v>4935.78</v>
      </c>
      <c r="E11">
        <v>5545.08</v>
      </c>
      <c r="F11">
        <v>6235.0199999999995</v>
      </c>
      <c r="G11">
        <v>5740.83</v>
      </c>
      <c r="H11" s="7">
        <v>6652.62</v>
      </c>
      <c r="I11">
        <v>5945.13</v>
      </c>
      <c r="J11">
        <v>5838.75</v>
      </c>
      <c r="K11">
        <v>8486.1</v>
      </c>
      <c r="L11">
        <v>8725.0499999999993</v>
      </c>
      <c r="M11">
        <v>6166.08</v>
      </c>
      <c r="N11">
        <v>8928.27</v>
      </c>
      <c r="O11" s="7">
        <v>10406.61</v>
      </c>
      <c r="P11">
        <v>8507.6999999999989</v>
      </c>
      <c r="Q11">
        <v>10371.779999999999</v>
      </c>
      <c r="R11" s="7">
        <v>7285.14</v>
      </c>
      <c r="S11">
        <v>12115.35</v>
      </c>
      <c r="T11">
        <v>9547.65</v>
      </c>
    </row>
    <row r="12" spans="1:20" x14ac:dyDescent="0.2">
      <c r="C12">
        <f>SUM(C2:C11)</f>
        <v>70799.13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2224.17</v>
      </c>
      <c r="D17">
        <f>AVERAGE(C2:E2)</f>
        <v>2438.8799999999997</v>
      </c>
      <c r="E17">
        <f>C17-D17</f>
        <v>-214.70999999999958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1633.0949999999998</v>
      </c>
      <c r="D18">
        <f t="shared" ref="D18:D25" si="1">AVERAGE(C3:E3)</f>
        <v>2145.33</v>
      </c>
      <c r="E18">
        <f t="shared" ref="E18:E26" si="2">C18-D18</f>
        <v>-512.23500000000013</v>
      </c>
    </row>
    <row r="19" spans="1:5" ht="16" thickBot="1" x14ac:dyDescent="0.25">
      <c r="A19">
        <v>3</v>
      </c>
      <c r="B19" s="6" t="s">
        <v>3</v>
      </c>
      <c r="C19">
        <f t="shared" si="0"/>
        <v>45.854999999999997</v>
      </c>
      <c r="D19">
        <f t="shared" si="1"/>
        <v>520.29</v>
      </c>
      <c r="E19">
        <f t="shared" si="2"/>
        <v>-474.43499999999995</v>
      </c>
    </row>
    <row r="20" spans="1:5" ht="16" thickBot="1" x14ac:dyDescent="0.25">
      <c r="A20">
        <v>4</v>
      </c>
      <c r="B20" s="6" t="s">
        <v>4</v>
      </c>
      <c r="C20">
        <f t="shared" si="0"/>
        <v>20878.965</v>
      </c>
      <c r="D20">
        <f t="shared" si="1"/>
        <v>20316.12</v>
      </c>
      <c r="E20">
        <f t="shared" si="2"/>
        <v>562.84500000000116</v>
      </c>
    </row>
    <row r="21" spans="1:5" ht="16" thickBot="1" x14ac:dyDescent="0.25">
      <c r="A21">
        <v>5</v>
      </c>
      <c r="B21" s="6" t="s">
        <v>5</v>
      </c>
      <c r="C21">
        <f t="shared" si="0"/>
        <v>17175.599999999999</v>
      </c>
      <c r="D21">
        <f t="shared" si="1"/>
        <v>26544.539999999997</v>
      </c>
      <c r="E21">
        <f t="shared" si="2"/>
        <v>-9368.9399999999987</v>
      </c>
    </row>
    <row r="22" spans="1:5" ht="16" thickBot="1" x14ac:dyDescent="0.25">
      <c r="A22">
        <v>6</v>
      </c>
      <c r="B22" s="6" t="s">
        <v>6</v>
      </c>
      <c r="C22">
        <f t="shared" si="0"/>
        <v>768.55499999999995</v>
      </c>
      <c r="D22">
        <f t="shared" si="1"/>
        <v>1502.1899999999998</v>
      </c>
      <c r="E22">
        <f t="shared" si="2"/>
        <v>-733.63499999999988</v>
      </c>
    </row>
    <row r="23" spans="1:5" ht="16" thickBot="1" x14ac:dyDescent="0.25">
      <c r="A23">
        <v>7</v>
      </c>
      <c r="B23" s="6" t="s">
        <v>7</v>
      </c>
      <c r="C23">
        <f t="shared" si="0"/>
        <v>16907.129999999997</v>
      </c>
      <c r="D23">
        <f t="shared" si="1"/>
        <v>10415.85</v>
      </c>
      <c r="E23">
        <f t="shared" si="2"/>
        <v>6491.279999999997</v>
      </c>
    </row>
    <row r="24" spans="1:5" ht="16" thickBot="1" x14ac:dyDescent="0.25">
      <c r="A24">
        <v>8</v>
      </c>
      <c r="B24" s="6" t="s">
        <v>8</v>
      </c>
      <c r="C24">
        <f t="shared" si="0"/>
        <v>36.72</v>
      </c>
      <c r="D24">
        <f t="shared" si="1"/>
        <v>30</v>
      </c>
      <c r="E24">
        <f t="shared" si="2"/>
        <v>6.7199999999999989</v>
      </c>
    </row>
    <row r="25" spans="1:5" ht="16" thickBot="1" x14ac:dyDescent="0.25">
      <c r="A25">
        <v>9</v>
      </c>
      <c r="B25" s="6" t="s">
        <v>9</v>
      </c>
      <c r="C25">
        <f t="shared" si="0"/>
        <v>297.53999999999996</v>
      </c>
      <c r="D25">
        <f t="shared" si="1"/>
        <v>349.79999999999995</v>
      </c>
      <c r="E25">
        <f t="shared" si="2"/>
        <v>-52.259999999999991</v>
      </c>
    </row>
    <row r="26" spans="1:5" ht="16" thickBot="1" x14ac:dyDescent="0.25">
      <c r="A26">
        <v>10</v>
      </c>
      <c r="B26" s="6" t="s">
        <v>10</v>
      </c>
      <c r="C26">
        <f>AVERAGE(S11:T11)</f>
        <v>10831.5</v>
      </c>
      <c r="D26">
        <f>AVERAGE(C11:E11)</f>
        <v>6536.13</v>
      </c>
      <c r="E26">
        <f t="shared" si="2"/>
        <v>4295.37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-8.8036311749655418</v>
      </c>
    </row>
    <row r="32" spans="1:5" x14ac:dyDescent="0.2">
      <c r="B32" s="13" t="s">
        <v>2</v>
      </c>
      <c r="E32" s="14">
        <f t="shared" ref="E32:E40" si="3">(E18/D18)*100</f>
        <v>-23.876746234844994</v>
      </c>
    </row>
    <row r="33" spans="2:5" x14ac:dyDescent="0.2">
      <c r="B33" s="13" t="s">
        <v>3</v>
      </c>
      <c r="E33" s="14">
        <f t="shared" si="3"/>
        <v>-91.18664590901227</v>
      </c>
    </row>
    <row r="34" spans="2:5" x14ac:dyDescent="0.2">
      <c r="B34" s="13" t="s">
        <v>4</v>
      </c>
      <c r="E34" s="14">
        <f t="shared" si="3"/>
        <v>2.7704354965416687</v>
      </c>
    </row>
    <row r="35" spans="2:5" x14ac:dyDescent="0.2">
      <c r="B35" s="13" t="s">
        <v>5</v>
      </c>
      <c r="E35" s="14">
        <f t="shared" si="3"/>
        <v>-35.29516804585802</v>
      </c>
    </row>
    <row r="36" spans="2:5" x14ac:dyDescent="0.2">
      <c r="B36" s="13" t="s">
        <v>6</v>
      </c>
      <c r="E36" s="14">
        <f t="shared" si="3"/>
        <v>-48.83769696243484</v>
      </c>
    </row>
    <row r="37" spans="2:5" x14ac:dyDescent="0.2">
      <c r="B37" s="13" t="s">
        <v>7</v>
      </c>
      <c r="E37" s="14">
        <f t="shared" si="3"/>
        <v>62.321173980040001</v>
      </c>
    </row>
    <row r="38" spans="2:5" x14ac:dyDescent="0.2">
      <c r="B38" s="13" t="s">
        <v>8</v>
      </c>
      <c r="E38" s="14">
        <f t="shared" si="3"/>
        <v>22.399999999999995</v>
      </c>
    </row>
    <row r="39" spans="2:5" x14ac:dyDescent="0.2">
      <c r="B39" s="13" t="s">
        <v>9</v>
      </c>
      <c r="E39" s="14">
        <f t="shared" si="3"/>
        <v>-14.939965694682675</v>
      </c>
    </row>
    <row r="40" spans="2:5" x14ac:dyDescent="0.2">
      <c r="B40" s="13" t="s">
        <v>10</v>
      </c>
      <c r="E40" s="14">
        <f t="shared" si="3"/>
        <v>65.717328143718063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1D69-4D9E-5C46-8B94-F8A5EC6B394E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93415.59</v>
      </c>
      <c r="D2">
        <v>101273.48999999999</v>
      </c>
      <c r="E2">
        <v>42807.33</v>
      </c>
      <c r="F2">
        <v>44898.03</v>
      </c>
      <c r="G2">
        <v>34202.879999999997</v>
      </c>
      <c r="H2">
        <v>55088.639999999999</v>
      </c>
      <c r="I2">
        <v>39559.769999999997</v>
      </c>
      <c r="J2">
        <v>37223.909999999996</v>
      </c>
      <c r="K2">
        <v>36058.5</v>
      </c>
      <c r="L2">
        <v>35750.61</v>
      </c>
      <c r="M2">
        <v>40827.06</v>
      </c>
      <c r="N2">
        <v>36774.269999999997</v>
      </c>
      <c r="O2">
        <v>31627.17</v>
      </c>
      <c r="P2">
        <v>35597.79</v>
      </c>
      <c r="Q2">
        <v>40567.409999999996</v>
      </c>
      <c r="R2">
        <v>55128.869999999995</v>
      </c>
      <c r="S2">
        <v>42673.32</v>
      </c>
      <c r="T2" s="7">
        <v>40419.449999999997</v>
      </c>
    </row>
    <row r="3" spans="1:20" ht="16" thickBot="1" x14ac:dyDescent="0.25">
      <c r="A3">
        <v>2</v>
      </c>
      <c r="B3" s="6" t="s">
        <v>2</v>
      </c>
      <c r="C3">
        <v>17633.07</v>
      </c>
      <c r="D3">
        <v>1758.33</v>
      </c>
      <c r="E3">
        <v>15045.119999999999</v>
      </c>
      <c r="F3">
        <v>26271.629999999997</v>
      </c>
      <c r="G3">
        <v>19113.21</v>
      </c>
      <c r="H3">
        <v>10328.219999999999</v>
      </c>
      <c r="I3">
        <v>20018.88</v>
      </c>
      <c r="J3">
        <v>12171.24</v>
      </c>
      <c r="K3">
        <v>15750.99</v>
      </c>
      <c r="L3">
        <v>24755.579999999998</v>
      </c>
      <c r="M3">
        <v>18508.86</v>
      </c>
      <c r="N3">
        <v>14480.73</v>
      </c>
      <c r="O3">
        <v>19317.419999999998</v>
      </c>
      <c r="P3">
        <v>28696.05</v>
      </c>
      <c r="Q3">
        <v>25803.809999999998</v>
      </c>
      <c r="R3">
        <v>14200.019999999999</v>
      </c>
      <c r="S3">
        <v>13584.779999999999</v>
      </c>
      <c r="T3" s="7">
        <v>11237.13</v>
      </c>
    </row>
    <row r="4" spans="1:20" ht="16" thickBot="1" x14ac:dyDescent="0.25">
      <c r="A4">
        <v>3</v>
      </c>
      <c r="B4" s="6" t="s">
        <v>3</v>
      </c>
      <c r="C4">
        <v>3622.14</v>
      </c>
      <c r="D4">
        <v>2899.17</v>
      </c>
      <c r="E4">
        <v>1781.6399999999999</v>
      </c>
      <c r="F4">
        <v>4135.41</v>
      </c>
      <c r="G4">
        <v>2813.85</v>
      </c>
      <c r="H4">
        <v>3698.1</v>
      </c>
      <c r="I4">
        <v>5024.79</v>
      </c>
      <c r="J4">
        <v>5445.7199999999993</v>
      </c>
      <c r="K4">
        <v>9979.4699999999993</v>
      </c>
      <c r="L4">
        <v>3042.54</v>
      </c>
      <c r="M4">
        <v>2818.98</v>
      </c>
      <c r="N4">
        <v>3600.54</v>
      </c>
      <c r="O4">
        <v>4664.25</v>
      </c>
      <c r="P4">
        <v>969.48</v>
      </c>
      <c r="Q4">
        <v>2312.19</v>
      </c>
      <c r="R4">
        <v>2695.41</v>
      </c>
      <c r="S4">
        <v>2903.49</v>
      </c>
      <c r="T4" s="7">
        <v>1327.68</v>
      </c>
    </row>
    <row r="5" spans="1:20" ht="16" thickBot="1" x14ac:dyDescent="0.25">
      <c r="A5">
        <v>4</v>
      </c>
      <c r="B5" s="6" t="s">
        <v>4</v>
      </c>
      <c r="C5">
        <v>220627.16999999998</v>
      </c>
      <c r="D5">
        <v>170644.94999999998</v>
      </c>
      <c r="E5">
        <v>190494.9</v>
      </c>
      <c r="F5">
        <v>197357.85</v>
      </c>
      <c r="G5">
        <v>195147.9</v>
      </c>
      <c r="H5">
        <v>192813.47999999998</v>
      </c>
      <c r="I5">
        <v>185288.13</v>
      </c>
      <c r="J5">
        <v>184943.61</v>
      </c>
      <c r="K5">
        <v>204710.85</v>
      </c>
      <c r="L5">
        <v>189626.58</v>
      </c>
      <c r="M5">
        <v>205676.19</v>
      </c>
      <c r="N5">
        <v>207836.81999999998</v>
      </c>
      <c r="O5">
        <v>207582.56999999998</v>
      </c>
      <c r="P5">
        <v>175425.3</v>
      </c>
      <c r="Q5">
        <v>163715.04</v>
      </c>
      <c r="R5">
        <v>193543.56</v>
      </c>
      <c r="S5">
        <v>194712.03</v>
      </c>
      <c r="T5" s="7">
        <v>189159.39</v>
      </c>
    </row>
    <row r="6" spans="1:20" ht="16" thickBot="1" x14ac:dyDescent="0.25">
      <c r="A6">
        <v>5</v>
      </c>
      <c r="B6" s="6" t="s">
        <v>5</v>
      </c>
      <c r="C6">
        <v>233045.00999999998</v>
      </c>
      <c r="D6">
        <v>226040.94</v>
      </c>
      <c r="E6">
        <v>214632.72</v>
      </c>
      <c r="F6">
        <v>206927.72999999998</v>
      </c>
      <c r="G6">
        <v>230460.3</v>
      </c>
      <c r="H6">
        <v>186483.41999999998</v>
      </c>
      <c r="I6">
        <v>193270.94999999998</v>
      </c>
      <c r="J6">
        <v>199714.41</v>
      </c>
      <c r="K6">
        <v>208795.22999999998</v>
      </c>
      <c r="L6">
        <v>175587.03</v>
      </c>
      <c r="M6">
        <v>169875.63</v>
      </c>
      <c r="N6">
        <v>169697.07</v>
      </c>
      <c r="O6">
        <v>155121.29999999999</v>
      </c>
      <c r="P6">
        <v>179566.74</v>
      </c>
      <c r="Q6">
        <v>175698.72</v>
      </c>
      <c r="R6">
        <v>161433.44999999998</v>
      </c>
      <c r="S6">
        <v>133492.32</v>
      </c>
      <c r="T6" s="7">
        <v>126920.16</v>
      </c>
    </row>
    <row r="7" spans="1:20" ht="16" thickBot="1" x14ac:dyDescent="0.25">
      <c r="A7">
        <v>6</v>
      </c>
      <c r="B7" s="6" t="s">
        <v>6</v>
      </c>
      <c r="C7">
        <v>7362.54</v>
      </c>
      <c r="D7">
        <v>8421.0299999999988</v>
      </c>
      <c r="E7">
        <v>6154.83</v>
      </c>
      <c r="F7">
        <v>7047.09</v>
      </c>
      <c r="G7">
        <v>4838.3099999999995</v>
      </c>
      <c r="H7">
        <v>6191.91</v>
      </c>
      <c r="I7">
        <v>8034.48</v>
      </c>
      <c r="J7">
        <v>6686.0999999999995</v>
      </c>
      <c r="K7">
        <v>1004.67</v>
      </c>
      <c r="L7">
        <v>5475.87</v>
      </c>
      <c r="M7">
        <v>14462.91</v>
      </c>
      <c r="N7">
        <v>5226.12</v>
      </c>
      <c r="O7">
        <v>6980.7599999999993</v>
      </c>
      <c r="P7">
        <v>4956.21</v>
      </c>
      <c r="Q7">
        <v>4030.74</v>
      </c>
      <c r="R7">
        <v>5071.2299999999996</v>
      </c>
      <c r="S7">
        <v>5801.3099999999995</v>
      </c>
      <c r="T7" s="7">
        <v>5223.78</v>
      </c>
    </row>
    <row r="8" spans="1:20" ht="16" thickBot="1" x14ac:dyDescent="0.25">
      <c r="A8">
        <v>7</v>
      </c>
      <c r="B8" s="6" t="s">
        <v>7</v>
      </c>
      <c r="C8">
        <v>149936.85</v>
      </c>
      <c r="D8">
        <v>214026.38999999998</v>
      </c>
      <c r="E8">
        <v>255537.9</v>
      </c>
      <c r="F8">
        <v>238637.61</v>
      </c>
      <c r="G8">
        <v>241064.46</v>
      </c>
      <c r="H8">
        <v>271616.39999999997</v>
      </c>
      <c r="I8">
        <v>276051.59999999998</v>
      </c>
      <c r="J8">
        <v>278737.11</v>
      </c>
      <c r="K8">
        <v>244458.53999999998</v>
      </c>
      <c r="L8">
        <v>288184.76999999996</v>
      </c>
      <c r="M8">
        <v>275256.63</v>
      </c>
      <c r="N8">
        <v>288800.09999999998</v>
      </c>
      <c r="O8">
        <v>296926.2</v>
      </c>
      <c r="P8">
        <v>296189.55</v>
      </c>
      <c r="Q8">
        <v>307312.74</v>
      </c>
      <c r="R8">
        <v>287553.77999999997</v>
      </c>
      <c r="S8">
        <v>325781.27999999997</v>
      </c>
      <c r="T8" s="7">
        <v>341437.05</v>
      </c>
    </row>
    <row r="9" spans="1:20" ht="16" thickBot="1" x14ac:dyDescent="0.25">
      <c r="A9">
        <v>8</v>
      </c>
      <c r="B9" s="6" t="s">
        <v>8</v>
      </c>
      <c r="C9">
        <v>2331.0899999999997</v>
      </c>
      <c r="D9">
        <v>617.4</v>
      </c>
      <c r="E9">
        <v>290.78999999999996</v>
      </c>
      <c r="F9">
        <v>1010.6999999999999</v>
      </c>
      <c r="G9">
        <v>506.96999999999997</v>
      </c>
      <c r="H9">
        <v>545.13</v>
      </c>
      <c r="I9">
        <v>387.45</v>
      </c>
      <c r="J9">
        <v>466.02</v>
      </c>
      <c r="K9">
        <v>1675.98</v>
      </c>
      <c r="L9">
        <v>436.85999999999996</v>
      </c>
      <c r="M9">
        <v>88.649999999999991</v>
      </c>
      <c r="N9">
        <v>800.73</v>
      </c>
      <c r="O9">
        <v>1244.97</v>
      </c>
      <c r="P9">
        <v>2910.69</v>
      </c>
      <c r="Q9">
        <v>1841.49</v>
      </c>
      <c r="R9">
        <v>2433.15</v>
      </c>
      <c r="S9">
        <v>886.5</v>
      </c>
      <c r="T9" s="7">
        <v>1211.31</v>
      </c>
    </row>
    <row r="10" spans="1:20" ht="16" thickBot="1" x14ac:dyDescent="0.25">
      <c r="A10">
        <v>9</v>
      </c>
      <c r="B10" s="6" t="s">
        <v>9</v>
      </c>
      <c r="C10">
        <v>18093.509999999998</v>
      </c>
      <c r="D10">
        <v>18433.8</v>
      </c>
      <c r="E10">
        <v>19658.25</v>
      </c>
      <c r="F10">
        <v>18792.45</v>
      </c>
      <c r="G10">
        <v>18014.759999999998</v>
      </c>
      <c r="H10">
        <v>19085.939999999999</v>
      </c>
      <c r="I10">
        <v>18791.82</v>
      </c>
      <c r="J10">
        <v>18355.32</v>
      </c>
      <c r="K10">
        <v>19162.98</v>
      </c>
      <c r="L10">
        <v>19153.439999999999</v>
      </c>
      <c r="M10">
        <v>17583.57</v>
      </c>
      <c r="N10">
        <v>16991.37</v>
      </c>
      <c r="O10">
        <v>19412.82</v>
      </c>
      <c r="P10">
        <v>19753.02</v>
      </c>
      <c r="Q10">
        <v>21817.26</v>
      </c>
      <c r="R10">
        <v>23011.29</v>
      </c>
      <c r="S10">
        <v>22920.21</v>
      </c>
      <c r="T10" s="7">
        <v>22704.03</v>
      </c>
    </row>
    <row r="11" spans="1:20" ht="16" thickBot="1" x14ac:dyDescent="0.25">
      <c r="A11">
        <v>10</v>
      </c>
      <c r="B11" s="6" t="s">
        <v>10</v>
      </c>
      <c r="C11">
        <v>4019.1299999999997</v>
      </c>
      <c r="D11">
        <v>5970.5999999999995</v>
      </c>
      <c r="E11">
        <v>3682.62</v>
      </c>
      <c r="F11">
        <v>5007.5999999999995</v>
      </c>
      <c r="G11">
        <v>3923.46</v>
      </c>
      <c r="H11">
        <v>4234.8599999999997</v>
      </c>
      <c r="I11">
        <v>3658.23</v>
      </c>
      <c r="J11">
        <v>6342.66</v>
      </c>
      <c r="K11">
        <v>8488.89</v>
      </c>
      <c r="L11">
        <v>8072.82</v>
      </c>
      <c r="M11">
        <v>4987.62</v>
      </c>
      <c r="N11">
        <v>5878.3499999999995</v>
      </c>
      <c r="O11">
        <v>7208.6399999999994</v>
      </c>
      <c r="P11">
        <v>6021.2699999999995</v>
      </c>
      <c r="Q11">
        <v>6986.7</v>
      </c>
      <c r="R11">
        <v>5015.34</v>
      </c>
      <c r="S11">
        <v>7330.86</v>
      </c>
      <c r="T11" s="7">
        <v>10446.120000000001</v>
      </c>
    </row>
    <row r="12" spans="1:20" x14ac:dyDescent="0.2">
      <c r="C12">
        <f>SUM(C2:C11)</f>
        <v>750086.1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41546.384999999995</v>
      </c>
      <c r="D17">
        <f>AVERAGE(C2:E2)</f>
        <v>79165.469999999987</v>
      </c>
      <c r="E17">
        <f>C17-D17</f>
        <v>-37619.084999999992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12410.954999999998</v>
      </c>
      <c r="D18">
        <f t="shared" ref="D18:D25" si="1">AVERAGE(C3:E3)</f>
        <v>11478.840000000002</v>
      </c>
      <c r="E18">
        <f t="shared" ref="E18:E26" si="2">C18-D18</f>
        <v>932.11499999999614</v>
      </c>
    </row>
    <row r="19" spans="1:5" ht="16" thickBot="1" x14ac:dyDescent="0.25">
      <c r="A19">
        <v>3</v>
      </c>
      <c r="B19" s="6" t="s">
        <v>3</v>
      </c>
      <c r="C19">
        <f t="shared" si="0"/>
        <v>2115.585</v>
      </c>
      <c r="D19">
        <f t="shared" si="1"/>
        <v>2767.6499999999996</v>
      </c>
      <c r="E19">
        <f t="shared" si="2"/>
        <v>-652.0649999999996</v>
      </c>
    </row>
    <row r="20" spans="1:5" ht="16" thickBot="1" x14ac:dyDescent="0.25">
      <c r="A20">
        <v>4</v>
      </c>
      <c r="B20" s="6" t="s">
        <v>4</v>
      </c>
      <c r="C20">
        <f t="shared" si="0"/>
        <v>191935.71000000002</v>
      </c>
      <c r="D20">
        <f t="shared" si="1"/>
        <v>193922.34</v>
      </c>
      <c r="E20">
        <f t="shared" si="2"/>
        <v>-1986.6299999999756</v>
      </c>
    </row>
    <row r="21" spans="1:5" ht="16" thickBot="1" x14ac:dyDescent="0.25">
      <c r="A21">
        <v>5</v>
      </c>
      <c r="B21" s="6" t="s">
        <v>5</v>
      </c>
      <c r="C21">
        <f t="shared" si="0"/>
        <v>130206.24</v>
      </c>
      <c r="D21">
        <f t="shared" si="1"/>
        <v>224572.88999999998</v>
      </c>
      <c r="E21">
        <f t="shared" si="2"/>
        <v>-94366.64999999998</v>
      </c>
    </row>
    <row r="22" spans="1:5" ht="16" thickBot="1" x14ac:dyDescent="0.25">
      <c r="A22">
        <v>6</v>
      </c>
      <c r="B22" s="6" t="s">
        <v>6</v>
      </c>
      <c r="C22">
        <f t="shared" si="0"/>
        <v>5512.5450000000001</v>
      </c>
      <c r="D22">
        <f t="shared" si="1"/>
        <v>7312.8</v>
      </c>
      <c r="E22">
        <f t="shared" si="2"/>
        <v>-1800.2550000000001</v>
      </c>
    </row>
    <row r="23" spans="1:5" ht="16" thickBot="1" x14ac:dyDescent="0.25">
      <c r="A23">
        <v>7</v>
      </c>
      <c r="B23" s="6" t="s">
        <v>7</v>
      </c>
      <c r="C23">
        <f t="shared" si="0"/>
        <v>333609.16499999998</v>
      </c>
      <c r="D23">
        <f t="shared" si="1"/>
        <v>206500.38</v>
      </c>
      <c r="E23">
        <f t="shared" si="2"/>
        <v>127108.78499999997</v>
      </c>
    </row>
    <row r="24" spans="1:5" ht="16" thickBot="1" x14ac:dyDescent="0.25">
      <c r="A24">
        <v>8</v>
      </c>
      <c r="B24" s="6" t="s">
        <v>8</v>
      </c>
      <c r="C24">
        <f t="shared" si="0"/>
        <v>1048.905</v>
      </c>
      <c r="D24">
        <f t="shared" si="1"/>
        <v>1079.76</v>
      </c>
      <c r="E24">
        <f t="shared" si="2"/>
        <v>-30.855000000000018</v>
      </c>
    </row>
    <row r="25" spans="1:5" ht="16" thickBot="1" x14ac:dyDescent="0.25">
      <c r="A25">
        <v>9</v>
      </c>
      <c r="B25" s="6" t="s">
        <v>9</v>
      </c>
      <c r="C25">
        <f t="shared" si="0"/>
        <v>22812.12</v>
      </c>
      <c r="D25">
        <f t="shared" si="1"/>
        <v>18728.52</v>
      </c>
      <c r="E25">
        <f t="shared" si="2"/>
        <v>4083.5999999999985</v>
      </c>
    </row>
    <row r="26" spans="1:5" ht="16" thickBot="1" x14ac:dyDescent="0.25">
      <c r="A26">
        <v>10</v>
      </c>
      <c r="B26" s="6" t="s">
        <v>10</v>
      </c>
      <c r="C26">
        <f>AVERAGE(S11:T11)</f>
        <v>8888.49</v>
      </c>
      <c r="D26">
        <f>AVERAGE(C11:E11)</f>
        <v>4557.45</v>
      </c>
      <c r="E26">
        <f t="shared" si="2"/>
        <v>4331.04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-47.519562506229043</v>
      </c>
    </row>
    <row r="32" spans="1:5" x14ac:dyDescent="0.2">
      <c r="B32" s="13" t="s">
        <v>2</v>
      </c>
      <c r="E32" s="14">
        <f t="shared" ref="E32:E40" si="3">(E18/D18)*100</f>
        <v>8.1202891581378953</v>
      </c>
    </row>
    <row r="33" spans="2:5" x14ac:dyDescent="0.2">
      <c r="B33" s="13" t="s">
        <v>3</v>
      </c>
      <c r="E33" s="14">
        <f t="shared" si="3"/>
        <v>-23.560240637363815</v>
      </c>
    </row>
    <row r="34" spans="2:5" x14ac:dyDescent="0.2">
      <c r="B34" s="13" t="s">
        <v>4</v>
      </c>
      <c r="E34" s="14">
        <f t="shared" si="3"/>
        <v>-1.0244461777843521</v>
      </c>
    </row>
    <row r="35" spans="2:5" x14ac:dyDescent="0.2">
      <c r="B35" s="13" t="s">
        <v>5</v>
      </c>
      <c r="E35" s="14">
        <f t="shared" si="3"/>
        <v>-42.020499446749774</v>
      </c>
    </row>
    <row r="36" spans="2:5" x14ac:dyDescent="0.2">
      <c r="B36" s="13" t="s">
        <v>6</v>
      </c>
      <c r="E36" s="14">
        <f t="shared" si="3"/>
        <v>-24.617861831309483</v>
      </c>
    </row>
    <row r="37" spans="2:5" x14ac:dyDescent="0.2">
      <c r="B37" s="13" t="s">
        <v>7</v>
      </c>
      <c r="E37" s="14">
        <f t="shared" si="3"/>
        <v>61.553777770287866</v>
      </c>
    </row>
    <row r="38" spans="2:5" x14ac:dyDescent="0.2">
      <c r="B38" s="13" t="s">
        <v>8</v>
      </c>
      <c r="E38" s="14">
        <f t="shared" si="3"/>
        <v>-2.8575794621026911</v>
      </c>
    </row>
    <row r="39" spans="2:5" x14ac:dyDescent="0.2">
      <c r="B39" s="13" t="s">
        <v>9</v>
      </c>
      <c r="E39" s="14">
        <f t="shared" si="3"/>
        <v>21.804178867310384</v>
      </c>
    </row>
    <row r="40" spans="2:5" x14ac:dyDescent="0.2">
      <c r="B40" s="13" t="s">
        <v>10</v>
      </c>
      <c r="E40" s="14">
        <f t="shared" si="3"/>
        <v>95.032090313662238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5B08-C92B-6943-B636-4CCE651EFD91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43000.47</v>
      </c>
      <c r="D2">
        <v>43219.89</v>
      </c>
      <c r="E2">
        <v>39046.589999999997</v>
      </c>
      <c r="F2">
        <v>56463.119999999995</v>
      </c>
      <c r="G2" s="7">
        <v>39483.629999999997</v>
      </c>
      <c r="H2" s="7">
        <v>43402.77</v>
      </c>
      <c r="I2">
        <v>40954.949999999997</v>
      </c>
      <c r="J2">
        <v>40259.61</v>
      </c>
      <c r="K2">
        <v>35354.25</v>
      </c>
      <c r="L2">
        <v>38256.659999999996</v>
      </c>
      <c r="M2">
        <v>44114.58</v>
      </c>
      <c r="N2">
        <v>42408.09</v>
      </c>
      <c r="O2">
        <v>41504.76</v>
      </c>
      <c r="P2">
        <v>39910.949999999997</v>
      </c>
      <c r="Q2">
        <v>41318.28</v>
      </c>
      <c r="R2">
        <v>46599.57</v>
      </c>
      <c r="S2">
        <v>43834.59</v>
      </c>
      <c r="T2" s="7">
        <v>46529.73</v>
      </c>
    </row>
    <row r="3" spans="1:20" ht="16" thickBot="1" x14ac:dyDescent="0.25">
      <c r="A3">
        <v>2</v>
      </c>
      <c r="B3" s="6" t="s">
        <v>2</v>
      </c>
      <c r="C3">
        <v>956.88</v>
      </c>
      <c r="D3">
        <v>4066.02</v>
      </c>
      <c r="E3">
        <v>1445.31</v>
      </c>
      <c r="F3">
        <v>1593.81</v>
      </c>
      <c r="G3" s="7">
        <v>2065.77</v>
      </c>
      <c r="H3" s="7">
        <v>1979.01</v>
      </c>
      <c r="I3">
        <v>1196.6399999999999</v>
      </c>
      <c r="J3">
        <v>2931.93</v>
      </c>
      <c r="K3">
        <v>6234.57</v>
      </c>
      <c r="L3">
        <v>3113.2799999999997</v>
      </c>
      <c r="M3">
        <v>2036.52</v>
      </c>
      <c r="N3">
        <v>1295.82</v>
      </c>
      <c r="O3">
        <v>6010.65</v>
      </c>
      <c r="P3">
        <v>4360.68</v>
      </c>
      <c r="Q3">
        <v>4666.41</v>
      </c>
      <c r="R3">
        <v>1200.8699999999999</v>
      </c>
      <c r="S3">
        <v>2092.77</v>
      </c>
      <c r="T3" s="7">
        <v>2272.59</v>
      </c>
    </row>
    <row r="4" spans="1:20" ht="16" thickBot="1" x14ac:dyDescent="0.25">
      <c r="A4">
        <v>3</v>
      </c>
      <c r="B4" s="6" t="s">
        <v>3</v>
      </c>
      <c r="C4">
        <v>245.88</v>
      </c>
      <c r="D4">
        <v>1669.5</v>
      </c>
      <c r="E4">
        <v>371.61</v>
      </c>
      <c r="F4">
        <v>466.10999999999996</v>
      </c>
      <c r="G4" s="7">
        <v>199.71</v>
      </c>
      <c r="H4" s="7">
        <v>1019.88</v>
      </c>
      <c r="I4">
        <v>53.28</v>
      </c>
      <c r="J4">
        <v>1103.04</v>
      </c>
      <c r="K4">
        <v>3226.23</v>
      </c>
      <c r="L4">
        <v>469.62</v>
      </c>
      <c r="M4">
        <v>713.43</v>
      </c>
      <c r="N4">
        <v>272.61</v>
      </c>
      <c r="O4">
        <v>514.16999999999996</v>
      </c>
      <c r="P4">
        <v>1167.21</v>
      </c>
      <c r="Q4">
        <v>2976.75</v>
      </c>
      <c r="R4">
        <v>356.31</v>
      </c>
      <c r="S4">
        <v>3094.29</v>
      </c>
      <c r="T4" s="7">
        <v>2267.91</v>
      </c>
    </row>
    <row r="5" spans="1:20" ht="16" thickBot="1" x14ac:dyDescent="0.25">
      <c r="A5">
        <v>4</v>
      </c>
      <c r="B5" s="6" t="s">
        <v>4</v>
      </c>
      <c r="C5">
        <v>51342.84</v>
      </c>
      <c r="D5">
        <v>65979.09</v>
      </c>
      <c r="E5">
        <v>38370.78</v>
      </c>
      <c r="F5">
        <v>25620.03</v>
      </c>
      <c r="G5" s="7">
        <v>39850.379999999997</v>
      </c>
      <c r="H5" s="7">
        <v>29865.87</v>
      </c>
      <c r="I5">
        <v>35359.83</v>
      </c>
      <c r="J5">
        <v>14706.539999999999</v>
      </c>
      <c r="K5">
        <v>25817.399999999998</v>
      </c>
      <c r="L5">
        <v>28370.16</v>
      </c>
      <c r="M5">
        <v>18195.21</v>
      </c>
      <c r="N5">
        <v>35644.769999999997</v>
      </c>
      <c r="O5">
        <v>32584.59</v>
      </c>
      <c r="P5">
        <v>44231.67</v>
      </c>
      <c r="Q5">
        <v>25566.3</v>
      </c>
      <c r="R5">
        <v>27017.91</v>
      </c>
      <c r="S5">
        <v>22655.43</v>
      </c>
      <c r="T5" s="7">
        <v>21003.57</v>
      </c>
    </row>
    <row r="6" spans="1:20" ht="16" thickBot="1" x14ac:dyDescent="0.25">
      <c r="A6">
        <v>5</v>
      </c>
      <c r="B6" s="6" t="s">
        <v>5</v>
      </c>
      <c r="C6">
        <v>73942.37999999999</v>
      </c>
      <c r="D6">
        <v>42177.51</v>
      </c>
      <c r="E6">
        <v>60838.829999999994</v>
      </c>
      <c r="F6">
        <v>52198.2</v>
      </c>
      <c r="G6" s="7">
        <v>79658.820000000007</v>
      </c>
      <c r="H6" s="7">
        <v>55943.82</v>
      </c>
      <c r="I6">
        <v>37730.879999999997</v>
      </c>
      <c r="J6">
        <v>28936.079999999998</v>
      </c>
      <c r="K6">
        <v>27689.219999999998</v>
      </c>
      <c r="L6">
        <v>29095.829999999998</v>
      </c>
      <c r="M6">
        <v>30179.34</v>
      </c>
      <c r="N6">
        <v>37662.659999999996</v>
      </c>
      <c r="O6">
        <v>34331.49</v>
      </c>
      <c r="P6">
        <v>23383.71</v>
      </c>
      <c r="Q6">
        <v>31287.51</v>
      </c>
      <c r="R6">
        <v>30436.649999999998</v>
      </c>
      <c r="S6">
        <v>20051.73</v>
      </c>
      <c r="T6" s="7">
        <v>16563.509999999998</v>
      </c>
    </row>
    <row r="7" spans="1:20" ht="16" thickBot="1" x14ac:dyDescent="0.25">
      <c r="A7">
        <v>6</v>
      </c>
      <c r="B7" s="6" t="s">
        <v>6</v>
      </c>
      <c r="C7">
        <v>11155.23</v>
      </c>
      <c r="D7">
        <v>12567.33</v>
      </c>
      <c r="E7">
        <v>13523.13</v>
      </c>
      <c r="F7">
        <v>18569.43</v>
      </c>
      <c r="G7" s="7">
        <v>12799.08</v>
      </c>
      <c r="H7" s="7">
        <v>13990.86</v>
      </c>
      <c r="I7">
        <v>13599.9</v>
      </c>
      <c r="J7">
        <v>18463.32</v>
      </c>
      <c r="K7">
        <v>14047.92</v>
      </c>
      <c r="L7">
        <v>13841.46</v>
      </c>
      <c r="M7">
        <v>19213.559999999998</v>
      </c>
      <c r="N7">
        <v>18938.79</v>
      </c>
      <c r="O7">
        <v>15884.189999999999</v>
      </c>
      <c r="P7">
        <v>14083.92</v>
      </c>
      <c r="Q7">
        <v>17445.329999999998</v>
      </c>
      <c r="R7">
        <v>15329.519999999999</v>
      </c>
      <c r="S7">
        <v>19452.419999999998</v>
      </c>
      <c r="T7" s="7">
        <v>17657.28</v>
      </c>
    </row>
    <row r="8" spans="1:20" ht="16" thickBot="1" x14ac:dyDescent="0.25">
      <c r="A8">
        <v>7</v>
      </c>
      <c r="B8" s="6" t="s">
        <v>7</v>
      </c>
      <c r="C8">
        <v>103661.73</v>
      </c>
      <c r="D8">
        <v>114653.7</v>
      </c>
      <c r="E8">
        <v>130879.98</v>
      </c>
      <c r="F8">
        <v>128789.90999999999</v>
      </c>
      <c r="G8" s="7">
        <v>110399.76</v>
      </c>
      <c r="H8" s="7">
        <v>138015.45000000001</v>
      </c>
      <c r="I8">
        <v>154904.57999999999</v>
      </c>
      <c r="J8">
        <v>177569.91</v>
      </c>
      <c r="K8">
        <v>171868.86</v>
      </c>
      <c r="L8">
        <v>169744.5</v>
      </c>
      <c r="M8">
        <v>169062.12</v>
      </c>
      <c r="N8">
        <v>147778.91999999998</v>
      </c>
      <c r="O8">
        <v>153561.32999999999</v>
      </c>
      <c r="P8">
        <v>157154.66999999998</v>
      </c>
      <c r="Q8">
        <v>160887.50999999998</v>
      </c>
      <c r="R8">
        <v>162906.38999999998</v>
      </c>
      <c r="S8">
        <v>172841.31</v>
      </c>
      <c r="T8" s="7">
        <v>177624.18</v>
      </c>
    </row>
    <row r="9" spans="1:20" ht="16" thickBot="1" x14ac:dyDescent="0.25">
      <c r="A9">
        <v>8</v>
      </c>
      <c r="B9" s="6" t="s">
        <v>8</v>
      </c>
      <c r="C9">
        <v>301.68</v>
      </c>
      <c r="D9">
        <v>148.59</v>
      </c>
      <c r="E9">
        <v>76.679999999999993</v>
      </c>
      <c r="F9">
        <v>826.82999999999993</v>
      </c>
      <c r="G9" s="7">
        <v>87.12</v>
      </c>
      <c r="H9" s="7">
        <v>298.17</v>
      </c>
      <c r="I9">
        <v>570.87</v>
      </c>
      <c r="J9">
        <v>484.91999999999996</v>
      </c>
      <c r="K9">
        <v>312.20999999999998</v>
      </c>
      <c r="L9">
        <v>1210.5</v>
      </c>
      <c r="M9">
        <v>959.4</v>
      </c>
      <c r="N9">
        <v>504.09</v>
      </c>
      <c r="O9">
        <v>145.88999999999999</v>
      </c>
      <c r="P9">
        <v>149.48999999999998</v>
      </c>
      <c r="Q9">
        <v>314.01</v>
      </c>
      <c r="R9">
        <v>495.9</v>
      </c>
      <c r="S9">
        <v>350.72999999999996</v>
      </c>
      <c r="T9" s="7">
        <v>43.47</v>
      </c>
    </row>
    <row r="10" spans="1:20" ht="16" thickBot="1" x14ac:dyDescent="0.25">
      <c r="A10">
        <v>9</v>
      </c>
      <c r="B10" s="6" t="s">
        <v>9</v>
      </c>
      <c r="C10">
        <v>25.29</v>
      </c>
      <c r="D10">
        <v>27</v>
      </c>
      <c r="E10">
        <v>21.689999999999998</v>
      </c>
      <c r="F10">
        <v>36.809999999999995</v>
      </c>
      <c r="G10" s="7">
        <v>22.05</v>
      </c>
      <c r="H10" s="7">
        <v>22.23</v>
      </c>
      <c r="I10">
        <v>59.4</v>
      </c>
      <c r="J10">
        <v>25.29</v>
      </c>
      <c r="K10">
        <v>22.77</v>
      </c>
      <c r="L10">
        <v>52.019999999999996</v>
      </c>
      <c r="M10">
        <v>36.36</v>
      </c>
      <c r="N10">
        <v>36.449999999999996</v>
      </c>
      <c r="O10">
        <v>55.53</v>
      </c>
      <c r="P10">
        <v>77.489999999999995</v>
      </c>
      <c r="Q10">
        <v>27</v>
      </c>
      <c r="R10">
        <v>56.339999999999996</v>
      </c>
      <c r="S10">
        <v>66.149999999999991</v>
      </c>
      <c r="T10" s="7">
        <v>46.17</v>
      </c>
    </row>
    <row r="11" spans="1:20" ht="16" thickBot="1" x14ac:dyDescent="0.25">
      <c r="A11">
        <v>10</v>
      </c>
      <c r="B11" s="6" t="s">
        <v>10</v>
      </c>
      <c r="C11">
        <v>46.98</v>
      </c>
      <c r="D11">
        <v>170.73</v>
      </c>
      <c r="E11">
        <v>104.75999999999999</v>
      </c>
      <c r="F11">
        <v>115.11</v>
      </c>
      <c r="G11" s="7">
        <v>113.04</v>
      </c>
      <c r="H11" s="7">
        <v>141.30000000000001</v>
      </c>
      <c r="I11">
        <v>249.03</v>
      </c>
      <c r="J11">
        <v>198.72</v>
      </c>
      <c r="K11">
        <v>105.92999999999999</v>
      </c>
      <c r="L11">
        <v>525.32999999999993</v>
      </c>
      <c r="M11">
        <v>168.84</v>
      </c>
      <c r="N11">
        <v>137.16</v>
      </c>
      <c r="O11">
        <v>86.759999999999991</v>
      </c>
      <c r="P11">
        <v>159.57</v>
      </c>
      <c r="Q11">
        <v>190.26</v>
      </c>
      <c r="R11">
        <v>279.89999999999998</v>
      </c>
      <c r="S11">
        <v>239.94</v>
      </c>
      <c r="T11" s="7">
        <v>670.95</v>
      </c>
    </row>
    <row r="12" spans="1:20" x14ac:dyDescent="0.2">
      <c r="C12">
        <f>SUM(C2:C11)</f>
        <v>284679.35999999993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45182.16</v>
      </c>
      <c r="D17">
        <f>AVERAGE(C2:E2)</f>
        <v>41755.65</v>
      </c>
      <c r="E17">
        <f>C17-D17</f>
        <v>3426.510000000002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2182.6800000000003</v>
      </c>
      <c r="D18">
        <f t="shared" ref="D18:D25" si="1">AVERAGE(C3:E3)</f>
        <v>2156.0699999999997</v>
      </c>
      <c r="E18">
        <f t="shared" ref="E18:E26" si="2">C18-D18</f>
        <v>26.610000000000582</v>
      </c>
    </row>
    <row r="19" spans="1:5" ht="16" thickBot="1" x14ac:dyDescent="0.25">
      <c r="A19">
        <v>3</v>
      </c>
      <c r="B19" s="6" t="s">
        <v>3</v>
      </c>
      <c r="C19">
        <f t="shared" si="0"/>
        <v>2681.1</v>
      </c>
      <c r="D19">
        <f t="shared" si="1"/>
        <v>762.33</v>
      </c>
      <c r="E19">
        <f t="shared" si="2"/>
        <v>1918.77</v>
      </c>
    </row>
    <row r="20" spans="1:5" ht="16" thickBot="1" x14ac:dyDescent="0.25">
      <c r="A20">
        <v>4</v>
      </c>
      <c r="B20" s="6" t="s">
        <v>4</v>
      </c>
      <c r="C20">
        <f t="shared" si="0"/>
        <v>21829.5</v>
      </c>
      <c r="D20">
        <f t="shared" si="1"/>
        <v>51897.57</v>
      </c>
      <c r="E20">
        <f t="shared" si="2"/>
        <v>-30068.07</v>
      </c>
    </row>
    <row r="21" spans="1:5" ht="16" thickBot="1" x14ac:dyDescent="0.25">
      <c r="A21">
        <v>5</v>
      </c>
      <c r="B21" s="6" t="s">
        <v>5</v>
      </c>
      <c r="C21">
        <f t="shared" si="0"/>
        <v>18307.62</v>
      </c>
      <c r="D21">
        <f t="shared" si="1"/>
        <v>58986.239999999991</v>
      </c>
      <c r="E21">
        <f t="shared" si="2"/>
        <v>-40678.619999999995</v>
      </c>
    </row>
    <row r="22" spans="1:5" ht="16" thickBot="1" x14ac:dyDescent="0.25">
      <c r="A22">
        <v>6</v>
      </c>
      <c r="B22" s="6" t="s">
        <v>6</v>
      </c>
      <c r="C22">
        <f t="shared" si="0"/>
        <v>18554.849999999999</v>
      </c>
      <c r="D22">
        <f t="shared" si="1"/>
        <v>12415.229999999998</v>
      </c>
      <c r="E22">
        <f t="shared" si="2"/>
        <v>6139.6200000000008</v>
      </c>
    </row>
    <row r="23" spans="1:5" ht="16" thickBot="1" x14ac:dyDescent="0.25">
      <c r="A23">
        <v>7</v>
      </c>
      <c r="B23" s="6" t="s">
        <v>7</v>
      </c>
      <c r="C23">
        <f t="shared" si="0"/>
        <v>175232.745</v>
      </c>
      <c r="D23">
        <f t="shared" si="1"/>
        <v>116398.46999999999</v>
      </c>
      <c r="E23">
        <f t="shared" si="2"/>
        <v>58834.275000000009</v>
      </c>
    </row>
    <row r="24" spans="1:5" ht="16" thickBot="1" x14ac:dyDescent="0.25">
      <c r="A24">
        <v>8</v>
      </c>
      <c r="B24" s="6" t="s">
        <v>8</v>
      </c>
      <c r="C24">
        <f t="shared" si="0"/>
        <v>197.09999999999997</v>
      </c>
      <c r="D24">
        <f t="shared" si="1"/>
        <v>175.64999999999998</v>
      </c>
      <c r="E24">
        <f t="shared" si="2"/>
        <v>21.449999999999989</v>
      </c>
    </row>
    <row r="25" spans="1:5" ht="16" thickBot="1" x14ac:dyDescent="0.25">
      <c r="A25">
        <v>9</v>
      </c>
      <c r="B25" s="6" t="s">
        <v>9</v>
      </c>
      <c r="C25">
        <f t="shared" si="0"/>
        <v>56.16</v>
      </c>
      <c r="D25">
        <f t="shared" si="1"/>
        <v>24.659999999999997</v>
      </c>
      <c r="E25">
        <f t="shared" si="2"/>
        <v>31.5</v>
      </c>
    </row>
    <row r="26" spans="1:5" ht="16" thickBot="1" x14ac:dyDescent="0.25">
      <c r="A26">
        <v>10</v>
      </c>
      <c r="B26" s="6" t="s">
        <v>10</v>
      </c>
      <c r="C26">
        <f>AVERAGE(S11:T11)</f>
        <v>455.44500000000005</v>
      </c>
      <c r="D26">
        <f>AVERAGE(C11:E11)</f>
        <v>107.49</v>
      </c>
      <c r="E26">
        <f t="shared" si="2"/>
        <v>347.95500000000004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8.2060990548584485</v>
      </c>
    </row>
    <row r="32" spans="1:5" x14ac:dyDescent="0.2">
      <c r="B32" s="13" t="s">
        <v>2</v>
      </c>
      <c r="E32" s="14">
        <f t="shared" ref="E32:E40" si="3">(E18/D18)*100</f>
        <v>1.2341899845552597</v>
      </c>
    </row>
    <row r="33" spans="2:5" x14ac:dyDescent="0.2">
      <c r="B33" s="13" t="s">
        <v>3</v>
      </c>
      <c r="E33" s="14">
        <f t="shared" si="3"/>
        <v>251.69808350714254</v>
      </c>
    </row>
    <row r="34" spans="2:5" x14ac:dyDescent="0.2">
      <c r="B34" s="13" t="s">
        <v>4</v>
      </c>
      <c r="E34" s="14">
        <f t="shared" si="3"/>
        <v>-57.937336950458374</v>
      </c>
    </row>
    <row r="35" spans="2:5" x14ac:dyDescent="0.2">
      <c r="B35" s="13" t="s">
        <v>5</v>
      </c>
      <c r="E35" s="14">
        <f t="shared" si="3"/>
        <v>-68.962897109563187</v>
      </c>
    </row>
    <row r="36" spans="2:5" x14ac:dyDescent="0.2">
      <c r="B36" s="13" t="s">
        <v>6</v>
      </c>
      <c r="E36" s="14">
        <f t="shared" si="3"/>
        <v>49.452325893277873</v>
      </c>
    </row>
    <row r="37" spans="2:5" x14ac:dyDescent="0.2">
      <c r="B37" s="13" t="s">
        <v>7</v>
      </c>
      <c r="E37" s="14">
        <f t="shared" si="3"/>
        <v>50.545574181516315</v>
      </c>
    </row>
    <row r="38" spans="2:5" x14ac:dyDescent="0.2">
      <c r="B38" s="13" t="s">
        <v>8</v>
      </c>
      <c r="E38" s="14">
        <f t="shared" si="3"/>
        <v>12.211784799316819</v>
      </c>
    </row>
    <row r="39" spans="2:5" x14ac:dyDescent="0.2">
      <c r="B39" s="13" t="s">
        <v>9</v>
      </c>
      <c r="E39" s="14">
        <f t="shared" si="3"/>
        <v>127.73722627737227</v>
      </c>
    </row>
    <row r="40" spans="2:5" x14ac:dyDescent="0.2">
      <c r="B40" s="13" t="s">
        <v>10</v>
      </c>
      <c r="E40" s="14">
        <f t="shared" si="3"/>
        <v>323.70918224951163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1C07-69BA-A64F-A811-1AE795DAA3E5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223063.38</v>
      </c>
      <c r="D2" s="7">
        <v>228751.11</v>
      </c>
      <c r="E2" s="7">
        <v>129995.73</v>
      </c>
      <c r="F2" s="7">
        <v>173013.48</v>
      </c>
      <c r="G2">
        <v>126212.4</v>
      </c>
      <c r="H2">
        <v>154761.75</v>
      </c>
      <c r="I2">
        <v>128086.29</v>
      </c>
      <c r="J2">
        <v>143943.38999999998</v>
      </c>
      <c r="K2">
        <v>109719.9</v>
      </c>
      <c r="L2">
        <v>118860.20999999999</v>
      </c>
      <c r="M2">
        <v>132311.25</v>
      </c>
      <c r="N2">
        <v>130758.03</v>
      </c>
      <c r="O2">
        <v>116459.45999999999</v>
      </c>
      <c r="P2" s="7">
        <v>120145.77</v>
      </c>
      <c r="Q2">
        <v>143406.09</v>
      </c>
      <c r="R2">
        <v>126605.87999999999</v>
      </c>
      <c r="S2" s="7">
        <v>113957.1</v>
      </c>
      <c r="T2">
        <v>116106.56999999999</v>
      </c>
    </row>
    <row r="3" spans="1:20" ht="16" thickBot="1" x14ac:dyDescent="0.25">
      <c r="A3">
        <v>2</v>
      </c>
      <c r="B3" s="6" t="s">
        <v>2</v>
      </c>
      <c r="C3">
        <v>71186.31</v>
      </c>
      <c r="D3" s="7">
        <v>74862.09</v>
      </c>
      <c r="E3" s="7">
        <v>103574.88</v>
      </c>
      <c r="F3" s="7">
        <v>96701.22</v>
      </c>
      <c r="G3">
        <v>104985.62999999999</v>
      </c>
      <c r="H3">
        <v>57374.46</v>
      </c>
      <c r="I3">
        <v>73186.37999999999</v>
      </c>
      <c r="J3">
        <v>64188.72</v>
      </c>
      <c r="K3">
        <v>95056.92</v>
      </c>
      <c r="L3">
        <v>81308.25</v>
      </c>
      <c r="M3">
        <v>54678.78</v>
      </c>
      <c r="N3">
        <v>57950.64</v>
      </c>
      <c r="O3">
        <v>87126.66</v>
      </c>
      <c r="P3" s="7">
        <v>69675.03</v>
      </c>
      <c r="Q3">
        <v>83318.399999999994</v>
      </c>
      <c r="R3">
        <v>75959.459999999992</v>
      </c>
      <c r="S3" s="7">
        <v>56688.66</v>
      </c>
      <c r="T3">
        <v>54917.279999999999</v>
      </c>
    </row>
    <row r="4" spans="1:20" ht="16" thickBot="1" x14ac:dyDescent="0.25">
      <c r="A4">
        <v>3</v>
      </c>
      <c r="B4" s="6" t="s">
        <v>3</v>
      </c>
      <c r="C4">
        <v>90461.7</v>
      </c>
      <c r="D4" s="7">
        <v>102084.21</v>
      </c>
      <c r="E4" s="7">
        <v>77944.77</v>
      </c>
      <c r="F4" s="7">
        <v>81310.41</v>
      </c>
      <c r="G4">
        <v>74598.209999999992</v>
      </c>
      <c r="H4">
        <v>87272.19</v>
      </c>
      <c r="I4">
        <v>86639.489999999991</v>
      </c>
      <c r="J4">
        <v>59836.95</v>
      </c>
      <c r="K4">
        <v>44421.93</v>
      </c>
      <c r="L4">
        <v>60583.86</v>
      </c>
      <c r="M4">
        <v>72547.83</v>
      </c>
      <c r="N4">
        <v>103859.19</v>
      </c>
      <c r="O4">
        <v>62955</v>
      </c>
      <c r="P4" s="7">
        <v>55236.15</v>
      </c>
      <c r="Q4">
        <v>46116.72</v>
      </c>
      <c r="R4">
        <v>60497.729999999996</v>
      </c>
      <c r="S4" s="7">
        <v>70043.13</v>
      </c>
      <c r="T4">
        <v>70038</v>
      </c>
    </row>
    <row r="5" spans="1:20" ht="16" thickBot="1" x14ac:dyDescent="0.25">
      <c r="A5">
        <v>4</v>
      </c>
      <c r="B5" s="6" t="s">
        <v>4</v>
      </c>
      <c r="C5">
        <v>538271.37</v>
      </c>
      <c r="D5" s="7">
        <v>526271.76</v>
      </c>
      <c r="E5" s="7">
        <v>674864.01</v>
      </c>
      <c r="F5" s="7">
        <v>549440.37</v>
      </c>
      <c r="G5">
        <v>620230.94999999995</v>
      </c>
      <c r="H5">
        <v>712945.53</v>
      </c>
      <c r="I5">
        <v>618801.48</v>
      </c>
      <c r="J5">
        <v>665536.5</v>
      </c>
      <c r="K5">
        <v>567225.9</v>
      </c>
      <c r="L5">
        <v>620955.72</v>
      </c>
      <c r="M5">
        <v>634632.39</v>
      </c>
      <c r="N5">
        <v>616125.68999999994</v>
      </c>
      <c r="O5">
        <v>555921.99</v>
      </c>
      <c r="P5" s="7">
        <v>717035.13</v>
      </c>
      <c r="Q5">
        <v>580646.34</v>
      </c>
      <c r="R5">
        <v>629448.92999999993</v>
      </c>
      <c r="S5" s="7">
        <v>669239.55000000005</v>
      </c>
      <c r="T5">
        <v>592780.86</v>
      </c>
    </row>
    <row r="6" spans="1:20" ht="16" thickBot="1" x14ac:dyDescent="0.25">
      <c r="A6">
        <v>5</v>
      </c>
      <c r="B6" s="6" t="s">
        <v>5</v>
      </c>
      <c r="C6">
        <v>779606.46</v>
      </c>
      <c r="D6" s="7">
        <v>720552.69</v>
      </c>
      <c r="E6" s="7">
        <v>627852.42000000004</v>
      </c>
      <c r="F6" s="7">
        <v>694944.54</v>
      </c>
      <c r="G6">
        <v>700959.6</v>
      </c>
      <c r="H6">
        <v>619794</v>
      </c>
      <c r="I6">
        <v>694837.62</v>
      </c>
      <c r="J6">
        <v>646744.31999999995</v>
      </c>
      <c r="K6">
        <v>718661.88</v>
      </c>
      <c r="L6">
        <v>684191.07</v>
      </c>
      <c r="M6">
        <v>645119.81999999995</v>
      </c>
      <c r="N6">
        <v>651570.84</v>
      </c>
      <c r="O6">
        <v>648486.99</v>
      </c>
      <c r="P6" s="7">
        <v>577360.80000000005</v>
      </c>
      <c r="Q6">
        <v>677725.74</v>
      </c>
      <c r="R6">
        <v>618630.21</v>
      </c>
      <c r="S6" s="7">
        <v>569227.23</v>
      </c>
      <c r="T6">
        <v>587043.44999999995</v>
      </c>
    </row>
    <row r="7" spans="1:20" ht="16" thickBot="1" x14ac:dyDescent="0.25">
      <c r="A7">
        <v>6</v>
      </c>
      <c r="B7" s="6" t="s">
        <v>6</v>
      </c>
      <c r="C7">
        <v>257.67</v>
      </c>
      <c r="D7" s="7">
        <v>831.06</v>
      </c>
      <c r="E7" s="7">
        <v>1306.17</v>
      </c>
      <c r="F7" s="7">
        <v>3059.64</v>
      </c>
      <c r="G7">
        <v>1922.1299999999999</v>
      </c>
      <c r="H7">
        <v>2320.29</v>
      </c>
      <c r="I7">
        <v>4373.1899999999996</v>
      </c>
      <c r="J7">
        <v>3300.66</v>
      </c>
      <c r="K7">
        <v>2017.98</v>
      </c>
      <c r="L7">
        <v>1174.77</v>
      </c>
      <c r="M7">
        <v>1979.46</v>
      </c>
      <c r="N7">
        <v>1239.6599999999999</v>
      </c>
      <c r="O7">
        <v>2514.69</v>
      </c>
      <c r="P7" s="7">
        <v>1592.1</v>
      </c>
      <c r="Q7">
        <v>2895.93</v>
      </c>
      <c r="R7">
        <v>4439.6099999999997</v>
      </c>
      <c r="S7" s="7">
        <v>4572</v>
      </c>
      <c r="T7">
        <v>9129.7799999999988</v>
      </c>
    </row>
    <row r="8" spans="1:20" ht="16" thickBot="1" x14ac:dyDescent="0.25">
      <c r="A8">
        <v>7</v>
      </c>
      <c r="B8" s="6" t="s">
        <v>7</v>
      </c>
      <c r="C8">
        <v>89206.56</v>
      </c>
      <c r="D8" s="7">
        <v>139604.49</v>
      </c>
      <c r="E8" s="7">
        <v>172990.62</v>
      </c>
      <c r="F8" s="7">
        <v>191566.44</v>
      </c>
      <c r="G8">
        <v>151569.09</v>
      </c>
      <c r="H8">
        <v>157603.76999999999</v>
      </c>
      <c r="I8">
        <v>180478.88999999998</v>
      </c>
      <c r="J8">
        <v>207582.3</v>
      </c>
      <c r="K8">
        <v>254694.78</v>
      </c>
      <c r="L8">
        <v>217847.34</v>
      </c>
      <c r="M8">
        <v>250527.33</v>
      </c>
      <c r="N8">
        <v>230567.22</v>
      </c>
      <c r="O8">
        <v>309702.24</v>
      </c>
      <c r="P8" s="7">
        <v>249965.46</v>
      </c>
      <c r="Q8">
        <v>252103.13999999998</v>
      </c>
      <c r="R8">
        <v>272460.77999999997</v>
      </c>
      <c r="S8" s="7">
        <v>305939.88</v>
      </c>
      <c r="T8">
        <v>359071.2</v>
      </c>
    </row>
    <row r="9" spans="1:20" ht="16" thickBot="1" x14ac:dyDescent="0.25">
      <c r="A9">
        <v>8</v>
      </c>
      <c r="B9" s="6" t="s">
        <v>8</v>
      </c>
      <c r="C9">
        <v>8.4599999999999991</v>
      </c>
      <c r="D9" s="7">
        <v>44.1</v>
      </c>
      <c r="E9" s="7">
        <v>16.559999999999999</v>
      </c>
      <c r="F9" s="7">
        <v>253.44</v>
      </c>
      <c r="G9">
        <v>22.23</v>
      </c>
      <c r="H9">
        <v>13.77</v>
      </c>
      <c r="I9">
        <v>359.82</v>
      </c>
      <c r="J9">
        <v>112.14</v>
      </c>
      <c r="K9">
        <v>229.23</v>
      </c>
      <c r="L9">
        <v>41.309999999999995</v>
      </c>
      <c r="M9">
        <v>92.88</v>
      </c>
      <c r="N9">
        <v>3.69</v>
      </c>
      <c r="O9">
        <v>107.1</v>
      </c>
      <c r="P9" s="7">
        <v>33.659999999999997</v>
      </c>
      <c r="Q9">
        <v>133.74</v>
      </c>
      <c r="R9">
        <v>248.57999999999998</v>
      </c>
      <c r="S9" s="7">
        <v>31.23</v>
      </c>
      <c r="T9">
        <v>312.02999999999997</v>
      </c>
    </row>
    <row r="10" spans="1:20" ht="16" thickBot="1" x14ac:dyDescent="0.25">
      <c r="A10">
        <v>9</v>
      </c>
      <c r="B10" s="6" t="s">
        <v>9</v>
      </c>
      <c r="C10">
        <v>44.91</v>
      </c>
      <c r="D10" s="7">
        <v>20.34</v>
      </c>
      <c r="E10" s="7">
        <v>81.09</v>
      </c>
      <c r="F10" s="7">
        <v>827.19</v>
      </c>
      <c r="G10">
        <v>72.899999999999991</v>
      </c>
      <c r="H10">
        <v>962.73</v>
      </c>
      <c r="I10">
        <v>930.95999999999992</v>
      </c>
      <c r="J10">
        <v>139.76999999999998</v>
      </c>
      <c r="K10">
        <v>98.19</v>
      </c>
      <c r="L10">
        <v>1094.58</v>
      </c>
      <c r="M10">
        <v>252.98999999999998</v>
      </c>
      <c r="N10">
        <v>598.41</v>
      </c>
      <c r="O10">
        <v>105.47999999999999</v>
      </c>
      <c r="P10" s="7">
        <v>196.92</v>
      </c>
      <c r="Q10">
        <v>248.13</v>
      </c>
      <c r="R10">
        <v>1382.22</v>
      </c>
      <c r="S10" s="7">
        <v>878.58</v>
      </c>
      <c r="T10">
        <v>1077.6599999999999</v>
      </c>
    </row>
    <row r="11" spans="1:20" ht="16" thickBot="1" x14ac:dyDescent="0.25">
      <c r="A11">
        <v>10</v>
      </c>
      <c r="B11" s="6" t="s">
        <v>10</v>
      </c>
      <c r="C11">
        <v>1657.53</v>
      </c>
      <c r="D11" s="7">
        <v>742.5</v>
      </c>
      <c r="E11" s="7">
        <v>5138.1000000000004</v>
      </c>
      <c r="F11" s="7">
        <v>2647.62</v>
      </c>
      <c r="G11">
        <v>13191.21</v>
      </c>
      <c r="H11">
        <v>715.86</v>
      </c>
      <c r="I11">
        <v>6070.23</v>
      </c>
      <c r="J11">
        <v>2379.6</v>
      </c>
      <c r="K11">
        <v>1637.6399999999999</v>
      </c>
      <c r="L11">
        <v>7707.24</v>
      </c>
      <c r="M11">
        <v>1621.62</v>
      </c>
      <c r="N11">
        <v>1090.98</v>
      </c>
      <c r="O11">
        <v>10384.74</v>
      </c>
      <c r="P11" s="7">
        <v>2523.33</v>
      </c>
      <c r="Q11">
        <v>7170.12</v>
      </c>
      <c r="R11">
        <v>4090.95</v>
      </c>
      <c r="S11" s="7">
        <v>3186.99</v>
      </c>
      <c r="T11">
        <v>3287.52</v>
      </c>
    </row>
    <row r="12" spans="1:20" x14ac:dyDescent="0.2">
      <c r="C12">
        <f>SUM(C2:C11)</f>
        <v>1793764.3499999999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115031.83499999999</v>
      </c>
      <c r="D17">
        <f>AVERAGE(C2:E2)</f>
        <v>193936.74</v>
      </c>
      <c r="E17">
        <f>C17-D17</f>
        <v>-78904.904999999999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55802.97</v>
      </c>
      <c r="D18">
        <f t="shared" ref="D18:D25" si="1">AVERAGE(C3:E3)</f>
        <v>83207.759999999995</v>
      </c>
      <c r="E18">
        <f t="shared" ref="E18:E26" si="2">C18-D18</f>
        <v>-27404.789999999994</v>
      </c>
    </row>
    <row r="19" spans="1:5" ht="16" thickBot="1" x14ac:dyDescent="0.25">
      <c r="A19">
        <v>3</v>
      </c>
      <c r="B19" s="6" t="s">
        <v>3</v>
      </c>
      <c r="C19">
        <f t="shared" si="0"/>
        <v>70040.565000000002</v>
      </c>
      <c r="D19">
        <f t="shared" si="1"/>
        <v>90163.56</v>
      </c>
      <c r="E19">
        <f t="shared" si="2"/>
        <v>-20122.994999999995</v>
      </c>
    </row>
    <row r="20" spans="1:5" ht="16" thickBot="1" x14ac:dyDescent="0.25">
      <c r="A20">
        <v>4</v>
      </c>
      <c r="B20" s="6" t="s">
        <v>4</v>
      </c>
      <c r="C20">
        <f t="shared" si="0"/>
        <v>631010.20500000007</v>
      </c>
      <c r="D20">
        <f t="shared" si="1"/>
        <v>579802.38</v>
      </c>
      <c r="E20">
        <f t="shared" si="2"/>
        <v>51207.82500000007</v>
      </c>
    </row>
    <row r="21" spans="1:5" ht="16" thickBot="1" x14ac:dyDescent="0.25">
      <c r="A21">
        <v>5</v>
      </c>
      <c r="B21" s="6" t="s">
        <v>5</v>
      </c>
      <c r="C21">
        <f t="shared" si="0"/>
        <v>578135.34</v>
      </c>
      <c r="D21">
        <f t="shared" si="1"/>
        <v>709337.19</v>
      </c>
      <c r="E21">
        <f t="shared" si="2"/>
        <v>-131201.84999999998</v>
      </c>
    </row>
    <row r="22" spans="1:5" ht="16" thickBot="1" x14ac:dyDescent="0.25">
      <c r="A22">
        <v>6</v>
      </c>
      <c r="B22" s="6" t="s">
        <v>6</v>
      </c>
      <c r="C22">
        <f t="shared" si="0"/>
        <v>6850.8899999999994</v>
      </c>
      <c r="D22">
        <f t="shared" si="1"/>
        <v>798.30000000000007</v>
      </c>
      <c r="E22">
        <f t="shared" si="2"/>
        <v>6052.5899999999992</v>
      </c>
    </row>
    <row r="23" spans="1:5" ht="16" thickBot="1" x14ac:dyDescent="0.25">
      <c r="A23">
        <v>7</v>
      </c>
      <c r="B23" s="6" t="s">
        <v>7</v>
      </c>
      <c r="C23">
        <f t="shared" si="0"/>
        <v>332505.54000000004</v>
      </c>
      <c r="D23">
        <f t="shared" si="1"/>
        <v>133933.88999999998</v>
      </c>
      <c r="E23">
        <f t="shared" si="2"/>
        <v>198571.65000000005</v>
      </c>
    </row>
    <row r="24" spans="1:5" ht="16" thickBot="1" x14ac:dyDescent="0.25">
      <c r="A24">
        <v>8</v>
      </c>
      <c r="B24" s="6" t="s">
        <v>8</v>
      </c>
      <c r="C24">
        <f t="shared" si="0"/>
        <v>171.63</v>
      </c>
      <c r="D24">
        <f t="shared" si="1"/>
        <v>23.040000000000003</v>
      </c>
      <c r="E24">
        <f t="shared" si="2"/>
        <v>148.59</v>
      </c>
    </row>
    <row r="25" spans="1:5" ht="16" thickBot="1" x14ac:dyDescent="0.25">
      <c r="A25">
        <v>9</v>
      </c>
      <c r="B25" s="6" t="s">
        <v>9</v>
      </c>
      <c r="C25">
        <f t="shared" si="0"/>
        <v>978.11999999999989</v>
      </c>
      <c r="D25">
        <f t="shared" si="1"/>
        <v>48.78</v>
      </c>
      <c r="E25">
        <f t="shared" si="2"/>
        <v>929.33999999999992</v>
      </c>
    </row>
    <row r="26" spans="1:5" ht="16" thickBot="1" x14ac:dyDescent="0.25">
      <c r="A26">
        <v>10</v>
      </c>
      <c r="B26" s="6" t="s">
        <v>10</v>
      </c>
      <c r="C26">
        <f>AVERAGE(S11:T11)</f>
        <v>3237.2550000000001</v>
      </c>
      <c r="D26">
        <f>AVERAGE(C11:E11)</f>
        <v>2512.71</v>
      </c>
      <c r="E26">
        <f t="shared" si="2"/>
        <v>724.54500000000007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-40.685898401715939</v>
      </c>
    </row>
    <row r="32" spans="1:5" x14ac:dyDescent="0.2">
      <c r="B32" s="13" t="s">
        <v>2</v>
      </c>
      <c r="E32" s="14">
        <f t="shared" ref="E32:E40" si="3">(E18/D18)*100</f>
        <v>-32.935377661891145</v>
      </c>
    </row>
    <row r="33" spans="2:5" x14ac:dyDescent="0.2">
      <c r="B33" s="13" t="s">
        <v>3</v>
      </c>
      <c r="E33" s="14">
        <f t="shared" si="3"/>
        <v>-22.318323500092493</v>
      </c>
    </row>
    <row r="34" spans="2:5" x14ac:dyDescent="0.2">
      <c r="B34" s="13" t="s">
        <v>4</v>
      </c>
      <c r="E34" s="14">
        <f t="shared" si="3"/>
        <v>8.831944601538213</v>
      </c>
    </row>
    <row r="35" spans="2:5" x14ac:dyDescent="0.2">
      <c r="B35" s="13" t="s">
        <v>5</v>
      </c>
      <c r="E35" s="14">
        <f t="shared" si="3"/>
        <v>-18.496400844286761</v>
      </c>
    </row>
    <row r="36" spans="2:5" x14ac:dyDescent="0.2">
      <c r="B36" s="13" t="s">
        <v>6</v>
      </c>
      <c r="E36" s="14">
        <f t="shared" si="3"/>
        <v>758.18489289740683</v>
      </c>
    </row>
    <row r="37" spans="2:5" x14ac:dyDescent="0.2">
      <c r="B37" s="13" t="s">
        <v>7</v>
      </c>
      <c r="E37" s="14">
        <f t="shared" si="3"/>
        <v>148.26094426138155</v>
      </c>
    </row>
    <row r="38" spans="2:5" x14ac:dyDescent="0.2">
      <c r="B38" s="13" t="s">
        <v>8</v>
      </c>
      <c r="E38" s="14">
        <f t="shared" si="3"/>
        <v>644.92187499999989</v>
      </c>
    </row>
    <row r="39" spans="2:5" x14ac:dyDescent="0.2">
      <c r="B39" s="13" t="s">
        <v>9</v>
      </c>
      <c r="E39" s="14">
        <f t="shared" si="3"/>
        <v>1905.1660516605164</v>
      </c>
    </row>
    <row r="40" spans="2:5" x14ac:dyDescent="0.2">
      <c r="B40" s="13" t="s">
        <v>10</v>
      </c>
      <c r="E40" s="14">
        <f t="shared" si="3"/>
        <v>28.835201833876571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A1B8-83E9-C64D-AE75-DDE5538F815B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3009.24</v>
      </c>
      <c r="D2" s="7">
        <v>10057.5</v>
      </c>
      <c r="E2" s="7">
        <v>3126.69</v>
      </c>
      <c r="F2" s="7">
        <v>4560.3900000000003</v>
      </c>
      <c r="G2">
        <v>2667.6</v>
      </c>
      <c r="H2">
        <v>9201.06</v>
      </c>
      <c r="I2">
        <v>8161.38</v>
      </c>
      <c r="J2">
        <v>7057.3499999999995</v>
      </c>
      <c r="K2">
        <v>4327.83</v>
      </c>
      <c r="L2" s="7">
        <v>5858.37</v>
      </c>
      <c r="M2" s="7">
        <v>4416.4799999999996</v>
      </c>
      <c r="N2">
        <v>6388.74</v>
      </c>
      <c r="O2">
        <v>4408.6499999999996</v>
      </c>
      <c r="P2" s="7">
        <v>5197.5</v>
      </c>
      <c r="Q2">
        <v>11995.92</v>
      </c>
      <c r="R2">
        <v>7370.28</v>
      </c>
      <c r="S2">
        <v>8525.9699999999993</v>
      </c>
      <c r="T2">
        <v>7138.53</v>
      </c>
    </row>
    <row r="3" spans="1:20" ht="16" thickBot="1" x14ac:dyDescent="0.25">
      <c r="A3">
        <v>2</v>
      </c>
      <c r="B3" s="6" t="s">
        <v>2</v>
      </c>
      <c r="C3">
        <v>1.6199999999999999</v>
      </c>
      <c r="D3" s="7">
        <v>2.25</v>
      </c>
      <c r="E3" s="7">
        <v>190.17</v>
      </c>
      <c r="F3" s="7">
        <v>212.76</v>
      </c>
      <c r="G3">
        <v>748.53</v>
      </c>
      <c r="H3">
        <v>70.83</v>
      </c>
      <c r="I3">
        <v>1554.12</v>
      </c>
      <c r="J3">
        <v>54.18</v>
      </c>
      <c r="K3">
        <v>1210.32</v>
      </c>
      <c r="L3" s="7">
        <v>301.41000000000003</v>
      </c>
      <c r="M3" s="7">
        <v>90.27</v>
      </c>
      <c r="N3">
        <v>83.25</v>
      </c>
      <c r="O3">
        <v>549</v>
      </c>
      <c r="P3" s="7">
        <v>194.85</v>
      </c>
      <c r="Q3">
        <v>780.83999999999992</v>
      </c>
      <c r="R3">
        <v>1139.49</v>
      </c>
      <c r="S3">
        <v>970.19999999999993</v>
      </c>
      <c r="T3">
        <v>945.27</v>
      </c>
    </row>
    <row r="4" spans="1:20" ht="16" thickBot="1" x14ac:dyDescent="0.25">
      <c r="A4">
        <v>3</v>
      </c>
      <c r="B4" s="6" t="s">
        <v>3</v>
      </c>
      <c r="C4">
        <v>471.59999999999997</v>
      </c>
      <c r="D4" s="7">
        <v>548.1</v>
      </c>
      <c r="E4" s="7">
        <v>1414.53</v>
      </c>
      <c r="F4" s="7">
        <v>458.64</v>
      </c>
      <c r="G4">
        <v>5276.97</v>
      </c>
      <c r="H4">
        <v>831.6</v>
      </c>
      <c r="I4">
        <v>2209.0499999999997</v>
      </c>
      <c r="J4">
        <v>322.11</v>
      </c>
      <c r="K4">
        <v>461.78999999999996</v>
      </c>
      <c r="L4" s="7">
        <v>1131.6600000000001</v>
      </c>
      <c r="M4" s="7">
        <v>1177.1099999999999</v>
      </c>
      <c r="N4">
        <v>751.77</v>
      </c>
      <c r="O4">
        <v>1943.6399999999999</v>
      </c>
      <c r="P4" s="7">
        <v>358.83</v>
      </c>
      <c r="Q4">
        <v>1988.01</v>
      </c>
      <c r="R4">
        <v>743.4</v>
      </c>
      <c r="S4">
        <v>302.13</v>
      </c>
      <c r="T4">
        <v>464.4</v>
      </c>
    </row>
    <row r="5" spans="1:20" ht="16" thickBot="1" x14ac:dyDescent="0.25">
      <c r="A5">
        <v>4</v>
      </c>
      <c r="B5" s="6" t="s">
        <v>4</v>
      </c>
      <c r="C5">
        <v>9104.85</v>
      </c>
      <c r="D5" s="7">
        <v>2101.14</v>
      </c>
      <c r="E5" s="7">
        <v>6866.82</v>
      </c>
      <c r="F5" s="7">
        <v>3913.38</v>
      </c>
      <c r="G5">
        <v>10610.46</v>
      </c>
      <c r="H5">
        <v>8580.15</v>
      </c>
      <c r="I5">
        <v>9159.57</v>
      </c>
      <c r="J5">
        <v>1901.6999999999998</v>
      </c>
      <c r="K5">
        <v>2493.0899999999997</v>
      </c>
      <c r="L5" s="7">
        <v>12449.61</v>
      </c>
      <c r="M5" s="7">
        <v>3341.79</v>
      </c>
      <c r="N5">
        <v>6110.46</v>
      </c>
      <c r="O5">
        <v>8544.9599999999991</v>
      </c>
      <c r="P5" s="7">
        <v>8748.9</v>
      </c>
      <c r="Q5">
        <v>2433.6</v>
      </c>
      <c r="R5">
        <v>6605.37</v>
      </c>
      <c r="S5">
        <v>3539.97</v>
      </c>
      <c r="T5">
        <v>10401.39</v>
      </c>
    </row>
    <row r="6" spans="1:20" ht="16" thickBot="1" x14ac:dyDescent="0.25">
      <c r="A6">
        <v>5</v>
      </c>
      <c r="B6" s="6" t="s">
        <v>5</v>
      </c>
      <c r="C6">
        <v>18861.48</v>
      </c>
      <c r="D6" s="7">
        <v>18505.169999999998</v>
      </c>
      <c r="E6" s="7">
        <v>15280.29</v>
      </c>
      <c r="F6" s="7">
        <v>9349.74</v>
      </c>
      <c r="G6">
        <v>12136.05</v>
      </c>
      <c r="H6">
        <v>6789.33</v>
      </c>
      <c r="I6">
        <v>6243.66</v>
      </c>
      <c r="J6">
        <v>3098.6099999999997</v>
      </c>
      <c r="K6">
        <v>2608.56</v>
      </c>
      <c r="L6" s="7">
        <v>3105.45</v>
      </c>
      <c r="M6" s="7">
        <v>1615.41</v>
      </c>
      <c r="N6">
        <v>4177.4399999999996</v>
      </c>
      <c r="O6">
        <v>1112.76</v>
      </c>
      <c r="P6" s="7">
        <v>3818.88</v>
      </c>
      <c r="Q6">
        <v>3428.2799999999997</v>
      </c>
      <c r="R6">
        <v>5581.44</v>
      </c>
      <c r="S6">
        <v>2301.5699999999997</v>
      </c>
      <c r="T6">
        <v>3827.8799999999997</v>
      </c>
    </row>
    <row r="7" spans="1:20" ht="16" thickBot="1" x14ac:dyDescent="0.25">
      <c r="A7">
        <v>6</v>
      </c>
      <c r="B7" s="6" t="s">
        <v>6</v>
      </c>
      <c r="C7">
        <v>2036.07</v>
      </c>
      <c r="D7" s="7">
        <v>1977.66</v>
      </c>
      <c r="E7" s="7">
        <v>4058.91</v>
      </c>
      <c r="F7" s="7">
        <v>2441.9699999999998</v>
      </c>
      <c r="G7">
        <v>2982.69</v>
      </c>
      <c r="H7">
        <v>3566.43</v>
      </c>
      <c r="I7">
        <v>5489.6399999999994</v>
      </c>
      <c r="J7">
        <v>4020.5699999999997</v>
      </c>
      <c r="K7">
        <v>2617.83</v>
      </c>
      <c r="L7" s="7">
        <v>2793.33</v>
      </c>
      <c r="M7" s="7">
        <v>3667.05</v>
      </c>
      <c r="N7">
        <v>5915.79</v>
      </c>
      <c r="O7">
        <v>6278.58</v>
      </c>
      <c r="P7" s="7">
        <v>4032.45</v>
      </c>
      <c r="Q7">
        <v>4394.07</v>
      </c>
      <c r="R7">
        <v>3803.22</v>
      </c>
      <c r="S7">
        <v>6379.38</v>
      </c>
      <c r="T7">
        <v>4099.1399999999994</v>
      </c>
    </row>
    <row r="8" spans="1:20" ht="16" thickBot="1" x14ac:dyDescent="0.25">
      <c r="A8">
        <v>7</v>
      </c>
      <c r="B8" s="6" t="s">
        <v>7</v>
      </c>
      <c r="C8">
        <v>56547.9</v>
      </c>
      <c r="D8" s="7">
        <v>56851.92</v>
      </c>
      <c r="E8" s="7">
        <v>59105.07</v>
      </c>
      <c r="F8" s="7">
        <v>69051.78</v>
      </c>
      <c r="G8">
        <v>55622.25</v>
      </c>
      <c r="H8">
        <v>60954.93</v>
      </c>
      <c r="I8">
        <v>56907.09</v>
      </c>
      <c r="J8">
        <v>73530</v>
      </c>
      <c r="K8">
        <v>76105.259999999995</v>
      </c>
      <c r="L8" s="7">
        <v>64245.96</v>
      </c>
      <c r="M8" s="7">
        <v>75361.320000000007</v>
      </c>
      <c r="N8">
        <v>66357</v>
      </c>
      <c r="O8">
        <v>67155.929999999993</v>
      </c>
      <c r="P8" s="7">
        <v>67630.23</v>
      </c>
      <c r="Q8">
        <v>64905.75</v>
      </c>
      <c r="R8">
        <v>64779.299999999996</v>
      </c>
      <c r="S8">
        <v>67943.16</v>
      </c>
      <c r="T8">
        <v>62658.27</v>
      </c>
    </row>
    <row r="9" spans="1:20" ht="16" thickBot="1" x14ac:dyDescent="0.25">
      <c r="A9">
        <v>8</v>
      </c>
      <c r="B9" s="6" t="s">
        <v>8</v>
      </c>
      <c r="C9">
        <v>4.5</v>
      </c>
      <c r="D9" s="7">
        <v>0</v>
      </c>
      <c r="E9" s="7">
        <v>12.06</v>
      </c>
      <c r="F9" s="7">
        <v>17.010000000000002</v>
      </c>
      <c r="G9">
        <v>11.34</v>
      </c>
      <c r="H9">
        <v>0</v>
      </c>
      <c r="I9">
        <v>0.63</v>
      </c>
      <c r="J9">
        <v>0</v>
      </c>
      <c r="K9">
        <v>197.1</v>
      </c>
      <c r="L9" s="7">
        <v>19.53</v>
      </c>
      <c r="M9" s="7">
        <v>67.59</v>
      </c>
      <c r="N9">
        <v>0.09</v>
      </c>
      <c r="O9">
        <v>0</v>
      </c>
      <c r="P9" s="7">
        <v>0</v>
      </c>
      <c r="Q9">
        <v>6.0299999999999994</v>
      </c>
      <c r="R9">
        <v>0</v>
      </c>
      <c r="S9">
        <v>3.5999999999999996</v>
      </c>
      <c r="T9">
        <v>0</v>
      </c>
    </row>
    <row r="10" spans="1:20" ht="16" thickBot="1" x14ac:dyDescent="0.25">
      <c r="A10">
        <v>9</v>
      </c>
      <c r="B10" s="6" t="s">
        <v>9</v>
      </c>
      <c r="C10">
        <v>41.58</v>
      </c>
      <c r="D10" s="7">
        <v>48.96</v>
      </c>
      <c r="E10" s="7">
        <v>19.98</v>
      </c>
      <c r="F10" s="7">
        <v>43.38</v>
      </c>
      <c r="G10">
        <v>36.809999999999995</v>
      </c>
      <c r="H10">
        <v>37.979999999999997</v>
      </c>
      <c r="I10">
        <v>52.47</v>
      </c>
      <c r="J10">
        <v>62.19</v>
      </c>
      <c r="K10">
        <v>38.339999999999996</v>
      </c>
      <c r="L10" s="7">
        <v>38.340000000000003</v>
      </c>
      <c r="M10" s="7">
        <v>46.53</v>
      </c>
      <c r="N10">
        <v>31.14</v>
      </c>
      <c r="O10">
        <v>29.88</v>
      </c>
      <c r="P10" s="7">
        <v>30.78</v>
      </c>
      <c r="Q10">
        <v>54.72</v>
      </c>
      <c r="R10">
        <v>34.379999999999995</v>
      </c>
      <c r="S10">
        <v>44.82</v>
      </c>
      <c r="T10">
        <v>35.549999999999997</v>
      </c>
    </row>
    <row r="11" spans="1:20" ht="16" thickBot="1" x14ac:dyDescent="0.25">
      <c r="A11">
        <v>10</v>
      </c>
      <c r="B11" s="6" t="s">
        <v>10</v>
      </c>
      <c r="C11">
        <v>13.86</v>
      </c>
      <c r="D11" s="7">
        <v>0</v>
      </c>
      <c r="E11" s="7">
        <v>18.18</v>
      </c>
      <c r="F11" s="7">
        <v>43.65</v>
      </c>
      <c r="G11">
        <v>0</v>
      </c>
      <c r="H11">
        <v>60.39</v>
      </c>
      <c r="I11">
        <v>315.08999999999997</v>
      </c>
      <c r="J11">
        <v>45.989999999999995</v>
      </c>
      <c r="K11">
        <v>32.58</v>
      </c>
      <c r="L11" s="7">
        <v>149.04</v>
      </c>
      <c r="M11" s="7">
        <v>309.14999999999998</v>
      </c>
      <c r="N11">
        <v>277.02</v>
      </c>
      <c r="O11">
        <v>69.3</v>
      </c>
      <c r="P11" s="7">
        <v>80.28</v>
      </c>
      <c r="Q11">
        <v>105.47999999999999</v>
      </c>
      <c r="R11">
        <v>35.82</v>
      </c>
      <c r="S11">
        <v>81.899999999999991</v>
      </c>
      <c r="T11">
        <v>522.27</v>
      </c>
    </row>
    <row r="12" spans="1:20" x14ac:dyDescent="0.2">
      <c r="C12">
        <f>SUM(C2:C11)</f>
        <v>90092.700000000012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7832.25</v>
      </c>
      <c r="D17">
        <f>AVERAGE(C2:E2)</f>
        <v>5397.81</v>
      </c>
      <c r="E17">
        <f>C17-D17</f>
        <v>2434.4399999999996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957.7349999999999</v>
      </c>
      <c r="D18">
        <f t="shared" ref="D18:D25" si="1">AVERAGE(C3:E3)</f>
        <v>64.679999999999993</v>
      </c>
      <c r="E18">
        <f t="shared" ref="E18:E26" si="2">C18-D18</f>
        <v>893.05499999999995</v>
      </c>
    </row>
    <row r="19" spans="1:5" ht="16" thickBot="1" x14ac:dyDescent="0.25">
      <c r="A19">
        <v>3</v>
      </c>
      <c r="B19" s="6" t="s">
        <v>3</v>
      </c>
      <c r="C19">
        <f t="shared" si="0"/>
        <v>383.26499999999999</v>
      </c>
      <c r="D19">
        <f t="shared" si="1"/>
        <v>811.41</v>
      </c>
      <c r="E19">
        <f t="shared" si="2"/>
        <v>-428.14499999999998</v>
      </c>
    </row>
    <row r="20" spans="1:5" ht="16" thickBot="1" x14ac:dyDescent="0.25">
      <c r="A20">
        <v>4</v>
      </c>
      <c r="B20" s="6" t="s">
        <v>4</v>
      </c>
      <c r="C20">
        <f t="shared" si="0"/>
        <v>6970.6799999999994</v>
      </c>
      <c r="D20">
        <f t="shared" si="1"/>
        <v>6024.2699999999995</v>
      </c>
      <c r="E20">
        <f t="shared" si="2"/>
        <v>946.40999999999985</v>
      </c>
    </row>
    <row r="21" spans="1:5" ht="16" thickBot="1" x14ac:dyDescent="0.25">
      <c r="A21">
        <v>5</v>
      </c>
      <c r="B21" s="6" t="s">
        <v>5</v>
      </c>
      <c r="C21">
        <f t="shared" si="0"/>
        <v>3064.7249999999995</v>
      </c>
      <c r="D21">
        <f t="shared" si="1"/>
        <v>17548.98</v>
      </c>
      <c r="E21">
        <f t="shared" si="2"/>
        <v>-14484.255000000001</v>
      </c>
    </row>
    <row r="22" spans="1:5" ht="16" thickBot="1" x14ac:dyDescent="0.25">
      <c r="A22">
        <v>6</v>
      </c>
      <c r="B22" s="6" t="s">
        <v>6</v>
      </c>
      <c r="C22">
        <f t="shared" si="0"/>
        <v>5239.26</v>
      </c>
      <c r="D22">
        <f t="shared" si="1"/>
        <v>2690.8799999999997</v>
      </c>
      <c r="E22">
        <f t="shared" si="2"/>
        <v>2548.3800000000006</v>
      </c>
    </row>
    <row r="23" spans="1:5" ht="16" thickBot="1" x14ac:dyDescent="0.25">
      <c r="A23">
        <v>7</v>
      </c>
      <c r="B23" s="6" t="s">
        <v>7</v>
      </c>
      <c r="C23">
        <f t="shared" si="0"/>
        <v>65300.714999999997</v>
      </c>
      <c r="D23">
        <f t="shared" si="1"/>
        <v>57501.630000000005</v>
      </c>
      <c r="E23">
        <f t="shared" si="2"/>
        <v>7799.0849999999919</v>
      </c>
    </row>
    <row r="24" spans="1:5" ht="16" thickBot="1" x14ac:dyDescent="0.25">
      <c r="A24">
        <v>8</v>
      </c>
      <c r="B24" s="6" t="s">
        <v>8</v>
      </c>
      <c r="C24">
        <f t="shared" si="0"/>
        <v>1.7999999999999998</v>
      </c>
      <c r="D24">
        <f t="shared" si="1"/>
        <v>5.5200000000000005</v>
      </c>
      <c r="E24">
        <f t="shared" si="2"/>
        <v>-3.7200000000000006</v>
      </c>
    </row>
    <row r="25" spans="1:5" ht="16" thickBot="1" x14ac:dyDescent="0.25">
      <c r="A25">
        <v>9</v>
      </c>
      <c r="B25" s="6" t="s">
        <v>9</v>
      </c>
      <c r="C25">
        <f t="shared" si="0"/>
        <v>40.185000000000002</v>
      </c>
      <c r="D25">
        <f t="shared" si="1"/>
        <v>36.839999999999996</v>
      </c>
      <c r="E25">
        <f t="shared" si="2"/>
        <v>3.345000000000006</v>
      </c>
    </row>
    <row r="26" spans="1:5" ht="16" thickBot="1" x14ac:dyDescent="0.25">
      <c r="A26">
        <v>10</v>
      </c>
      <c r="B26" s="6" t="s">
        <v>10</v>
      </c>
      <c r="C26">
        <f>AVERAGE(S11:T11)</f>
        <v>302.08499999999998</v>
      </c>
      <c r="D26">
        <f>AVERAGE(C11:E11)</f>
        <v>10.68</v>
      </c>
      <c r="E26">
        <f t="shared" si="2"/>
        <v>291.40499999999997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45.100512985822014</v>
      </c>
    </row>
    <row r="32" spans="1:5" x14ac:dyDescent="0.2">
      <c r="B32" s="13" t="s">
        <v>2</v>
      </c>
      <c r="E32" s="14">
        <f t="shared" ref="E32:E40" si="3">(E18/D18)*100</f>
        <v>1380.7282003710575</v>
      </c>
    </row>
    <row r="33" spans="2:5" x14ac:dyDescent="0.2">
      <c r="B33" s="13" t="s">
        <v>3</v>
      </c>
      <c r="E33" s="14">
        <f t="shared" si="3"/>
        <v>-52.765556253928345</v>
      </c>
    </row>
    <row r="34" spans="2:5" x14ac:dyDescent="0.2">
      <c r="B34" s="13" t="s">
        <v>4</v>
      </c>
      <c r="E34" s="14">
        <f t="shared" si="3"/>
        <v>15.709953239147648</v>
      </c>
    </row>
    <row r="35" spans="2:5" x14ac:dyDescent="0.2">
      <c r="B35" s="13" t="s">
        <v>5</v>
      </c>
      <c r="E35" s="14">
        <f t="shared" si="3"/>
        <v>-82.536164495030491</v>
      </c>
    </row>
    <row r="36" spans="2:5" x14ac:dyDescent="0.2">
      <c r="B36" s="13" t="s">
        <v>6</v>
      </c>
      <c r="E36" s="14">
        <f t="shared" si="3"/>
        <v>94.704334641455617</v>
      </c>
    </row>
    <row r="37" spans="2:5" x14ac:dyDescent="0.2">
      <c r="B37" s="13" t="s">
        <v>7</v>
      </c>
      <c r="E37" s="14">
        <f t="shared" si="3"/>
        <v>13.563241598542493</v>
      </c>
    </row>
    <row r="38" spans="2:5" x14ac:dyDescent="0.2">
      <c r="B38" s="13" t="s">
        <v>8</v>
      </c>
      <c r="E38" s="14">
        <f t="shared" si="3"/>
        <v>-67.391304347826093</v>
      </c>
    </row>
    <row r="39" spans="2:5" x14ac:dyDescent="0.2">
      <c r="B39" s="13" t="s">
        <v>9</v>
      </c>
      <c r="E39" s="14">
        <f t="shared" si="3"/>
        <v>9.0798045602606035</v>
      </c>
    </row>
    <row r="40" spans="2:5" x14ac:dyDescent="0.2">
      <c r="B40" s="13" t="s">
        <v>10</v>
      </c>
      <c r="E40" s="14">
        <f t="shared" si="3"/>
        <v>2728.5112359550558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0FCC-18CC-6544-AB92-9C15DFE8BC3C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60738.119999999995</v>
      </c>
      <c r="D2">
        <v>53206.2</v>
      </c>
      <c r="E2">
        <v>43039.35</v>
      </c>
      <c r="F2">
        <v>49121.189999999995</v>
      </c>
      <c r="G2" s="7">
        <v>43550.28</v>
      </c>
      <c r="H2">
        <v>52428.6</v>
      </c>
      <c r="I2">
        <v>48168</v>
      </c>
      <c r="J2">
        <v>51998.85</v>
      </c>
      <c r="K2" s="7">
        <v>50077.35</v>
      </c>
      <c r="L2">
        <v>53254.439999999995</v>
      </c>
      <c r="M2">
        <v>52777.079999999994</v>
      </c>
      <c r="N2" s="7">
        <v>55503</v>
      </c>
      <c r="O2" s="7">
        <v>51423.66</v>
      </c>
      <c r="P2">
        <v>53914.59</v>
      </c>
      <c r="Q2" s="7">
        <v>51567.66</v>
      </c>
      <c r="R2">
        <v>58022.64</v>
      </c>
      <c r="S2" s="7">
        <v>60552.72</v>
      </c>
      <c r="T2" s="7">
        <v>56874.87</v>
      </c>
    </row>
    <row r="3" spans="1:20" ht="16" thickBot="1" x14ac:dyDescent="0.25">
      <c r="A3">
        <v>2</v>
      </c>
      <c r="B3" s="6" t="s">
        <v>2</v>
      </c>
      <c r="C3">
        <v>329.58</v>
      </c>
      <c r="D3">
        <v>2493.9</v>
      </c>
      <c r="E3">
        <v>2045.52</v>
      </c>
      <c r="F3">
        <v>4641.3</v>
      </c>
      <c r="G3" s="7">
        <v>982.26</v>
      </c>
      <c r="H3">
        <v>2746.35</v>
      </c>
      <c r="I3">
        <v>932.49</v>
      </c>
      <c r="J3">
        <v>1478.97</v>
      </c>
      <c r="K3" s="7">
        <v>6226.38</v>
      </c>
      <c r="L3">
        <v>3635.0099999999998</v>
      </c>
      <c r="M3">
        <v>3929.22</v>
      </c>
      <c r="N3" s="7">
        <v>4258.8</v>
      </c>
      <c r="O3" s="7">
        <v>2343.42</v>
      </c>
      <c r="P3">
        <v>1169.55</v>
      </c>
      <c r="Q3" s="7">
        <v>8340.2099999999991</v>
      </c>
      <c r="R3">
        <v>582.66</v>
      </c>
      <c r="S3" s="7">
        <v>1228.8599999999999</v>
      </c>
      <c r="T3" s="7">
        <v>546.75</v>
      </c>
    </row>
    <row r="4" spans="1:20" ht="16" thickBot="1" x14ac:dyDescent="0.25">
      <c r="A4">
        <v>3</v>
      </c>
      <c r="B4" s="6" t="s">
        <v>3</v>
      </c>
      <c r="C4">
        <v>96.03</v>
      </c>
      <c r="D4">
        <v>1249.3799999999999</v>
      </c>
      <c r="E4">
        <v>1308.5999999999999</v>
      </c>
      <c r="F4">
        <v>571.5</v>
      </c>
      <c r="G4" s="7">
        <v>377.91</v>
      </c>
      <c r="H4">
        <v>593.54999999999995</v>
      </c>
      <c r="I4">
        <v>1072.3499999999999</v>
      </c>
      <c r="J4">
        <v>787.68</v>
      </c>
      <c r="K4" s="7">
        <v>1744.11</v>
      </c>
      <c r="L4">
        <v>269.73</v>
      </c>
      <c r="M4">
        <v>544.14</v>
      </c>
      <c r="N4" s="7">
        <v>565.65</v>
      </c>
      <c r="O4" s="7">
        <v>326.16000000000003</v>
      </c>
      <c r="P4">
        <v>333.53999999999996</v>
      </c>
      <c r="Q4" s="7">
        <v>1140.21</v>
      </c>
      <c r="R4">
        <v>156.23999999999998</v>
      </c>
      <c r="S4" s="7">
        <v>302.67</v>
      </c>
      <c r="T4" s="7">
        <v>135.54</v>
      </c>
    </row>
    <row r="5" spans="1:20" ht="16" thickBot="1" x14ac:dyDescent="0.25">
      <c r="A5">
        <v>4</v>
      </c>
      <c r="B5" s="6" t="s">
        <v>4</v>
      </c>
      <c r="C5">
        <v>74179.62</v>
      </c>
      <c r="D5">
        <v>77388.3</v>
      </c>
      <c r="E5">
        <v>59894.1</v>
      </c>
      <c r="F5">
        <v>72316.17</v>
      </c>
      <c r="G5" s="7">
        <v>69327.63</v>
      </c>
      <c r="H5">
        <v>67516.02</v>
      </c>
      <c r="I5">
        <v>73244.069999999992</v>
      </c>
      <c r="J5">
        <v>64351.89</v>
      </c>
      <c r="K5" s="7">
        <v>73788.03</v>
      </c>
      <c r="L5">
        <v>58303.259999999995</v>
      </c>
      <c r="M5">
        <v>64244.07</v>
      </c>
      <c r="N5" s="7">
        <v>53429.67</v>
      </c>
      <c r="O5" s="7">
        <v>80604.539999999994</v>
      </c>
      <c r="P5">
        <v>70362.179999999993</v>
      </c>
      <c r="Q5" s="7">
        <v>43463.61</v>
      </c>
      <c r="R5">
        <v>61226.549999999996</v>
      </c>
      <c r="S5" s="7">
        <v>62473.95</v>
      </c>
      <c r="T5" s="7">
        <v>49227.21</v>
      </c>
    </row>
    <row r="6" spans="1:20" ht="16" thickBot="1" x14ac:dyDescent="0.25">
      <c r="A6">
        <v>5</v>
      </c>
      <c r="B6" s="6" t="s">
        <v>5</v>
      </c>
      <c r="C6">
        <v>135405.44999999998</v>
      </c>
      <c r="D6">
        <v>107543.79</v>
      </c>
      <c r="E6">
        <v>78329.069999999992</v>
      </c>
      <c r="F6">
        <v>64937.34</v>
      </c>
      <c r="G6" s="7">
        <v>82737.63</v>
      </c>
      <c r="H6">
        <v>59256.899999999994</v>
      </c>
      <c r="I6">
        <v>75797.099999999991</v>
      </c>
      <c r="J6">
        <v>57005.189999999995</v>
      </c>
      <c r="K6" s="7">
        <v>59159.97</v>
      </c>
      <c r="L6">
        <v>50499.09</v>
      </c>
      <c r="M6">
        <v>49453.11</v>
      </c>
      <c r="N6" s="7">
        <v>58026.87</v>
      </c>
      <c r="O6" s="7">
        <v>36221.760000000002</v>
      </c>
      <c r="P6">
        <v>58552.56</v>
      </c>
      <c r="Q6" s="7">
        <v>47791.08</v>
      </c>
      <c r="R6">
        <v>52986.869999999995</v>
      </c>
      <c r="S6" s="7">
        <v>47875.05</v>
      </c>
      <c r="T6" s="7">
        <v>38259.269999999997</v>
      </c>
    </row>
    <row r="7" spans="1:20" ht="16" thickBot="1" x14ac:dyDescent="0.25">
      <c r="A7">
        <v>6</v>
      </c>
      <c r="B7" s="6" t="s">
        <v>6</v>
      </c>
      <c r="C7">
        <v>167.4</v>
      </c>
      <c r="D7">
        <v>650.69999999999993</v>
      </c>
      <c r="E7">
        <v>397.44</v>
      </c>
      <c r="F7">
        <v>1127.25</v>
      </c>
      <c r="G7" s="7">
        <v>174.87</v>
      </c>
      <c r="H7">
        <v>639.17999999999995</v>
      </c>
      <c r="I7">
        <v>270.18</v>
      </c>
      <c r="J7">
        <v>1308.1499999999999</v>
      </c>
      <c r="K7" s="7">
        <v>160.29</v>
      </c>
      <c r="L7">
        <v>449.19</v>
      </c>
      <c r="M7">
        <v>2094.66</v>
      </c>
      <c r="N7" s="7">
        <v>1291.5899999999999</v>
      </c>
      <c r="O7" s="7">
        <v>1407.96</v>
      </c>
      <c r="P7">
        <v>498.24</v>
      </c>
      <c r="Q7" s="7">
        <v>1040.94</v>
      </c>
      <c r="R7">
        <v>1731.6899999999998</v>
      </c>
      <c r="S7" s="7">
        <v>767.25</v>
      </c>
      <c r="T7" s="7">
        <v>454.86</v>
      </c>
    </row>
    <row r="8" spans="1:20" ht="16" thickBot="1" x14ac:dyDescent="0.25">
      <c r="A8">
        <v>7</v>
      </c>
      <c r="B8" s="6" t="s">
        <v>7</v>
      </c>
      <c r="C8">
        <v>53534.34</v>
      </c>
      <c r="D8">
        <v>82620.989999999991</v>
      </c>
      <c r="E8">
        <v>140373.9</v>
      </c>
      <c r="F8">
        <v>132173.54999999999</v>
      </c>
      <c r="G8" s="7">
        <v>128522.07</v>
      </c>
      <c r="H8">
        <v>142080.66</v>
      </c>
      <c r="I8">
        <v>126401.58</v>
      </c>
      <c r="J8">
        <v>148057.19999999998</v>
      </c>
      <c r="K8" s="7">
        <v>131169.60000000001</v>
      </c>
      <c r="L8">
        <v>157044.41999999998</v>
      </c>
      <c r="M8">
        <v>152198.54999999999</v>
      </c>
      <c r="N8" s="7">
        <v>151704.72</v>
      </c>
      <c r="O8" s="7">
        <v>149133.96</v>
      </c>
      <c r="P8">
        <v>138266.63999999998</v>
      </c>
      <c r="Q8" s="7">
        <v>169766.91</v>
      </c>
      <c r="R8">
        <v>147447.72</v>
      </c>
      <c r="S8" s="7">
        <v>150140.60999999999</v>
      </c>
      <c r="T8" s="7">
        <v>176376.42</v>
      </c>
    </row>
    <row r="9" spans="1:20" ht="16" thickBot="1" x14ac:dyDescent="0.25">
      <c r="A9">
        <v>8</v>
      </c>
      <c r="B9" s="6" t="s">
        <v>8</v>
      </c>
      <c r="C9">
        <v>1486.26</v>
      </c>
      <c r="D9">
        <v>452.34</v>
      </c>
      <c r="E9">
        <v>0</v>
      </c>
      <c r="F9">
        <v>580.59</v>
      </c>
      <c r="G9" s="7">
        <v>144.72</v>
      </c>
      <c r="H9">
        <v>67.86</v>
      </c>
      <c r="I9">
        <v>9.629999999999999</v>
      </c>
      <c r="J9">
        <v>172.79999999999998</v>
      </c>
      <c r="K9" s="7">
        <v>1393.47</v>
      </c>
      <c r="L9">
        <v>531.54</v>
      </c>
      <c r="M9">
        <v>4.2299999999999995</v>
      </c>
      <c r="N9" s="7">
        <v>8.4600000000000009</v>
      </c>
      <c r="O9" s="7">
        <v>1513.26</v>
      </c>
      <c r="P9">
        <v>999.36</v>
      </c>
      <c r="Q9" s="7">
        <v>1075.5899999999999</v>
      </c>
      <c r="R9">
        <v>1043.0999999999999</v>
      </c>
      <c r="S9" s="7">
        <v>153.9</v>
      </c>
      <c r="T9" s="7">
        <v>1965.6</v>
      </c>
    </row>
    <row r="10" spans="1:20" ht="16" thickBot="1" x14ac:dyDescent="0.25">
      <c r="A10">
        <v>9</v>
      </c>
      <c r="B10" s="6" t="s">
        <v>9</v>
      </c>
      <c r="C10">
        <v>1051.92</v>
      </c>
      <c r="D10">
        <v>1180.3499999999999</v>
      </c>
      <c r="E10">
        <v>953.81999999999994</v>
      </c>
      <c r="F10">
        <v>638.28</v>
      </c>
      <c r="G10" s="7">
        <v>1028.1600000000001</v>
      </c>
      <c r="H10">
        <v>1169.46</v>
      </c>
      <c r="I10">
        <v>843.39</v>
      </c>
      <c r="J10">
        <v>1187.19</v>
      </c>
      <c r="K10" s="7">
        <v>2811.87</v>
      </c>
      <c r="L10">
        <v>2477.0699999999997</v>
      </c>
      <c r="M10">
        <v>1272.24</v>
      </c>
      <c r="N10" s="7">
        <v>1182.06</v>
      </c>
      <c r="O10" s="7">
        <v>1678.5</v>
      </c>
      <c r="P10">
        <v>2383.02</v>
      </c>
      <c r="Q10" s="7">
        <v>2443.86</v>
      </c>
      <c r="R10">
        <v>2817.72</v>
      </c>
      <c r="S10" s="7">
        <v>2535.66</v>
      </c>
      <c r="T10" s="7">
        <v>1700.1</v>
      </c>
    </row>
    <row r="11" spans="1:20" ht="16" thickBot="1" x14ac:dyDescent="0.25">
      <c r="A11">
        <v>10</v>
      </c>
      <c r="B11" s="6" t="s">
        <v>10</v>
      </c>
      <c r="C11">
        <v>57.96</v>
      </c>
      <c r="D11">
        <v>260.73</v>
      </c>
      <c r="E11">
        <v>704.88</v>
      </c>
      <c r="F11">
        <v>939.51</v>
      </c>
      <c r="G11" s="7">
        <v>201.15</v>
      </c>
      <c r="H11">
        <v>548.1</v>
      </c>
      <c r="I11">
        <v>307.89</v>
      </c>
      <c r="J11">
        <v>698.76</v>
      </c>
      <c r="K11" s="7">
        <v>515.61</v>
      </c>
      <c r="L11">
        <v>582.92999999999995</v>
      </c>
      <c r="M11">
        <v>529.38</v>
      </c>
      <c r="N11" s="7">
        <v>1075.8599999999999</v>
      </c>
      <c r="O11" s="7">
        <v>2393.46</v>
      </c>
      <c r="P11">
        <v>567</v>
      </c>
      <c r="Q11" s="7">
        <v>416.61</v>
      </c>
      <c r="R11">
        <v>1031.49</v>
      </c>
      <c r="S11" s="7">
        <v>1016.01</v>
      </c>
      <c r="T11" s="7">
        <v>1506.06</v>
      </c>
    </row>
    <row r="12" spans="1:20" x14ac:dyDescent="0.2">
      <c r="C12">
        <f>SUM(C2:C11)</f>
        <v>327046.67999999993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58713.794999999998</v>
      </c>
      <c r="D17">
        <f>AVERAGE(C2:E2)</f>
        <v>52327.889999999992</v>
      </c>
      <c r="E17">
        <f>C17-D17</f>
        <v>6385.9050000000061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887.80499999999995</v>
      </c>
      <c r="D18">
        <f t="shared" ref="D18:D25" si="1">AVERAGE(C3:E3)</f>
        <v>1623</v>
      </c>
      <c r="E18">
        <f t="shared" ref="E18:E26" si="2">C18-D18</f>
        <v>-735.19500000000005</v>
      </c>
    </row>
    <row r="19" spans="1:5" ht="16" thickBot="1" x14ac:dyDescent="0.25">
      <c r="A19">
        <v>3</v>
      </c>
      <c r="B19" s="6" t="s">
        <v>3</v>
      </c>
      <c r="C19">
        <f t="shared" si="0"/>
        <v>219.10500000000002</v>
      </c>
      <c r="D19">
        <f t="shared" si="1"/>
        <v>884.67</v>
      </c>
      <c r="E19">
        <f t="shared" si="2"/>
        <v>-665.56499999999994</v>
      </c>
    </row>
    <row r="20" spans="1:5" ht="16" thickBot="1" x14ac:dyDescent="0.25">
      <c r="A20">
        <v>4</v>
      </c>
      <c r="B20" s="6" t="s">
        <v>4</v>
      </c>
      <c r="C20">
        <f t="shared" si="0"/>
        <v>55850.58</v>
      </c>
      <c r="D20">
        <f t="shared" si="1"/>
        <v>70487.34</v>
      </c>
      <c r="E20">
        <f t="shared" si="2"/>
        <v>-14636.759999999995</v>
      </c>
    </row>
    <row r="21" spans="1:5" ht="16" thickBot="1" x14ac:dyDescent="0.25">
      <c r="A21">
        <v>5</v>
      </c>
      <c r="B21" s="6" t="s">
        <v>5</v>
      </c>
      <c r="C21">
        <f t="shared" si="0"/>
        <v>43067.16</v>
      </c>
      <c r="D21">
        <f t="shared" si="1"/>
        <v>107092.77</v>
      </c>
      <c r="E21">
        <f t="shared" si="2"/>
        <v>-64025.61</v>
      </c>
    </row>
    <row r="22" spans="1:5" ht="16" thickBot="1" x14ac:dyDescent="0.25">
      <c r="A22">
        <v>6</v>
      </c>
      <c r="B22" s="6" t="s">
        <v>6</v>
      </c>
      <c r="C22">
        <f t="shared" si="0"/>
        <v>611.05500000000006</v>
      </c>
      <c r="D22">
        <f t="shared" si="1"/>
        <v>405.18</v>
      </c>
      <c r="E22">
        <f t="shared" si="2"/>
        <v>205.87500000000006</v>
      </c>
    </row>
    <row r="23" spans="1:5" ht="16" thickBot="1" x14ac:dyDescent="0.25">
      <c r="A23">
        <v>7</v>
      </c>
      <c r="B23" s="6" t="s">
        <v>7</v>
      </c>
      <c r="C23">
        <f t="shared" si="0"/>
        <v>163258.51500000001</v>
      </c>
      <c r="D23">
        <f t="shared" si="1"/>
        <v>92176.409999999989</v>
      </c>
      <c r="E23">
        <f t="shared" si="2"/>
        <v>71082.105000000025</v>
      </c>
    </row>
    <row r="24" spans="1:5" ht="16" thickBot="1" x14ac:dyDescent="0.25">
      <c r="A24">
        <v>8</v>
      </c>
      <c r="B24" s="6" t="s">
        <v>8</v>
      </c>
      <c r="C24">
        <f t="shared" si="0"/>
        <v>1059.75</v>
      </c>
      <c r="D24">
        <f t="shared" si="1"/>
        <v>646.19999999999993</v>
      </c>
      <c r="E24">
        <f t="shared" si="2"/>
        <v>413.55000000000007</v>
      </c>
    </row>
    <row r="25" spans="1:5" ht="16" thickBot="1" x14ac:dyDescent="0.25">
      <c r="A25">
        <v>9</v>
      </c>
      <c r="B25" s="6" t="s">
        <v>9</v>
      </c>
      <c r="C25">
        <f t="shared" si="0"/>
        <v>2117.88</v>
      </c>
      <c r="D25">
        <f t="shared" si="1"/>
        <v>1062.03</v>
      </c>
      <c r="E25">
        <f t="shared" si="2"/>
        <v>1055.8500000000001</v>
      </c>
    </row>
    <row r="26" spans="1:5" ht="16" thickBot="1" x14ac:dyDescent="0.25">
      <c r="A26">
        <v>10</v>
      </c>
      <c r="B26" s="6" t="s">
        <v>10</v>
      </c>
      <c r="C26">
        <f>AVERAGE(S11:T11)</f>
        <v>1261.0349999999999</v>
      </c>
      <c r="D26">
        <f>AVERAGE(C11:E11)</f>
        <v>341.19</v>
      </c>
      <c r="E26">
        <f t="shared" si="2"/>
        <v>919.8449999999998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12.203635575598417</v>
      </c>
    </row>
    <row r="32" spans="1:5" x14ac:dyDescent="0.2">
      <c r="B32" s="13" t="s">
        <v>2</v>
      </c>
      <c r="E32" s="14">
        <f t="shared" ref="E32:E40" si="3">(E18/D18)*100</f>
        <v>-45.298521256931615</v>
      </c>
    </row>
    <row r="33" spans="2:5" x14ac:dyDescent="0.2">
      <c r="B33" s="13" t="s">
        <v>3</v>
      </c>
      <c r="E33" s="14">
        <f t="shared" si="3"/>
        <v>-75.233137780189224</v>
      </c>
    </row>
    <row r="34" spans="2:5" x14ac:dyDescent="0.2">
      <c r="B34" s="13" t="s">
        <v>4</v>
      </c>
      <c r="E34" s="14">
        <f t="shared" si="3"/>
        <v>-20.765090582223696</v>
      </c>
    </row>
    <row r="35" spans="2:5" x14ac:dyDescent="0.2">
      <c r="B35" s="13" t="s">
        <v>5</v>
      </c>
      <c r="E35" s="14">
        <f t="shared" si="3"/>
        <v>-59.785184377993019</v>
      </c>
    </row>
    <row r="36" spans="2:5" x14ac:dyDescent="0.2">
      <c r="B36" s="13" t="s">
        <v>6</v>
      </c>
      <c r="E36" s="14">
        <f t="shared" si="3"/>
        <v>50.810750777432268</v>
      </c>
    </row>
    <row r="37" spans="2:5" x14ac:dyDescent="0.2">
      <c r="B37" s="13" t="s">
        <v>7</v>
      </c>
      <c r="E37" s="14">
        <f t="shared" si="3"/>
        <v>77.115289041957737</v>
      </c>
    </row>
    <row r="38" spans="2:5" x14ac:dyDescent="0.2">
      <c r="B38" s="13" t="s">
        <v>8</v>
      </c>
      <c r="E38" s="14">
        <f t="shared" si="3"/>
        <v>63.997214484679688</v>
      </c>
    </row>
    <row r="39" spans="2:5" x14ac:dyDescent="0.2">
      <c r="B39" s="13" t="s">
        <v>9</v>
      </c>
      <c r="E39" s="14">
        <f t="shared" si="3"/>
        <v>99.418095534024474</v>
      </c>
    </row>
    <row r="40" spans="2:5" x14ac:dyDescent="0.2">
      <c r="B40" s="13" t="s">
        <v>10</v>
      </c>
      <c r="E40" s="14">
        <f t="shared" si="3"/>
        <v>269.59905038248479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D62E-D0D6-564A-B1C3-CCD8847D1317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126311.12999999999</v>
      </c>
      <c r="D2">
        <v>120361.95</v>
      </c>
      <c r="E2" s="7">
        <v>115882.56</v>
      </c>
      <c r="F2">
        <v>119703.78</v>
      </c>
      <c r="G2" s="7">
        <v>115646.49</v>
      </c>
      <c r="H2">
        <v>119788.37999999999</v>
      </c>
      <c r="I2" s="7">
        <v>115192.62</v>
      </c>
      <c r="J2">
        <v>117315.26999999999</v>
      </c>
      <c r="K2">
        <v>127437.20999999999</v>
      </c>
      <c r="L2" s="7">
        <v>129420.27</v>
      </c>
      <c r="M2">
        <v>119581.37999999999</v>
      </c>
      <c r="N2">
        <v>119885.31</v>
      </c>
      <c r="O2">
        <v>126144.26999999999</v>
      </c>
      <c r="P2">
        <v>121950.09</v>
      </c>
      <c r="Q2">
        <v>113112.36</v>
      </c>
      <c r="R2">
        <v>118601.81999999999</v>
      </c>
      <c r="S2" s="7">
        <v>121633.11</v>
      </c>
      <c r="T2">
        <v>124946.81999999999</v>
      </c>
    </row>
    <row r="3" spans="1:20" ht="16" thickBot="1" x14ac:dyDescent="0.25">
      <c r="A3">
        <v>2</v>
      </c>
      <c r="B3" s="6" t="s">
        <v>2</v>
      </c>
      <c r="C3">
        <v>497.43</v>
      </c>
      <c r="D3">
        <v>2981.6099999999997</v>
      </c>
      <c r="E3" s="7">
        <v>5274.63</v>
      </c>
      <c r="F3">
        <v>3162.24</v>
      </c>
      <c r="G3" s="7">
        <v>6570.18</v>
      </c>
      <c r="H3">
        <v>2130.2999999999997</v>
      </c>
      <c r="I3" s="7">
        <v>2132.5500000000002</v>
      </c>
      <c r="J3">
        <v>3271.41</v>
      </c>
      <c r="K3">
        <v>5703.12</v>
      </c>
      <c r="L3" s="7">
        <v>1037.97</v>
      </c>
      <c r="M3">
        <v>3713.1299999999997</v>
      </c>
      <c r="N3">
        <v>4595.3999999999996</v>
      </c>
      <c r="O3">
        <v>7964.19</v>
      </c>
      <c r="P3">
        <v>3303.0899999999997</v>
      </c>
      <c r="Q3">
        <v>17257.86</v>
      </c>
      <c r="R3">
        <v>2680.38</v>
      </c>
      <c r="S3" s="7">
        <v>4529.97</v>
      </c>
      <c r="T3">
        <v>5517.8099999999995</v>
      </c>
    </row>
    <row r="4" spans="1:20" ht="16" thickBot="1" x14ac:dyDescent="0.25">
      <c r="A4">
        <v>3</v>
      </c>
      <c r="B4" s="6" t="s">
        <v>3</v>
      </c>
      <c r="C4">
        <v>0</v>
      </c>
      <c r="D4">
        <v>64.8</v>
      </c>
      <c r="E4" s="7">
        <v>5917.32</v>
      </c>
      <c r="F4">
        <v>2241.9</v>
      </c>
      <c r="G4" s="7">
        <v>2296.98</v>
      </c>
      <c r="H4">
        <v>3245.49</v>
      </c>
      <c r="I4" s="7">
        <v>380.07</v>
      </c>
      <c r="J4">
        <v>997.29</v>
      </c>
      <c r="K4">
        <v>37.26</v>
      </c>
      <c r="L4" s="7">
        <v>54.45</v>
      </c>
      <c r="M4">
        <v>794.52</v>
      </c>
      <c r="N4">
        <v>2211.21</v>
      </c>
      <c r="O4">
        <v>60.93</v>
      </c>
      <c r="P4">
        <v>0</v>
      </c>
      <c r="Q4">
        <v>4420.3499999999995</v>
      </c>
      <c r="R4">
        <v>2.4299999999999997</v>
      </c>
      <c r="S4" s="7">
        <v>432.72</v>
      </c>
      <c r="T4">
        <v>553.41</v>
      </c>
    </row>
    <row r="5" spans="1:20" ht="16" thickBot="1" x14ac:dyDescent="0.25">
      <c r="A5">
        <v>4</v>
      </c>
      <c r="B5" s="6" t="s">
        <v>4</v>
      </c>
      <c r="C5">
        <v>46423.979999999996</v>
      </c>
      <c r="D5">
        <v>51481.89</v>
      </c>
      <c r="E5" s="7">
        <v>68228.460000000006</v>
      </c>
      <c r="F5">
        <v>50761.71</v>
      </c>
      <c r="G5" s="7">
        <v>60389.55</v>
      </c>
      <c r="H5">
        <v>32842.17</v>
      </c>
      <c r="I5" s="7">
        <v>66309.03</v>
      </c>
      <c r="J5">
        <v>54724.59</v>
      </c>
      <c r="K5">
        <v>53918.009999999995</v>
      </c>
      <c r="L5" s="7">
        <v>35726.85</v>
      </c>
      <c r="M5">
        <v>47743.92</v>
      </c>
      <c r="N5">
        <v>36638.46</v>
      </c>
      <c r="O5">
        <v>31527.539999999997</v>
      </c>
      <c r="P5">
        <v>45004.14</v>
      </c>
      <c r="Q5">
        <v>39315.24</v>
      </c>
      <c r="R5">
        <v>52012.079999999994</v>
      </c>
      <c r="S5" s="7">
        <v>40191.75</v>
      </c>
      <c r="T5">
        <v>56410.38</v>
      </c>
    </row>
    <row r="6" spans="1:20" ht="16" thickBot="1" x14ac:dyDescent="0.25">
      <c r="A6">
        <v>5</v>
      </c>
      <c r="B6" s="6" t="s">
        <v>5</v>
      </c>
      <c r="C6">
        <v>63955.71</v>
      </c>
      <c r="D6">
        <v>74640.87</v>
      </c>
      <c r="E6" s="7">
        <v>75166.2</v>
      </c>
      <c r="F6">
        <v>42545.7</v>
      </c>
      <c r="G6" s="7">
        <v>69695.37</v>
      </c>
      <c r="H6">
        <v>43116.119999999995</v>
      </c>
      <c r="I6" s="7">
        <v>52158.96</v>
      </c>
      <c r="J6">
        <v>39715.65</v>
      </c>
      <c r="K6">
        <v>44248.77</v>
      </c>
      <c r="L6" s="7">
        <v>30447.9</v>
      </c>
      <c r="M6">
        <v>34270.74</v>
      </c>
      <c r="N6">
        <v>40041.449999999997</v>
      </c>
      <c r="O6">
        <v>35971.83</v>
      </c>
      <c r="P6">
        <v>44664.75</v>
      </c>
      <c r="Q6">
        <v>34018.559999999998</v>
      </c>
      <c r="R6">
        <v>45711.18</v>
      </c>
      <c r="S6" s="7">
        <v>34275.599999999999</v>
      </c>
      <c r="T6">
        <v>29648.25</v>
      </c>
    </row>
    <row r="7" spans="1:20" ht="16" thickBot="1" x14ac:dyDescent="0.25">
      <c r="A7">
        <v>6</v>
      </c>
      <c r="B7" s="6" t="s">
        <v>6</v>
      </c>
      <c r="C7">
        <v>20510.099999999999</v>
      </c>
      <c r="D7">
        <v>7020.36</v>
      </c>
      <c r="E7" s="7">
        <v>10317.780000000001</v>
      </c>
      <c r="F7">
        <v>14805.269999999999</v>
      </c>
      <c r="G7" s="7">
        <v>17211.509999999998</v>
      </c>
      <c r="H7">
        <v>19895.219999999998</v>
      </c>
      <c r="I7" s="7">
        <v>15649.92</v>
      </c>
      <c r="J7">
        <v>15964.74</v>
      </c>
      <c r="K7">
        <v>15688.349999999999</v>
      </c>
      <c r="L7" s="7">
        <v>17196.21</v>
      </c>
      <c r="M7">
        <v>12808.17</v>
      </c>
      <c r="N7">
        <v>20201.579999999998</v>
      </c>
      <c r="O7">
        <v>12836.34</v>
      </c>
      <c r="P7">
        <v>18046.53</v>
      </c>
      <c r="Q7">
        <v>14117.13</v>
      </c>
      <c r="R7">
        <v>29173.95</v>
      </c>
      <c r="S7" s="7">
        <v>27641.07</v>
      </c>
      <c r="T7">
        <v>23562.629999999997</v>
      </c>
    </row>
    <row r="8" spans="1:20" ht="16" thickBot="1" x14ac:dyDescent="0.25">
      <c r="A8">
        <v>7</v>
      </c>
      <c r="B8" s="6" t="s">
        <v>7</v>
      </c>
      <c r="C8">
        <v>74745.899999999994</v>
      </c>
      <c r="D8">
        <v>75839.67</v>
      </c>
      <c r="E8" s="7">
        <v>50818.59</v>
      </c>
      <c r="F8">
        <v>98504.099999999991</v>
      </c>
      <c r="G8" s="7">
        <v>60614.37</v>
      </c>
      <c r="H8">
        <v>111263.48999999999</v>
      </c>
      <c r="I8" s="7">
        <v>80480.160000000003</v>
      </c>
      <c r="J8">
        <v>99950.67</v>
      </c>
      <c r="K8">
        <v>85191.93</v>
      </c>
      <c r="L8" s="7">
        <v>117957.69</v>
      </c>
      <c r="M8">
        <v>113332.40999999999</v>
      </c>
      <c r="N8">
        <v>108482.48999999999</v>
      </c>
      <c r="O8">
        <v>116737.92</v>
      </c>
      <c r="P8">
        <v>99005.67</v>
      </c>
      <c r="Q8">
        <v>109955.15999999999</v>
      </c>
      <c r="R8">
        <v>83520.27</v>
      </c>
      <c r="S8" s="7">
        <v>102521.34</v>
      </c>
      <c r="T8">
        <v>90506.61</v>
      </c>
    </row>
    <row r="9" spans="1:20" ht="16" thickBot="1" x14ac:dyDescent="0.25">
      <c r="A9">
        <v>8</v>
      </c>
      <c r="B9" s="6" t="s">
        <v>8</v>
      </c>
      <c r="C9">
        <v>18.54</v>
      </c>
      <c r="D9">
        <v>53.19</v>
      </c>
      <c r="E9" s="7">
        <v>13.5</v>
      </c>
      <c r="F9">
        <v>395.28</v>
      </c>
      <c r="G9" s="7">
        <v>3.15</v>
      </c>
      <c r="H9">
        <v>84.42</v>
      </c>
      <c r="I9" s="7">
        <v>1.08</v>
      </c>
      <c r="J9">
        <v>44.55</v>
      </c>
      <c r="K9">
        <v>21.24</v>
      </c>
      <c r="L9" s="7">
        <v>531.63</v>
      </c>
      <c r="M9">
        <v>6.3</v>
      </c>
      <c r="N9">
        <v>14.129999999999999</v>
      </c>
      <c r="O9">
        <v>0</v>
      </c>
      <c r="P9">
        <v>0</v>
      </c>
      <c r="Q9">
        <v>89.19</v>
      </c>
      <c r="R9">
        <v>0</v>
      </c>
      <c r="S9" s="7">
        <v>8.4600000000000009</v>
      </c>
      <c r="T9">
        <v>13.32</v>
      </c>
    </row>
    <row r="10" spans="1:20" ht="16" thickBot="1" x14ac:dyDescent="0.25">
      <c r="A10">
        <v>9</v>
      </c>
      <c r="B10" s="6" t="s">
        <v>9</v>
      </c>
      <c r="C10">
        <v>89.82</v>
      </c>
      <c r="D10">
        <v>79.56</v>
      </c>
      <c r="E10" s="7">
        <v>127.08</v>
      </c>
      <c r="F10">
        <v>88.92</v>
      </c>
      <c r="G10" s="7">
        <v>68.400000000000006</v>
      </c>
      <c r="H10">
        <v>50.85</v>
      </c>
      <c r="I10" s="7">
        <v>64.8</v>
      </c>
      <c r="J10">
        <v>196.47</v>
      </c>
      <c r="K10">
        <v>165.96</v>
      </c>
      <c r="L10" s="7">
        <v>166.41</v>
      </c>
      <c r="M10">
        <v>92.7</v>
      </c>
      <c r="N10">
        <v>114.47999999999999</v>
      </c>
      <c r="O10">
        <v>123.92999999999999</v>
      </c>
      <c r="P10">
        <v>131.57999999999998</v>
      </c>
      <c r="Q10">
        <v>76.319999999999993</v>
      </c>
      <c r="R10">
        <v>77.759999999999991</v>
      </c>
      <c r="S10" s="7">
        <v>120.6</v>
      </c>
      <c r="T10">
        <v>164.51999999999998</v>
      </c>
    </row>
    <row r="11" spans="1:20" ht="16" thickBot="1" x14ac:dyDescent="0.25">
      <c r="A11">
        <v>10</v>
      </c>
      <c r="B11" s="6" t="s">
        <v>10</v>
      </c>
      <c r="C11">
        <v>1065.96</v>
      </c>
      <c r="D11">
        <v>1094.67</v>
      </c>
      <c r="E11" s="7">
        <v>1872.45</v>
      </c>
      <c r="F11">
        <v>1409.6699999999998</v>
      </c>
      <c r="G11" s="7">
        <v>1122.57</v>
      </c>
      <c r="H11">
        <v>1202.1299999999999</v>
      </c>
      <c r="I11" s="7">
        <v>1249.3800000000001</v>
      </c>
      <c r="J11">
        <v>1437.9299999999998</v>
      </c>
      <c r="K11">
        <v>1206.72</v>
      </c>
      <c r="L11" s="7">
        <v>1079.19</v>
      </c>
      <c r="M11">
        <v>1275.3</v>
      </c>
      <c r="N11">
        <v>1434.06</v>
      </c>
      <c r="O11">
        <v>2251.62</v>
      </c>
      <c r="P11">
        <v>1512.72</v>
      </c>
      <c r="Q11">
        <v>1256.3999999999999</v>
      </c>
      <c r="R11">
        <v>1838.7</v>
      </c>
      <c r="S11" s="7">
        <v>2263.9499999999998</v>
      </c>
      <c r="T11">
        <v>2294.8199999999997</v>
      </c>
    </row>
    <row r="12" spans="1:20" x14ac:dyDescent="0.2">
      <c r="C12">
        <f>SUM(C2:C11)</f>
        <v>333618.57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123289.965</v>
      </c>
      <c r="D17">
        <f>AVERAGE(C2:E2)</f>
        <v>120851.88</v>
      </c>
      <c r="E17">
        <f>C17-D17</f>
        <v>2438.0849999999919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5023.8899999999994</v>
      </c>
      <c r="D18">
        <f t="shared" ref="D18:D25" si="1">AVERAGE(C3:E3)</f>
        <v>2917.89</v>
      </c>
      <c r="E18">
        <f t="shared" ref="E18:E26" si="2">C18-D18</f>
        <v>2105.9999999999995</v>
      </c>
    </row>
    <row r="19" spans="1:5" ht="16" thickBot="1" x14ac:dyDescent="0.25">
      <c r="A19">
        <v>3</v>
      </c>
      <c r="B19" s="6" t="s">
        <v>3</v>
      </c>
      <c r="C19">
        <f t="shared" si="0"/>
        <v>493.065</v>
      </c>
      <c r="D19">
        <f t="shared" si="1"/>
        <v>1994.04</v>
      </c>
      <c r="E19">
        <f t="shared" si="2"/>
        <v>-1500.9749999999999</v>
      </c>
    </row>
    <row r="20" spans="1:5" ht="16" thickBot="1" x14ac:dyDescent="0.25">
      <c r="A20">
        <v>4</v>
      </c>
      <c r="B20" s="6" t="s">
        <v>4</v>
      </c>
      <c r="C20">
        <f t="shared" si="0"/>
        <v>48301.065000000002</v>
      </c>
      <c r="D20">
        <f t="shared" si="1"/>
        <v>55378.110000000008</v>
      </c>
      <c r="E20">
        <f t="shared" si="2"/>
        <v>-7077.0450000000055</v>
      </c>
    </row>
    <row r="21" spans="1:5" ht="16" thickBot="1" x14ac:dyDescent="0.25">
      <c r="A21">
        <v>5</v>
      </c>
      <c r="B21" s="6" t="s">
        <v>5</v>
      </c>
      <c r="C21">
        <f t="shared" si="0"/>
        <v>31961.924999999999</v>
      </c>
      <c r="D21">
        <f t="shared" si="1"/>
        <v>71254.259999999995</v>
      </c>
      <c r="E21">
        <f t="shared" si="2"/>
        <v>-39292.334999999992</v>
      </c>
    </row>
    <row r="22" spans="1:5" ht="16" thickBot="1" x14ac:dyDescent="0.25">
      <c r="A22">
        <v>6</v>
      </c>
      <c r="B22" s="6" t="s">
        <v>6</v>
      </c>
      <c r="C22">
        <f t="shared" si="0"/>
        <v>25601.85</v>
      </c>
      <c r="D22">
        <f t="shared" si="1"/>
        <v>12616.08</v>
      </c>
      <c r="E22">
        <f t="shared" si="2"/>
        <v>12985.769999999999</v>
      </c>
    </row>
    <row r="23" spans="1:5" ht="16" thickBot="1" x14ac:dyDescent="0.25">
      <c r="A23">
        <v>7</v>
      </c>
      <c r="B23" s="6" t="s">
        <v>7</v>
      </c>
      <c r="C23">
        <f t="shared" si="0"/>
        <v>96513.975000000006</v>
      </c>
      <c r="D23">
        <f t="shared" si="1"/>
        <v>67134.720000000001</v>
      </c>
      <c r="E23">
        <f t="shared" si="2"/>
        <v>29379.255000000005</v>
      </c>
    </row>
    <row r="24" spans="1:5" ht="16" thickBot="1" x14ac:dyDescent="0.25">
      <c r="A24">
        <v>8</v>
      </c>
      <c r="B24" s="6" t="s">
        <v>8</v>
      </c>
      <c r="C24">
        <f t="shared" si="0"/>
        <v>10.89</v>
      </c>
      <c r="D24">
        <f t="shared" si="1"/>
        <v>28.409999999999997</v>
      </c>
      <c r="E24">
        <f t="shared" si="2"/>
        <v>-17.519999999999996</v>
      </c>
    </row>
    <row r="25" spans="1:5" ht="16" thickBot="1" x14ac:dyDescent="0.25">
      <c r="A25">
        <v>9</v>
      </c>
      <c r="B25" s="6" t="s">
        <v>9</v>
      </c>
      <c r="C25">
        <f t="shared" si="0"/>
        <v>142.56</v>
      </c>
      <c r="D25">
        <f t="shared" si="1"/>
        <v>98.82</v>
      </c>
      <c r="E25">
        <f t="shared" si="2"/>
        <v>43.740000000000009</v>
      </c>
    </row>
    <row r="26" spans="1:5" ht="16" thickBot="1" x14ac:dyDescent="0.25">
      <c r="A26">
        <v>10</v>
      </c>
      <c r="B26" s="6" t="s">
        <v>10</v>
      </c>
      <c r="C26">
        <f>AVERAGE(S11:T11)</f>
        <v>2279.3849999999998</v>
      </c>
      <c r="D26">
        <f>AVERAGE(C11:E11)</f>
        <v>1344.36</v>
      </c>
      <c r="E26">
        <f t="shared" si="2"/>
        <v>935.02499999999986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2.0174158647759488</v>
      </c>
    </row>
    <row r="32" spans="1:5" x14ac:dyDescent="0.2">
      <c r="B32" s="13" t="s">
        <v>2</v>
      </c>
      <c r="E32" s="14">
        <f t="shared" ref="E32:E40" si="3">(E18/D18)*100</f>
        <v>72.175441843249729</v>
      </c>
    </row>
    <row r="33" spans="2:5" x14ac:dyDescent="0.2">
      <c r="B33" s="13" t="s">
        <v>3</v>
      </c>
      <c r="E33" s="14">
        <f t="shared" si="3"/>
        <v>-75.273063729915151</v>
      </c>
    </row>
    <row r="34" spans="2:5" x14ac:dyDescent="0.2">
      <c r="B34" s="13" t="s">
        <v>4</v>
      </c>
      <c r="E34" s="14">
        <f t="shared" si="3"/>
        <v>-12.77949897531715</v>
      </c>
    </row>
    <row r="35" spans="2:5" x14ac:dyDescent="0.2">
      <c r="B35" s="13" t="s">
        <v>5</v>
      </c>
      <c r="E35" s="14">
        <f t="shared" si="3"/>
        <v>-55.143839820945438</v>
      </c>
    </row>
    <row r="36" spans="2:5" x14ac:dyDescent="0.2">
      <c r="B36" s="13" t="s">
        <v>6</v>
      </c>
      <c r="E36" s="14">
        <f t="shared" si="3"/>
        <v>102.93030798790114</v>
      </c>
    </row>
    <row r="37" spans="2:5" x14ac:dyDescent="0.2">
      <c r="B37" s="13" t="s">
        <v>7</v>
      </c>
      <c r="E37" s="14">
        <f t="shared" si="3"/>
        <v>43.761640772464688</v>
      </c>
    </row>
    <row r="38" spans="2:5" x14ac:dyDescent="0.2">
      <c r="B38" s="13" t="s">
        <v>8</v>
      </c>
      <c r="E38" s="14">
        <f t="shared" si="3"/>
        <v>-61.668426610348462</v>
      </c>
    </row>
    <row r="39" spans="2:5" x14ac:dyDescent="0.2">
      <c r="B39" s="13" t="s">
        <v>9</v>
      </c>
      <c r="E39" s="14">
        <f t="shared" si="3"/>
        <v>44.262295081967224</v>
      </c>
    </row>
    <row r="40" spans="2:5" x14ac:dyDescent="0.2">
      <c r="B40" s="13" t="s">
        <v>10</v>
      </c>
      <c r="E40" s="14">
        <f t="shared" si="3"/>
        <v>69.551682585021865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817B-8320-1447-A7D2-22ECA0E125C2}">
  <dimension ref="A1:T40"/>
  <sheetViews>
    <sheetView workbookViewId="0">
      <selection activeCell="J40" sqref="J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99035.37</v>
      </c>
      <c r="D2" s="7">
        <v>126438.39</v>
      </c>
      <c r="E2" s="7">
        <v>98185.05</v>
      </c>
      <c r="F2">
        <v>87320.51999999999</v>
      </c>
      <c r="G2">
        <v>86460.479999999996</v>
      </c>
      <c r="H2" s="7">
        <v>69054.210000000006</v>
      </c>
      <c r="I2">
        <v>112856.22</v>
      </c>
      <c r="J2">
        <v>75371.849999999991</v>
      </c>
      <c r="K2" s="7">
        <v>133540.01999999999</v>
      </c>
      <c r="L2">
        <v>111942.9</v>
      </c>
      <c r="M2">
        <v>86417.37</v>
      </c>
      <c r="N2">
        <v>117244.53</v>
      </c>
      <c r="O2">
        <v>80179.649999999994</v>
      </c>
      <c r="P2" s="7">
        <v>105772.95</v>
      </c>
      <c r="Q2" s="7">
        <v>78859.8</v>
      </c>
      <c r="R2">
        <v>160211.16</v>
      </c>
      <c r="S2">
        <v>194132.88</v>
      </c>
      <c r="T2">
        <v>183308.13</v>
      </c>
    </row>
    <row r="3" spans="1:20" ht="16" thickBot="1" x14ac:dyDescent="0.25">
      <c r="A3">
        <v>2</v>
      </c>
      <c r="B3" s="6" t="s">
        <v>2</v>
      </c>
      <c r="C3">
        <v>82281.87</v>
      </c>
      <c r="D3" s="7">
        <v>81787.320000000007</v>
      </c>
      <c r="E3" s="7">
        <v>91193.76</v>
      </c>
      <c r="F3">
        <v>94115.79</v>
      </c>
      <c r="G3">
        <v>102726.98999999999</v>
      </c>
      <c r="H3" s="7">
        <v>122127.75</v>
      </c>
      <c r="I3">
        <v>101025.98999999999</v>
      </c>
      <c r="J3">
        <v>121789.89</v>
      </c>
      <c r="K3" s="7">
        <v>149977.98000000001</v>
      </c>
      <c r="L3">
        <v>178009.74</v>
      </c>
      <c r="M3">
        <v>123761.79</v>
      </c>
      <c r="N3">
        <v>133219.79999999999</v>
      </c>
      <c r="O3">
        <v>136677.96</v>
      </c>
      <c r="P3" s="7">
        <v>158900.31</v>
      </c>
      <c r="Q3" s="7">
        <v>151218.72</v>
      </c>
      <c r="R3">
        <v>121495.67999999999</v>
      </c>
      <c r="S3">
        <v>74965.14</v>
      </c>
      <c r="T3">
        <v>106348.14</v>
      </c>
    </row>
    <row r="4" spans="1:20" ht="16" thickBot="1" x14ac:dyDescent="0.25">
      <c r="A4">
        <v>3</v>
      </c>
      <c r="B4" s="6" t="s">
        <v>3</v>
      </c>
      <c r="C4">
        <v>2126.9699999999998</v>
      </c>
      <c r="D4" s="7">
        <v>35754.300000000003</v>
      </c>
      <c r="E4" s="7">
        <v>19390.95</v>
      </c>
      <c r="F4">
        <v>37795.86</v>
      </c>
      <c r="G4">
        <v>25581.78</v>
      </c>
      <c r="H4" s="7">
        <v>29707.47</v>
      </c>
      <c r="I4">
        <v>24895.89</v>
      </c>
      <c r="J4">
        <v>23269.05</v>
      </c>
      <c r="K4" s="7">
        <v>7780.68</v>
      </c>
      <c r="L4">
        <v>12329.369999999999</v>
      </c>
      <c r="M4">
        <v>21919.68</v>
      </c>
      <c r="N4">
        <v>5214.0599999999995</v>
      </c>
      <c r="O4">
        <v>12115.35</v>
      </c>
      <c r="P4" s="7">
        <v>12737.79</v>
      </c>
      <c r="Q4" s="7">
        <v>8995.86</v>
      </c>
      <c r="R4">
        <v>5199.57</v>
      </c>
      <c r="S4">
        <v>23395.41</v>
      </c>
      <c r="T4">
        <v>24399.899999999998</v>
      </c>
    </row>
    <row r="5" spans="1:20" ht="16" thickBot="1" x14ac:dyDescent="0.25">
      <c r="A5">
        <v>4</v>
      </c>
      <c r="B5" s="6" t="s">
        <v>4</v>
      </c>
      <c r="C5">
        <v>1509303.69</v>
      </c>
      <c r="D5" s="7">
        <v>1414391.85</v>
      </c>
      <c r="E5" s="7">
        <v>1428399.72</v>
      </c>
      <c r="F5">
        <v>1423707.75</v>
      </c>
      <c r="G5">
        <v>1387843.38</v>
      </c>
      <c r="H5" s="7">
        <v>1384972.2</v>
      </c>
      <c r="I5">
        <v>1414050.03</v>
      </c>
      <c r="J5">
        <v>1440205.47</v>
      </c>
      <c r="K5" s="7">
        <v>1416396.6</v>
      </c>
      <c r="L5">
        <v>1218972.69</v>
      </c>
      <c r="M5">
        <v>1471634.0999999999</v>
      </c>
      <c r="N5">
        <v>1272949.56</v>
      </c>
      <c r="O5">
        <v>1458081.63</v>
      </c>
      <c r="P5" s="7">
        <v>1308673.98</v>
      </c>
      <c r="Q5" s="7">
        <v>1348421.67</v>
      </c>
      <c r="R5">
        <v>1410796.71</v>
      </c>
      <c r="S5">
        <v>1306850.04</v>
      </c>
      <c r="T5">
        <v>1306222.29</v>
      </c>
    </row>
    <row r="6" spans="1:20" ht="16" thickBot="1" x14ac:dyDescent="0.25">
      <c r="A6">
        <v>5</v>
      </c>
      <c r="B6" s="6" t="s">
        <v>5</v>
      </c>
      <c r="C6">
        <v>276496.11</v>
      </c>
      <c r="D6" s="7">
        <v>319261.23</v>
      </c>
      <c r="E6" s="7">
        <v>343473.66</v>
      </c>
      <c r="F6">
        <v>311078.78999999998</v>
      </c>
      <c r="G6">
        <v>357933.06</v>
      </c>
      <c r="H6" s="7">
        <v>342111.42</v>
      </c>
      <c r="I6">
        <v>326814.20999999996</v>
      </c>
      <c r="J6">
        <v>312125.49</v>
      </c>
      <c r="K6" s="7">
        <v>256392.99</v>
      </c>
      <c r="L6">
        <v>434065.95</v>
      </c>
      <c r="M6">
        <v>244296.44999999998</v>
      </c>
      <c r="N6">
        <v>421552.52999999997</v>
      </c>
      <c r="O6">
        <v>312491.61</v>
      </c>
      <c r="P6" s="7">
        <v>380875.14</v>
      </c>
      <c r="Q6" s="7">
        <v>367348.41</v>
      </c>
      <c r="R6">
        <v>295522.74</v>
      </c>
      <c r="S6">
        <v>389087.45999999996</v>
      </c>
      <c r="T6">
        <v>386120.07</v>
      </c>
    </row>
    <row r="7" spans="1:20" ht="16" thickBot="1" x14ac:dyDescent="0.25">
      <c r="A7">
        <v>6</v>
      </c>
      <c r="B7" s="6" t="s">
        <v>6</v>
      </c>
      <c r="C7">
        <v>0</v>
      </c>
      <c r="D7" s="7">
        <v>0</v>
      </c>
      <c r="E7" s="7">
        <v>0</v>
      </c>
      <c r="F7">
        <v>0</v>
      </c>
      <c r="G7">
        <v>0</v>
      </c>
      <c r="H7" s="7">
        <v>0</v>
      </c>
      <c r="I7">
        <v>0</v>
      </c>
      <c r="J7">
        <v>0</v>
      </c>
      <c r="K7" s="7">
        <v>0</v>
      </c>
      <c r="L7">
        <v>0</v>
      </c>
      <c r="M7">
        <v>0</v>
      </c>
      <c r="N7">
        <v>0</v>
      </c>
      <c r="O7">
        <v>0</v>
      </c>
      <c r="P7" s="7">
        <v>0</v>
      </c>
      <c r="Q7" s="7">
        <v>0</v>
      </c>
      <c r="R7">
        <v>0</v>
      </c>
      <c r="S7">
        <v>0</v>
      </c>
      <c r="T7">
        <v>0</v>
      </c>
    </row>
    <row r="8" spans="1:20" ht="16" thickBot="1" x14ac:dyDescent="0.25">
      <c r="A8">
        <v>7</v>
      </c>
      <c r="B8" s="6" t="s">
        <v>7</v>
      </c>
      <c r="C8">
        <v>0</v>
      </c>
      <c r="D8" s="7">
        <v>0</v>
      </c>
      <c r="E8" s="7">
        <v>63.81</v>
      </c>
      <c r="F8">
        <v>62.46</v>
      </c>
      <c r="G8">
        <v>21.33</v>
      </c>
      <c r="H8" s="7">
        <v>29.43</v>
      </c>
      <c r="I8">
        <v>6.66</v>
      </c>
      <c r="J8">
        <v>4.8599999999999994</v>
      </c>
      <c r="K8" s="7">
        <v>0</v>
      </c>
      <c r="L8">
        <v>40.049999999999997</v>
      </c>
      <c r="M8">
        <v>29.97</v>
      </c>
      <c r="N8">
        <v>16.649999999999999</v>
      </c>
      <c r="O8">
        <v>23.04</v>
      </c>
      <c r="P8" s="7">
        <v>0.99</v>
      </c>
      <c r="Q8" s="7">
        <v>90.99</v>
      </c>
      <c r="R8">
        <v>1.53</v>
      </c>
      <c r="S8">
        <v>62.73</v>
      </c>
      <c r="T8">
        <v>2225.3399999999997</v>
      </c>
    </row>
    <row r="9" spans="1:20" ht="16" thickBot="1" x14ac:dyDescent="0.25">
      <c r="A9">
        <v>8</v>
      </c>
      <c r="B9" s="6" t="s">
        <v>8</v>
      </c>
      <c r="C9">
        <v>3.78</v>
      </c>
      <c r="D9" s="7">
        <v>27</v>
      </c>
      <c r="E9" s="7">
        <v>0.99</v>
      </c>
      <c r="F9">
        <v>164.34</v>
      </c>
      <c r="G9">
        <v>136.62</v>
      </c>
      <c r="H9" s="7">
        <v>139.59</v>
      </c>
      <c r="I9">
        <v>0</v>
      </c>
      <c r="J9">
        <v>77.58</v>
      </c>
      <c r="K9" s="7">
        <v>213.84</v>
      </c>
      <c r="L9">
        <v>8.1</v>
      </c>
      <c r="M9">
        <v>1.44</v>
      </c>
      <c r="N9">
        <v>29.16</v>
      </c>
      <c r="O9">
        <v>466.56</v>
      </c>
      <c r="P9" s="7">
        <v>121.23</v>
      </c>
      <c r="Q9" s="7">
        <v>437.31</v>
      </c>
      <c r="R9">
        <v>0.09</v>
      </c>
      <c r="S9">
        <v>1.44</v>
      </c>
      <c r="T9">
        <v>31.41</v>
      </c>
    </row>
    <row r="10" spans="1:20" ht="16" thickBot="1" x14ac:dyDescent="0.25">
      <c r="A10">
        <v>9</v>
      </c>
      <c r="B10" s="6" t="s">
        <v>9</v>
      </c>
      <c r="C10">
        <v>636.03</v>
      </c>
      <c r="D10" s="7">
        <v>398.88</v>
      </c>
      <c r="E10" s="7">
        <v>93.78</v>
      </c>
      <c r="F10">
        <v>280.08</v>
      </c>
      <c r="G10">
        <v>247.59</v>
      </c>
      <c r="H10" s="7">
        <v>362.61</v>
      </c>
      <c r="I10">
        <v>238.04999999999998</v>
      </c>
      <c r="J10">
        <v>438.93</v>
      </c>
      <c r="K10" s="7">
        <v>1772.91</v>
      </c>
      <c r="L10">
        <v>1005.39</v>
      </c>
      <c r="M10">
        <v>227.25</v>
      </c>
      <c r="N10">
        <v>493.10999999999996</v>
      </c>
      <c r="O10">
        <v>1025.6399999999999</v>
      </c>
      <c r="P10" s="7">
        <v>1565.1</v>
      </c>
      <c r="Q10" s="7">
        <v>498.78</v>
      </c>
      <c r="R10">
        <v>234.98999999999998</v>
      </c>
      <c r="S10">
        <v>281.25</v>
      </c>
      <c r="T10">
        <v>453.06</v>
      </c>
    </row>
    <row r="11" spans="1:20" ht="16" thickBot="1" x14ac:dyDescent="0.25">
      <c r="A11">
        <v>10</v>
      </c>
      <c r="B11" s="6" t="s">
        <v>10</v>
      </c>
      <c r="C11">
        <v>132394.76999999999</v>
      </c>
      <c r="D11" s="7">
        <v>124219.62</v>
      </c>
      <c r="E11" s="7">
        <v>121476.87</v>
      </c>
      <c r="F11">
        <v>147753</v>
      </c>
      <c r="G11">
        <v>141327.35999999999</v>
      </c>
      <c r="H11" s="7">
        <v>153773.91</v>
      </c>
      <c r="I11">
        <v>122391.54</v>
      </c>
      <c r="J11">
        <v>128995.47</v>
      </c>
      <c r="K11" s="7">
        <v>136203.57</v>
      </c>
      <c r="L11">
        <v>145904.4</v>
      </c>
      <c r="M11">
        <v>153990.54</v>
      </c>
      <c r="N11">
        <v>151559.19</v>
      </c>
      <c r="O11">
        <v>101217.15</v>
      </c>
      <c r="P11" s="7">
        <v>133631.1</v>
      </c>
      <c r="Q11" s="7">
        <v>146407.04999999999</v>
      </c>
      <c r="R11">
        <v>108816.12</v>
      </c>
      <c r="S11">
        <v>113502.23999999999</v>
      </c>
      <c r="T11">
        <v>93170.25</v>
      </c>
    </row>
    <row r="12" spans="1:20" x14ac:dyDescent="0.2">
      <c r="C12">
        <f>SUM(C2:C11)</f>
        <v>2102278.59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188720.505</v>
      </c>
      <c r="D17">
        <f>AVERAGE(C2:E2)</f>
        <v>107886.27</v>
      </c>
      <c r="E17">
        <f>C17-D17</f>
        <v>80834.235000000001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90656.639999999999</v>
      </c>
      <c r="D18">
        <f t="shared" ref="D18:D25" si="1">AVERAGE(C3:E3)</f>
        <v>85087.650000000009</v>
      </c>
      <c r="E18">
        <f t="shared" ref="E18:E26" si="2">C18-D18</f>
        <v>5568.9899999999907</v>
      </c>
    </row>
    <row r="19" spans="1:5" ht="16" thickBot="1" x14ac:dyDescent="0.25">
      <c r="A19">
        <v>3</v>
      </c>
      <c r="B19" s="6" t="s">
        <v>3</v>
      </c>
      <c r="C19">
        <f t="shared" si="0"/>
        <v>23897.654999999999</v>
      </c>
      <c r="D19">
        <f t="shared" si="1"/>
        <v>19090.740000000002</v>
      </c>
      <c r="E19">
        <f t="shared" si="2"/>
        <v>4806.9149999999972</v>
      </c>
    </row>
    <row r="20" spans="1:5" ht="16" thickBot="1" x14ac:dyDescent="0.25">
      <c r="A20">
        <v>4</v>
      </c>
      <c r="B20" s="6" t="s">
        <v>4</v>
      </c>
      <c r="C20">
        <f t="shared" si="0"/>
        <v>1306536.165</v>
      </c>
      <c r="D20">
        <f t="shared" si="1"/>
        <v>1450698.42</v>
      </c>
      <c r="E20">
        <f t="shared" si="2"/>
        <v>-144162.25499999989</v>
      </c>
    </row>
    <row r="21" spans="1:5" ht="16" thickBot="1" x14ac:dyDescent="0.25">
      <c r="A21">
        <v>5</v>
      </c>
      <c r="B21" s="6" t="s">
        <v>5</v>
      </c>
      <c r="C21">
        <f t="shared" si="0"/>
        <v>387603.76500000001</v>
      </c>
      <c r="D21">
        <f t="shared" si="1"/>
        <v>313077</v>
      </c>
      <c r="E21">
        <f t="shared" si="2"/>
        <v>74526.765000000014</v>
      </c>
    </row>
    <row r="22" spans="1:5" ht="16" thickBot="1" x14ac:dyDescent="0.25">
      <c r="A22">
        <v>6</v>
      </c>
      <c r="B22" s="6" t="s">
        <v>6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ht="16" thickBot="1" x14ac:dyDescent="0.25">
      <c r="A23">
        <v>7</v>
      </c>
      <c r="B23" s="6" t="s">
        <v>7</v>
      </c>
      <c r="C23">
        <f t="shared" si="0"/>
        <v>1144.0349999999999</v>
      </c>
      <c r="D23">
        <f t="shared" si="1"/>
        <v>21.27</v>
      </c>
      <c r="E23">
        <f t="shared" si="2"/>
        <v>1122.7649999999999</v>
      </c>
    </row>
    <row r="24" spans="1:5" ht="16" thickBot="1" x14ac:dyDescent="0.25">
      <c r="A24">
        <v>8</v>
      </c>
      <c r="B24" s="6" t="s">
        <v>8</v>
      </c>
      <c r="C24">
        <f t="shared" si="0"/>
        <v>16.425000000000001</v>
      </c>
      <c r="D24">
        <f t="shared" si="1"/>
        <v>10.59</v>
      </c>
      <c r="E24">
        <f t="shared" si="2"/>
        <v>5.8350000000000009</v>
      </c>
    </row>
    <row r="25" spans="1:5" ht="16" thickBot="1" x14ac:dyDescent="0.25">
      <c r="A25">
        <v>9</v>
      </c>
      <c r="B25" s="6" t="s">
        <v>9</v>
      </c>
      <c r="C25">
        <f t="shared" si="0"/>
        <v>367.15499999999997</v>
      </c>
      <c r="D25">
        <f t="shared" si="1"/>
        <v>376.22999999999996</v>
      </c>
      <c r="E25">
        <f t="shared" si="2"/>
        <v>-9.0749999999999886</v>
      </c>
    </row>
    <row r="26" spans="1:5" ht="16" thickBot="1" x14ac:dyDescent="0.25">
      <c r="A26">
        <v>10</v>
      </c>
      <c r="B26" s="6" t="s">
        <v>10</v>
      </c>
      <c r="C26">
        <f>AVERAGE(S11:T11)</f>
        <v>103336.245</v>
      </c>
      <c r="D26">
        <f>AVERAGE(C11:E11)</f>
        <v>126030.42</v>
      </c>
      <c r="E26">
        <f t="shared" si="2"/>
        <v>-22694.175000000003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74.925414512893994</v>
      </c>
    </row>
    <row r="32" spans="1:5" x14ac:dyDescent="0.2">
      <c r="B32" s="13" t="s">
        <v>2</v>
      </c>
      <c r="E32" s="14">
        <f t="shared" ref="E32:E40" si="3">(E18/D18)*100</f>
        <v>6.545003887168102</v>
      </c>
    </row>
    <row r="33" spans="2:5" x14ac:dyDescent="0.2">
      <c r="B33" s="13" t="s">
        <v>3</v>
      </c>
      <c r="E33" s="14">
        <f t="shared" si="3"/>
        <v>25.179301588099761</v>
      </c>
    </row>
    <row r="34" spans="2:5" x14ac:dyDescent="0.2">
      <c r="B34" s="13" t="s">
        <v>4</v>
      </c>
      <c r="E34" s="14">
        <f t="shared" si="3"/>
        <v>-9.9374379273122724</v>
      </c>
    </row>
    <row r="35" spans="2:5" x14ac:dyDescent="0.2">
      <c r="B35" s="13" t="s">
        <v>5</v>
      </c>
      <c r="E35" s="14">
        <f t="shared" si="3"/>
        <v>23.804611964468808</v>
      </c>
    </row>
    <row r="36" spans="2:5" x14ac:dyDescent="0.2">
      <c r="B36" s="13" t="s">
        <v>6</v>
      </c>
      <c r="E36" s="14">
        <v>0</v>
      </c>
    </row>
    <row r="37" spans="2:5" x14ac:dyDescent="0.2">
      <c r="B37" s="13" t="s">
        <v>7</v>
      </c>
      <c r="E37" s="14">
        <f t="shared" si="3"/>
        <v>5278.6318758815223</v>
      </c>
    </row>
    <row r="38" spans="2:5" x14ac:dyDescent="0.2">
      <c r="B38" s="13" t="s">
        <v>8</v>
      </c>
      <c r="E38" s="14">
        <f t="shared" si="3"/>
        <v>55.099150141643072</v>
      </c>
    </row>
    <row r="39" spans="2:5" x14ac:dyDescent="0.2">
      <c r="B39" s="13" t="s">
        <v>9</v>
      </c>
      <c r="E39" s="14">
        <f t="shared" si="3"/>
        <v>-2.4120883502113042</v>
      </c>
    </row>
    <row r="40" spans="2:5" x14ac:dyDescent="0.2">
      <c r="B40" s="13" t="s">
        <v>10</v>
      </c>
      <c r="E40" s="14">
        <f t="shared" si="3"/>
        <v>-18.006902619224789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80DA-7DA6-C94B-8460-71FC5DC66972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801.71999999999991</v>
      </c>
      <c r="D2" s="7">
        <v>212.58</v>
      </c>
      <c r="E2" s="7">
        <v>2.7</v>
      </c>
      <c r="F2">
        <v>107.91</v>
      </c>
      <c r="G2">
        <v>2.79</v>
      </c>
      <c r="H2">
        <v>448.02</v>
      </c>
      <c r="I2" s="7">
        <v>17.73</v>
      </c>
      <c r="J2">
        <v>105.75</v>
      </c>
      <c r="K2">
        <v>7.83</v>
      </c>
      <c r="L2">
        <v>25.2</v>
      </c>
      <c r="M2">
        <v>26.459999999999997</v>
      </c>
      <c r="N2" s="7">
        <v>91.8</v>
      </c>
      <c r="O2" s="7">
        <v>112.14</v>
      </c>
      <c r="P2" s="7">
        <v>116.19</v>
      </c>
      <c r="Q2">
        <v>18.899999999999999</v>
      </c>
      <c r="R2" s="7">
        <v>734.22</v>
      </c>
      <c r="S2" s="7">
        <v>84.78</v>
      </c>
      <c r="T2">
        <v>318.42</v>
      </c>
    </row>
    <row r="3" spans="1:20" ht="16" thickBot="1" x14ac:dyDescent="0.25">
      <c r="A3">
        <v>2</v>
      </c>
      <c r="B3" s="6" t="s">
        <v>2</v>
      </c>
      <c r="C3">
        <v>392.03999999999996</v>
      </c>
      <c r="D3" s="7">
        <v>2116.71</v>
      </c>
      <c r="E3" s="7">
        <v>0.27</v>
      </c>
      <c r="F3">
        <v>12.059999999999999</v>
      </c>
      <c r="G3">
        <v>0.54</v>
      </c>
      <c r="H3">
        <v>4.2299999999999995</v>
      </c>
      <c r="I3" s="7">
        <v>7.29</v>
      </c>
      <c r="J3">
        <v>14.129999999999999</v>
      </c>
      <c r="K3">
        <v>2.79</v>
      </c>
      <c r="L3">
        <v>1.26</v>
      </c>
      <c r="M3">
        <v>1.53</v>
      </c>
      <c r="N3" s="7">
        <v>1.53</v>
      </c>
      <c r="O3" s="7">
        <v>2835.81</v>
      </c>
      <c r="P3" s="7">
        <v>40.68</v>
      </c>
      <c r="Q3">
        <v>1399.32</v>
      </c>
      <c r="R3" s="7">
        <v>36.99</v>
      </c>
      <c r="S3" s="7">
        <v>457.11</v>
      </c>
      <c r="T3">
        <v>931.41</v>
      </c>
    </row>
    <row r="4" spans="1:20" ht="16" thickBot="1" x14ac:dyDescent="0.25">
      <c r="A4">
        <v>3</v>
      </c>
      <c r="B4" s="6" t="s">
        <v>3</v>
      </c>
      <c r="C4">
        <v>0</v>
      </c>
      <c r="D4" s="7">
        <v>0.27</v>
      </c>
      <c r="E4" s="7">
        <v>0</v>
      </c>
      <c r="F4">
        <v>5.3999999999999995</v>
      </c>
      <c r="G4">
        <v>0.54</v>
      </c>
      <c r="H4">
        <v>2.16</v>
      </c>
      <c r="I4" s="7">
        <v>32.76</v>
      </c>
      <c r="J4">
        <v>4.68</v>
      </c>
      <c r="K4">
        <v>1.7999999999999998</v>
      </c>
      <c r="L4">
        <v>0</v>
      </c>
      <c r="M4">
        <v>0.63</v>
      </c>
      <c r="N4" s="7">
        <v>1.71</v>
      </c>
      <c r="O4" s="7">
        <v>160.11000000000001</v>
      </c>
      <c r="P4" s="7">
        <v>20.97</v>
      </c>
      <c r="Q4">
        <v>8.01</v>
      </c>
      <c r="R4" s="7">
        <v>0</v>
      </c>
      <c r="S4" s="7">
        <v>329.76</v>
      </c>
      <c r="T4">
        <v>142.56</v>
      </c>
    </row>
    <row r="5" spans="1:20" ht="16" thickBot="1" x14ac:dyDescent="0.25">
      <c r="A5">
        <v>4</v>
      </c>
      <c r="B5" s="6" t="s">
        <v>4</v>
      </c>
      <c r="C5">
        <v>107073.18</v>
      </c>
      <c r="D5" s="7">
        <v>62855.46</v>
      </c>
      <c r="E5" s="7">
        <v>70905.149999999994</v>
      </c>
      <c r="F5">
        <v>54517.229999999996</v>
      </c>
      <c r="G5">
        <v>58601.88</v>
      </c>
      <c r="H5">
        <v>67770.539999999994</v>
      </c>
      <c r="I5" s="7">
        <v>55576.800000000003</v>
      </c>
      <c r="J5">
        <v>22088.7</v>
      </c>
      <c r="K5">
        <v>56630.79</v>
      </c>
      <c r="L5">
        <v>28875.599999999999</v>
      </c>
      <c r="M5">
        <v>45979.11</v>
      </c>
      <c r="N5" s="7">
        <v>24272.37</v>
      </c>
      <c r="O5" s="7">
        <v>31744.53</v>
      </c>
      <c r="P5" s="7">
        <v>38193.480000000003</v>
      </c>
      <c r="Q5">
        <v>16012.71</v>
      </c>
      <c r="R5" s="7">
        <v>36065.160000000003</v>
      </c>
      <c r="S5" s="7">
        <v>35418.42</v>
      </c>
      <c r="T5">
        <v>33122.25</v>
      </c>
    </row>
    <row r="6" spans="1:20" ht="16" thickBot="1" x14ac:dyDescent="0.25">
      <c r="A6">
        <v>5</v>
      </c>
      <c r="B6" s="6" t="s">
        <v>5</v>
      </c>
      <c r="C6">
        <v>41958.54</v>
      </c>
      <c r="D6" s="7">
        <v>50043.87</v>
      </c>
      <c r="E6" s="7">
        <v>40636.17</v>
      </c>
      <c r="F6">
        <v>29545.02</v>
      </c>
      <c r="G6">
        <v>41514.21</v>
      </c>
      <c r="H6">
        <v>42967.26</v>
      </c>
      <c r="I6" s="7">
        <v>30353.13</v>
      </c>
      <c r="J6">
        <v>2498.58</v>
      </c>
      <c r="K6">
        <v>3434.04</v>
      </c>
      <c r="L6">
        <v>8473.14</v>
      </c>
      <c r="M6">
        <v>12906</v>
      </c>
      <c r="N6" s="7">
        <v>9810.18</v>
      </c>
      <c r="O6" s="7">
        <v>19311.21</v>
      </c>
      <c r="P6" s="7">
        <v>28146.42</v>
      </c>
      <c r="Q6">
        <v>14064.119999999999</v>
      </c>
      <c r="R6" s="7">
        <v>18616.59</v>
      </c>
      <c r="S6" s="7">
        <v>18031.59</v>
      </c>
      <c r="T6">
        <v>23540.04</v>
      </c>
    </row>
    <row r="7" spans="1:20" ht="16" thickBot="1" x14ac:dyDescent="0.25">
      <c r="A7">
        <v>6</v>
      </c>
      <c r="B7" s="6" t="s">
        <v>6</v>
      </c>
      <c r="C7">
        <v>361.97999999999996</v>
      </c>
      <c r="D7" s="7">
        <v>614.97</v>
      </c>
      <c r="E7" s="7">
        <v>1833.03</v>
      </c>
      <c r="F7">
        <v>3338.46</v>
      </c>
      <c r="G7">
        <v>1161.81</v>
      </c>
      <c r="H7">
        <v>6013.26</v>
      </c>
      <c r="I7" s="7">
        <v>1175.31</v>
      </c>
      <c r="J7">
        <v>6250.7699999999995</v>
      </c>
      <c r="K7">
        <v>4075.74</v>
      </c>
      <c r="L7">
        <v>444.69</v>
      </c>
      <c r="M7">
        <v>1720.71</v>
      </c>
      <c r="N7" s="7">
        <v>3543.93</v>
      </c>
      <c r="O7" s="7">
        <v>1928.25</v>
      </c>
      <c r="P7" s="7">
        <v>2731.86</v>
      </c>
      <c r="Q7">
        <v>1901.25</v>
      </c>
      <c r="R7" s="7">
        <v>1348.2</v>
      </c>
      <c r="S7" s="7">
        <v>811.08</v>
      </c>
      <c r="T7">
        <v>501.47999999999996</v>
      </c>
    </row>
    <row r="8" spans="1:20" ht="16" thickBot="1" x14ac:dyDescent="0.25">
      <c r="A8">
        <v>7</v>
      </c>
      <c r="B8" s="6" t="s">
        <v>7</v>
      </c>
      <c r="C8">
        <v>99685.26</v>
      </c>
      <c r="D8" s="7">
        <v>132993.72</v>
      </c>
      <c r="E8" s="7">
        <v>134155.79999999999</v>
      </c>
      <c r="F8">
        <v>157978.16999999998</v>
      </c>
      <c r="G8">
        <v>146553.66</v>
      </c>
      <c r="H8">
        <v>129526.47</v>
      </c>
      <c r="I8" s="7">
        <v>157433.76</v>
      </c>
      <c r="J8">
        <v>216052.38</v>
      </c>
      <c r="K8">
        <v>184623.21</v>
      </c>
      <c r="L8">
        <v>202745.97</v>
      </c>
      <c r="M8">
        <v>180900.72</v>
      </c>
      <c r="N8" s="7">
        <v>203474.07</v>
      </c>
      <c r="O8" s="7">
        <v>188200.17</v>
      </c>
      <c r="P8" s="7">
        <v>174070.62</v>
      </c>
      <c r="Q8">
        <v>209964.50999999998</v>
      </c>
      <c r="R8" s="7">
        <v>189732.78</v>
      </c>
      <c r="S8" s="7">
        <v>189234.27</v>
      </c>
      <c r="T8">
        <v>187282.62</v>
      </c>
    </row>
    <row r="9" spans="1:20" ht="16" thickBot="1" x14ac:dyDescent="0.25">
      <c r="A9">
        <v>8</v>
      </c>
      <c r="B9" s="6" t="s">
        <v>8</v>
      </c>
      <c r="C9">
        <v>1892.61</v>
      </c>
      <c r="D9" s="7">
        <v>2159.0100000000002</v>
      </c>
      <c r="E9" s="7">
        <v>3874.86</v>
      </c>
      <c r="F9">
        <v>4328.91</v>
      </c>
      <c r="G9">
        <v>4369.2299999999996</v>
      </c>
      <c r="H9">
        <v>3616.92</v>
      </c>
      <c r="I9" s="7">
        <v>7581.42</v>
      </c>
      <c r="J9">
        <v>6047.0999999999995</v>
      </c>
      <c r="K9">
        <v>4046.1299999999997</v>
      </c>
      <c r="L9">
        <v>8652.9599999999991</v>
      </c>
      <c r="M9">
        <v>9654.66</v>
      </c>
      <c r="N9" s="7">
        <v>9577.6200000000008</v>
      </c>
      <c r="O9" s="7">
        <v>8388</v>
      </c>
      <c r="P9" s="7">
        <v>8153.91</v>
      </c>
      <c r="Q9">
        <v>9672.84</v>
      </c>
      <c r="R9" s="7">
        <v>4776.75</v>
      </c>
      <c r="S9" s="7">
        <v>6474.69</v>
      </c>
      <c r="T9">
        <v>3685.23</v>
      </c>
    </row>
    <row r="10" spans="1:20" ht="16" thickBot="1" x14ac:dyDescent="0.25">
      <c r="A10">
        <v>9</v>
      </c>
      <c r="B10" s="6" t="s">
        <v>9</v>
      </c>
      <c r="C10">
        <v>101754.45</v>
      </c>
      <c r="D10" s="7">
        <v>101741.75999999999</v>
      </c>
      <c r="E10" s="7">
        <v>101748.33</v>
      </c>
      <c r="F10">
        <v>101946.78</v>
      </c>
      <c r="G10">
        <v>101797.01999999999</v>
      </c>
      <c r="H10">
        <v>101677.41</v>
      </c>
      <c r="I10" s="7">
        <v>101437.2</v>
      </c>
      <c r="J10">
        <v>101141.01</v>
      </c>
      <c r="K10">
        <v>101192.22</v>
      </c>
      <c r="L10">
        <v>102847.76999999999</v>
      </c>
      <c r="M10">
        <v>101819.79</v>
      </c>
      <c r="N10" s="7">
        <v>101553.75</v>
      </c>
      <c r="O10" s="7">
        <v>101407.77</v>
      </c>
      <c r="P10" s="7">
        <v>102346.65</v>
      </c>
      <c r="Q10">
        <v>101076.03</v>
      </c>
      <c r="R10" s="7">
        <v>101526.39</v>
      </c>
      <c r="S10" s="7">
        <v>101556.18</v>
      </c>
      <c r="T10">
        <v>101889.9</v>
      </c>
    </row>
    <row r="11" spans="1:20" ht="16" thickBot="1" x14ac:dyDescent="0.25">
      <c r="A11">
        <v>10</v>
      </c>
      <c r="B11" s="6" t="s">
        <v>10</v>
      </c>
      <c r="C11">
        <v>290.52</v>
      </c>
      <c r="D11" s="7">
        <v>1471.95</v>
      </c>
      <c r="E11" s="7">
        <v>1053.99</v>
      </c>
      <c r="F11">
        <v>2430.36</v>
      </c>
      <c r="G11">
        <v>208.62</v>
      </c>
      <c r="H11">
        <v>2184.0299999999997</v>
      </c>
      <c r="I11" s="7">
        <v>594.9</v>
      </c>
      <c r="J11">
        <v>7.1999999999999993</v>
      </c>
      <c r="K11">
        <v>195.75</v>
      </c>
      <c r="L11">
        <v>2143.71</v>
      </c>
      <c r="M11">
        <v>1200.69</v>
      </c>
      <c r="N11" s="7">
        <v>1883.34</v>
      </c>
      <c r="O11" s="7">
        <v>122.31</v>
      </c>
      <c r="P11" s="7">
        <v>389.52</v>
      </c>
      <c r="Q11">
        <v>92.61</v>
      </c>
      <c r="R11" s="7">
        <v>1373.22</v>
      </c>
      <c r="S11" s="7">
        <v>1812.42</v>
      </c>
      <c r="T11">
        <v>2796.39</v>
      </c>
    </row>
    <row r="12" spans="1:20" x14ac:dyDescent="0.2">
      <c r="C12">
        <f>SUM(C2:C11)</f>
        <v>354210.3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201.60000000000002</v>
      </c>
      <c r="D17">
        <f>AVERAGE(C2:E2)</f>
        <v>339</v>
      </c>
      <c r="E17">
        <f>C17-D17</f>
        <v>-137.39999999999998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694.26</v>
      </c>
      <c r="D18">
        <f t="shared" ref="D18:D25" si="1">AVERAGE(C3:E3)</f>
        <v>836.34</v>
      </c>
      <c r="E18">
        <f t="shared" ref="E18:E26" si="2">C18-D18</f>
        <v>-142.08000000000004</v>
      </c>
    </row>
    <row r="19" spans="1:5" ht="16" thickBot="1" x14ac:dyDescent="0.25">
      <c r="A19">
        <v>3</v>
      </c>
      <c r="B19" s="6" t="s">
        <v>3</v>
      </c>
      <c r="C19">
        <f t="shared" si="0"/>
        <v>236.16</v>
      </c>
      <c r="D19">
        <f t="shared" si="1"/>
        <v>9.0000000000000011E-2</v>
      </c>
      <c r="E19">
        <f t="shared" si="2"/>
        <v>236.07</v>
      </c>
    </row>
    <row r="20" spans="1:5" ht="16" thickBot="1" x14ac:dyDescent="0.25">
      <c r="A20">
        <v>4</v>
      </c>
      <c r="B20" s="6" t="s">
        <v>4</v>
      </c>
      <c r="C20">
        <f t="shared" si="0"/>
        <v>34270.334999999999</v>
      </c>
      <c r="D20">
        <f t="shared" si="1"/>
        <v>80277.929999999993</v>
      </c>
      <c r="E20">
        <f t="shared" si="2"/>
        <v>-46007.594999999994</v>
      </c>
    </row>
    <row r="21" spans="1:5" ht="16" thickBot="1" x14ac:dyDescent="0.25">
      <c r="A21">
        <v>5</v>
      </c>
      <c r="B21" s="6" t="s">
        <v>5</v>
      </c>
      <c r="C21">
        <f t="shared" si="0"/>
        <v>20785.815000000002</v>
      </c>
      <c r="D21">
        <f t="shared" si="1"/>
        <v>44212.860000000008</v>
      </c>
      <c r="E21">
        <f t="shared" si="2"/>
        <v>-23427.045000000006</v>
      </c>
    </row>
    <row r="22" spans="1:5" ht="16" thickBot="1" x14ac:dyDescent="0.25">
      <c r="A22">
        <v>6</v>
      </c>
      <c r="B22" s="6" t="s">
        <v>6</v>
      </c>
      <c r="C22">
        <f t="shared" si="0"/>
        <v>656.28</v>
      </c>
      <c r="D22">
        <f t="shared" si="1"/>
        <v>936.66</v>
      </c>
      <c r="E22">
        <f t="shared" si="2"/>
        <v>-280.38</v>
      </c>
    </row>
    <row r="23" spans="1:5" ht="16" thickBot="1" x14ac:dyDescent="0.25">
      <c r="A23">
        <v>7</v>
      </c>
      <c r="B23" s="6" t="s">
        <v>7</v>
      </c>
      <c r="C23">
        <f t="shared" si="0"/>
        <v>188258.44500000001</v>
      </c>
      <c r="D23">
        <f t="shared" si="1"/>
        <v>122278.26</v>
      </c>
      <c r="E23">
        <f t="shared" si="2"/>
        <v>65980.185000000012</v>
      </c>
    </row>
    <row r="24" spans="1:5" ht="16" thickBot="1" x14ac:dyDescent="0.25">
      <c r="A24">
        <v>8</v>
      </c>
      <c r="B24" s="6" t="s">
        <v>8</v>
      </c>
      <c r="C24">
        <f t="shared" si="0"/>
        <v>5079.96</v>
      </c>
      <c r="D24">
        <f t="shared" si="1"/>
        <v>2642.16</v>
      </c>
      <c r="E24">
        <f t="shared" si="2"/>
        <v>2437.8000000000002</v>
      </c>
    </row>
    <row r="25" spans="1:5" ht="16" thickBot="1" x14ac:dyDescent="0.25">
      <c r="A25">
        <v>9</v>
      </c>
      <c r="B25" s="6" t="s">
        <v>9</v>
      </c>
      <c r="C25">
        <f t="shared" si="0"/>
        <v>101723.04</v>
      </c>
      <c r="D25">
        <f t="shared" si="1"/>
        <v>101748.18</v>
      </c>
      <c r="E25">
        <f t="shared" si="2"/>
        <v>-25.139999999999418</v>
      </c>
    </row>
    <row r="26" spans="1:5" ht="16" thickBot="1" x14ac:dyDescent="0.25">
      <c r="A26">
        <v>10</v>
      </c>
      <c r="B26" s="6" t="s">
        <v>10</v>
      </c>
      <c r="C26">
        <f>AVERAGE(S11:T11)</f>
        <v>2304.4049999999997</v>
      </c>
      <c r="D26">
        <f>AVERAGE(C11:E11)</f>
        <v>938.82</v>
      </c>
      <c r="E26">
        <f t="shared" si="2"/>
        <v>1365.5849999999996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-40.530973451327426</v>
      </c>
    </row>
    <row r="32" spans="1:5" x14ac:dyDescent="0.2">
      <c r="B32" s="13" t="s">
        <v>2</v>
      </c>
      <c r="E32" s="14">
        <f t="shared" ref="E32:E40" si="3">(E18/D18)*100</f>
        <v>-16.98830619126193</v>
      </c>
    </row>
    <row r="33" spans="2:5" x14ac:dyDescent="0.2">
      <c r="B33" s="13" t="s">
        <v>3</v>
      </c>
      <c r="E33" s="14">
        <f t="shared" si="3"/>
        <v>262299.99999999994</v>
      </c>
    </row>
    <row r="34" spans="2:5" x14ac:dyDescent="0.2">
      <c r="B34" s="13" t="s">
        <v>4</v>
      </c>
      <c r="E34" s="14">
        <f t="shared" si="3"/>
        <v>-57.310390290332592</v>
      </c>
    </row>
    <row r="35" spans="2:5" x14ac:dyDescent="0.2">
      <c r="B35" s="13" t="s">
        <v>5</v>
      </c>
      <c r="E35" s="14">
        <f t="shared" si="3"/>
        <v>-52.986947688975562</v>
      </c>
    </row>
    <row r="36" spans="2:5" x14ac:dyDescent="0.2">
      <c r="B36" s="13" t="s">
        <v>6</v>
      </c>
      <c r="E36" s="14">
        <f t="shared" si="3"/>
        <v>-29.934020882710911</v>
      </c>
    </row>
    <row r="37" spans="2:5" x14ac:dyDescent="0.2">
      <c r="B37" s="13" t="s">
        <v>7</v>
      </c>
      <c r="E37" s="14">
        <f t="shared" si="3"/>
        <v>53.959047994304157</v>
      </c>
    </row>
    <row r="38" spans="2:5" x14ac:dyDescent="0.2">
      <c r="B38" s="13" t="s">
        <v>8</v>
      </c>
      <c r="E38" s="14">
        <f t="shared" si="3"/>
        <v>92.265419202470724</v>
      </c>
    </row>
    <row r="39" spans="2:5" x14ac:dyDescent="0.2">
      <c r="B39" s="13" t="s">
        <v>9</v>
      </c>
      <c r="E39" s="14">
        <f t="shared" si="3"/>
        <v>-2.470805866011502E-2</v>
      </c>
    </row>
    <row r="40" spans="2:5" x14ac:dyDescent="0.2">
      <c r="B40" s="13" t="s">
        <v>10</v>
      </c>
      <c r="E40" s="14">
        <f t="shared" si="3"/>
        <v>145.45759570524697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D976-F7EB-CD48-8C1B-5615FBD468C7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27984.239999999998</v>
      </c>
      <c r="D2" s="7">
        <v>36082.35</v>
      </c>
      <c r="E2" s="7">
        <v>32177.25</v>
      </c>
      <c r="F2">
        <v>39707.1</v>
      </c>
      <c r="G2">
        <v>35429.939999999995</v>
      </c>
      <c r="H2">
        <v>30944.34</v>
      </c>
      <c r="I2" s="7">
        <v>31657.68</v>
      </c>
      <c r="J2" s="7">
        <v>42471.99</v>
      </c>
      <c r="K2" s="7">
        <v>25043.49</v>
      </c>
      <c r="L2">
        <v>19756.62</v>
      </c>
      <c r="M2">
        <v>28126.35</v>
      </c>
      <c r="N2" s="7">
        <v>35086.949999999997</v>
      </c>
      <c r="O2">
        <v>16179.21</v>
      </c>
      <c r="P2">
        <v>29653.199999999997</v>
      </c>
      <c r="Q2" s="7">
        <v>15102.9</v>
      </c>
      <c r="R2">
        <v>35217.72</v>
      </c>
      <c r="S2">
        <v>17320.23</v>
      </c>
      <c r="T2">
        <v>26152.379999999997</v>
      </c>
    </row>
    <row r="3" spans="1:20" ht="16" thickBot="1" x14ac:dyDescent="0.25">
      <c r="A3">
        <v>2</v>
      </c>
      <c r="B3" s="6" t="s">
        <v>2</v>
      </c>
      <c r="C3">
        <v>14549.76</v>
      </c>
      <c r="D3" s="7">
        <v>2304.63</v>
      </c>
      <c r="E3" s="7">
        <v>11940.57</v>
      </c>
      <c r="F3">
        <v>6280.92</v>
      </c>
      <c r="G3">
        <v>11485.98</v>
      </c>
      <c r="H3">
        <v>5410.98</v>
      </c>
      <c r="I3" s="7">
        <v>11952.99</v>
      </c>
      <c r="J3" s="7">
        <v>6421.05</v>
      </c>
      <c r="K3" s="7">
        <v>18151.740000000002</v>
      </c>
      <c r="L3">
        <v>17125.559999999998</v>
      </c>
      <c r="M3">
        <v>9155.6099999999988</v>
      </c>
      <c r="N3" s="7">
        <v>5938.56</v>
      </c>
      <c r="O3">
        <v>37897.199999999997</v>
      </c>
      <c r="P3">
        <v>11892.15</v>
      </c>
      <c r="Q3" s="7">
        <v>12537.45</v>
      </c>
      <c r="R3">
        <v>9937.7099999999991</v>
      </c>
      <c r="S3">
        <v>21360.059999999998</v>
      </c>
      <c r="T3">
        <v>18182.43</v>
      </c>
    </row>
    <row r="4" spans="1:20" ht="16" thickBot="1" x14ac:dyDescent="0.25">
      <c r="A4">
        <v>3</v>
      </c>
      <c r="B4" s="6" t="s">
        <v>3</v>
      </c>
      <c r="C4">
        <v>28876.5</v>
      </c>
      <c r="D4" s="7">
        <v>12238.56</v>
      </c>
      <c r="E4" s="7">
        <v>12882.51</v>
      </c>
      <c r="F4">
        <v>37682.46</v>
      </c>
      <c r="G4">
        <v>11610.359999999999</v>
      </c>
      <c r="H4">
        <v>17858.52</v>
      </c>
      <c r="I4" s="7">
        <v>18885.330000000002</v>
      </c>
      <c r="J4" s="7">
        <v>38186.370000000003</v>
      </c>
      <c r="K4" s="7">
        <v>11379.24</v>
      </c>
      <c r="L4">
        <v>50661.63</v>
      </c>
      <c r="M4">
        <v>49134.15</v>
      </c>
      <c r="N4" s="7">
        <v>45915.75</v>
      </c>
      <c r="O4">
        <v>15375.599999999999</v>
      </c>
      <c r="P4">
        <v>25410.329999999998</v>
      </c>
      <c r="Q4" s="7">
        <v>24581.16</v>
      </c>
      <c r="R4">
        <v>21456.09</v>
      </c>
      <c r="S4">
        <v>15393.96</v>
      </c>
      <c r="T4">
        <v>16795.079999999998</v>
      </c>
    </row>
    <row r="5" spans="1:20" ht="16" thickBot="1" x14ac:dyDescent="0.25">
      <c r="A5">
        <v>4</v>
      </c>
      <c r="B5" s="6" t="s">
        <v>4</v>
      </c>
      <c r="C5">
        <v>1480140.3599999999</v>
      </c>
      <c r="D5" s="7">
        <v>1456658.1</v>
      </c>
      <c r="E5" s="7">
        <v>1357158.42</v>
      </c>
      <c r="F5">
        <v>1285694.28</v>
      </c>
      <c r="G5">
        <v>1311508.98</v>
      </c>
      <c r="H5">
        <v>1383899.67</v>
      </c>
      <c r="I5" s="7">
        <v>1336117.32</v>
      </c>
      <c r="J5" s="7">
        <v>1287377.46</v>
      </c>
      <c r="K5" s="7">
        <v>1225083.69</v>
      </c>
      <c r="L5">
        <v>1193826.8699999999</v>
      </c>
      <c r="M5">
        <v>1240667.0999999999</v>
      </c>
      <c r="N5" s="7">
        <v>1184858.55</v>
      </c>
      <c r="O5">
        <v>1193002.47</v>
      </c>
      <c r="P5">
        <v>1358694.45</v>
      </c>
      <c r="Q5" s="7">
        <v>1243360.71</v>
      </c>
      <c r="R5">
        <v>1362532.95</v>
      </c>
      <c r="S5">
        <v>1432758.15</v>
      </c>
      <c r="T5">
        <v>1322197.02</v>
      </c>
    </row>
    <row r="6" spans="1:20" ht="16" thickBot="1" x14ac:dyDescent="0.25">
      <c r="A6">
        <v>5</v>
      </c>
      <c r="B6" s="6" t="s">
        <v>5</v>
      </c>
      <c r="C6">
        <v>141135.03</v>
      </c>
      <c r="D6" s="7">
        <v>179232.75</v>
      </c>
      <c r="E6" s="7">
        <v>256174.74</v>
      </c>
      <c r="F6">
        <v>296903.78999999998</v>
      </c>
      <c r="G6">
        <v>295771.14</v>
      </c>
      <c r="H6">
        <v>238173.47999999998</v>
      </c>
      <c r="I6" s="7">
        <v>273943.8</v>
      </c>
      <c r="J6" s="7">
        <v>261953.91</v>
      </c>
      <c r="K6" s="7">
        <v>364008.06</v>
      </c>
      <c r="L6">
        <v>368344.17</v>
      </c>
      <c r="M6">
        <v>346728.77999999997</v>
      </c>
      <c r="N6" s="7">
        <v>383491.26</v>
      </c>
      <c r="O6">
        <v>367830.26999999996</v>
      </c>
      <c r="P6">
        <v>240906.96</v>
      </c>
      <c r="Q6" s="7">
        <v>349680.06</v>
      </c>
      <c r="R6">
        <v>229852.79999999999</v>
      </c>
      <c r="S6">
        <v>180212.13</v>
      </c>
      <c r="T6">
        <v>255767.58</v>
      </c>
    </row>
    <row r="7" spans="1:20" ht="16" thickBot="1" x14ac:dyDescent="0.25">
      <c r="A7">
        <v>6</v>
      </c>
      <c r="B7" s="6" t="s">
        <v>6</v>
      </c>
      <c r="C7">
        <v>8722.619999999999</v>
      </c>
      <c r="D7" s="7">
        <v>8907.2099999999991</v>
      </c>
      <c r="E7" s="7">
        <v>8129.16</v>
      </c>
      <c r="F7">
        <v>8410.5</v>
      </c>
      <c r="G7">
        <v>10801.529999999999</v>
      </c>
      <c r="H7">
        <v>6999.3899999999994</v>
      </c>
      <c r="I7" s="7">
        <v>9415.6200000000008</v>
      </c>
      <c r="J7" s="7">
        <v>9128.07</v>
      </c>
      <c r="K7" s="7">
        <v>7528.32</v>
      </c>
      <c r="L7">
        <v>9835.1099999999988</v>
      </c>
      <c r="M7">
        <v>7418.4299999999994</v>
      </c>
      <c r="N7" s="7">
        <v>11129.49</v>
      </c>
      <c r="O7">
        <v>9557.5499999999993</v>
      </c>
      <c r="P7">
        <v>9213.2099999999991</v>
      </c>
      <c r="Q7" s="7">
        <v>10693.8</v>
      </c>
      <c r="R7">
        <v>8524.17</v>
      </c>
      <c r="S7">
        <v>13082.67</v>
      </c>
      <c r="T7">
        <v>10868.22</v>
      </c>
    </row>
    <row r="8" spans="1:20" ht="16" thickBot="1" x14ac:dyDescent="0.25">
      <c r="A8">
        <v>7</v>
      </c>
      <c r="B8" s="6" t="s">
        <v>7</v>
      </c>
      <c r="C8">
        <v>4960.71</v>
      </c>
      <c r="D8" s="7">
        <v>10560.6</v>
      </c>
      <c r="E8" s="7">
        <v>22303.62</v>
      </c>
      <c r="F8">
        <v>31412.789999999997</v>
      </c>
      <c r="G8">
        <v>26809.919999999998</v>
      </c>
      <c r="H8">
        <v>20988.45</v>
      </c>
      <c r="I8" s="7">
        <v>20817.09</v>
      </c>
      <c r="J8" s="7">
        <v>54038.79</v>
      </c>
      <c r="K8" s="7">
        <v>43654.05</v>
      </c>
      <c r="L8">
        <v>38941.379999999997</v>
      </c>
      <c r="M8">
        <v>21655.8</v>
      </c>
      <c r="N8" s="7">
        <v>34692.120000000003</v>
      </c>
      <c r="O8">
        <v>51272.189999999995</v>
      </c>
      <c r="P8">
        <v>23671.62</v>
      </c>
      <c r="Q8" s="7">
        <v>43002.54</v>
      </c>
      <c r="R8">
        <v>32189.94</v>
      </c>
      <c r="S8">
        <v>23304.42</v>
      </c>
      <c r="T8">
        <v>52377.03</v>
      </c>
    </row>
    <row r="9" spans="1:20" ht="16" thickBot="1" x14ac:dyDescent="0.25">
      <c r="A9">
        <v>8</v>
      </c>
      <c r="B9" s="6" t="s">
        <v>8</v>
      </c>
      <c r="C9">
        <v>2626.74</v>
      </c>
      <c r="D9" s="7">
        <v>2717.64</v>
      </c>
      <c r="E9" s="7">
        <v>4782.6000000000004</v>
      </c>
      <c r="F9">
        <v>2025.09</v>
      </c>
      <c r="G9">
        <v>1304.46</v>
      </c>
      <c r="H9">
        <v>2222.37</v>
      </c>
      <c r="I9" s="7">
        <v>3280.86</v>
      </c>
      <c r="J9" s="7">
        <v>2916.09</v>
      </c>
      <c r="K9" s="7">
        <v>7373.07</v>
      </c>
      <c r="L9">
        <v>4625.0999999999995</v>
      </c>
      <c r="M9">
        <v>3504.06</v>
      </c>
      <c r="N9" s="7">
        <v>4397.9399999999996</v>
      </c>
      <c r="O9">
        <v>1676.1599999999999</v>
      </c>
      <c r="P9">
        <v>4608.1799999999994</v>
      </c>
      <c r="Q9" s="7">
        <v>3649.86</v>
      </c>
      <c r="R9">
        <v>3222.3599999999997</v>
      </c>
      <c r="S9">
        <v>5458.5</v>
      </c>
      <c r="T9">
        <v>2821.95</v>
      </c>
    </row>
    <row r="10" spans="1:20" ht="16" thickBot="1" x14ac:dyDescent="0.25">
      <c r="A10">
        <v>9</v>
      </c>
      <c r="B10" s="6" t="s">
        <v>9</v>
      </c>
      <c r="C10">
        <v>1029.51</v>
      </c>
      <c r="D10" s="7">
        <v>870.12</v>
      </c>
      <c r="E10" s="7">
        <v>1044.27</v>
      </c>
      <c r="F10">
        <v>859.05</v>
      </c>
      <c r="G10">
        <v>1508.1299999999999</v>
      </c>
      <c r="H10">
        <v>1014.2099999999999</v>
      </c>
      <c r="I10" s="7">
        <v>1074.8699999999999</v>
      </c>
      <c r="J10" s="7">
        <v>1168.6500000000001</v>
      </c>
      <c r="K10" s="7">
        <v>1043.01</v>
      </c>
      <c r="L10">
        <v>605.61</v>
      </c>
      <c r="M10">
        <v>1507.05</v>
      </c>
      <c r="N10" s="7">
        <v>1276.29</v>
      </c>
      <c r="O10">
        <v>1428.57</v>
      </c>
      <c r="P10">
        <v>1839.4199999999998</v>
      </c>
      <c r="Q10" s="7">
        <v>1498.05</v>
      </c>
      <c r="R10">
        <v>1698.21</v>
      </c>
      <c r="S10">
        <v>1820.52</v>
      </c>
      <c r="T10">
        <v>1512.6299999999999</v>
      </c>
    </row>
    <row r="11" spans="1:20" ht="16" thickBot="1" x14ac:dyDescent="0.25">
      <c r="A11">
        <v>10</v>
      </c>
      <c r="B11" s="6" t="s">
        <v>10</v>
      </c>
      <c r="C11">
        <v>1969.1999999999998</v>
      </c>
      <c r="D11" s="7">
        <v>2422.71</v>
      </c>
      <c r="E11" s="7">
        <v>5401.53</v>
      </c>
      <c r="F11">
        <v>3018.69</v>
      </c>
      <c r="G11">
        <v>5764.23</v>
      </c>
      <c r="H11">
        <v>4483.26</v>
      </c>
      <c r="I11" s="7">
        <v>4849.1099999999997</v>
      </c>
      <c r="J11" s="7">
        <v>8332.2900000000009</v>
      </c>
      <c r="K11" s="7">
        <v>8730</v>
      </c>
      <c r="L11">
        <v>8272.619999999999</v>
      </c>
      <c r="M11">
        <v>4097.34</v>
      </c>
      <c r="N11" s="7">
        <v>5207.76</v>
      </c>
      <c r="O11">
        <v>17775.45</v>
      </c>
      <c r="P11">
        <v>6105.15</v>
      </c>
      <c r="Q11" s="7">
        <v>7888.14</v>
      </c>
      <c r="R11">
        <v>7362.7199999999993</v>
      </c>
      <c r="S11">
        <v>1284.03</v>
      </c>
      <c r="T11">
        <v>5320.3499999999995</v>
      </c>
    </row>
    <row r="12" spans="1:20" x14ac:dyDescent="0.2">
      <c r="C12">
        <f>SUM(C2:C11)</f>
        <v>1711994.67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21736.305</v>
      </c>
      <c r="D17">
        <f>AVERAGE(C2:E2)</f>
        <v>32081.279999999999</v>
      </c>
      <c r="E17">
        <f>C17-D17</f>
        <v>-10344.974999999999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19771.244999999999</v>
      </c>
      <c r="D18">
        <f t="shared" ref="D18:D25" si="1">AVERAGE(C3:E3)</f>
        <v>9598.32</v>
      </c>
      <c r="E18">
        <f t="shared" ref="E18:E26" si="2">C18-D18</f>
        <v>10172.924999999999</v>
      </c>
    </row>
    <row r="19" spans="1:5" ht="16" thickBot="1" x14ac:dyDescent="0.25">
      <c r="A19">
        <v>3</v>
      </c>
      <c r="B19" s="6" t="s">
        <v>3</v>
      </c>
      <c r="C19">
        <f t="shared" si="0"/>
        <v>16094.519999999999</v>
      </c>
      <c r="D19">
        <f t="shared" si="1"/>
        <v>17999.189999999999</v>
      </c>
      <c r="E19">
        <f t="shared" si="2"/>
        <v>-1904.67</v>
      </c>
    </row>
    <row r="20" spans="1:5" ht="16" thickBot="1" x14ac:dyDescent="0.25">
      <c r="A20">
        <v>4</v>
      </c>
      <c r="B20" s="6" t="s">
        <v>4</v>
      </c>
      <c r="C20">
        <f t="shared" si="0"/>
        <v>1377477.585</v>
      </c>
      <c r="D20">
        <f t="shared" si="1"/>
        <v>1431318.96</v>
      </c>
      <c r="E20">
        <f t="shared" si="2"/>
        <v>-53841.375</v>
      </c>
    </row>
    <row r="21" spans="1:5" ht="16" thickBot="1" x14ac:dyDescent="0.25">
      <c r="A21">
        <v>5</v>
      </c>
      <c r="B21" s="6" t="s">
        <v>5</v>
      </c>
      <c r="C21">
        <f t="shared" si="0"/>
        <v>217989.85499999998</v>
      </c>
      <c r="D21">
        <f t="shared" si="1"/>
        <v>192180.84</v>
      </c>
      <c r="E21">
        <f t="shared" si="2"/>
        <v>25809.014999999985</v>
      </c>
    </row>
    <row r="22" spans="1:5" ht="16" thickBot="1" x14ac:dyDescent="0.25">
      <c r="A22">
        <v>6</v>
      </c>
      <c r="B22" s="6" t="s">
        <v>6</v>
      </c>
      <c r="C22">
        <f t="shared" si="0"/>
        <v>11975.445</v>
      </c>
      <c r="D22">
        <f t="shared" si="1"/>
        <v>8586.33</v>
      </c>
      <c r="E22">
        <f t="shared" si="2"/>
        <v>3389.1149999999998</v>
      </c>
    </row>
    <row r="23" spans="1:5" ht="16" thickBot="1" x14ac:dyDescent="0.25">
      <c r="A23">
        <v>7</v>
      </c>
      <c r="B23" s="6" t="s">
        <v>7</v>
      </c>
      <c r="C23">
        <f t="shared" si="0"/>
        <v>37840.724999999999</v>
      </c>
      <c r="D23">
        <f t="shared" si="1"/>
        <v>12608.31</v>
      </c>
      <c r="E23">
        <f t="shared" si="2"/>
        <v>25232.415000000001</v>
      </c>
    </row>
    <row r="24" spans="1:5" ht="16" thickBot="1" x14ac:dyDescent="0.25">
      <c r="A24">
        <v>8</v>
      </c>
      <c r="B24" s="6" t="s">
        <v>8</v>
      </c>
      <c r="C24">
        <f t="shared" si="0"/>
        <v>4140.2250000000004</v>
      </c>
      <c r="D24">
        <f t="shared" si="1"/>
        <v>3375.66</v>
      </c>
      <c r="E24">
        <f t="shared" si="2"/>
        <v>764.56500000000051</v>
      </c>
    </row>
    <row r="25" spans="1:5" ht="16" thickBot="1" x14ac:dyDescent="0.25">
      <c r="A25">
        <v>9</v>
      </c>
      <c r="B25" s="6" t="s">
        <v>9</v>
      </c>
      <c r="C25">
        <f t="shared" si="0"/>
        <v>1666.5749999999998</v>
      </c>
      <c r="D25">
        <f t="shared" si="1"/>
        <v>981.30000000000007</v>
      </c>
      <c r="E25">
        <f t="shared" si="2"/>
        <v>685.27499999999975</v>
      </c>
    </row>
    <row r="26" spans="1:5" ht="16" thickBot="1" x14ac:dyDescent="0.25">
      <c r="A26">
        <v>10</v>
      </c>
      <c r="B26" s="6" t="s">
        <v>10</v>
      </c>
      <c r="C26">
        <f>AVERAGE(S11:T11)</f>
        <v>3302.1899999999996</v>
      </c>
      <c r="D26">
        <f>AVERAGE(C11:E11)</f>
        <v>3264.4799999999996</v>
      </c>
      <c r="E26">
        <f t="shared" si="2"/>
        <v>37.710000000000036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-32.246141675145132</v>
      </c>
    </row>
    <row r="32" spans="1:5" x14ac:dyDescent="0.2">
      <c r="B32" s="13" t="s">
        <v>2</v>
      </c>
      <c r="E32" s="14">
        <f t="shared" ref="E32:E40" si="3">(E18/D18)*100</f>
        <v>105.98651639036831</v>
      </c>
    </row>
    <row r="33" spans="2:5" x14ac:dyDescent="0.2">
      <c r="B33" s="13" t="s">
        <v>3</v>
      </c>
      <c r="E33" s="14">
        <f t="shared" si="3"/>
        <v>-10.581976188928504</v>
      </c>
    </row>
    <row r="34" spans="2:5" x14ac:dyDescent="0.2">
      <c r="B34" s="13" t="s">
        <v>4</v>
      </c>
      <c r="E34" s="14">
        <f t="shared" si="3"/>
        <v>-3.7616615516642073</v>
      </c>
    </row>
    <row r="35" spans="2:5" x14ac:dyDescent="0.2">
      <c r="B35" s="13" t="s">
        <v>5</v>
      </c>
      <c r="E35" s="14">
        <f t="shared" si="3"/>
        <v>13.429546358523559</v>
      </c>
    </row>
    <row r="36" spans="2:5" x14ac:dyDescent="0.2">
      <c r="B36" s="13" t="s">
        <v>6</v>
      </c>
      <c r="E36" s="14">
        <f t="shared" si="3"/>
        <v>39.471054571627221</v>
      </c>
    </row>
    <row r="37" spans="2:5" x14ac:dyDescent="0.2">
      <c r="B37" s="13" t="s">
        <v>7</v>
      </c>
      <c r="E37" s="14">
        <f t="shared" si="3"/>
        <v>200.12527452132761</v>
      </c>
    </row>
    <row r="38" spans="2:5" x14ac:dyDescent="0.2">
      <c r="B38" s="13" t="s">
        <v>8</v>
      </c>
      <c r="E38" s="14">
        <f t="shared" si="3"/>
        <v>22.649348571834857</v>
      </c>
    </row>
    <row r="39" spans="2:5" x14ac:dyDescent="0.2">
      <c r="B39" s="13" t="s">
        <v>9</v>
      </c>
      <c r="E39" s="14">
        <f t="shared" si="3"/>
        <v>69.833384286150988</v>
      </c>
    </row>
    <row r="40" spans="2:5" x14ac:dyDescent="0.2">
      <c r="B40" s="13" t="s">
        <v>10</v>
      </c>
      <c r="E40" s="14">
        <f t="shared" si="3"/>
        <v>1.1551610057344519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966E-BA52-8E41-BF1E-8D101C2F9BB8}">
  <dimension ref="A1:T40"/>
  <sheetViews>
    <sheetView workbookViewId="0">
      <selection activeCell="C7" sqref="C7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125988.03</v>
      </c>
      <c r="D2" s="7">
        <v>85890.87</v>
      </c>
      <c r="E2">
        <v>83461.86</v>
      </c>
      <c r="F2" s="7">
        <v>58271.31</v>
      </c>
      <c r="G2" s="7">
        <v>65324.160000000003</v>
      </c>
      <c r="H2">
        <v>109461.33</v>
      </c>
      <c r="I2">
        <v>84438.18</v>
      </c>
      <c r="J2">
        <v>85238.28</v>
      </c>
      <c r="K2" s="7">
        <v>98055.81</v>
      </c>
      <c r="L2">
        <v>165170.60999999999</v>
      </c>
      <c r="M2">
        <v>74898.09</v>
      </c>
      <c r="N2">
        <v>143755.10999999999</v>
      </c>
      <c r="O2">
        <v>116268.20999999999</v>
      </c>
      <c r="P2">
        <v>132907.41</v>
      </c>
      <c r="Q2">
        <v>150669.63</v>
      </c>
      <c r="R2" s="7">
        <v>153608.49</v>
      </c>
      <c r="S2">
        <v>121430.97</v>
      </c>
      <c r="T2" s="7">
        <v>118526.85</v>
      </c>
    </row>
    <row r="3" spans="1:20" ht="16" thickBot="1" x14ac:dyDescent="0.25">
      <c r="A3">
        <v>2</v>
      </c>
      <c r="B3" s="6" t="s">
        <v>2</v>
      </c>
      <c r="C3">
        <v>99340.29</v>
      </c>
      <c r="D3" s="7">
        <v>70587.63</v>
      </c>
      <c r="E3">
        <v>75415.679999999993</v>
      </c>
      <c r="F3" s="7">
        <v>77785.740000000005</v>
      </c>
      <c r="G3" s="7">
        <v>65754.899999999994</v>
      </c>
      <c r="H3">
        <v>42472.26</v>
      </c>
      <c r="I3">
        <v>81173.52</v>
      </c>
      <c r="J3">
        <v>35669.879999999997</v>
      </c>
      <c r="K3" s="7">
        <v>41943.6</v>
      </c>
      <c r="L3">
        <v>25328.07</v>
      </c>
      <c r="M3">
        <v>62067.6</v>
      </c>
      <c r="N3">
        <v>57046.95</v>
      </c>
      <c r="O3">
        <v>41167.17</v>
      </c>
      <c r="P3">
        <v>26761.05</v>
      </c>
      <c r="Q3">
        <v>25568.82</v>
      </c>
      <c r="R3" s="7">
        <v>34198.83</v>
      </c>
      <c r="S3">
        <v>49334.400000000001</v>
      </c>
      <c r="T3" s="7">
        <v>60523.92</v>
      </c>
    </row>
    <row r="4" spans="1:20" ht="16" thickBot="1" x14ac:dyDescent="0.25">
      <c r="A4">
        <v>3</v>
      </c>
      <c r="B4" s="6" t="s">
        <v>3</v>
      </c>
      <c r="C4">
        <v>4629.87</v>
      </c>
      <c r="D4" s="7">
        <v>4220.46</v>
      </c>
      <c r="E4">
        <v>25774.739999999998</v>
      </c>
      <c r="F4" s="7">
        <v>29262.87</v>
      </c>
      <c r="G4" s="7">
        <v>13702.41</v>
      </c>
      <c r="H4">
        <v>40884.75</v>
      </c>
      <c r="I4">
        <v>6814.17</v>
      </c>
      <c r="J4">
        <v>24045.75</v>
      </c>
      <c r="K4" s="7">
        <v>6939.09</v>
      </c>
      <c r="L4">
        <v>17443.169999999998</v>
      </c>
      <c r="M4">
        <v>24923.34</v>
      </c>
      <c r="N4">
        <v>35729.82</v>
      </c>
      <c r="O4">
        <v>12715.74</v>
      </c>
      <c r="P4">
        <v>6546.96</v>
      </c>
      <c r="Q4">
        <v>16351.38</v>
      </c>
      <c r="R4" s="7">
        <v>4542.93</v>
      </c>
      <c r="S4">
        <v>7350.66</v>
      </c>
      <c r="T4" s="7">
        <v>27549.9</v>
      </c>
    </row>
    <row r="5" spans="1:20" ht="16" thickBot="1" x14ac:dyDescent="0.25">
      <c r="A5">
        <v>4</v>
      </c>
      <c r="B5" s="6" t="s">
        <v>4</v>
      </c>
      <c r="C5">
        <v>3262482.09</v>
      </c>
      <c r="D5" s="7">
        <v>3491794.89</v>
      </c>
      <c r="E5">
        <v>3079253.61</v>
      </c>
      <c r="F5" s="7">
        <v>3167681.85</v>
      </c>
      <c r="G5" s="7">
        <v>3301508.61</v>
      </c>
      <c r="H5">
        <v>3347575.38</v>
      </c>
      <c r="I5">
        <v>3373834.59</v>
      </c>
      <c r="J5">
        <v>3287374.4699999997</v>
      </c>
      <c r="K5" s="7">
        <v>3303828.72</v>
      </c>
      <c r="L5">
        <v>3149731.17</v>
      </c>
      <c r="M5">
        <v>3244772.79</v>
      </c>
      <c r="N5">
        <v>3149027.37</v>
      </c>
      <c r="O5">
        <v>2911376.52</v>
      </c>
      <c r="P5">
        <v>3320895.78</v>
      </c>
      <c r="Q5">
        <v>3218452.56</v>
      </c>
      <c r="R5" s="7">
        <v>3214414.98</v>
      </c>
      <c r="S5">
        <v>3246258.06</v>
      </c>
      <c r="T5" s="7">
        <v>3340021.5</v>
      </c>
    </row>
    <row r="6" spans="1:20" ht="16" thickBot="1" x14ac:dyDescent="0.25">
      <c r="A6">
        <v>5</v>
      </c>
      <c r="B6" s="6" t="s">
        <v>5</v>
      </c>
      <c r="C6">
        <v>378961.38</v>
      </c>
      <c r="D6" s="7">
        <v>221051.25</v>
      </c>
      <c r="E6">
        <v>598113.27</v>
      </c>
      <c r="F6" s="7">
        <v>511567.47</v>
      </c>
      <c r="G6" s="7">
        <v>420473.79</v>
      </c>
      <c r="H6">
        <v>322302.14999999997</v>
      </c>
      <c r="I6">
        <v>322490.25</v>
      </c>
      <c r="J6">
        <v>390122.19</v>
      </c>
      <c r="K6" s="7">
        <v>417797.64</v>
      </c>
      <c r="L6">
        <v>474234.12</v>
      </c>
      <c r="M6">
        <v>370479.95999999996</v>
      </c>
      <c r="N6">
        <v>454213.07999999996</v>
      </c>
      <c r="O6">
        <v>744665.30999999994</v>
      </c>
      <c r="P6">
        <v>333698.21999999997</v>
      </c>
      <c r="Q6">
        <v>440459.73</v>
      </c>
      <c r="R6" s="7">
        <v>439462.89</v>
      </c>
      <c r="S6">
        <v>452785.13999999996</v>
      </c>
      <c r="T6" s="7">
        <v>274932.09000000003</v>
      </c>
    </row>
    <row r="7" spans="1:20" ht="16" thickBot="1" x14ac:dyDescent="0.25">
      <c r="A7">
        <v>6</v>
      </c>
      <c r="B7" s="6" t="s">
        <v>6</v>
      </c>
      <c r="C7" s="22">
        <v>0.1</v>
      </c>
      <c r="D7" s="7">
        <v>0</v>
      </c>
      <c r="E7">
        <v>0</v>
      </c>
      <c r="F7" s="7">
        <v>0</v>
      </c>
      <c r="G7" s="7">
        <v>1.71</v>
      </c>
      <c r="H7">
        <v>1.71</v>
      </c>
      <c r="I7">
        <v>0</v>
      </c>
      <c r="J7">
        <v>0</v>
      </c>
      <c r="K7" s="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7">
        <v>22.41</v>
      </c>
      <c r="S7">
        <v>14.219999999999999</v>
      </c>
      <c r="T7" s="7">
        <v>5.76</v>
      </c>
    </row>
    <row r="8" spans="1:20" ht="16" thickBot="1" x14ac:dyDescent="0.25">
      <c r="A8">
        <v>7</v>
      </c>
      <c r="B8" s="6" t="s">
        <v>7</v>
      </c>
      <c r="C8">
        <v>5891.49</v>
      </c>
      <c r="D8" s="7">
        <v>5659.65</v>
      </c>
      <c r="E8">
        <v>7422.3899999999994</v>
      </c>
      <c r="F8" s="7">
        <v>8914.68</v>
      </c>
      <c r="G8" s="7">
        <v>8575.4699999999993</v>
      </c>
      <c r="H8">
        <v>12530.07</v>
      </c>
      <c r="I8">
        <v>11641.5</v>
      </c>
      <c r="J8">
        <v>17362.349999999999</v>
      </c>
      <c r="K8" s="7">
        <v>7884.45</v>
      </c>
      <c r="L8">
        <v>11783.88</v>
      </c>
      <c r="M8">
        <v>6787.53</v>
      </c>
      <c r="N8">
        <v>8047.17</v>
      </c>
      <c r="O8">
        <v>14173.83</v>
      </c>
      <c r="P8">
        <v>10000.44</v>
      </c>
      <c r="Q8">
        <v>4330.71</v>
      </c>
      <c r="R8" s="7">
        <v>9254.7000000000007</v>
      </c>
      <c r="S8">
        <v>11444.31</v>
      </c>
      <c r="T8" s="7">
        <v>33775.65</v>
      </c>
    </row>
    <row r="9" spans="1:20" ht="16" thickBot="1" x14ac:dyDescent="0.25">
      <c r="A9">
        <v>8</v>
      </c>
      <c r="B9" s="6" t="s">
        <v>8</v>
      </c>
      <c r="C9">
        <v>987.56999999999994</v>
      </c>
      <c r="D9" s="7">
        <v>553.77</v>
      </c>
      <c r="E9">
        <v>3301.56</v>
      </c>
      <c r="F9" s="7">
        <v>1508.04</v>
      </c>
      <c r="G9" s="7">
        <v>367.65</v>
      </c>
      <c r="H9">
        <v>265.40999999999997</v>
      </c>
      <c r="I9">
        <v>43.83</v>
      </c>
      <c r="J9">
        <v>181.17</v>
      </c>
      <c r="K9" s="7">
        <v>10.44</v>
      </c>
      <c r="L9">
        <v>435.15</v>
      </c>
      <c r="M9">
        <v>205.01999999999998</v>
      </c>
      <c r="N9">
        <v>1732.59</v>
      </c>
      <c r="O9">
        <v>34.47</v>
      </c>
      <c r="P9">
        <v>870.83999999999992</v>
      </c>
      <c r="Q9">
        <v>236.25</v>
      </c>
      <c r="R9" s="7">
        <v>2698.56</v>
      </c>
      <c r="S9">
        <v>744.75</v>
      </c>
      <c r="T9" s="7">
        <v>4386.1499999999996</v>
      </c>
    </row>
    <row r="10" spans="1:20" ht="16" thickBot="1" x14ac:dyDescent="0.25">
      <c r="A10">
        <v>9</v>
      </c>
      <c r="B10" s="6" t="s">
        <v>9</v>
      </c>
      <c r="C10">
        <v>17733.239999999998</v>
      </c>
      <c r="D10" s="7">
        <v>15251.4</v>
      </c>
      <c r="E10">
        <v>12152.34</v>
      </c>
      <c r="F10" s="7">
        <v>10539.18</v>
      </c>
      <c r="G10" s="7">
        <v>9267.0300000000007</v>
      </c>
      <c r="H10">
        <v>9322.74</v>
      </c>
      <c r="I10">
        <v>9116.1</v>
      </c>
      <c r="J10">
        <v>10891.08</v>
      </c>
      <c r="K10" s="7">
        <v>12635.73</v>
      </c>
      <c r="L10">
        <v>10003.859999999999</v>
      </c>
      <c r="M10">
        <v>9682.83</v>
      </c>
      <c r="N10">
        <v>10338.119999999999</v>
      </c>
      <c r="O10">
        <v>9175.41</v>
      </c>
      <c r="P10">
        <v>9163.5299999999988</v>
      </c>
      <c r="Q10">
        <v>7132.5</v>
      </c>
      <c r="R10" s="7">
        <v>6490.62</v>
      </c>
      <c r="S10">
        <v>7334.0099999999993</v>
      </c>
      <c r="T10" s="7">
        <v>15566.76</v>
      </c>
    </row>
    <row r="11" spans="1:20" ht="16" thickBot="1" x14ac:dyDescent="0.25">
      <c r="A11">
        <v>10</v>
      </c>
      <c r="B11" s="6" t="s">
        <v>10</v>
      </c>
      <c r="C11">
        <v>16886.43</v>
      </c>
      <c r="D11" s="7">
        <v>17890.47</v>
      </c>
      <c r="E11">
        <v>28004.94</v>
      </c>
      <c r="F11" s="7">
        <v>47369.25</v>
      </c>
      <c r="G11" s="7">
        <v>27924.66</v>
      </c>
      <c r="H11">
        <v>28084.59</v>
      </c>
      <c r="I11">
        <v>23348.25</v>
      </c>
      <c r="J11">
        <v>62015.22</v>
      </c>
      <c r="K11" s="7">
        <v>23804.91</v>
      </c>
      <c r="L11">
        <v>58770.36</v>
      </c>
      <c r="M11">
        <v>119083.23</v>
      </c>
      <c r="N11">
        <v>53010.18</v>
      </c>
      <c r="O11">
        <v>63323.729999999996</v>
      </c>
      <c r="P11">
        <v>72056.160000000003</v>
      </c>
      <c r="Q11">
        <v>49698.81</v>
      </c>
      <c r="R11" s="7">
        <v>48205.98</v>
      </c>
      <c r="S11">
        <v>16203.869999999999</v>
      </c>
      <c r="T11" s="7">
        <v>37611.81</v>
      </c>
    </row>
    <row r="12" spans="1:20" x14ac:dyDescent="0.2">
      <c r="C12">
        <f>SUM(C2:C11)</f>
        <v>3912900.49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119978.91</v>
      </c>
      <c r="D17">
        <f>AVERAGE(C2:E2)</f>
        <v>98446.92</v>
      </c>
      <c r="E17">
        <f>C17-D17</f>
        <v>21531.990000000005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54929.16</v>
      </c>
      <c r="D18">
        <f t="shared" ref="D18:D25" si="1">AVERAGE(C3:E3)</f>
        <v>81781.2</v>
      </c>
      <c r="E18">
        <f t="shared" ref="E18:E26" si="2">C18-D18</f>
        <v>-26852.039999999994</v>
      </c>
    </row>
    <row r="19" spans="1:5" ht="16" thickBot="1" x14ac:dyDescent="0.25">
      <c r="A19">
        <v>3</v>
      </c>
      <c r="B19" s="6" t="s">
        <v>3</v>
      </c>
      <c r="C19">
        <f t="shared" si="0"/>
        <v>17450.28</v>
      </c>
      <c r="D19">
        <f t="shared" si="1"/>
        <v>11541.69</v>
      </c>
      <c r="E19">
        <f t="shared" si="2"/>
        <v>5908.5899999999983</v>
      </c>
    </row>
    <row r="20" spans="1:5" ht="16" thickBot="1" x14ac:dyDescent="0.25">
      <c r="A20">
        <v>4</v>
      </c>
      <c r="B20" s="6" t="s">
        <v>4</v>
      </c>
      <c r="C20">
        <f t="shared" si="0"/>
        <v>3293139.7800000003</v>
      </c>
      <c r="D20">
        <f t="shared" si="1"/>
        <v>3277843.53</v>
      </c>
      <c r="E20">
        <f t="shared" si="2"/>
        <v>15296.250000000466</v>
      </c>
    </row>
    <row r="21" spans="1:5" ht="16" thickBot="1" x14ac:dyDescent="0.25">
      <c r="A21">
        <v>5</v>
      </c>
      <c r="B21" s="6" t="s">
        <v>5</v>
      </c>
      <c r="C21">
        <f t="shared" si="0"/>
        <v>363858.61499999999</v>
      </c>
      <c r="D21">
        <f t="shared" si="1"/>
        <v>399375.3</v>
      </c>
      <c r="E21">
        <f t="shared" si="2"/>
        <v>-35516.684999999998</v>
      </c>
    </row>
    <row r="22" spans="1:5" ht="16" thickBot="1" x14ac:dyDescent="0.25">
      <c r="A22">
        <v>6</v>
      </c>
      <c r="B22" s="6" t="s">
        <v>6</v>
      </c>
      <c r="C22">
        <f t="shared" si="0"/>
        <v>9.9899999999999984</v>
      </c>
      <c r="D22">
        <f t="shared" si="1"/>
        <v>3.3333333333333333E-2</v>
      </c>
      <c r="E22">
        <f t="shared" si="2"/>
        <v>9.9566666666666652</v>
      </c>
    </row>
    <row r="23" spans="1:5" ht="16" thickBot="1" x14ac:dyDescent="0.25">
      <c r="A23">
        <v>7</v>
      </c>
      <c r="B23" s="6" t="s">
        <v>7</v>
      </c>
      <c r="C23">
        <f t="shared" si="0"/>
        <v>22609.98</v>
      </c>
      <c r="D23">
        <f t="shared" si="1"/>
        <v>6324.5099999999993</v>
      </c>
      <c r="E23">
        <f t="shared" si="2"/>
        <v>16285.470000000001</v>
      </c>
    </row>
    <row r="24" spans="1:5" ht="16" thickBot="1" x14ac:dyDescent="0.25">
      <c r="A24">
        <v>8</v>
      </c>
      <c r="B24" s="6" t="s">
        <v>8</v>
      </c>
      <c r="C24">
        <f t="shared" si="0"/>
        <v>2565.4499999999998</v>
      </c>
      <c r="D24">
        <f t="shared" si="1"/>
        <v>1614.3</v>
      </c>
      <c r="E24">
        <f t="shared" si="2"/>
        <v>951.14999999999986</v>
      </c>
    </row>
    <row r="25" spans="1:5" ht="16" thickBot="1" x14ac:dyDescent="0.25">
      <c r="A25">
        <v>9</v>
      </c>
      <c r="B25" s="6" t="s">
        <v>9</v>
      </c>
      <c r="C25">
        <f t="shared" si="0"/>
        <v>11450.385</v>
      </c>
      <c r="D25">
        <f t="shared" si="1"/>
        <v>15045.659999999998</v>
      </c>
      <c r="E25">
        <f t="shared" si="2"/>
        <v>-3595.2749999999978</v>
      </c>
    </row>
    <row r="26" spans="1:5" ht="16" thickBot="1" x14ac:dyDescent="0.25">
      <c r="A26">
        <v>10</v>
      </c>
      <c r="B26" s="6" t="s">
        <v>10</v>
      </c>
      <c r="C26">
        <f>AVERAGE(S11:T11)</f>
        <v>26907.839999999997</v>
      </c>
      <c r="D26">
        <f>AVERAGE(C11:E11)</f>
        <v>20927.28</v>
      </c>
      <c r="E26">
        <f t="shared" si="2"/>
        <v>5980.5599999999977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21.87167460393886</v>
      </c>
    </row>
    <row r="32" spans="1:5" x14ac:dyDescent="0.2">
      <c r="B32" s="13" t="s">
        <v>2</v>
      </c>
      <c r="E32" s="14">
        <f t="shared" ref="E32:E40" si="3">(E18/D18)*100</f>
        <v>-32.834000968437728</v>
      </c>
    </row>
    <row r="33" spans="2:5" x14ac:dyDescent="0.2">
      <c r="B33" s="13" t="s">
        <v>3</v>
      </c>
      <c r="E33" s="14">
        <f t="shared" si="3"/>
        <v>51.193456070991317</v>
      </c>
    </row>
    <row r="34" spans="2:5" x14ac:dyDescent="0.2">
      <c r="B34" s="13" t="s">
        <v>4</v>
      </c>
      <c r="E34" s="14">
        <f t="shared" si="3"/>
        <v>0.46665589312008643</v>
      </c>
    </row>
    <row r="35" spans="2:5" x14ac:dyDescent="0.2">
      <c r="B35" s="13" t="s">
        <v>5</v>
      </c>
      <c r="E35" s="14">
        <f t="shared" si="3"/>
        <v>-8.893059986433812</v>
      </c>
    </row>
    <row r="36" spans="2:5" x14ac:dyDescent="0.2">
      <c r="B36" s="13" t="s">
        <v>6</v>
      </c>
      <c r="E36" s="14">
        <f t="shared" si="3"/>
        <v>29870</v>
      </c>
    </row>
    <row r="37" spans="2:5" x14ac:dyDescent="0.2">
      <c r="B37" s="13" t="s">
        <v>7</v>
      </c>
      <c r="E37" s="14">
        <f t="shared" si="3"/>
        <v>257.49773500239547</v>
      </c>
    </row>
    <row r="38" spans="2:5" x14ac:dyDescent="0.2">
      <c r="B38" s="13" t="s">
        <v>8</v>
      </c>
      <c r="E38" s="14">
        <f t="shared" si="3"/>
        <v>58.920275041813788</v>
      </c>
    </row>
    <row r="39" spans="2:5" x14ac:dyDescent="0.2">
      <c r="B39" s="13" t="s">
        <v>9</v>
      </c>
      <c r="E39" s="14">
        <f t="shared" si="3"/>
        <v>-23.895761302594888</v>
      </c>
    </row>
    <row r="40" spans="2:5" x14ac:dyDescent="0.2">
      <c r="B40" s="13" t="s">
        <v>10</v>
      </c>
      <c r="E40" s="14">
        <f t="shared" si="3"/>
        <v>28.577818044198761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112F-7754-3D4F-81CC-C6580EA5334D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51484.14</v>
      </c>
      <c r="D2">
        <v>57603.06</v>
      </c>
      <c r="E2" s="7">
        <v>54745.65</v>
      </c>
      <c r="F2" s="7">
        <v>48729.599999999999</v>
      </c>
      <c r="G2">
        <v>49102.38</v>
      </c>
      <c r="H2">
        <v>46820.52</v>
      </c>
      <c r="I2" s="7">
        <v>50794.83</v>
      </c>
      <c r="J2" s="7">
        <v>47650.95</v>
      </c>
      <c r="K2" s="7">
        <v>48751.38</v>
      </c>
      <c r="L2">
        <v>49104.9</v>
      </c>
      <c r="M2" s="7">
        <v>45706.05</v>
      </c>
      <c r="N2" s="7">
        <v>42639.39</v>
      </c>
      <c r="O2">
        <v>54603.54</v>
      </c>
      <c r="P2">
        <v>48690.45</v>
      </c>
      <c r="Q2" s="7">
        <v>44419.68</v>
      </c>
      <c r="R2" s="7">
        <v>49232.79</v>
      </c>
      <c r="S2">
        <v>45230.759999999995</v>
      </c>
      <c r="T2" s="7">
        <v>44374.95</v>
      </c>
    </row>
    <row r="3" spans="1:20" ht="16" thickBot="1" x14ac:dyDescent="0.25">
      <c r="A3">
        <v>2</v>
      </c>
      <c r="B3" s="6" t="s">
        <v>2</v>
      </c>
      <c r="C3">
        <v>9.7199999999999989</v>
      </c>
      <c r="D3">
        <v>595.98</v>
      </c>
      <c r="E3" s="7">
        <v>8145.54</v>
      </c>
      <c r="F3" s="7">
        <v>2199.87</v>
      </c>
      <c r="G3">
        <v>955.26</v>
      </c>
      <c r="H3">
        <v>360.09</v>
      </c>
      <c r="I3" s="7">
        <v>330.12</v>
      </c>
      <c r="J3" s="7">
        <v>523.62</v>
      </c>
      <c r="K3" s="7">
        <v>1667.16</v>
      </c>
      <c r="L3">
        <v>201.42</v>
      </c>
      <c r="M3" s="7">
        <v>351.27</v>
      </c>
      <c r="N3" s="7">
        <v>1564.92</v>
      </c>
      <c r="O3">
        <v>1041.21</v>
      </c>
      <c r="P3">
        <v>356.21999999999997</v>
      </c>
      <c r="Q3" s="7">
        <v>2497.3200000000002</v>
      </c>
      <c r="R3" s="7">
        <v>1099.6199999999999</v>
      </c>
      <c r="S3">
        <v>2399.4899999999998</v>
      </c>
      <c r="T3" s="7">
        <v>2429.19</v>
      </c>
    </row>
    <row r="4" spans="1:20" ht="16" thickBot="1" x14ac:dyDescent="0.25">
      <c r="A4">
        <v>3</v>
      </c>
      <c r="B4" s="6" t="s">
        <v>3</v>
      </c>
      <c r="C4">
        <v>2.61</v>
      </c>
      <c r="D4">
        <v>13.59</v>
      </c>
      <c r="E4" s="7">
        <v>1064.97</v>
      </c>
      <c r="F4" s="7">
        <v>70.56</v>
      </c>
      <c r="G4">
        <v>241.01999999999998</v>
      </c>
      <c r="H4">
        <v>14.67</v>
      </c>
      <c r="I4" s="7">
        <v>0.45</v>
      </c>
      <c r="J4" s="7">
        <v>90</v>
      </c>
      <c r="K4" s="7">
        <v>71.55</v>
      </c>
      <c r="L4">
        <v>125.36999999999999</v>
      </c>
      <c r="M4" s="7">
        <v>1.35</v>
      </c>
      <c r="N4" s="7">
        <v>4.95</v>
      </c>
      <c r="O4">
        <v>64.709999999999994</v>
      </c>
      <c r="P4">
        <v>1.6199999999999999</v>
      </c>
      <c r="Q4" s="7">
        <v>366.21</v>
      </c>
      <c r="R4" s="7">
        <v>8.82</v>
      </c>
      <c r="S4">
        <v>65.97</v>
      </c>
      <c r="T4" s="7">
        <v>86.13</v>
      </c>
    </row>
    <row r="5" spans="1:20" ht="16" thickBot="1" x14ac:dyDescent="0.25">
      <c r="A5">
        <v>4</v>
      </c>
      <c r="B5" s="6" t="s">
        <v>4</v>
      </c>
      <c r="C5">
        <v>128376.98999999999</v>
      </c>
      <c r="D5">
        <v>115662.95999999999</v>
      </c>
      <c r="E5" s="7">
        <v>77584.41</v>
      </c>
      <c r="F5" s="7">
        <v>96329.7</v>
      </c>
      <c r="G5">
        <v>102543.20999999999</v>
      </c>
      <c r="H5">
        <v>84969.18</v>
      </c>
      <c r="I5" s="7">
        <v>102225.78</v>
      </c>
      <c r="J5" s="7">
        <v>80334.81</v>
      </c>
      <c r="K5" s="7">
        <v>52424.28</v>
      </c>
      <c r="L5">
        <v>66091.77</v>
      </c>
      <c r="M5" s="7">
        <v>78114.78</v>
      </c>
      <c r="N5" s="7">
        <v>69575.399999999994</v>
      </c>
      <c r="O5">
        <v>55619.009999999995</v>
      </c>
      <c r="P5">
        <v>100280.25</v>
      </c>
      <c r="Q5" s="7">
        <v>81615.06</v>
      </c>
      <c r="R5" s="7">
        <v>79864.649999999994</v>
      </c>
      <c r="S5">
        <v>85004.099999999991</v>
      </c>
      <c r="T5" s="7">
        <v>72391.95</v>
      </c>
    </row>
    <row r="6" spans="1:20" ht="16" thickBot="1" x14ac:dyDescent="0.25">
      <c r="A6">
        <v>5</v>
      </c>
      <c r="B6" s="6" t="s">
        <v>5</v>
      </c>
      <c r="C6">
        <v>3055.41</v>
      </c>
      <c r="D6">
        <v>3198.06</v>
      </c>
      <c r="E6" s="7">
        <v>18779.580000000002</v>
      </c>
      <c r="F6" s="7">
        <v>2429.1</v>
      </c>
      <c r="G6">
        <v>14766.57</v>
      </c>
      <c r="H6">
        <v>2436.48</v>
      </c>
      <c r="I6" s="7">
        <v>2604.7800000000002</v>
      </c>
      <c r="J6" s="7">
        <v>3083.94</v>
      </c>
      <c r="K6" s="7">
        <v>2091.42</v>
      </c>
      <c r="L6">
        <v>2175.84</v>
      </c>
      <c r="M6" s="7">
        <v>2648.52</v>
      </c>
      <c r="N6" s="7">
        <v>4433.04</v>
      </c>
      <c r="O6">
        <v>1652.76</v>
      </c>
      <c r="P6">
        <v>2718.54</v>
      </c>
      <c r="Q6" s="7">
        <v>2135.9699999999998</v>
      </c>
      <c r="R6" s="7">
        <v>2613.87</v>
      </c>
      <c r="S6">
        <v>6515.28</v>
      </c>
      <c r="T6" s="7">
        <v>9710.91</v>
      </c>
    </row>
    <row r="7" spans="1:20" ht="16" thickBot="1" x14ac:dyDescent="0.25">
      <c r="A7">
        <v>6</v>
      </c>
      <c r="B7" s="6" t="s">
        <v>6</v>
      </c>
      <c r="C7">
        <v>8824.86</v>
      </c>
      <c r="D7">
        <v>4312.62</v>
      </c>
      <c r="E7" s="7">
        <v>1949.22</v>
      </c>
      <c r="F7" s="7">
        <v>9241.92</v>
      </c>
      <c r="G7">
        <v>4539.78</v>
      </c>
      <c r="H7">
        <v>4409.1899999999996</v>
      </c>
      <c r="I7" s="7">
        <v>9792.99</v>
      </c>
      <c r="J7" s="7">
        <v>3469.41</v>
      </c>
      <c r="K7" s="7">
        <v>2608.29</v>
      </c>
      <c r="L7">
        <v>5247</v>
      </c>
      <c r="M7" s="7">
        <v>5977.35</v>
      </c>
      <c r="N7" s="7">
        <v>7502.94</v>
      </c>
      <c r="O7">
        <v>8517.6</v>
      </c>
      <c r="P7">
        <v>8539.4699999999993</v>
      </c>
      <c r="Q7" s="7">
        <v>4292.82</v>
      </c>
      <c r="R7" s="7">
        <v>8170.47</v>
      </c>
      <c r="S7">
        <v>7240.05</v>
      </c>
      <c r="T7" s="7">
        <v>8960.49</v>
      </c>
    </row>
    <row r="8" spans="1:20" ht="16" thickBot="1" x14ac:dyDescent="0.25">
      <c r="A8">
        <v>7</v>
      </c>
      <c r="B8" s="6" t="s">
        <v>7</v>
      </c>
      <c r="C8">
        <v>65040.93</v>
      </c>
      <c r="D8">
        <v>75239.91</v>
      </c>
      <c r="E8" s="7">
        <v>94443.3</v>
      </c>
      <c r="F8" s="7">
        <v>97290.45</v>
      </c>
      <c r="G8">
        <v>84601.98</v>
      </c>
      <c r="H8">
        <v>117380.25</v>
      </c>
      <c r="I8" s="7">
        <v>90499.59</v>
      </c>
      <c r="J8" s="7">
        <v>121066.11</v>
      </c>
      <c r="K8" s="7">
        <v>148273.10999999999</v>
      </c>
      <c r="L8">
        <v>133278.29999999999</v>
      </c>
      <c r="M8" s="7">
        <v>123778.8</v>
      </c>
      <c r="N8" s="7">
        <v>130240.44</v>
      </c>
      <c r="O8">
        <v>134748.9</v>
      </c>
      <c r="P8">
        <v>95425.2</v>
      </c>
      <c r="Q8" s="7">
        <v>121041.9</v>
      </c>
      <c r="R8" s="7">
        <v>114851.07</v>
      </c>
      <c r="S8">
        <v>109796.94</v>
      </c>
      <c r="T8" s="7">
        <v>117975.42</v>
      </c>
    </row>
    <row r="9" spans="1:20" ht="16" thickBot="1" x14ac:dyDescent="0.25">
      <c r="A9">
        <v>8</v>
      </c>
      <c r="B9" s="6" t="s">
        <v>8</v>
      </c>
      <c r="C9">
        <v>6.5699999999999994</v>
      </c>
      <c r="D9">
        <v>3.06</v>
      </c>
      <c r="E9" s="7">
        <v>0</v>
      </c>
      <c r="F9" s="7">
        <v>0</v>
      </c>
      <c r="G9">
        <v>0</v>
      </c>
      <c r="H9">
        <v>2.61</v>
      </c>
      <c r="I9" s="7">
        <v>0.09</v>
      </c>
      <c r="J9" s="7">
        <v>8.1</v>
      </c>
      <c r="K9" s="7">
        <v>0</v>
      </c>
      <c r="L9">
        <v>2.61</v>
      </c>
      <c r="M9" s="7">
        <v>1.8</v>
      </c>
      <c r="N9" s="7">
        <v>49.77</v>
      </c>
      <c r="O9">
        <v>3.69</v>
      </c>
      <c r="P9">
        <v>0</v>
      </c>
      <c r="Q9" s="7">
        <v>0</v>
      </c>
      <c r="R9" s="7">
        <v>0</v>
      </c>
      <c r="S9">
        <v>9.5399999999999991</v>
      </c>
      <c r="T9" s="7">
        <v>8.73</v>
      </c>
    </row>
    <row r="10" spans="1:20" ht="16" thickBot="1" x14ac:dyDescent="0.25">
      <c r="A10">
        <v>9</v>
      </c>
      <c r="B10" s="6" t="s">
        <v>9</v>
      </c>
      <c r="C10">
        <v>180.45</v>
      </c>
      <c r="D10">
        <v>225.63</v>
      </c>
      <c r="E10" s="7">
        <v>366.66</v>
      </c>
      <c r="F10" s="7">
        <v>290.25</v>
      </c>
      <c r="G10">
        <v>204.84</v>
      </c>
      <c r="H10">
        <v>386.90999999999997</v>
      </c>
      <c r="I10" s="7">
        <v>628.55999999999995</v>
      </c>
      <c r="J10" s="7">
        <v>416.43</v>
      </c>
      <c r="K10" s="7">
        <v>436.95</v>
      </c>
      <c r="L10">
        <v>418.77</v>
      </c>
      <c r="M10" s="7">
        <v>318.42</v>
      </c>
      <c r="N10" s="7">
        <v>222.66</v>
      </c>
      <c r="O10">
        <v>224.1</v>
      </c>
      <c r="P10">
        <v>650.34</v>
      </c>
      <c r="Q10" s="7">
        <v>316.35000000000002</v>
      </c>
      <c r="R10" s="7">
        <v>277.11</v>
      </c>
      <c r="S10">
        <v>389.78999999999996</v>
      </c>
      <c r="T10" s="7">
        <v>479.34</v>
      </c>
    </row>
    <row r="11" spans="1:20" ht="16" thickBot="1" x14ac:dyDescent="0.25">
      <c r="A11">
        <v>10</v>
      </c>
      <c r="B11" s="6" t="s">
        <v>10</v>
      </c>
      <c r="C11">
        <v>1015.02</v>
      </c>
      <c r="D11">
        <v>1141.83</v>
      </c>
      <c r="E11" s="7">
        <v>917.37</v>
      </c>
      <c r="F11" s="7">
        <v>1415.25</v>
      </c>
      <c r="G11">
        <v>1041.6599999999999</v>
      </c>
      <c r="H11">
        <v>1216.8</v>
      </c>
      <c r="I11" s="7">
        <v>1119.51</v>
      </c>
      <c r="J11" s="7">
        <v>1353.33</v>
      </c>
      <c r="K11" s="7">
        <v>1672.56</v>
      </c>
      <c r="L11">
        <v>1350.72</v>
      </c>
      <c r="M11" s="7">
        <v>1098.3599999999999</v>
      </c>
      <c r="N11" s="7">
        <v>1763.19</v>
      </c>
      <c r="O11">
        <v>1521.1799999999998</v>
      </c>
      <c r="P11">
        <v>1334.61</v>
      </c>
      <c r="Q11" s="7">
        <v>1311.39</v>
      </c>
      <c r="R11" s="7">
        <v>1878.3</v>
      </c>
      <c r="S11">
        <v>1344.78</v>
      </c>
      <c r="T11" s="7">
        <v>1579.59</v>
      </c>
    </row>
    <row r="12" spans="1:20" x14ac:dyDescent="0.2">
      <c r="C12">
        <f>SUM(C2:C11)</f>
        <v>257996.69999999998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44802.854999999996</v>
      </c>
      <c r="D17">
        <f>AVERAGE(C2:E2)</f>
        <v>54610.950000000004</v>
      </c>
      <c r="E17">
        <f>C17-D17</f>
        <v>-9808.0950000000084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2414.34</v>
      </c>
      <c r="D18">
        <f t="shared" ref="D18:D25" si="1">AVERAGE(C3:E3)</f>
        <v>2917.08</v>
      </c>
      <c r="E18">
        <f t="shared" ref="E18:E26" si="2">C18-D18</f>
        <v>-502.73999999999978</v>
      </c>
    </row>
    <row r="19" spans="1:5" ht="16" thickBot="1" x14ac:dyDescent="0.25">
      <c r="A19">
        <v>3</v>
      </c>
      <c r="B19" s="6" t="s">
        <v>3</v>
      </c>
      <c r="C19">
        <f t="shared" si="0"/>
        <v>76.05</v>
      </c>
      <c r="D19">
        <f t="shared" si="1"/>
        <v>360.39000000000004</v>
      </c>
      <c r="E19">
        <f t="shared" si="2"/>
        <v>-284.34000000000003</v>
      </c>
    </row>
    <row r="20" spans="1:5" ht="16" thickBot="1" x14ac:dyDescent="0.25">
      <c r="A20">
        <v>4</v>
      </c>
      <c r="B20" s="6" t="s">
        <v>4</v>
      </c>
      <c r="C20">
        <f t="shared" si="0"/>
        <v>78698.024999999994</v>
      </c>
      <c r="D20">
        <f t="shared" si="1"/>
        <v>107208.12</v>
      </c>
      <c r="E20">
        <f t="shared" si="2"/>
        <v>-28510.095000000001</v>
      </c>
    </row>
    <row r="21" spans="1:5" ht="16" thickBot="1" x14ac:dyDescent="0.25">
      <c r="A21">
        <v>5</v>
      </c>
      <c r="B21" s="6" t="s">
        <v>5</v>
      </c>
      <c r="C21">
        <f t="shared" si="0"/>
        <v>8113.0949999999993</v>
      </c>
      <c r="D21">
        <f t="shared" si="1"/>
        <v>8344.35</v>
      </c>
      <c r="E21">
        <f t="shared" si="2"/>
        <v>-231.25500000000102</v>
      </c>
    </row>
    <row r="22" spans="1:5" ht="16" thickBot="1" x14ac:dyDescent="0.25">
      <c r="A22">
        <v>6</v>
      </c>
      <c r="B22" s="6" t="s">
        <v>6</v>
      </c>
      <c r="C22">
        <f t="shared" si="0"/>
        <v>8100.27</v>
      </c>
      <c r="D22">
        <f t="shared" si="1"/>
        <v>5028.8999999999996</v>
      </c>
      <c r="E22">
        <f t="shared" si="2"/>
        <v>3071.3700000000008</v>
      </c>
    </row>
    <row r="23" spans="1:5" ht="16" thickBot="1" x14ac:dyDescent="0.25">
      <c r="A23">
        <v>7</v>
      </c>
      <c r="B23" s="6" t="s">
        <v>7</v>
      </c>
      <c r="C23">
        <f t="shared" si="0"/>
        <v>113886.18</v>
      </c>
      <c r="D23">
        <f t="shared" si="1"/>
        <v>78241.38</v>
      </c>
      <c r="E23">
        <f t="shared" si="2"/>
        <v>35644.799999999988</v>
      </c>
    </row>
    <row r="24" spans="1:5" ht="16" thickBot="1" x14ac:dyDescent="0.25">
      <c r="A24">
        <v>8</v>
      </c>
      <c r="B24" s="6" t="s">
        <v>8</v>
      </c>
      <c r="C24">
        <f t="shared" si="0"/>
        <v>9.1349999999999998</v>
      </c>
      <c r="D24">
        <f t="shared" si="1"/>
        <v>3.2099999999999995</v>
      </c>
      <c r="E24">
        <f t="shared" si="2"/>
        <v>5.9250000000000007</v>
      </c>
    </row>
    <row r="25" spans="1:5" ht="16" thickBot="1" x14ac:dyDescent="0.25">
      <c r="A25">
        <v>9</v>
      </c>
      <c r="B25" s="6" t="s">
        <v>9</v>
      </c>
      <c r="C25">
        <f t="shared" si="0"/>
        <v>434.56499999999994</v>
      </c>
      <c r="D25">
        <f t="shared" si="1"/>
        <v>257.58</v>
      </c>
      <c r="E25">
        <f t="shared" si="2"/>
        <v>176.98499999999996</v>
      </c>
    </row>
    <row r="26" spans="1:5" ht="16" thickBot="1" x14ac:dyDescent="0.25">
      <c r="A26">
        <v>10</v>
      </c>
      <c r="B26" s="6" t="s">
        <v>10</v>
      </c>
      <c r="C26">
        <f>AVERAGE(S11:T11)</f>
        <v>1462.1849999999999</v>
      </c>
      <c r="D26">
        <f>AVERAGE(C11:E11)</f>
        <v>1024.74</v>
      </c>
      <c r="E26">
        <f t="shared" si="2"/>
        <v>437.44499999999994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-17.95994209952401</v>
      </c>
    </row>
    <row r="32" spans="1:5" x14ac:dyDescent="0.2">
      <c r="B32" s="13" t="s">
        <v>2</v>
      </c>
      <c r="E32" s="14">
        <f t="shared" ref="E32:E40" si="3">(E18/D18)*100</f>
        <v>-17.234357645316543</v>
      </c>
    </row>
    <row r="33" spans="2:5" x14ac:dyDescent="0.2">
      <c r="B33" s="13" t="s">
        <v>3</v>
      </c>
      <c r="E33" s="14">
        <f t="shared" si="3"/>
        <v>-78.897860650961462</v>
      </c>
    </row>
    <row r="34" spans="2:5" x14ac:dyDescent="0.2">
      <c r="B34" s="13" t="s">
        <v>4</v>
      </c>
      <c r="E34" s="14">
        <f t="shared" si="3"/>
        <v>-26.59322353567995</v>
      </c>
    </row>
    <row r="35" spans="2:5" x14ac:dyDescent="0.2">
      <c r="B35" s="13" t="s">
        <v>5</v>
      </c>
      <c r="E35" s="14">
        <f t="shared" si="3"/>
        <v>-2.7713962142048332</v>
      </c>
    </row>
    <row r="36" spans="2:5" x14ac:dyDescent="0.2">
      <c r="B36" s="13" t="s">
        <v>6</v>
      </c>
      <c r="E36" s="14">
        <f t="shared" si="3"/>
        <v>61.074390025651745</v>
      </c>
    </row>
    <row r="37" spans="2:5" x14ac:dyDescent="0.2">
      <c r="B37" s="13" t="s">
        <v>7</v>
      </c>
      <c r="E37" s="14">
        <f t="shared" si="3"/>
        <v>45.5574786641033</v>
      </c>
    </row>
    <row r="38" spans="2:5" x14ac:dyDescent="0.2">
      <c r="B38" s="13" t="s">
        <v>8</v>
      </c>
      <c r="E38" s="14">
        <f t="shared" si="3"/>
        <v>184.5794392523365</v>
      </c>
    </row>
    <row r="39" spans="2:5" x14ac:dyDescent="0.2">
      <c r="B39" s="13" t="s">
        <v>9</v>
      </c>
      <c r="E39" s="14">
        <f t="shared" si="3"/>
        <v>68.710691823899367</v>
      </c>
    </row>
    <row r="40" spans="2:5" x14ac:dyDescent="0.2">
      <c r="B40" s="13" t="s">
        <v>10</v>
      </c>
      <c r="E40" s="14">
        <f t="shared" si="3"/>
        <v>42.688389249956082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F570-5C3C-334F-8E96-BC9E15379556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23614.559999999998</v>
      </c>
      <c r="D2">
        <v>24074.73</v>
      </c>
      <c r="E2" s="7">
        <v>17501.22</v>
      </c>
      <c r="F2" s="7">
        <v>26774.37</v>
      </c>
      <c r="G2" s="7">
        <v>20670.39</v>
      </c>
      <c r="H2">
        <v>28124.82</v>
      </c>
      <c r="I2">
        <v>19665.54</v>
      </c>
      <c r="J2" s="7">
        <v>18418.23</v>
      </c>
      <c r="K2">
        <v>20181.509999999998</v>
      </c>
      <c r="L2">
        <v>26699.489999999998</v>
      </c>
      <c r="M2" s="7">
        <v>22505.040000000001</v>
      </c>
      <c r="N2">
        <v>20986.92</v>
      </c>
      <c r="O2">
        <v>23780.43</v>
      </c>
      <c r="P2" s="7">
        <v>21509.01</v>
      </c>
      <c r="Q2" s="7">
        <v>18386.82</v>
      </c>
      <c r="R2">
        <v>27225</v>
      </c>
      <c r="S2">
        <v>18537.93</v>
      </c>
      <c r="T2">
        <v>21492</v>
      </c>
    </row>
    <row r="3" spans="1:20" ht="16" thickBot="1" x14ac:dyDescent="0.25">
      <c r="A3">
        <v>2</v>
      </c>
      <c r="B3" s="6" t="s">
        <v>2</v>
      </c>
      <c r="C3">
        <v>2924.8199999999997</v>
      </c>
      <c r="D3">
        <v>4060.71</v>
      </c>
      <c r="E3" s="7">
        <v>370.71</v>
      </c>
      <c r="F3" s="7">
        <v>2088.54</v>
      </c>
      <c r="G3" s="7">
        <v>6.93</v>
      </c>
      <c r="H3">
        <v>1677.78</v>
      </c>
      <c r="I3">
        <v>586.43999999999994</v>
      </c>
      <c r="J3" s="7">
        <v>222.21</v>
      </c>
      <c r="K3">
        <v>564.20999999999992</v>
      </c>
      <c r="L3">
        <v>42.12</v>
      </c>
      <c r="M3" s="7">
        <v>517.04999999999995</v>
      </c>
      <c r="N3">
        <v>19.8</v>
      </c>
      <c r="O3">
        <v>2739.06</v>
      </c>
      <c r="P3" s="7">
        <v>8.82</v>
      </c>
      <c r="Q3" s="7">
        <v>1163.6099999999999</v>
      </c>
      <c r="R3">
        <v>809.55</v>
      </c>
      <c r="S3">
        <v>4465.4399999999996</v>
      </c>
      <c r="T3">
        <v>3350.6099999999997</v>
      </c>
    </row>
    <row r="4" spans="1:20" ht="16" thickBot="1" x14ac:dyDescent="0.25">
      <c r="A4">
        <v>3</v>
      </c>
      <c r="B4" s="6" t="s">
        <v>3</v>
      </c>
      <c r="C4">
        <v>9696.33</v>
      </c>
      <c r="D4">
        <v>13041.09</v>
      </c>
      <c r="E4" s="7">
        <v>8689.68</v>
      </c>
      <c r="F4" s="7">
        <v>10838.43</v>
      </c>
      <c r="G4" s="7">
        <v>6035.49</v>
      </c>
      <c r="H4">
        <v>6348.51</v>
      </c>
      <c r="I4">
        <v>7515</v>
      </c>
      <c r="J4" s="7">
        <v>9257.2199999999993</v>
      </c>
      <c r="K4">
        <v>14267.519999999999</v>
      </c>
      <c r="L4">
        <v>5305.05</v>
      </c>
      <c r="M4" s="7">
        <v>11408.67</v>
      </c>
      <c r="N4">
        <v>7582.95</v>
      </c>
      <c r="O4">
        <v>3752.1</v>
      </c>
      <c r="P4" s="7">
        <v>4872.33</v>
      </c>
      <c r="Q4" s="7">
        <v>7567.92</v>
      </c>
      <c r="R4">
        <v>2063.52</v>
      </c>
      <c r="S4">
        <v>6788.61</v>
      </c>
      <c r="T4">
        <v>5341.1399999999994</v>
      </c>
    </row>
    <row r="5" spans="1:20" ht="16" thickBot="1" x14ac:dyDescent="0.25">
      <c r="A5">
        <v>4</v>
      </c>
      <c r="B5" s="6" t="s">
        <v>4</v>
      </c>
      <c r="C5">
        <v>99106.37999999999</v>
      </c>
      <c r="D5">
        <v>100207.17</v>
      </c>
      <c r="E5" s="7">
        <v>35271.18</v>
      </c>
      <c r="F5" s="7">
        <v>25867.62</v>
      </c>
      <c r="G5" s="7">
        <v>33823.980000000003</v>
      </c>
      <c r="H5">
        <v>40376.159999999996</v>
      </c>
      <c r="I5">
        <v>47802.869999999995</v>
      </c>
      <c r="J5" s="7">
        <v>44122.32</v>
      </c>
      <c r="K5">
        <v>32647.32</v>
      </c>
      <c r="L5">
        <v>29628.27</v>
      </c>
      <c r="M5" s="7">
        <v>30500.37</v>
      </c>
      <c r="N5">
        <v>35480.07</v>
      </c>
      <c r="O5">
        <v>39986.729999999996</v>
      </c>
      <c r="P5" s="7">
        <v>38346.39</v>
      </c>
      <c r="Q5" s="7">
        <v>20280.96</v>
      </c>
      <c r="R5">
        <v>36826.199999999997</v>
      </c>
      <c r="S5">
        <v>24023.61</v>
      </c>
      <c r="T5">
        <v>20353.86</v>
      </c>
    </row>
    <row r="6" spans="1:20" ht="16" thickBot="1" x14ac:dyDescent="0.25">
      <c r="A6">
        <v>5</v>
      </c>
      <c r="B6" s="6" t="s">
        <v>5</v>
      </c>
      <c r="C6">
        <v>45383.85</v>
      </c>
      <c r="D6">
        <v>53254.89</v>
      </c>
      <c r="E6" s="7">
        <v>63468.99</v>
      </c>
      <c r="F6" s="7">
        <v>54791.82</v>
      </c>
      <c r="G6" s="7">
        <v>66674.34</v>
      </c>
      <c r="H6">
        <v>51566.400000000001</v>
      </c>
      <c r="I6">
        <v>32769</v>
      </c>
      <c r="J6" s="7">
        <v>34593.57</v>
      </c>
      <c r="K6">
        <v>19613.07</v>
      </c>
      <c r="L6">
        <v>34340.76</v>
      </c>
      <c r="M6" s="7">
        <v>34564.68</v>
      </c>
      <c r="N6">
        <v>42004.35</v>
      </c>
      <c r="O6">
        <v>26253.539999999997</v>
      </c>
      <c r="P6" s="7">
        <v>29589.39</v>
      </c>
      <c r="Q6" s="7">
        <v>32421.24</v>
      </c>
      <c r="R6">
        <v>35711.549999999996</v>
      </c>
      <c r="S6">
        <v>29153.07</v>
      </c>
      <c r="T6">
        <v>18671.399999999998</v>
      </c>
    </row>
    <row r="7" spans="1:20" ht="16" thickBot="1" x14ac:dyDescent="0.25">
      <c r="A7">
        <v>6</v>
      </c>
      <c r="B7" s="6" t="s">
        <v>6</v>
      </c>
      <c r="C7">
        <v>81</v>
      </c>
      <c r="D7">
        <v>151.19999999999999</v>
      </c>
      <c r="E7" s="7">
        <v>695.79</v>
      </c>
      <c r="F7" s="7">
        <v>2838.96</v>
      </c>
      <c r="G7" s="7">
        <v>515.52</v>
      </c>
      <c r="H7">
        <v>927.54</v>
      </c>
      <c r="I7">
        <v>764.18999999999994</v>
      </c>
      <c r="J7" s="7">
        <v>676.98</v>
      </c>
      <c r="K7">
        <v>131.31</v>
      </c>
      <c r="L7">
        <v>188.73</v>
      </c>
      <c r="M7" s="7">
        <v>2944.08</v>
      </c>
      <c r="N7">
        <v>761.49</v>
      </c>
      <c r="O7">
        <v>640.07999999999993</v>
      </c>
      <c r="P7" s="7">
        <v>756.09</v>
      </c>
      <c r="Q7" s="7">
        <v>221.49</v>
      </c>
      <c r="R7">
        <v>496.97999999999996</v>
      </c>
      <c r="S7">
        <v>706.58999999999992</v>
      </c>
      <c r="T7">
        <v>724.31999999999994</v>
      </c>
    </row>
    <row r="8" spans="1:20" ht="16" thickBot="1" x14ac:dyDescent="0.25">
      <c r="A8">
        <v>7</v>
      </c>
      <c r="B8" s="6" t="s">
        <v>7</v>
      </c>
      <c r="C8">
        <v>67300.2</v>
      </c>
      <c r="D8">
        <v>54654.119999999995</v>
      </c>
      <c r="E8" s="7">
        <v>123069.33</v>
      </c>
      <c r="F8" s="7">
        <v>125737.74</v>
      </c>
      <c r="G8" s="7">
        <v>121222.44</v>
      </c>
      <c r="H8">
        <v>119987.09999999999</v>
      </c>
      <c r="I8">
        <v>139758.21</v>
      </c>
      <c r="J8" s="7">
        <v>141206.85</v>
      </c>
      <c r="K8">
        <v>160676.19</v>
      </c>
      <c r="L8">
        <v>151792.19999999998</v>
      </c>
      <c r="M8" s="7">
        <v>145250.37</v>
      </c>
      <c r="N8">
        <v>141131.34</v>
      </c>
      <c r="O8">
        <v>147479.57999999999</v>
      </c>
      <c r="P8" s="7">
        <v>152489.34</v>
      </c>
      <c r="Q8" s="7">
        <v>166010.76</v>
      </c>
      <c r="R8">
        <v>142676.82</v>
      </c>
      <c r="S8">
        <v>163679.13</v>
      </c>
      <c r="T8">
        <v>177029.55</v>
      </c>
    </row>
    <row r="9" spans="1:20" ht="16" thickBot="1" x14ac:dyDescent="0.25">
      <c r="A9">
        <v>8</v>
      </c>
      <c r="B9" s="6" t="s">
        <v>8</v>
      </c>
      <c r="C9">
        <v>14.399999999999999</v>
      </c>
      <c r="D9">
        <v>8.3699999999999992</v>
      </c>
      <c r="E9" s="7">
        <v>0</v>
      </c>
      <c r="F9" s="7">
        <v>9.09</v>
      </c>
      <c r="G9" s="7">
        <v>0</v>
      </c>
      <c r="H9">
        <v>0.36</v>
      </c>
      <c r="I9">
        <v>0</v>
      </c>
      <c r="J9" s="7">
        <v>9.6300000000000008</v>
      </c>
      <c r="K9">
        <v>26.459999999999997</v>
      </c>
      <c r="L9">
        <v>0</v>
      </c>
      <c r="M9" s="7">
        <v>0</v>
      </c>
      <c r="N9">
        <v>0</v>
      </c>
      <c r="O9">
        <v>0</v>
      </c>
      <c r="P9" s="7">
        <v>0</v>
      </c>
      <c r="Q9" s="7">
        <v>0</v>
      </c>
      <c r="R9">
        <v>0</v>
      </c>
      <c r="S9">
        <v>0</v>
      </c>
      <c r="T9">
        <v>0.18</v>
      </c>
    </row>
    <row r="10" spans="1:20" ht="16" thickBot="1" x14ac:dyDescent="0.25">
      <c r="A10">
        <v>9</v>
      </c>
      <c r="B10" s="6" t="s">
        <v>9</v>
      </c>
      <c r="C10">
        <v>23.939999999999998</v>
      </c>
      <c r="D10">
        <v>30.509999999999998</v>
      </c>
      <c r="E10" s="7">
        <v>16.47</v>
      </c>
      <c r="F10" s="7">
        <v>46.53</v>
      </c>
      <c r="G10" s="7">
        <v>48.33</v>
      </c>
      <c r="H10">
        <v>64.62</v>
      </c>
      <c r="I10">
        <v>71.73</v>
      </c>
      <c r="J10" s="7">
        <v>51.21</v>
      </c>
      <c r="K10">
        <v>61.11</v>
      </c>
      <c r="L10">
        <v>47.699999999999996</v>
      </c>
      <c r="M10" s="7">
        <v>52.47</v>
      </c>
      <c r="N10">
        <v>27.99</v>
      </c>
      <c r="O10">
        <v>113.03999999999999</v>
      </c>
      <c r="P10" s="7">
        <v>118.71</v>
      </c>
      <c r="Q10" s="7">
        <v>98.91</v>
      </c>
      <c r="R10">
        <v>68.67</v>
      </c>
      <c r="S10">
        <v>73.89</v>
      </c>
      <c r="T10">
        <v>119.69999999999999</v>
      </c>
    </row>
    <row r="11" spans="1:20" ht="16" thickBot="1" x14ac:dyDescent="0.25">
      <c r="A11">
        <v>10</v>
      </c>
      <c r="B11" s="6" t="s">
        <v>10</v>
      </c>
      <c r="C11">
        <v>1376.9099999999999</v>
      </c>
      <c r="D11">
        <v>39.6</v>
      </c>
      <c r="E11" s="7">
        <v>439.02</v>
      </c>
      <c r="F11" s="7">
        <v>529.29</v>
      </c>
      <c r="G11" s="7">
        <v>524.97</v>
      </c>
      <c r="H11">
        <v>449.09999999999997</v>
      </c>
      <c r="I11">
        <v>589.41</v>
      </c>
      <c r="J11" s="7">
        <v>964.17</v>
      </c>
      <c r="K11">
        <v>1353.69</v>
      </c>
      <c r="L11">
        <v>1478.07</v>
      </c>
      <c r="M11" s="7">
        <v>1779.66</v>
      </c>
      <c r="N11">
        <v>1527.48</v>
      </c>
      <c r="O11">
        <v>4777.83</v>
      </c>
      <c r="P11" s="7">
        <v>1832.31</v>
      </c>
      <c r="Q11" s="7">
        <v>3370.68</v>
      </c>
      <c r="R11">
        <v>3644.1</v>
      </c>
      <c r="S11">
        <v>2094.12</v>
      </c>
      <c r="T11">
        <v>2439.63</v>
      </c>
    </row>
    <row r="12" spans="1:20" x14ac:dyDescent="0.2">
      <c r="C12">
        <f>SUM(C2:C11)</f>
        <v>249522.39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20014.965</v>
      </c>
      <c r="D17">
        <f>AVERAGE(C2:E2)</f>
        <v>21730.17</v>
      </c>
      <c r="E17">
        <f>C17-D17</f>
        <v>-1715.2049999999981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3908.0249999999996</v>
      </c>
      <c r="D18">
        <f t="shared" ref="D18:D25" si="1">AVERAGE(C3:E3)</f>
        <v>2452.08</v>
      </c>
      <c r="E18">
        <f t="shared" ref="E18:E26" si="2">C18-D18</f>
        <v>1455.9449999999997</v>
      </c>
    </row>
    <row r="19" spans="1:5" ht="16" thickBot="1" x14ac:dyDescent="0.25">
      <c r="A19">
        <v>3</v>
      </c>
      <c r="B19" s="6" t="s">
        <v>3</v>
      </c>
      <c r="C19">
        <f t="shared" si="0"/>
        <v>6064.875</v>
      </c>
      <c r="D19">
        <f t="shared" si="1"/>
        <v>10475.699999999999</v>
      </c>
      <c r="E19">
        <f t="shared" si="2"/>
        <v>-4410.8249999999989</v>
      </c>
    </row>
    <row r="20" spans="1:5" ht="16" thickBot="1" x14ac:dyDescent="0.25">
      <c r="A20">
        <v>4</v>
      </c>
      <c r="B20" s="6" t="s">
        <v>4</v>
      </c>
      <c r="C20">
        <f t="shared" si="0"/>
        <v>22188.735000000001</v>
      </c>
      <c r="D20">
        <f t="shared" si="1"/>
        <v>78194.909999999989</v>
      </c>
      <c r="E20">
        <f t="shared" si="2"/>
        <v>-56006.174999999988</v>
      </c>
    </row>
    <row r="21" spans="1:5" ht="16" thickBot="1" x14ac:dyDescent="0.25">
      <c r="A21">
        <v>5</v>
      </c>
      <c r="B21" s="6" t="s">
        <v>5</v>
      </c>
      <c r="C21">
        <f t="shared" si="0"/>
        <v>23912.235000000001</v>
      </c>
      <c r="D21">
        <f t="shared" si="1"/>
        <v>54035.909999999996</v>
      </c>
      <c r="E21">
        <f t="shared" si="2"/>
        <v>-30123.674999999996</v>
      </c>
    </row>
    <row r="22" spans="1:5" ht="16" thickBot="1" x14ac:dyDescent="0.25">
      <c r="A22">
        <v>6</v>
      </c>
      <c r="B22" s="6" t="s">
        <v>6</v>
      </c>
      <c r="C22">
        <f t="shared" si="0"/>
        <v>715.45499999999993</v>
      </c>
      <c r="D22">
        <f t="shared" si="1"/>
        <v>309.33</v>
      </c>
      <c r="E22">
        <f t="shared" si="2"/>
        <v>406.12499999999994</v>
      </c>
    </row>
    <row r="23" spans="1:5" ht="16" thickBot="1" x14ac:dyDescent="0.25">
      <c r="A23">
        <v>7</v>
      </c>
      <c r="B23" s="6" t="s">
        <v>7</v>
      </c>
      <c r="C23">
        <f t="shared" si="0"/>
        <v>170354.34</v>
      </c>
      <c r="D23">
        <f t="shared" si="1"/>
        <v>81674.55</v>
      </c>
      <c r="E23">
        <f t="shared" si="2"/>
        <v>88679.79</v>
      </c>
    </row>
    <row r="24" spans="1:5" ht="16" thickBot="1" x14ac:dyDescent="0.25">
      <c r="A24">
        <v>8</v>
      </c>
      <c r="B24" s="6" t="s">
        <v>8</v>
      </c>
      <c r="C24">
        <f t="shared" si="0"/>
        <v>0.09</v>
      </c>
      <c r="D24">
        <f t="shared" si="1"/>
        <v>7.589999999999999</v>
      </c>
      <c r="E24">
        <f t="shared" si="2"/>
        <v>-7.4999999999999991</v>
      </c>
    </row>
    <row r="25" spans="1:5" ht="16" thickBot="1" x14ac:dyDescent="0.25">
      <c r="A25">
        <v>9</v>
      </c>
      <c r="B25" s="6" t="s">
        <v>9</v>
      </c>
      <c r="C25">
        <f t="shared" si="0"/>
        <v>96.794999999999987</v>
      </c>
      <c r="D25">
        <f t="shared" si="1"/>
        <v>23.639999999999997</v>
      </c>
      <c r="E25">
        <f t="shared" si="2"/>
        <v>73.154999999999987</v>
      </c>
    </row>
    <row r="26" spans="1:5" ht="16" thickBot="1" x14ac:dyDescent="0.25">
      <c r="A26">
        <v>10</v>
      </c>
      <c r="B26" s="6" t="s">
        <v>10</v>
      </c>
      <c r="C26">
        <f>AVERAGE(S11:T11)</f>
        <v>2266.875</v>
      </c>
      <c r="D26">
        <f>AVERAGE(C11:E11)</f>
        <v>618.50999999999988</v>
      </c>
      <c r="E26">
        <f t="shared" si="2"/>
        <v>1648.3650000000002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-7.89319641769944</v>
      </c>
    </row>
    <row r="32" spans="1:5" x14ac:dyDescent="0.2">
      <c r="B32" s="13" t="s">
        <v>2</v>
      </c>
      <c r="E32" s="14">
        <f t="shared" ref="E32:E40" si="3">(E18/D18)*100</f>
        <v>59.375917588333159</v>
      </c>
    </row>
    <row r="33" spans="2:5" x14ac:dyDescent="0.2">
      <c r="B33" s="13" t="s">
        <v>3</v>
      </c>
      <c r="E33" s="14">
        <f t="shared" si="3"/>
        <v>-42.105300839084734</v>
      </c>
    </row>
    <row r="34" spans="2:5" x14ac:dyDescent="0.2">
      <c r="B34" s="13" t="s">
        <v>4</v>
      </c>
      <c r="E34" s="14">
        <f t="shared" si="3"/>
        <v>-71.623811575459314</v>
      </c>
    </row>
    <row r="35" spans="2:5" x14ac:dyDescent="0.2">
      <c r="B35" s="13" t="s">
        <v>5</v>
      </c>
      <c r="E35" s="14">
        <f t="shared" si="3"/>
        <v>-55.747511238359813</v>
      </c>
    </row>
    <row r="36" spans="2:5" x14ac:dyDescent="0.2">
      <c r="B36" s="13" t="s">
        <v>6</v>
      </c>
      <c r="E36" s="14">
        <f t="shared" si="3"/>
        <v>131.29182426534766</v>
      </c>
    </row>
    <row r="37" spans="2:5" x14ac:dyDescent="0.2">
      <c r="B37" s="13" t="s">
        <v>7</v>
      </c>
      <c r="E37" s="14">
        <f t="shared" si="3"/>
        <v>108.57701695326143</v>
      </c>
    </row>
    <row r="38" spans="2:5" x14ac:dyDescent="0.2">
      <c r="B38" s="13" t="s">
        <v>8</v>
      </c>
      <c r="E38" s="14">
        <f t="shared" si="3"/>
        <v>-98.814229249011859</v>
      </c>
    </row>
    <row r="39" spans="2:5" x14ac:dyDescent="0.2">
      <c r="B39" s="13" t="s">
        <v>9</v>
      </c>
      <c r="E39" s="14">
        <f t="shared" si="3"/>
        <v>309.45431472081214</v>
      </c>
    </row>
    <row r="40" spans="2:5" x14ac:dyDescent="0.2">
      <c r="B40" s="13" t="s">
        <v>10</v>
      </c>
      <c r="E40" s="14">
        <f t="shared" si="3"/>
        <v>266.5057961876123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0E4B-EC62-FE4D-9B4C-BA8DC1060207}">
  <dimension ref="A1:T40"/>
  <sheetViews>
    <sheetView workbookViewId="0">
      <selection activeCell="J40" sqref="J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27143.91</v>
      </c>
      <c r="D2">
        <v>22873.77</v>
      </c>
      <c r="E2">
        <v>19474.11</v>
      </c>
      <c r="F2">
        <v>24348.329999999998</v>
      </c>
      <c r="G2" s="7">
        <v>22393.62</v>
      </c>
      <c r="H2">
        <v>32238.629999999997</v>
      </c>
      <c r="I2">
        <v>26421.93</v>
      </c>
      <c r="J2" s="7">
        <v>35419.32</v>
      </c>
      <c r="K2">
        <v>30085.469999999998</v>
      </c>
      <c r="L2" s="7">
        <v>44967.51</v>
      </c>
      <c r="M2" s="7">
        <v>18724.86</v>
      </c>
      <c r="N2">
        <v>40001.58</v>
      </c>
      <c r="O2" s="7">
        <v>30636.99</v>
      </c>
      <c r="P2" s="7">
        <v>40922.1</v>
      </c>
      <c r="Q2" s="7">
        <v>33956.550000000003</v>
      </c>
      <c r="R2">
        <v>28763.64</v>
      </c>
      <c r="S2" s="7">
        <v>16042.14</v>
      </c>
      <c r="T2" s="7">
        <v>18379.53</v>
      </c>
    </row>
    <row r="3" spans="1:20" ht="16" thickBot="1" x14ac:dyDescent="0.25">
      <c r="A3">
        <v>2</v>
      </c>
      <c r="B3" s="6" t="s">
        <v>2</v>
      </c>
      <c r="C3">
        <v>36871.47</v>
      </c>
      <c r="D3">
        <v>42557.67</v>
      </c>
      <c r="E3">
        <v>28955.43</v>
      </c>
      <c r="F3">
        <v>14076</v>
      </c>
      <c r="G3" s="7">
        <v>24033.15</v>
      </c>
      <c r="H3">
        <v>27759.059999999998</v>
      </c>
      <c r="I3">
        <v>42235.74</v>
      </c>
      <c r="J3" s="7">
        <v>53987.85</v>
      </c>
      <c r="K3">
        <v>85623.569999999992</v>
      </c>
      <c r="L3" s="7">
        <v>69117.570000000007</v>
      </c>
      <c r="M3" s="7">
        <v>47744.1</v>
      </c>
      <c r="N3">
        <v>95678.64</v>
      </c>
      <c r="O3" s="7">
        <v>96119.55</v>
      </c>
      <c r="P3" s="7">
        <v>54791.82</v>
      </c>
      <c r="Q3" s="7">
        <v>64276.56</v>
      </c>
      <c r="R3">
        <v>53071.11</v>
      </c>
      <c r="S3" s="7">
        <v>34162.65</v>
      </c>
      <c r="T3" s="7">
        <v>38171.25</v>
      </c>
    </row>
    <row r="4" spans="1:20" ht="16" thickBot="1" x14ac:dyDescent="0.25">
      <c r="A4">
        <v>3</v>
      </c>
      <c r="B4" s="6" t="s">
        <v>3</v>
      </c>
      <c r="C4">
        <v>129008.06999999999</v>
      </c>
      <c r="D4">
        <v>133422.21</v>
      </c>
      <c r="E4">
        <v>156196.62</v>
      </c>
      <c r="F4">
        <v>127065.51</v>
      </c>
      <c r="G4" s="7">
        <v>164120.31</v>
      </c>
      <c r="H4">
        <v>142492.13999999998</v>
      </c>
      <c r="I4">
        <v>117353.43</v>
      </c>
      <c r="J4" s="7">
        <v>111789</v>
      </c>
      <c r="K4">
        <v>89110.26</v>
      </c>
      <c r="L4" s="7">
        <v>113305.77</v>
      </c>
      <c r="M4" s="7">
        <v>115351.02</v>
      </c>
      <c r="N4">
        <v>160880.31</v>
      </c>
      <c r="O4" s="7">
        <v>69033.33</v>
      </c>
      <c r="P4" s="7">
        <v>110423.25</v>
      </c>
      <c r="Q4" s="7">
        <v>55937.88</v>
      </c>
      <c r="R4">
        <v>180729.36</v>
      </c>
      <c r="S4" s="7">
        <v>169806.6</v>
      </c>
      <c r="T4" s="7">
        <v>146442.42000000001</v>
      </c>
    </row>
    <row r="5" spans="1:20" ht="16" thickBot="1" x14ac:dyDescent="0.25">
      <c r="A5">
        <v>4</v>
      </c>
      <c r="B5" s="6" t="s">
        <v>4</v>
      </c>
      <c r="C5">
        <v>3237275.6999999997</v>
      </c>
      <c r="D5">
        <v>3238933.23</v>
      </c>
      <c r="E5">
        <v>2689097.13</v>
      </c>
      <c r="F5">
        <v>3204933.03</v>
      </c>
      <c r="G5" s="7">
        <v>2949129.99</v>
      </c>
      <c r="H5">
        <v>2910047.4</v>
      </c>
      <c r="I5">
        <v>2838542.67</v>
      </c>
      <c r="J5" s="7">
        <v>2827362.24</v>
      </c>
      <c r="K5">
        <v>2580993.27</v>
      </c>
      <c r="L5" s="7">
        <v>2685403.98</v>
      </c>
      <c r="M5" s="7">
        <v>2818024.83</v>
      </c>
      <c r="N5">
        <v>2729967.21</v>
      </c>
      <c r="O5" s="7">
        <v>2468247.66</v>
      </c>
      <c r="P5" s="7">
        <v>2811385.17</v>
      </c>
      <c r="Q5" s="7">
        <v>2480824.08</v>
      </c>
      <c r="R5">
        <v>2852317.35</v>
      </c>
      <c r="S5" s="7">
        <v>2823190.02</v>
      </c>
      <c r="T5" s="7">
        <v>2723431.86</v>
      </c>
    </row>
    <row r="6" spans="1:20" ht="16" thickBot="1" x14ac:dyDescent="0.25">
      <c r="A6">
        <v>5</v>
      </c>
      <c r="B6" s="6" t="s">
        <v>5</v>
      </c>
      <c r="C6">
        <v>1105190.19</v>
      </c>
      <c r="D6">
        <v>1208042.55</v>
      </c>
      <c r="E6">
        <v>1358383.77</v>
      </c>
      <c r="F6">
        <v>974113.11</v>
      </c>
      <c r="G6" s="7">
        <v>1051184.79</v>
      </c>
      <c r="H6">
        <v>1069428.69</v>
      </c>
      <c r="I6">
        <v>1015117.11</v>
      </c>
      <c r="J6" s="7">
        <v>1123390.44</v>
      </c>
      <c r="K6">
        <v>1154027.8799999999</v>
      </c>
      <c r="L6" s="7">
        <v>1118152.98</v>
      </c>
      <c r="M6" s="7">
        <v>1284394.5</v>
      </c>
      <c r="N6">
        <v>1211026.05</v>
      </c>
      <c r="O6" s="7">
        <v>1244496.96</v>
      </c>
      <c r="P6" s="7">
        <v>1115052.1200000001</v>
      </c>
      <c r="Q6" s="7">
        <v>1169537.22</v>
      </c>
      <c r="R6">
        <v>1064275.3799999999</v>
      </c>
      <c r="S6" s="7">
        <v>1800649.71</v>
      </c>
      <c r="T6" s="7">
        <v>1252186.2</v>
      </c>
    </row>
    <row r="7" spans="1:20" ht="16" thickBot="1" x14ac:dyDescent="0.25">
      <c r="A7">
        <v>6</v>
      </c>
      <c r="B7" s="6" t="s">
        <v>6</v>
      </c>
      <c r="C7">
        <v>0</v>
      </c>
      <c r="D7">
        <v>0</v>
      </c>
      <c r="E7">
        <v>0</v>
      </c>
      <c r="F7">
        <v>0</v>
      </c>
      <c r="G7" s="7">
        <v>0</v>
      </c>
      <c r="H7">
        <v>0</v>
      </c>
      <c r="I7">
        <v>0</v>
      </c>
      <c r="J7" s="7">
        <v>0</v>
      </c>
      <c r="K7">
        <v>0</v>
      </c>
      <c r="L7" s="7">
        <v>0</v>
      </c>
      <c r="M7" s="7">
        <v>0</v>
      </c>
      <c r="N7">
        <v>0</v>
      </c>
      <c r="O7" s="7">
        <v>0</v>
      </c>
      <c r="P7" s="7">
        <v>0</v>
      </c>
      <c r="Q7" s="7">
        <v>0</v>
      </c>
      <c r="R7">
        <v>0</v>
      </c>
      <c r="S7" s="7">
        <v>0</v>
      </c>
      <c r="T7" s="7">
        <v>0</v>
      </c>
    </row>
    <row r="8" spans="1:20" ht="16" thickBot="1" x14ac:dyDescent="0.25">
      <c r="A8">
        <v>7</v>
      </c>
      <c r="B8" s="6" t="s">
        <v>7</v>
      </c>
      <c r="C8">
        <v>27.81</v>
      </c>
      <c r="D8">
        <v>10.08</v>
      </c>
      <c r="E8">
        <v>669.95999999999992</v>
      </c>
      <c r="F8">
        <v>435.41999999999996</v>
      </c>
      <c r="G8" s="7">
        <v>155.88</v>
      </c>
      <c r="H8">
        <v>308.15999999999997</v>
      </c>
      <c r="I8">
        <v>268.2</v>
      </c>
      <c r="J8" s="7">
        <v>404.82</v>
      </c>
      <c r="K8">
        <v>7.47</v>
      </c>
      <c r="L8" s="7">
        <v>432.27</v>
      </c>
      <c r="M8" s="7">
        <v>193.86</v>
      </c>
      <c r="N8">
        <v>608.13</v>
      </c>
      <c r="O8" s="7">
        <v>835.92</v>
      </c>
      <c r="P8" s="7">
        <v>521.37</v>
      </c>
      <c r="Q8" s="7">
        <v>1010.61</v>
      </c>
      <c r="R8">
        <v>765.27</v>
      </c>
      <c r="S8" s="7">
        <v>1267.92</v>
      </c>
      <c r="T8" s="7">
        <v>1656</v>
      </c>
    </row>
    <row r="9" spans="1:20" ht="16" thickBot="1" x14ac:dyDescent="0.25">
      <c r="A9">
        <v>8</v>
      </c>
      <c r="B9" s="6" t="s">
        <v>8</v>
      </c>
      <c r="C9">
        <v>657.72</v>
      </c>
      <c r="D9">
        <v>6692.13</v>
      </c>
      <c r="E9">
        <v>1042.47</v>
      </c>
      <c r="F9">
        <v>6560.46</v>
      </c>
      <c r="G9" s="7">
        <v>3514.14</v>
      </c>
      <c r="H9">
        <v>2348.64</v>
      </c>
      <c r="I9">
        <v>5919.3899999999994</v>
      </c>
      <c r="J9" s="7">
        <v>11458.35</v>
      </c>
      <c r="K9">
        <v>17452.439999999999</v>
      </c>
      <c r="L9" s="7">
        <v>7799.67</v>
      </c>
      <c r="M9" s="7">
        <v>8621.2800000000007</v>
      </c>
      <c r="N9">
        <v>5997.42</v>
      </c>
      <c r="O9" s="7">
        <v>5358.96</v>
      </c>
      <c r="P9" s="7">
        <v>12516.48</v>
      </c>
      <c r="Q9" s="7">
        <v>7458.39</v>
      </c>
      <c r="R9">
        <v>8441.73</v>
      </c>
      <c r="S9" s="7">
        <v>7309.17</v>
      </c>
      <c r="T9" s="7">
        <v>12647.25</v>
      </c>
    </row>
    <row r="10" spans="1:20" ht="16" thickBot="1" x14ac:dyDescent="0.25">
      <c r="A10">
        <v>9</v>
      </c>
      <c r="B10" s="6" t="s">
        <v>9</v>
      </c>
      <c r="C10">
        <v>226695.41999999998</v>
      </c>
      <c r="D10">
        <v>229008.41999999998</v>
      </c>
      <c r="E10">
        <v>233352.53999999998</v>
      </c>
      <c r="F10">
        <v>232533.72</v>
      </c>
      <c r="G10" s="7">
        <v>233503.74</v>
      </c>
      <c r="H10">
        <v>223368.21</v>
      </c>
      <c r="I10">
        <v>231935.85</v>
      </c>
      <c r="J10" s="7">
        <v>218900.34</v>
      </c>
      <c r="K10">
        <v>237824.09999999998</v>
      </c>
      <c r="L10" s="7">
        <v>221245.11</v>
      </c>
      <c r="M10" s="7">
        <v>230575.59</v>
      </c>
      <c r="N10">
        <v>237551.49</v>
      </c>
      <c r="O10" s="7">
        <v>226863.45</v>
      </c>
      <c r="P10" s="7">
        <v>237545.73</v>
      </c>
      <c r="Q10" s="7">
        <v>235317.24</v>
      </c>
      <c r="R10">
        <v>232724.34</v>
      </c>
      <c r="S10" s="7">
        <v>232538.22</v>
      </c>
      <c r="T10" s="7">
        <v>233725.77</v>
      </c>
    </row>
    <row r="11" spans="1:20" ht="16" thickBot="1" x14ac:dyDescent="0.25">
      <c r="A11">
        <v>10</v>
      </c>
      <c r="B11" s="6" t="s">
        <v>10</v>
      </c>
      <c r="C11">
        <v>2272503.15</v>
      </c>
      <c r="D11">
        <v>2153833.38</v>
      </c>
      <c r="E11">
        <v>2548201.4099999997</v>
      </c>
      <c r="F11">
        <v>2451307.86</v>
      </c>
      <c r="G11" s="7">
        <v>2587337.8199999998</v>
      </c>
      <c r="H11">
        <v>2627382.5099999998</v>
      </c>
      <c r="I11">
        <v>2757579.12</v>
      </c>
      <c r="J11" s="7">
        <v>2652661.08</v>
      </c>
      <c r="K11">
        <v>2840248.98</v>
      </c>
      <c r="L11" s="7">
        <v>2774948.58</v>
      </c>
      <c r="M11" s="7">
        <v>2511743.4</v>
      </c>
      <c r="N11">
        <v>2553662.61</v>
      </c>
      <c r="O11" s="7">
        <v>2893780.62</v>
      </c>
      <c r="P11" s="7">
        <v>2652215.4</v>
      </c>
      <c r="Q11" s="7">
        <v>2987054.91</v>
      </c>
      <c r="R11">
        <v>2614285.2599999998</v>
      </c>
      <c r="S11" s="7">
        <v>1950407.01</v>
      </c>
      <c r="T11" s="7">
        <v>2608733.16</v>
      </c>
    </row>
    <row r="12" spans="1:20" x14ac:dyDescent="0.2">
      <c r="C12">
        <f>SUM(C2:C11)</f>
        <v>7035373.4399999995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17210.834999999999</v>
      </c>
      <c r="D17">
        <f>AVERAGE(C2:E2)</f>
        <v>23163.930000000004</v>
      </c>
      <c r="E17">
        <f>C17-D17</f>
        <v>-5953.0950000000048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36166.949999999997</v>
      </c>
      <c r="D18">
        <f t="shared" ref="D18:D25" si="1">AVERAGE(C3:E3)</f>
        <v>36128.19</v>
      </c>
      <c r="E18">
        <f t="shared" ref="E18:E26" si="2">C18-D18</f>
        <v>38.759999999994761</v>
      </c>
    </row>
    <row r="19" spans="1:5" ht="16" thickBot="1" x14ac:dyDescent="0.25">
      <c r="A19">
        <v>3</v>
      </c>
      <c r="B19" s="6" t="s">
        <v>3</v>
      </c>
      <c r="C19">
        <f t="shared" si="0"/>
        <v>158124.51</v>
      </c>
      <c r="D19">
        <f t="shared" si="1"/>
        <v>139542.29999999999</v>
      </c>
      <c r="E19">
        <f t="shared" si="2"/>
        <v>18582.210000000021</v>
      </c>
    </row>
    <row r="20" spans="1:5" ht="16" thickBot="1" x14ac:dyDescent="0.25">
      <c r="A20">
        <v>4</v>
      </c>
      <c r="B20" s="6" t="s">
        <v>4</v>
      </c>
      <c r="C20">
        <f t="shared" si="0"/>
        <v>2773310.94</v>
      </c>
      <c r="D20">
        <f t="shared" si="1"/>
        <v>3055102.0199999996</v>
      </c>
      <c r="E20">
        <f t="shared" si="2"/>
        <v>-281791.07999999961</v>
      </c>
    </row>
    <row r="21" spans="1:5" ht="16" thickBot="1" x14ac:dyDescent="0.25">
      <c r="A21">
        <v>5</v>
      </c>
      <c r="B21" s="6" t="s">
        <v>5</v>
      </c>
      <c r="C21">
        <f t="shared" si="0"/>
        <v>1526417.9550000001</v>
      </c>
      <c r="D21">
        <f t="shared" si="1"/>
        <v>1223872.1700000002</v>
      </c>
      <c r="E21">
        <f t="shared" si="2"/>
        <v>302545.78499999992</v>
      </c>
    </row>
    <row r="22" spans="1:5" ht="16" thickBot="1" x14ac:dyDescent="0.25">
      <c r="A22">
        <v>6</v>
      </c>
      <c r="B22" s="6" t="s">
        <v>6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ht="16" thickBot="1" x14ac:dyDescent="0.25">
      <c r="A23">
        <v>7</v>
      </c>
      <c r="B23" s="6" t="s">
        <v>7</v>
      </c>
      <c r="C23">
        <f t="shared" si="0"/>
        <v>1461.96</v>
      </c>
      <c r="D23">
        <f t="shared" si="1"/>
        <v>235.94999999999996</v>
      </c>
      <c r="E23">
        <f t="shared" si="2"/>
        <v>1226.01</v>
      </c>
    </row>
    <row r="24" spans="1:5" ht="16" thickBot="1" x14ac:dyDescent="0.25">
      <c r="A24">
        <v>8</v>
      </c>
      <c r="B24" s="6" t="s">
        <v>8</v>
      </c>
      <c r="C24">
        <f t="shared" si="0"/>
        <v>9978.2099999999991</v>
      </c>
      <c r="D24">
        <f t="shared" si="1"/>
        <v>2797.44</v>
      </c>
      <c r="E24">
        <f t="shared" si="2"/>
        <v>7180.7699999999986</v>
      </c>
    </row>
    <row r="25" spans="1:5" ht="16" thickBot="1" x14ac:dyDescent="0.25">
      <c r="A25">
        <v>9</v>
      </c>
      <c r="B25" s="6" t="s">
        <v>9</v>
      </c>
      <c r="C25">
        <f t="shared" si="0"/>
        <v>233131.995</v>
      </c>
      <c r="D25">
        <f t="shared" si="1"/>
        <v>229685.45999999996</v>
      </c>
      <c r="E25">
        <f t="shared" si="2"/>
        <v>3446.5350000000326</v>
      </c>
    </row>
    <row r="26" spans="1:5" ht="16" thickBot="1" x14ac:dyDescent="0.25">
      <c r="A26">
        <v>10</v>
      </c>
      <c r="B26" s="6" t="s">
        <v>10</v>
      </c>
      <c r="C26">
        <f>AVERAGE(S11:T11)</f>
        <v>2279570.085</v>
      </c>
      <c r="D26">
        <f>AVERAGE(C11:E11)</f>
        <v>2324845.98</v>
      </c>
      <c r="E26">
        <f t="shared" si="2"/>
        <v>-45275.895000000019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-25.699848859843748</v>
      </c>
    </row>
    <row r="32" spans="1:5" x14ac:dyDescent="0.2">
      <c r="B32" s="13" t="s">
        <v>2</v>
      </c>
      <c r="E32" s="14">
        <f t="shared" ref="E32:E40" si="3">(E18/D18)*100</f>
        <v>0.10728464393038999</v>
      </c>
    </row>
    <row r="33" spans="2:5" x14ac:dyDescent="0.2">
      <c r="B33" s="13" t="s">
        <v>3</v>
      </c>
      <c r="E33" s="14">
        <f t="shared" si="3"/>
        <v>13.316542725754143</v>
      </c>
    </row>
    <row r="34" spans="2:5" x14ac:dyDescent="0.2">
      <c r="B34" s="13" t="s">
        <v>4</v>
      </c>
      <c r="E34" s="14">
        <f t="shared" si="3"/>
        <v>-9.2236225878964149</v>
      </c>
    </row>
    <row r="35" spans="2:5" x14ac:dyDescent="0.2">
      <c r="B35" s="13" t="s">
        <v>5</v>
      </c>
      <c r="E35" s="14">
        <f t="shared" si="3"/>
        <v>24.720374595984143</v>
      </c>
    </row>
    <row r="36" spans="2:5" x14ac:dyDescent="0.2">
      <c r="B36" s="13" t="s">
        <v>6</v>
      </c>
      <c r="E36" s="14">
        <v>0</v>
      </c>
    </row>
    <row r="37" spans="2:5" x14ac:dyDescent="0.2">
      <c r="B37" s="13" t="s">
        <v>7</v>
      </c>
      <c r="E37" s="14">
        <f t="shared" si="3"/>
        <v>519.6058486967579</v>
      </c>
    </row>
    <row r="38" spans="2:5" x14ac:dyDescent="0.2">
      <c r="B38" s="13" t="s">
        <v>8</v>
      </c>
      <c r="E38" s="14">
        <f t="shared" si="3"/>
        <v>256.69076012354151</v>
      </c>
    </row>
    <row r="39" spans="2:5" x14ac:dyDescent="0.2">
      <c r="B39" s="13" t="s">
        <v>9</v>
      </c>
      <c r="E39" s="14">
        <f t="shared" si="3"/>
        <v>1.5005455721925249</v>
      </c>
    </row>
    <row r="40" spans="2:5" x14ac:dyDescent="0.2">
      <c r="B40" s="13" t="s">
        <v>10</v>
      </c>
      <c r="E40" s="14">
        <f t="shared" si="3"/>
        <v>-1.9474793336632139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CE37-709C-5F44-92D3-8E3E20B92EEE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26109.09</v>
      </c>
      <c r="D2">
        <v>29958.48</v>
      </c>
      <c r="E2">
        <v>19639.98</v>
      </c>
      <c r="F2">
        <v>23487.48</v>
      </c>
      <c r="G2">
        <v>15316.92</v>
      </c>
      <c r="H2">
        <v>16529.489999999998</v>
      </c>
      <c r="I2" s="7">
        <v>18272.61</v>
      </c>
      <c r="J2">
        <v>12795.029999999999</v>
      </c>
      <c r="K2">
        <v>16175.16</v>
      </c>
      <c r="L2" s="7">
        <v>16988.490000000002</v>
      </c>
      <c r="M2">
        <v>18515.43</v>
      </c>
      <c r="N2" s="7">
        <v>16771.23</v>
      </c>
      <c r="O2">
        <v>15034.32</v>
      </c>
      <c r="P2">
        <v>16346.43</v>
      </c>
      <c r="Q2">
        <v>16105.68</v>
      </c>
      <c r="R2">
        <v>21387.599999999999</v>
      </c>
      <c r="S2" s="7">
        <v>17728.919999999998</v>
      </c>
      <c r="T2">
        <v>17360.099999999999</v>
      </c>
    </row>
    <row r="3" spans="1:20" ht="16" thickBot="1" x14ac:dyDescent="0.25">
      <c r="A3">
        <v>2</v>
      </c>
      <c r="B3" s="6" t="s">
        <v>2</v>
      </c>
      <c r="C3">
        <v>2746.2599999999998</v>
      </c>
      <c r="D3">
        <v>1073.25</v>
      </c>
      <c r="E3">
        <v>2421.9899999999998</v>
      </c>
      <c r="F3">
        <v>5690.9699999999993</v>
      </c>
      <c r="G3">
        <v>3316.41</v>
      </c>
      <c r="H3">
        <v>4872.0599999999995</v>
      </c>
      <c r="I3" s="7">
        <v>4467.24</v>
      </c>
      <c r="J3">
        <v>3995.91</v>
      </c>
      <c r="K3">
        <v>2398.3199999999997</v>
      </c>
      <c r="L3" s="7">
        <v>3733.2</v>
      </c>
      <c r="M3">
        <v>4863.87</v>
      </c>
      <c r="N3" s="7">
        <v>3870.27</v>
      </c>
      <c r="O3">
        <v>6881.2199999999993</v>
      </c>
      <c r="P3">
        <v>5579.01</v>
      </c>
      <c r="Q3">
        <v>5821.83</v>
      </c>
      <c r="R3">
        <v>1464.12</v>
      </c>
      <c r="S3" s="7">
        <v>1310.22</v>
      </c>
      <c r="T3">
        <v>877.14</v>
      </c>
    </row>
    <row r="4" spans="1:20" ht="16" thickBot="1" x14ac:dyDescent="0.25">
      <c r="A4">
        <v>3</v>
      </c>
      <c r="B4" s="6" t="s">
        <v>3</v>
      </c>
      <c r="C4">
        <v>206.28</v>
      </c>
      <c r="D4">
        <v>1002.87</v>
      </c>
      <c r="E4">
        <v>422.19</v>
      </c>
      <c r="F4">
        <v>406.71</v>
      </c>
      <c r="G4">
        <v>550.89</v>
      </c>
      <c r="H4">
        <v>2256.5699999999997</v>
      </c>
      <c r="I4" s="7">
        <v>248.04</v>
      </c>
      <c r="J4">
        <v>1463.22</v>
      </c>
      <c r="K4">
        <v>2911.23</v>
      </c>
      <c r="L4" s="7">
        <v>459.36</v>
      </c>
      <c r="M4">
        <v>808.38</v>
      </c>
      <c r="N4" s="7">
        <v>431.37</v>
      </c>
      <c r="O4">
        <v>1444.5</v>
      </c>
      <c r="P4">
        <v>339.21</v>
      </c>
      <c r="Q4">
        <v>567.80999999999995</v>
      </c>
      <c r="R4">
        <v>810</v>
      </c>
      <c r="S4" s="7">
        <v>911.25</v>
      </c>
      <c r="T4">
        <v>1435.4099999999999</v>
      </c>
    </row>
    <row r="5" spans="1:20" ht="16" thickBot="1" x14ac:dyDescent="0.25">
      <c r="A5">
        <v>4</v>
      </c>
      <c r="B5" s="6" t="s">
        <v>4</v>
      </c>
      <c r="C5">
        <v>81522.899999999994</v>
      </c>
      <c r="D5">
        <v>85484.069999999992</v>
      </c>
      <c r="E5">
        <v>70463.429999999993</v>
      </c>
      <c r="F5">
        <v>39063.599999999999</v>
      </c>
      <c r="G5">
        <v>61671.6</v>
      </c>
      <c r="H5">
        <v>43407.27</v>
      </c>
      <c r="I5" s="7">
        <v>46147.05</v>
      </c>
      <c r="J5">
        <v>35130.78</v>
      </c>
      <c r="K5">
        <v>35256.239999999998</v>
      </c>
      <c r="L5" s="7">
        <v>36613.89</v>
      </c>
      <c r="M5">
        <v>36076.14</v>
      </c>
      <c r="N5" s="7">
        <v>45494.28</v>
      </c>
      <c r="O5">
        <v>47282.759999999995</v>
      </c>
      <c r="P5">
        <v>48959.82</v>
      </c>
      <c r="Q5">
        <v>22089.96</v>
      </c>
      <c r="R5">
        <v>36032.85</v>
      </c>
      <c r="S5" s="7">
        <v>29319.39</v>
      </c>
      <c r="T5">
        <v>31727.969999999998</v>
      </c>
    </row>
    <row r="6" spans="1:20" ht="16" thickBot="1" x14ac:dyDescent="0.25">
      <c r="A6">
        <v>5</v>
      </c>
      <c r="B6" s="6" t="s">
        <v>5</v>
      </c>
      <c r="C6">
        <v>106195.68</v>
      </c>
      <c r="D6">
        <v>104438.34</v>
      </c>
      <c r="E6">
        <v>103066.56</v>
      </c>
      <c r="F6">
        <v>85188.33</v>
      </c>
      <c r="G6">
        <v>104372.73</v>
      </c>
      <c r="H6">
        <v>91543.23</v>
      </c>
      <c r="I6" s="7">
        <v>53512.38</v>
      </c>
      <c r="J6">
        <v>87777.62999999999</v>
      </c>
      <c r="K6">
        <v>40056.75</v>
      </c>
      <c r="L6" s="7">
        <v>75673.710000000006</v>
      </c>
      <c r="M6">
        <v>63430.38</v>
      </c>
      <c r="N6" s="7">
        <v>64007.64</v>
      </c>
      <c r="O6">
        <v>62872.38</v>
      </c>
      <c r="P6">
        <v>50178.33</v>
      </c>
      <c r="Q6">
        <v>49285.35</v>
      </c>
      <c r="R6">
        <v>70303.23</v>
      </c>
      <c r="S6" s="7">
        <v>54208.53</v>
      </c>
      <c r="T6">
        <v>43661.79</v>
      </c>
    </row>
    <row r="7" spans="1:20" ht="16" thickBot="1" x14ac:dyDescent="0.25">
      <c r="A7">
        <v>6</v>
      </c>
      <c r="B7" s="6" t="s">
        <v>6</v>
      </c>
      <c r="C7">
        <v>23.4</v>
      </c>
      <c r="D7">
        <v>157.32</v>
      </c>
      <c r="E7">
        <v>383.31</v>
      </c>
      <c r="F7">
        <v>1078.56</v>
      </c>
      <c r="G7">
        <v>323.45999999999998</v>
      </c>
      <c r="H7">
        <v>2927.16</v>
      </c>
      <c r="I7" s="7">
        <v>1044.18</v>
      </c>
      <c r="J7">
        <v>1028.8799999999999</v>
      </c>
      <c r="K7">
        <v>277.38</v>
      </c>
      <c r="L7" s="7">
        <v>225.72</v>
      </c>
      <c r="M7">
        <v>2348.2799999999997</v>
      </c>
      <c r="N7" s="7">
        <v>588.87</v>
      </c>
      <c r="O7">
        <v>660.32999999999993</v>
      </c>
      <c r="P7">
        <v>646.74</v>
      </c>
      <c r="Q7">
        <v>430.2</v>
      </c>
      <c r="R7">
        <v>731.69999999999993</v>
      </c>
      <c r="S7" s="7">
        <v>554.76</v>
      </c>
      <c r="T7">
        <v>181.53</v>
      </c>
    </row>
    <row r="8" spans="1:20" ht="16" thickBot="1" x14ac:dyDescent="0.25">
      <c r="A8">
        <v>7</v>
      </c>
      <c r="B8" s="6" t="s">
        <v>7</v>
      </c>
      <c r="C8">
        <v>122978.06999999999</v>
      </c>
      <c r="D8">
        <v>116629.01999999999</v>
      </c>
      <c r="E8">
        <v>143154.9</v>
      </c>
      <c r="F8">
        <v>183630.41999999998</v>
      </c>
      <c r="G8">
        <v>153761.22</v>
      </c>
      <c r="H8">
        <v>176477.85</v>
      </c>
      <c r="I8" s="7">
        <v>214772.58</v>
      </c>
      <c r="J8">
        <v>195400.88999999998</v>
      </c>
      <c r="K8">
        <v>241287.3</v>
      </c>
      <c r="L8" s="7">
        <v>205574.13</v>
      </c>
      <c r="M8">
        <v>212288.22</v>
      </c>
      <c r="N8" s="7">
        <v>207133.02</v>
      </c>
      <c r="O8">
        <v>204616.8</v>
      </c>
      <c r="P8">
        <v>216257.31</v>
      </c>
      <c r="Q8">
        <v>243746.37</v>
      </c>
      <c r="R8">
        <v>206543.88</v>
      </c>
      <c r="S8" s="7">
        <v>232993.8</v>
      </c>
      <c r="T8">
        <v>241903.62</v>
      </c>
    </row>
    <row r="9" spans="1:20" ht="16" thickBot="1" x14ac:dyDescent="0.25">
      <c r="A9">
        <v>8</v>
      </c>
      <c r="B9" s="6" t="s">
        <v>8</v>
      </c>
      <c r="C9">
        <v>311.76</v>
      </c>
      <c r="D9">
        <v>822.42</v>
      </c>
      <c r="E9">
        <v>84.509999999999991</v>
      </c>
      <c r="F9">
        <v>806.31</v>
      </c>
      <c r="G9">
        <v>191.51999999999998</v>
      </c>
      <c r="H9">
        <v>260.01</v>
      </c>
      <c r="I9" s="7">
        <v>465.84</v>
      </c>
      <c r="J9">
        <v>793.07999999999993</v>
      </c>
      <c r="K9">
        <v>93.69</v>
      </c>
      <c r="L9" s="7">
        <v>11.25</v>
      </c>
      <c r="M9">
        <v>394.83</v>
      </c>
      <c r="N9" s="7">
        <v>510.03</v>
      </c>
      <c r="O9">
        <v>151.91999999999999</v>
      </c>
      <c r="P9">
        <v>243.72</v>
      </c>
      <c r="Q9">
        <v>279.81</v>
      </c>
      <c r="R9">
        <v>37.53</v>
      </c>
      <c r="S9" s="7">
        <v>28.08</v>
      </c>
      <c r="T9">
        <v>0.44999999999999996</v>
      </c>
    </row>
    <row r="10" spans="1:20" ht="16" thickBot="1" x14ac:dyDescent="0.25">
      <c r="A10">
        <v>9</v>
      </c>
      <c r="B10" s="6" t="s">
        <v>9</v>
      </c>
      <c r="C10">
        <v>331.83</v>
      </c>
      <c r="D10">
        <v>370.16999999999996</v>
      </c>
      <c r="E10">
        <v>342.81</v>
      </c>
      <c r="F10">
        <v>526.5</v>
      </c>
      <c r="G10">
        <v>439.56</v>
      </c>
      <c r="H10">
        <v>417.06</v>
      </c>
      <c r="I10" s="7">
        <v>588.33000000000004</v>
      </c>
      <c r="J10">
        <v>439.02</v>
      </c>
      <c r="K10">
        <v>445.22999999999996</v>
      </c>
      <c r="L10" s="7">
        <v>376.83</v>
      </c>
      <c r="M10">
        <v>392.31</v>
      </c>
      <c r="N10" s="7">
        <v>409.32</v>
      </c>
      <c r="O10">
        <v>563.57999999999993</v>
      </c>
      <c r="P10">
        <v>429.39</v>
      </c>
      <c r="Q10">
        <v>434.96999999999997</v>
      </c>
      <c r="R10">
        <v>506.34</v>
      </c>
      <c r="S10" s="7">
        <v>376.92</v>
      </c>
      <c r="T10">
        <v>417.87</v>
      </c>
    </row>
    <row r="11" spans="1:20" ht="16" thickBot="1" x14ac:dyDescent="0.25">
      <c r="A11">
        <v>10</v>
      </c>
      <c r="B11" s="6" t="s">
        <v>10</v>
      </c>
      <c r="C11">
        <v>400.40999999999997</v>
      </c>
      <c r="D11">
        <v>889.74</v>
      </c>
      <c r="E11">
        <v>846</v>
      </c>
      <c r="F11">
        <v>946.8</v>
      </c>
      <c r="G11">
        <v>881.37</v>
      </c>
      <c r="H11">
        <v>2134.98</v>
      </c>
      <c r="I11" s="7">
        <v>1307.43</v>
      </c>
      <c r="J11">
        <v>2001.24</v>
      </c>
      <c r="K11">
        <v>1924.3799999999999</v>
      </c>
      <c r="L11" s="7">
        <v>1169.0999999999999</v>
      </c>
      <c r="M11">
        <v>1707.84</v>
      </c>
      <c r="N11" s="7">
        <v>1609.65</v>
      </c>
      <c r="O11">
        <v>1317.87</v>
      </c>
      <c r="P11">
        <v>1845.72</v>
      </c>
      <c r="Q11">
        <v>2063.6999999999998</v>
      </c>
      <c r="R11">
        <v>3008.43</v>
      </c>
      <c r="S11" s="7">
        <v>3393.81</v>
      </c>
      <c r="T11">
        <v>3259.7999999999997</v>
      </c>
    </row>
    <row r="12" spans="1:20" x14ac:dyDescent="0.2">
      <c r="C12">
        <f>SUM(C2:C11)</f>
        <v>340825.68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17544.509999999998</v>
      </c>
      <c r="D17">
        <f>AVERAGE(C2:E2)</f>
        <v>25235.850000000002</v>
      </c>
      <c r="E17">
        <f>C17-D17</f>
        <v>-7691.3400000000038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1093.68</v>
      </c>
      <c r="D18">
        <f t="shared" ref="D18:D25" si="1">AVERAGE(C3:E3)</f>
        <v>2080.5</v>
      </c>
      <c r="E18">
        <f t="shared" ref="E18:E26" si="2">C18-D18</f>
        <v>-986.81999999999994</v>
      </c>
    </row>
    <row r="19" spans="1:5" ht="16" thickBot="1" x14ac:dyDescent="0.25">
      <c r="A19">
        <v>3</v>
      </c>
      <c r="B19" s="6" t="s">
        <v>3</v>
      </c>
      <c r="C19">
        <f t="shared" si="0"/>
        <v>1173.33</v>
      </c>
      <c r="D19">
        <f t="shared" si="1"/>
        <v>543.78000000000009</v>
      </c>
      <c r="E19">
        <f t="shared" si="2"/>
        <v>629.54999999999984</v>
      </c>
    </row>
    <row r="20" spans="1:5" ht="16" thickBot="1" x14ac:dyDescent="0.25">
      <c r="A20">
        <v>4</v>
      </c>
      <c r="B20" s="6" t="s">
        <v>4</v>
      </c>
      <c r="C20">
        <f t="shared" si="0"/>
        <v>30523.68</v>
      </c>
      <c r="D20">
        <f t="shared" si="1"/>
        <v>79156.799999999988</v>
      </c>
      <c r="E20">
        <f t="shared" si="2"/>
        <v>-48633.119999999988</v>
      </c>
    </row>
    <row r="21" spans="1:5" ht="16" thickBot="1" x14ac:dyDescent="0.25">
      <c r="A21">
        <v>5</v>
      </c>
      <c r="B21" s="6" t="s">
        <v>5</v>
      </c>
      <c r="C21">
        <f t="shared" si="0"/>
        <v>48935.16</v>
      </c>
      <c r="D21">
        <f t="shared" si="1"/>
        <v>104566.85999999999</v>
      </c>
      <c r="E21">
        <f t="shared" si="2"/>
        <v>-55631.699999999983</v>
      </c>
    </row>
    <row r="22" spans="1:5" ht="16" thickBot="1" x14ac:dyDescent="0.25">
      <c r="A22">
        <v>6</v>
      </c>
      <c r="B22" s="6" t="s">
        <v>6</v>
      </c>
      <c r="C22">
        <f t="shared" si="0"/>
        <v>368.14499999999998</v>
      </c>
      <c r="D22">
        <f t="shared" si="1"/>
        <v>188.01</v>
      </c>
      <c r="E22">
        <f t="shared" si="2"/>
        <v>180.13499999999999</v>
      </c>
    </row>
    <row r="23" spans="1:5" ht="16" thickBot="1" x14ac:dyDescent="0.25">
      <c r="A23">
        <v>7</v>
      </c>
      <c r="B23" s="6" t="s">
        <v>7</v>
      </c>
      <c r="C23">
        <f t="shared" si="0"/>
        <v>237448.71</v>
      </c>
      <c r="D23">
        <f t="shared" si="1"/>
        <v>127587.33</v>
      </c>
      <c r="E23">
        <f t="shared" si="2"/>
        <v>109861.37999999999</v>
      </c>
    </row>
    <row r="24" spans="1:5" ht="16" thickBot="1" x14ac:dyDescent="0.25">
      <c r="A24">
        <v>8</v>
      </c>
      <c r="B24" s="6" t="s">
        <v>8</v>
      </c>
      <c r="C24">
        <f t="shared" si="0"/>
        <v>14.264999999999999</v>
      </c>
      <c r="D24">
        <f t="shared" si="1"/>
        <v>406.22999999999996</v>
      </c>
      <c r="E24">
        <f t="shared" si="2"/>
        <v>-391.96499999999997</v>
      </c>
    </row>
    <row r="25" spans="1:5" ht="16" thickBot="1" x14ac:dyDescent="0.25">
      <c r="A25">
        <v>9</v>
      </c>
      <c r="B25" s="6" t="s">
        <v>9</v>
      </c>
      <c r="C25">
        <f t="shared" si="0"/>
        <v>397.39499999999998</v>
      </c>
      <c r="D25">
        <f t="shared" si="1"/>
        <v>348.27</v>
      </c>
      <c r="E25">
        <f t="shared" si="2"/>
        <v>49.125</v>
      </c>
    </row>
    <row r="26" spans="1:5" ht="16" thickBot="1" x14ac:dyDescent="0.25">
      <c r="A26">
        <v>10</v>
      </c>
      <c r="B26" s="6" t="s">
        <v>10</v>
      </c>
      <c r="C26">
        <f>AVERAGE(S11:T11)</f>
        <v>3326.8049999999998</v>
      </c>
      <c r="D26">
        <f>AVERAGE(C11:E11)</f>
        <v>712.05000000000007</v>
      </c>
      <c r="E26">
        <f t="shared" si="2"/>
        <v>2614.7549999999997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-30.477832131669842</v>
      </c>
    </row>
    <row r="32" spans="1:5" x14ac:dyDescent="0.2">
      <c r="B32" s="13" t="s">
        <v>2</v>
      </c>
      <c r="E32" s="14">
        <f t="shared" ref="E32:E40" si="3">(E18/D18)*100</f>
        <v>-47.431867339581828</v>
      </c>
    </row>
    <row r="33" spans="2:5" x14ac:dyDescent="0.2">
      <c r="B33" s="13" t="s">
        <v>3</v>
      </c>
      <c r="E33" s="14">
        <f t="shared" si="3"/>
        <v>115.77292287322074</v>
      </c>
    </row>
    <row r="34" spans="2:5" x14ac:dyDescent="0.2">
      <c r="B34" s="13" t="s">
        <v>4</v>
      </c>
      <c r="E34" s="14">
        <f t="shared" si="3"/>
        <v>-61.438966709114048</v>
      </c>
    </row>
    <row r="35" spans="2:5" x14ac:dyDescent="0.2">
      <c r="B35" s="13" t="s">
        <v>5</v>
      </c>
      <c r="E35" s="14">
        <f t="shared" si="3"/>
        <v>-53.202037433274739</v>
      </c>
    </row>
    <row r="36" spans="2:5" x14ac:dyDescent="0.2">
      <c r="B36" s="13" t="s">
        <v>6</v>
      </c>
      <c r="E36" s="14">
        <f t="shared" si="3"/>
        <v>95.811393011010054</v>
      </c>
    </row>
    <row r="37" spans="2:5" x14ac:dyDescent="0.2">
      <c r="B37" s="13" t="s">
        <v>7</v>
      </c>
      <c r="E37" s="14">
        <f t="shared" si="3"/>
        <v>86.106810135457806</v>
      </c>
    </row>
    <row r="38" spans="2:5" x14ac:dyDescent="0.2">
      <c r="B38" s="13" t="s">
        <v>8</v>
      </c>
      <c r="E38" s="14">
        <f t="shared" si="3"/>
        <v>-96.488442507938856</v>
      </c>
    </row>
    <row r="39" spans="2:5" x14ac:dyDescent="0.2">
      <c r="B39" s="13" t="s">
        <v>9</v>
      </c>
      <c r="E39" s="14">
        <f t="shared" si="3"/>
        <v>14.105435438022223</v>
      </c>
    </row>
    <row r="40" spans="2:5" x14ac:dyDescent="0.2">
      <c r="B40" s="13" t="s">
        <v>10</v>
      </c>
      <c r="E40" s="14">
        <f t="shared" si="3"/>
        <v>367.2150832104486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DCF9-4694-D14A-AEA1-DFFD7F675C10}">
  <dimension ref="A1:T40"/>
  <sheetViews>
    <sheetView workbookViewId="0">
      <selection activeCell="A30" sqref="A30:E40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3765.96</v>
      </c>
      <c r="D2" s="7">
        <v>2282.4</v>
      </c>
      <c r="E2">
        <v>2828.97</v>
      </c>
      <c r="F2">
        <v>3602.43</v>
      </c>
      <c r="G2">
        <v>2570.58</v>
      </c>
      <c r="H2" s="7">
        <v>3699.27</v>
      </c>
      <c r="I2" s="7">
        <v>2886.12</v>
      </c>
      <c r="J2">
        <v>3228.39</v>
      </c>
      <c r="K2">
        <v>2679.48</v>
      </c>
      <c r="L2">
        <v>2595.69</v>
      </c>
      <c r="M2" s="7">
        <v>3360.33</v>
      </c>
      <c r="N2">
        <v>3259.17</v>
      </c>
      <c r="O2">
        <v>3622.8599999999997</v>
      </c>
      <c r="P2" s="7">
        <v>3072.69</v>
      </c>
      <c r="Q2">
        <v>2728.44</v>
      </c>
      <c r="R2">
        <v>4941.63</v>
      </c>
      <c r="S2">
        <v>3909.06</v>
      </c>
      <c r="T2">
        <v>4625.37</v>
      </c>
    </row>
    <row r="3" spans="1:20" ht="16" thickBot="1" x14ac:dyDescent="0.25">
      <c r="A3">
        <v>2</v>
      </c>
      <c r="B3" s="6" t="s">
        <v>2</v>
      </c>
      <c r="C3">
        <v>543.41999999999996</v>
      </c>
      <c r="D3" s="7">
        <v>2430.4499999999998</v>
      </c>
      <c r="E3">
        <v>154.44</v>
      </c>
      <c r="F3">
        <v>139.13999999999999</v>
      </c>
      <c r="G3">
        <v>155.51999999999998</v>
      </c>
      <c r="H3" s="7">
        <v>471.51</v>
      </c>
      <c r="I3" s="7">
        <v>132.12</v>
      </c>
      <c r="J3">
        <v>710.91</v>
      </c>
      <c r="K3">
        <v>380.61</v>
      </c>
      <c r="L3">
        <v>187.92</v>
      </c>
      <c r="M3" s="7">
        <v>147.6</v>
      </c>
      <c r="N3">
        <v>144.35999999999999</v>
      </c>
      <c r="O3">
        <v>424.53</v>
      </c>
      <c r="P3" s="7">
        <v>339.57</v>
      </c>
      <c r="Q3">
        <v>399.69</v>
      </c>
      <c r="R3">
        <v>19.71</v>
      </c>
      <c r="S3">
        <v>683.73</v>
      </c>
      <c r="T3">
        <v>398.96999999999997</v>
      </c>
    </row>
    <row r="4" spans="1:20" ht="16" thickBot="1" x14ac:dyDescent="0.25">
      <c r="A4">
        <v>3</v>
      </c>
      <c r="B4" s="6" t="s">
        <v>3</v>
      </c>
      <c r="C4">
        <v>0</v>
      </c>
      <c r="D4" s="7">
        <v>3.42</v>
      </c>
      <c r="E4">
        <v>5.58</v>
      </c>
      <c r="F4">
        <v>9.5399999999999991</v>
      </c>
      <c r="G4">
        <v>6.4799999999999995</v>
      </c>
      <c r="H4" s="7">
        <v>53.55</v>
      </c>
      <c r="I4" s="7">
        <v>0.36</v>
      </c>
      <c r="J4">
        <v>69.3</v>
      </c>
      <c r="K4">
        <v>88.2</v>
      </c>
      <c r="L4">
        <v>0</v>
      </c>
      <c r="M4" s="7">
        <v>0</v>
      </c>
      <c r="N4">
        <v>0</v>
      </c>
      <c r="O4">
        <v>53.01</v>
      </c>
      <c r="P4" s="7">
        <v>118.53</v>
      </c>
      <c r="Q4">
        <v>376.91999999999996</v>
      </c>
      <c r="R4">
        <v>0</v>
      </c>
      <c r="S4">
        <v>937.8</v>
      </c>
      <c r="T4">
        <v>1209.1499999999999</v>
      </c>
    </row>
    <row r="5" spans="1:20" ht="16" thickBot="1" x14ac:dyDescent="0.25">
      <c r="A5">
        <v>4</v>
      </c>
      <c r="B5" s="6" t="s">
        <v>4</v>
      </c>
      <c r="C5">
        <v>10997.1</v>
      </c>
      <c r="D5" s="7">
        <v>11094.84</v>
      </c>
      <c r="E5">
        <v>16211.43</v>
      </c>
      <c r="F5">
        <v>6003.9</v>
      </c>
      <c r="G5">
        <v>10539.27</v>
      </c>
      <c r="H5" s="7">
        <v>4816.17</v>
      </c>
      <c r="I5" s="7">
        <v>3219.93</v>
      </c>
      <c r="J5">
        <v>2602.89</v>
      </c>
      <c r="K5">
        <v>3042.54</v>
      </c>
      <c r="L5">
        <v>6173.6399999999994</v>
      </c>
      <c r="M5" s="7">
        <v>1184.04</v>
      </c>
      <c r="N5">
        <v>1269.0899999999999</v>
      </c>
      <c r="O5">
        <v>12370.05</v>
      </c>
      <c r="P5" s="7">
        <v>7196.04</v>
      </c>
      <c r="Q5">
        <v>5709.42</v>
      </c>
      <c r="R5">
        <v>5286.96</v>
      </c>
      <c r="S5">
        <v>3820.14</v>
      </c>
      <c r="T5">
        <v>4803.3</v>
      </c>
    </row>
    <row r="6" spans="1:20" ht="16" thickBot="1" x14ac:dyDescent="0.25">
      <c r="A6">
        <v>5</v>
      </c>
      <c r="B6" s="6" t="s">
        <v>5</v>
      </c>
      <c r="C6">
        <v>1786.1399999999999</v>
      </c>
      <c r="D6" s="7">
        <v>4572.45</v>
      </c>
      <c r="E6">
        <v>3077.2799999999997</v>
      </c>
      <c r="F6">
        <v>4744.71</v>
      </c>
      <c r="G6">
        <v>4258.17</v>
      </c>
      <c r="H6" s="7">
        <v>4775.76</v>
      </c>
      <c r="I6" s="7">
        <v>4807.8</v>
      </c>
      <c r="J6">
        <v>1109.97</v>
      </c>
      <c r="K6">
        <v>1015.29</v>
      </c>
      <c r="L6">
        <v>1660.5</v>
      </c>
      <c r="M6" s="7">
        <v>2794.77</v>
      </c>
      <c r="N6">
        <v>3593.16</v>
      </c>
      <c r="O6">
        <v>3859.6499999999996</v>
      </c>
      <c r="P6" s="7">
        <v>1350.09</v>
      </c>
      <c r="Q6">
        <v>2991.6</v>
      </c>
      <c r="R6">
        <v>3194.5499999999997</v>
      </c>
      <c r="S6">
        <v>3018.96</v>
      </c>
      <c r="T6">
        <v>2359.5299999999997</v>
      </c>
    </row>
    <row r="7" spans="1:20" ht="16" thickBot="1" x14ac:dyDescent="0.25">
      <c r="A7">
        <v>6</v>
      </c>
      <c r="B7" s="6" t="s">
        <v>6</v>
      </c>
      <c r="C7">
        <v>33.93</v>
      </c>
      <c r="D7" s="7">
        <v>29.61</v>
      </c>
      <c r="E7">
        <v>660.78</v>
      </c>
      <c r="F7">
        <v>523.98</v>
      </c>
      <c r="G7">
        <v>555.84</v>
      </c>
      <c r="H7" s="7">
        <v>1218.5999999999999</v>
      </c>
      <c r="I7" s="7">
        <v>302.67</v>
      </c>
      <c r="J7">
        <v>761.22</v>
      </c>
      <c r="K7">
        <v>371.78999999999996</v>
      </c>
      <c r="L7">
        <v>60.03</v>
      </c>
      <c r="M7" s="7">
        <v>825.3</v>
      </c>
      <c r="N7">
        <v>1859.22</v>
      </c>
      <c r="O7">
        <v>275.49</v>
      </c>
      <c r="P7" s="7">
        <v>1063.8900000000001</v>
      </c>
      <c r="Q7">
        <v>505.16999999999996</v>
      </c>
      <c r="R7">
        <v>593.54999999999995</v>
      </c>
      <c r="S7">
        <v>277.64999999999998</v>
      </c>
      <c r="T7">
        <v>63.809999999999995</v>
      </c>
    </row>
    <row r="8" spans="1:20" ht="16" thickBot="1" x14ac:dyDescent="0.25">
      <c r="A8">
        <v>7</v>
      </c>
      <c r="B8" s="6" t="s">
        <v>7</v>
      </c>
      <c r="C8">
        <v>39093.299999999996</v>
      </c>
      <c r="D8" s="7">
        <v>35645.760000000002</v>
      </c>
      <c r="E8">
        <v>33104.07</v>
      </c>
      <c r="F8">
        <v>40686.75</v>
      </c>
      <c r="G8">
        <v>37953</v>
      </c>
      <c r="H8" s="7">
        <v>40713.39</v>
      </c>
      <c r="I8" s="7">
        <v>44732.7</v>
      </c>
      <c r="J8">
        <v>47733.57</v>
      </c>
      <c r="K8">
        <v>48594.239999999998</v>
      </c>
      <c r="L8">
        <v>44348.67</v>
      </c>
      <c r="M8" s="7">
        <v>47588.04</v>
      </c>
      <c r="N8">
        <v>45922.68</v>
      </c>
      <c r="O8">
        <v>35614.439999999995</v>
      </c>
      <c r="P8" s="7">
        <v>43030.89</v>
      </c>
      <c r="Q8">
        <v>43533.09</v>
      </c>
      <c r="R8">
        <v>41962.59</v>
      </c>
      <c r="S8">
        <v>43465.32</v>
      </c>
      <c r="T8">
        <v>42575.13</v>
      </c>
    </row>
    <row r="9" spans="1:20" ht="16" thickBot="1" x14ac:dyDescent="0.25">
      <c r="A9">
        <v>8</v>
      </c>
      <c r="B9" s="6" t="s">
        <v>8</v>
      </c>
      <c r="C9">
        <v>12.42</v>
      </c>
      <c r="D9" s="7">
        <v>0</v>
      </c>
      <c r="E9">
        <v>166.59</v>
      </c>
      <c r="F9">
        <v>110.52</v>
      </c>
      <c r="G9">
        <v>74.069999999999993</v>
      </c>
      <c r="H9" s="7">
        <v>161.1</v>
      </c>
      <c r="I9" s="7">
        <v>79.650000000000006</v>
      </c>
      <c r="J9">
        <v>81.27</v>
      </c>
      <c r="K9">
        <v>29.25</v>
      </c>
      <c r="L9">
        <v>436.22999999999996</v>
      </c>
      <c r="M9" s="7">
        <v>23.22</v>
      </c>
      <c r="N9">
        <v>35.549999999999997</v>
      </c>
      <c r="O9">
        <v>15.209999999999999</v>
      </c>
      <c r="P9" s="7">
        <v>0</v>
      </c>
      <c r="Q9">
        <v>0</v>
      </c>
      <c r="R9">
        <v>160.29</v>
      </c>
      <c r="S9">
        <v>46.26</v>
      </c>
      <c r="T9">
        <v>0.80999999999999994</v>
      </c>
    </row>
    <row r="10" spans="1:20" ht="16" thickBot="1" x14ac:dyDescent="0.25">
      <c r="A10">
        <v>9</v>
      </c>
      <c r="B10" s="6" t="s">
        <v>9</v>
      </c>
      <c r="C10">
        <v>3.42</v>
      </c>
      <c r="D10" s="7">
        <v>19.89</v>
      </c>
      <c r="E10">
        <v>29.34</v>
      </c>
      <c r="F10">
        <v>33.839999999999996</v>
      </c>
      <c r="G10">
        <v>9.7199999999999989</v>
      </c>
      <c r="H10" s="7">
        <v>8.19</v>
      </c>
      <c r="I10" s="7">
        <v>34.65</v>
      </c>
      <c r="J10">
        <v>6.5699999999999994</v>
      </c>
      <c r="K10">
        <v>8.2799999999999994</v>
      </c>
      <c r="L10">
        <v>14.399999999999999</v>
      </c>
      <c r="M10" s="7">
        <v>42.66</v>
      </c>
      <c r="N10">
        <v>53.64</v>
      </c>
      <c r="O10">
        <v>18.809999999999999</v>
      </c>
      <c r="P10" s="7">
        <v>52.74</v>
      </c>
      <c r="Q10">
        <v>17.099999999999998</v>
      </c>
      <c r="R10">
        <v>30.24</v>
      </c>
      <c r="S10">
        <v>37.89</v>
      </c>
      <c r="T10">
        <v>23.4</v>
      </c>
    </row>
    <row r="11" spans="1:20" ht="16" thickBot="1" x14ac:dyDescent="0.25">
      <c r="A11">
        <v>10</v>
      </c>
      <c r="B11" s="6" t="s">
        <v>10</v>
      </c>
      <c r="C11">
        <v>79.739999999999995</v>
      </c>
      <c r="D11" s="7">
        <v>236.61</v>
      </c>
      <c r="E11">
        <v>76.95</v>
      </c>
      <c r="F11">
        <v>460.62</v>
      </c>
      <c r="G11">
        <v>192.78</v>
      </c>
      <c r="H11" s="7">
        <v>397.89</v>
      </c>
      <c r="I11" s="7">
        <v>119.43</v>
      </c>
      <c r="J11">
        <v>11.34</v>
      </c>
      <c r="K11">
        <v>105.75</v>
      </c>
      <c r="L11">
        <v>838.35</v>
      </c>
      <c r="M11" s="7">
        <v>349.47</v>
      </c>
      <c r="N11">
        <v>178.56</v>
      </c>
      <c r="O11">
        <v>61.379999999999995</v>
      </c>
      <c r="P11" s="7">
        <v>90.99</v>
      </c>
      <c r="Q11">
        <v>54</v>
      </c>
      <c r="R11">
        <v>125.91</v>
      </c>
      <c r="S11">
        <v>118.61999999999999</v>
      </c>
      <c r="T11">
        <v>255.95999999999998</v>
      </c>
    </row>
    <row r="12" spans="1:20" x14ac:dyDescent="0.2">
      <c r="C12">
        <f>SUM(C2:C11)</f>
        <v>56315.429999999986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4267.2150000000001</v>
      </c>
      <c r="D17">
        <f>AVERAGE(C2:E2)</f>
        <v>2959.11</v>
      </c>
      <c r="E17">
        <f>C17-D17</f>
        <v>1308.105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541.35</v>
      </c>
      <c r="D18">
        <f t="shared" ref="D18:D25" si="1">AVERAGE(C3:E3)</f>
        <v>1042.77</v>
      </c>
      <c r="E18">
        <f t="shared" ref="E18:E26" si="2">C18-D18</f>
        <v>-501.41999999999996</v>
      </c>
    </row>
    <row r="19" spans="1:5" ht="16" thickBot="1" x14ac:dyDescent="0.25">
      <c r="A19">
        <v>3</v>
      </c>
      <c r="B19" s="6" t="s">
        <v>3</v>
      </c>
      <c r="C19">
        <f t="shared" si="0"/>
        <v>1073.4749999999999</v>
      </c>
      <c r="D19">
        <f t="shared" si="1"/>
        <v>3</v>
      </c>
      <c r="E19">
        <f t="shared" si="2"/>
        <v>1070.4749999999999</v>
      </c>
    </row>
    <row r="20" spans="1:5" ht="16" thickBot="1" x14ac:dyDescent="0.25">
      <c r="A20">
        <v>4</v>
      </c>
      <c r="B20" s="6" t="s">
        <v>4</v>
      </c>
      <c r="C20">
        <f t="shared" si="0"/>
        <v>4311.72</v>
      </c>
      <c r="D20">
        <f t="shared" si="1"/>
        <v>12767.79</v>
      </c>
      <c r="E20">
        <f t="shared" si="2"/>
        <v>-8456.07</v>
      </c>
    </row>
    <row r="21" spans="1:5" ht="16" thickBot="1" x14ac:dyDescent="0.25">
      <c r="A21">
        <v>5</v>
      </c>
      <c r="B21" s="6" t="s">
        <v>5</v>
      </c>
      <c r="C21">
        <f t="shared" si="0"/>
        <v>2689.2449999999999</v>
      </c>
      <c r="D21">
        <f t="shared" si="1"/>
        <v>3145.2899999999995</v>
      </c>
      <c r="E21">
        <f t="shared" si="2"/>
        <v>-456.04499999999962</v>
      </c>
    </row>
    <row r="22" spans="1:5" ht="16" thickBot="1" x14ac:dyDescent="0.25">
      <c r="A22">
        <v>6</v>
      </c>
      <c r="B22" s="6" t="s">
        <v>6</v>
      </c>
      <c r="C22">
        <f t="shared" si="0"/>
        <v>170.73</v>
      </c>
      <c r="D22">
        <f t="shared" si="1"/>
        <v>241.43999999999997</v>
      </c>
      <c r="E22">
        <f t="shared" si="2"/>
        <v>-70.70999999999998</v>
      </c>
    </row>
    <row r="23" spans="1:5" ht="16" thickBot="1" x14ac:dyDescent="0.25">
      <c r="A23">
        <v>7</v>
      </c>
      <c r="B23" s="6" t="s">
        <v>7</v>
      </c>
      <c r="C23">
        <f t="shared" si="0"/>
        <v>43020.224999999999</v>
      </c>
      <c r="D23">
        <f t="shared" si="1"/>
        <v>35947.71</v>
      </c>
      <c r="E23">
        <f t="shared" si="2"/>
        <v>7072.5149999999994</v>
      </c>
    </row>
    <row r="24" spans="1:5" ht="16" thickBot="1" x14ac:dyDescent="0.25">
      <c r="A24">
        <v>8</v>
      </c>
      <c r="B24" s="6" t="s">
        <v>8</v>
      </c>
      <c r="C24">
        <f t="shared" si="0"/>
        <v>23.535</v>
      </c>
      <c r="D24">
        <f t="shared" si="1"/>
        <v>59.669999999999995</v>
      </c>
      <c r="E24">
        <f t="shared" si="2"/>
        <v>-36.134999999999991</v>
      </c>
    </row>
    <row r="25" spans="1:5" ht="16" thickBot="1" x14ac:dyDescent="0.25">
      <c r="A25">
        <v>9</v>
      </c>
      <c r="B25" s="6" t="s">
        <v>9</v>
      </c>
      <c r="C25">
        <f t="shared" si="0"/>
        <v>30.645</v>
      </c>
      <c r="D25">
        <f t="shared" si="1"/>
        <v>17.55</v>
      </c>
      <c r="E25">
        <f t="shared" si="2"/>
        <v>13.094999999999999</v>
      </c>
    </row>
    <row r="26" spans="1:5" ht="16" thickBot="1" x14ac:dyDescent="0.25">
      <c r="A26">
        <v>10</v>
      </c>
      <c r="B26" s="6" t="s">
        <v>10</v>
      </c>
      <c r="C26">
        <f>AVERAGE(S11:T11)</f>
        <v>187.29</v>
      </c>
      <c r="D26">
        <f>AVERAGE(C11:E11)</f>
        <v>131.1</v>
      </c>
      <c r="E26">
        <f t="shared" si="2"/>
        <v>56.19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44.206028163873597</v>
      </c>
    </row>
    <row r="32" spans="1:5" x14ac:dyDescent="0.2">
      <c r="B32" s="13" t="s">
        <v>2</v>
      </c>
      <c r="E32" s="14">
        <f t="shared" ref="E32:E40" si="3">(E18/D18)*100</f>
        <v>-48.085387957075866</v>
      </c>
    </row>
    <row r="33" spans="2:5" x14ac:dyDescent="0.2">
      <c r="B33" s="13" t="s">
        <v>3</v>
      </c>
      <c r="E33" s="14">
        <f t="shared" si="3"/>
        <v>35682.5</v>
      </c>
    </row>
    <row r="34" spans="2:5" x14ac:dyDescent="0.2">
      <c r="B34" s="13" t="s">
        <v>4</v>
      </c>
      <c r="E34" s="14">
        <f t="shared" si="3"/>
        <v>-66.229707725455995</v>
      </c>
    </row>
    <row r="35" spans="2:5" x14ac:dyDescent="0.2">
      <c r="B35" s="13" t="s">
        <v>5</v>
      </c>
      <c r="E35" s="14">
        <f t="shared" si="3"/>
        <v>-14.499298951765963</v>
      </c>
    </row>
    <row r="36" spans="2:5" x14ac:dyDescent="0.2">
      <c r="B36" s="13" t="s">
        <v>6</v>
      </c>
      <c r="E36" s="14">
        <f t="shared" si="3"/>
        <v>-29.286779324055662</v>
      </c>
    </row>
    <row r="37" spans="2:5" x14ac:dyDescent="0.2">
      <c r="B37" s="13" t="s">
        <v>7</v>
      </c>
      <c r="E37" s="14">
        <f t="shared" si="3"/>
        <v>19.67445214173587</v>
      </c>
    </row>
    <row r="38" spans="2:5" x14ac:dyDescent="0.2">
      <c r="B38" s="13" t="s">
        <v>8</v>
      </c>
      <c r="E38" s="14">
        <f t="shared" si="3"/>
        <v>-60.558069381598777</v>
      </c>
    </row>
    <row r="39" spans="2:5" x14ac:dyDescent="0.2">
      <c r="B39" s="13" t="s">
        <v>9</v>
      </c>
      <c r="E39" s="14">
        <f t="shared" si="3"/>
        <v>74.615384615384599</v>
      </c>
    </row>
    <row r="40" spans="2:5" x14ac:dyDescent="0.2">
      <c r="B40" s="13" t="s">
        <v>10</v>
      </c>
      <c r="E40" s="14">
        <f t="shared" si="3"/>
        <v>42.860411899313497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FC12-9BF1-4240-AED0-91EB664CD30C}">
  <dimension ref="A1:T40"/>
  <sheetViews>
    <sheetView workbookViewId="0">
      <selection activeCell="E39" sqref="E39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3230.46</v>
      </c>
      <c r="D2">
        <v>4101.03</v>
      </c>
      <c r="E2">
        <v>3948.48</v>
      </c>
      <c r="F2">
        <v>486.18</v>
      </c>
      <c r="G2">
        <v>12289.14</v>
      </c>
      <c r="H2" s="7">
        <v>44.01</v>
      </c>
      <c r="I2" s="7">
        <v>5167.8900000000003</v>
      </c>
      <c r="J2" s="7">
        <v>154.16999999999999</v>
      </c>
      <c r="K2" s="7">
        <v>3955.68</v>
      </c>
      <c r="L2" s="7">
        <v>5876.37</v>
      </c>
      <c r="M2">
        <v>1913.76</v>
      </c>
      <c r="N2" s="7">
        <v>1873.44</v>
      </c>
      <c r="O2" s="7">
        <v>52.65</v>
      </c>
      <c r="P2">
        <v>1892.61</v>
      </c>
      <c r="Q2" s="7">
        <v>16093.71</v>
      </c>
      <c r="R2">
        <v>1230.3</v>
      </c>
      <c r="S2" s="7">
        <v>3229.83</v>
      </c>
      <c r="T2">
        <v>7626.24</v>
      </c>
    </row>
    <row r="3" spans="1:20" ht="16" thickBot="1" x14ac:dyDescent="0.25">
      <c r="A3">
        <v>2</v>
      </c>
      <c r="B3" s="6" t="s">
        <v>2</v>
      </c>
      <c r="C3">
        <v>1534.1399999999999</v>
      </c>
      <c r="D3">
        <v>2197.89</v>
      </c>
      <c r="E3">
        <v>17784.36</v>
      </c>
      <c r="F3">
        <v>572.4</v>
      </c>
      <c r="G3">
        <v>21707.01</v>
      </c>
      <c r="H3" s="7">
        <v>3676.77</v>
      </c>
      <c r="I3" s="7">
        <v>5212.71</v>
      </c>
      <c r="J3" s="7">
        <v>217.44</v>
      </c>
      <c r="K3" s="7">
        <v>7956.81</v>
      </c>
      <c r="L3" s="7">
        <v>41858.46</v>
      </c>
      <c r="M3">
        <v>6961.6799999999994</v>
      </c>
      <c r="N3" s="7">
        <v>43433.01</v>
      </c>
      <c r="O3" s="7">
        <v>6655.77</v>
      </c>
      <c r="P3">
        <v>24121.8</v>
      </c>
      <c r="Q3" s="7">
        <v>908.1</v>
      </c>
      <c r="R3">
        <v>4244.22</v>
      </c>
      <c r="S3" s="7">
        <v>3861.54</v>
      </c>
      <c r="T3">
        <v>14827.68</v>
      </c>
    </row>
    <row r="4" spans="1:20" ht="16" thickBot="1" x14ac:dyDescent="0.25">
      <c r="A4">
        <v>3</v>
      </c>
      <c r="B4" s="6" t="s">
        <v>3</v>
      </c>
      <c r="C4">
        <v>31590.36</v>
      </c>
      <c r="D4">
        <v>24098.04</v>
      </c>
      <c r="E4">
        <v>18231.57</v>
      </c>
      <c r="F4">
        <v>22594.68</v>
      </c>
      <c r="G4">
        <v>15198.75</v>
      </c>
      <c r="H4" s="7">
        <v>33008.76</v>
      </c>
      <c r="I4" s="7">
        <v>24711.3</v>
      </c>
      <c r="J4" s="7">
        <v>30618.63</v>
      </c>
      <c r="K4" s="7">
        <v>7773.21</v>
      </c>
      <c r="L4" s="7">
        <v>12661.56</v>
      </c>
      <c r="M4">
        <v>37991.699999999997</v>
      </c>
      <c r="N4" s="7">
        <v>9171.5400000000009</v>
      </c>
      <c r="O4" s="7">
        <v>12903.12</v>
      </c>
      <c r="P4">
        <v>6153.66</v>
      </c>
      <c r="Q4" s="7">
        <v>23316.3</v>
      </c>
      <c r="R4">
        <v>11012.13</v>
      </c>
      <c r="S4" s="7">
        <v>4460.49</v>
      </c>
      <c r="T4">
        <v>6758.37</v>
      </c>
    </row>
    <row r="5" spans="1:20" ht="16" thickBot="1" x14ac:dyDescent="0.25">
      <c r="A5">
        <v>4</v>
      </c>
      <c r="B5" s="6" t="s">
        <v>4</v>
      </c>
      <c r="C5">
        <v>4083046.56</v>
      </c>
      <c r="D5">
        <v>4109991.1199999996</v>
      </c>
      <c r="E5">
        <v>4188736.53</v>
      </c>
      <c r="F5">
        <v>4142403.54</v>
      </c>
      <c r="G5">
        <v>4455141.3</v>
      </c>
      <c r="H5" s="7">
        <v>3828903.12</v>
      </c>
      <c r="I5" s="7">
        <v>4337743.8600000003</v>
      </c>
      <c r="J5" s="7">
        <v>3939490.44</v>
      </c>
      <c r="K5" s="7">
        <v>3363449.49</v>
      </c>
      <c r="L5" s="7">
        <v>3864168.81</v>
      </c>
      <c r="M5">
        <v>4233096.45</v>
      </c>
      <c r="N5" s="7">
        <v>4129800.3</v>
      </c>
      <c r="O5" s="7">
        <v>3565446.39</v>
      </c>
      <c r="P5">
        <v>3663747.81</v>
      </c>
      <c r="Q5" s="7">
        <v>3718050.84</v>
      </c>
      <c r="R5">
        <v>4064469.75</v>
      </c>
      <c r="S5" s="7">
        <v>3870433.08</v>
      </c>
      <c r="T5">
        <v>3969395.82</v>
      </c>
    </row>
    <row r="6" spans="1:20" ht="16" thickBot="1" x14ac:dyDescent="0.25">
      <c r="A6">
        <v>5</v>
      </c>
      <c r="B6" s="6" t="s">
        <v>5</v>
      </c>
      <c r="C6">
        <v>1440174.96</v>
      </c>
      <c r="D6">
        <v>1370271.15</v>
      </c>
      <c r="E6">
        <v>1264719.69</v>
      </c>
      <c r="F6">
        <v>1311342.48</v>
      </c>
      <c r="G6">
        <v>1044978.6599999999</v>
      </c>
      <c r="H6" s="7">
        <v>1483616.88</v>
      </c>
      <c r="I6" s="7">
        <v>1157908.77</v>
      </c>
      <c r="J6" s="7">
        <v>1377113.31</v>
      </c>
      <c r="K6" s="7">
        <v>2087186.13</v>
      </c>
      <c r="L6" s="7">
        <v>1487926.98</v>
      </c>
      <c r="M6">
        <v>1205760.96</v>
      </c>
      <c r="N6" s="7">
        <v>1243944.0900000001</v>
      </c>
      <c r="O6" s="7">
        <v>1892977.83</v>
      </c>
      <c r="P6">
        <v>1705547.97</v>
      </c>
      <c r="Q6" s="7">
        <v>1696256.55</v>
      </c>
      <c r="R6">
        <v>1360480.32</v>
      </c>
      <c r="S6" s="7">
        <v>1701484.65</v>
      </c>
      <c r="T6">
        <v>1484238.78</v>
      </c>
    </row>
    <row r="7" spans="1:20" ht="16" thickBot="1" x14ac:dyDescent="0.25">
      <c r="A7">
        <v>6</v>
      </c>
      <c r="B7" s="6" t="s">
        <v>6</v>
      </c>
      <c r="C7">
        <v>0</v>
      </c>
      <c r="D7">
        <v>0</v>
      </c>
      <c r="E7">
        <v>0</v>
      </c>
      <c r="F7">
        <v>0</v>
      </c>
      <c r="G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>
        <v>0</v>
      </c>
      <c r="N7" s="7">
        <v>0</v>
      </c>
      <c r="O7" s="7">
        <v>0</v>
      </c>
      <c r="P7">
        <v>0</v>
      </c>
      <c r="Q7" s="7">
        <v>0</v>
      </c>
      <c r="R7">
        <v>0</v>
      </c>
      <c r="S7" s="7">
        <v>0</v>
      </c>
      <c r="T7">
        <v>0</v>
      </c>
    </row>
    <row r="8" spans="1:20" ht="16" thickBot="1" x14ac:dyDescent="0.25">
      <c r="A8">
        <v>7</v>
      </c>
      <c r="B8" s="6" t="s">
        <v>7</v>
      </c>
      <c r="C8">
        <v>0</v>
      </c>
      <c r="D8">
        <v>0</v>
      </c>
      <c r="E8">
        <v>0</v>
      </c>
      <c r="F8">
        <v>0</v>
      </c>
      <c r="G8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>
        <v>0</v>
      </c>
      <c r="N8" s="7">
        <v>0</v>
      </c>
      <c r="O8" s="7">
        <v>0</v>
      </c>
      <c r="P8">
        <v>0</v>
      </c>
      <c r="Q8" s="7">
        <v>0</v>
      </c>
      <c r="R8">
        <v>0</v>
      </c>
      <c r="S8" s="7">
        <v>0</v>
      </c>
      <c r="T8">
        <v>0</v>
      </c>
    </row>
    <row r="9" spans="1:20" ht="16" thickBot="1" x14ac:dyDescent="0.25">
      <c r="A9">
        <v>8</v>
      </c>
      <c r="B9" s="6" t="s">
        <v>8</v>
      </c>
      <c r="C9">
        <v>0</v>
      </c>
      <c r="D9">
        <v>0</v>
      </c>
      <c r="E9">
        <v>0</v>
      </c>
      <c r="F9">
        <v>0</v>
      </c>
      <c r="G9">
        <v>0</v>
      </c>
      <c r="H9" s="7">
        <v>0</v>
      </c>
      <c r="I9" s="7">
        <v>0</v>
      </c>
      <c r="J9" s="7">
        <v>0.81</v>
      </c>
      <c r="K9" s="7">
        <v>5079.33</v>
      </c>
      <c r="L9" s="7">
        <v>101.7</v>
      </c>
      <c r="M9">
        <v>0</v>
      </c>
      <c r="N9" s="7">
        <v>1034.9100000000001</v>
      </c>
      <c r="O9" s="7">
        <v>0</v>
      </c>
      <c r="P9">
        <v>0</v>
      </c>
      <c r="Q9" s="7">
        <v>29.25</v>
      </c>
      <c r="R9">
        <v>0</v>
      </c>
      <c r="S9" s="7">
        <v>0</v>
      </c>
      <c r="T9">
        <v>0</v>
      </c>
    </row>
    <row r="10" spans="1:20" ht="16" thickBot="1" x14ac:dyDescent="0.25">
      <c r="A10">
        <v>9</v>
      </c>
      <c r="B10" s="6" t="s">
        <v>9</v>
      </c>
      <c r="C10">
        <v>0.54</v>
      </c>
      <c r="D10">
        <v>24.93</v>
      </c>
      <c r="E10">
        <v>4.7699999999999996</v>
      </c>
      <c r="F10">
        <v>28.619999999999997</v>
      </c>
      <c r="G10">
        <v>29.97</v>
      </c>
      <c r="H10" s="7">
        <v>0.9</v>
      </c>
      <c r="I10" s="7">
        <v>29.43</v>
      </c>
      <c r="J10" s="7">
        <v>1.62</v>
      </c>
      <c r="K10" s="7">
        <v>43.47</v>
      </c>
      <c r="L10" s="7">
        <v>21.96</v>
      </c>
      <c r="M10">
        <v>31.23</v>
      </c>
      <c r="N10" s="7">
        <v>51.03</v>
      </c>
      <c r="O10" s="7">
        <v>1.35</v>
      </c>
      <c r="P10">
        <v>38.25</v>
      </c>
      <c r="Q10" s="7">
        <v>68.22</v>
      </c>
      <c r="R10">
        <v>10.799999999999999</v>
      </c>
      <c r="S10" s="7">
        <v>9.99</v>
      </c>
      <c r="T10">
        <v>482.03999999999996</v>
      </c>
    </row>
    <row r="11" spans="1:20" ht="16" thickBot="1" x14ac:dyDescent="0.25">
      <c r="A11">
        <v>10</v>
      </c>
      <c r="B11" s="6" t="s">
        <v>10</v>
      </c>
      <c r="C11">
        <v>104992.2</v>
      </c>
      <c r="D11">
        <v>153885.06</v>
      </c>
      <c r="E11">
        <v>171143.82</v>
      </c>
      <c r="F11">
        <v>187141.32</v>
      </c>
      <c r="G11">
        <v>115224.39</v>
      </c>
      <c r="H11" s="7">
        <v>315318.78000000003</v>
      </c>
      <c r="I11" s="7">
        <v>133795.26</v>
      </c>
      <c r="J11" s="7">
        <v>316972.79999999999</v>
      </c>
      <c r="K11" s="7">
        <v>189125.1</v>
      </c>
      <c r="L11" s="7">
        <v>251953.38</v>
      </c>
      <c r="M11">
        <v>178813.44</v>
      </c>
      <c r="N11" s="7">
        <v>235260.9</v>
      </c>
      <c r="O11" s="7">
        <v>186532.11</v>
      </c>
      <c r="P11">
        <v>263067.12</v>
      </c>
      <c r="Q11" s="7">
        <v>209846.25</v>
      </c>
      <c r="R11">
        <v>223121.69999999998</v>
      </c>
      <c r="S11" s="7">
        <v>81089.64</v>
      </c>
      <c r="T11">
        <v>181240.28999999998</v>
      </c>
    </row>
    <row r="12" spans="1:20" x14ac:dyDescent="0.2">
      <c r="C12">
        <f>SUM(C2:C11)</f>
        <v>5664569.2200000007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5428.0349999999999</v>
      </c>
      <c r="D17">
        <f>AVERAGE(C2:E2)</f>
        <v>3759.99</v>
      </c>
      <c r="E17">
        <f>C17-D17</f>
        <v>1668.0450000000001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9344.61</v>
      </c>
      <c r="D18">
        <f t="shared" ref="D18:D25" si="1">AVERAGE(C3:E3)</f>
        <v>7172.13</v>
      </c>
      <c r="E18">
        <f t="shared" ref="E18:E26" si="2">C18-D18</f>
        <v>2172.4800000000005</v>
      </c>
    </row>
    <row r="19" spans="1:5" ht="16" thickBot="1" x14ac:dyDescent="0.25">
      <c r="A19">
        <v>3</v>
      </c>
      <c r="B19" s="6" t="s">
        <v>3</v>
      </c>
      <c r="C19">
        <f t="shared" si="0"/>
        <v>5609.43</v>
      </c>
      <c r="D19">
        <f t="shared" si="1"/>
        <v>24639.99</v>
      </c>
      <c r="E19">
        <f t="shared" si="2"/>
        <v>-19030.560000000001</v>
      </c>
    </row>
    <row r="20" spans="1:5" ht="16" thickBot="1" x14ac:dyDescent="0.25">
      <c r="A20">
        <v>4</v>
      </c>
      <c r="B20" s="6" t="s">
        <v>4</v>
      </c>
      <c r="C20">
        <f t="shared" si="0"/>
        <v>3919914.45</v>
      </c>
      <c r="D20">
        <f t="shared" si="1"/>
        <v>4127258.07</v>
      </c>
      <c r="E20">
        <f t="shared" si="2"/>
        <v>-207343.61999999965</v>
      </c>
    </row>
    <row r="21" spans="1:5" ht="16" thickBot="1" x14ac:dyDescent="0.25">
      <c r="A21">
        <v>5</v>
      </c>
      <c r="B21" s="6" t="s">
        <v>5</v>
      </c>
      <c r="C21">
        <f t="shared" si="0"/>
        <v>1592861.7149999999</v>
      </c>
      <c r="D21">
        <f t="shared" si="1"/>
        <v>1358388.5999999999</v>
      </c>
      <c r="E21">
        <f t="shared" si="2"/>
        <v>234473.11499999999</v>
      </c>
    </row>
    <row r="22" spans="1:5" ht="16" thickBot="1" x14ac:dyDescent="0.25">
      <c r="A22">
        <v>6</v>
      </c>
      <c r="B22" s="6" t="s">
        <v>6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ht="16" thickBot="1" x14ac:dyDescent="0.25">
      <c r="A23">
        <v>7</v>
      </c>
      <c r="B23" s="6" t="s">
        <v>7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ht="16" thickBot="1" x14ac:dyDescent="0.25">
      <c r="A24">
        <v>8</v>
      </c>
      <c r="B24" s="6" t="s">
        <v>8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ht="16" thickBot="1" x14ac:dyDescent="0.25">
      <c r="A25">
        <v>9</v>
      </c>
      <c r="B25" s="6" t="s">
        <v>9</v>
      </c>
      <c r="C25">
        <f t="shared" si="0"/>
        <v>246.01499999999999</v>
      </c>
      <c r="D25">
        <f t="shared" si="1"/>
        <v>10.08</v>
      </c>
      <c r="E25">
        <f t="shared" si="2"/>
        <v>235.93499999999997</v>
      </c>
    </row>
    <row r="26" spans="1:5" ht="16" thickBot="1" x14ac:dyDescent="0.25">
      <c r="A26">
        <v>10</v>
      </c>
      <c r="B26" s="6" t="s">
        <v>10</v>
      </c>
      <c r="C26">
        <f>AVERAGE(S11:T11)</f>
        <v>131164.965</v>
      </c>
      <c r="D26">
        <f>AVERAGE(C11:E11)</f>
        <v>143340.36000000002</v>
      </c>
      <c r="E26">
        <f t="shared" si="2"/>
        <v>-12175.395000000019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44.363016922917353</v>
      </c>
    </row>
    <row r="32" spans="1:5" x14ac:dyDescent="0.2">
      <c r="B32" s="13" t="s">
        <v>2</v>
      </c>
      <c r="E32" s="14">
        <f t="shared" ref="E32:E40" si="3">(E18/D18)*100</f>
        <v>30.290583132207594</v>
      </c>
    </row>
    <row r="33" spans="2:5" x14ac:dyDescent="0.2">
      <c r="B33" s="13" t="s">
        <v>3</v>
      </c>
      <c r="E33" s="14">
        <f t="shared" si="3"/>
        <v>-77.234446929564498</v>
      </c>
    </row>
    <row r="34" spans="2:5" x14ac:dyDescent="0.2">
      <c r="B34" s="13" t="s">
        <v>4</v>
      </c>
      <c r="E34" s="14">
        <f t="shared" si="3"/>
        <v>-5.0237619379105034</v>
      </c>
    </row>
    <row r="35" spans="2:5" x14ac:dyDescent="0.2">
      <c r="B35" s="13" t="s">
        <v>5</v>
      </c>
      <c r="E35" s="14">
        <f t="shared" si="3"/>
        <v>17.261122111890518</v>
      </c>
    </row>
    <row r="36" spans="2:5" x14ac:dyDescent="0.2">
      <c r="B36" s="13" t="s">
        <v>6</v>
      </c>
      <c r="E36" s="14">
        <v>0</v>
      </c>
    </row>
    <row r="37" spans="2:5" x14ac:dyDescent="0.2">
      <c r="B37" s="13" t="s">
        <v>7</v>
      </c>
      <c r="E37" s="14">
        <v>0</v>
      </c>
    </row>
    <row r="38" spans="2:5" x14ac:dyDescent="0.2">
      <c r="B38" s="13" t="s">
        <v>8</v>
      </c>
      <c r="E38" s="14">
        <v>0</v>
      </c>
    </row>
    <row r="39" spans="2:5" x14ac:dyDescent="0.2">
      <c r="B39" s="13" t="s">
        <v>9</v>
      </c>
      <c r="E39" s="14">
        <f t="shared" si="3"/>
        <v>2340.6249999999995</v>
      </c>
    </row>
    <row r="40" spans="2:5" x14ac:dyDescent="0.2">
      <c r="B40" s="13" t="s">
        <v>10</v>
      </c>
      <c r="E40" s="14">
        <f t="shared" si="3"/>
        <v>-8.4940452221551688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86F7-CFBD-544A-B365-305CB7FF90E2}">
  <dimension ref="A1:T40"/>
  <sheetViews>
    <sheetView workbookViewId="0">
      <selection activeCell="T9" sqref="T9"/>
    </sheetView>
  </sheetViews>
  <sheetFormatPr baseColWidth="10" defaultRowHeight="15" x14ac:dyDescent="0.2"/>
  <sheetData>
    <row r="1" spans="1:20" ht="16" thickBot="1" x14ac:dyDescent="0.25">
      <c r="A1" t="s">
        <v>14</v>
      </c>
      <c r="B1" s="1" t="s">
        <v>0</v>
      </c>
      <c r="C1" s="2">
        <v>1990</v>
      </c>
      <c r="D1" s="2">
        <v>1995</v>
      </c>
      <c r="E1" s="2">
        <v>2000</v>
      </c>
      <c r="F1" s="2">
        <v>2002</v>
      </c>
      <c r="G1" s="2">
        <v>2003</v>
      </c>
      <c r="H1" s="2">
        <v>2004</v>
      </c>
      <c r="I1" s="2">
        <v>2005</v>
      </c>
      <c r="J1" s="3">
        <v>2006</v>
      </c>
      <c r="K1" s="3">
        <v>2007</v>
      </c>
      <c r="L1" s="4">
        <v>2008</v>
      </c>
      <c r="M1" s="4">
        <v>2009</v>
      </c>
      <c r="N1" s="4">
        <v>2010</v>
      </c>
      <c r="O1" s="4">
        <v>2011</v>
      </c>
      <c r="P1" s="4">
        <v>2012</v>
      </c>
      <c r="Q1" s="5">
        <v>2013</v>
      </c>
      <c r="R1" s="5">
        <v>2014</v>
      </c>
      <c r="S1" s="5">
        <v>2015</v>
      </c>
      <c r="T1" s="5">
        <v>2018</v>
      </c>
    </row>
    <row r="2" spans="1:20" ht="16" thickBot="1" x14ac:dyDescent="0.25">
      <c r="A2">
        <v>1</v>
      </c>
      <c r="B2" s="6" t="s">
        <v>1</v>
      </c>
      <c r="C2">
        <v>27432.989999999998</v>
      </c>
      <c r="D2">
        <v>23488.379999999997</v>
      </c>
      <c r="E2" s="7">
        <v>23282.37</v>
      </c>
      <c r="F2">
        <v>26491.68</v>
      </c>
      <c r="G2">
        <v>33696</v>
      </c>
      <c r="H2">
        <v>27050.399999999998</v>
      </c>
      <c r="I2">
        <v>50152.77</v>
      </c>
      <c r="J2">
        <v>69676.02</v>
      </c>
      <c r="K2">
        <v>32015.969999999998</v>
      </c>
      <c r="L2" s="7">
        <v>65565.45</v>
      </c>
      <c r="M2">
        <v>39880.53</v>
      </c>
      <c r="N2">
        <v>68322.509999999995</v>
      </c>
      <c r="O2" s="7">
        <v>41858.910000000003</v>
      </c>
      <c r="P2">
        <v>42762.869999999995</v>
      </c>
      <c r="Q2" s="7">
        <v>20938.95</v>
      </c>
      <c r="R2" s="7">
        <v>31364.73</v>
      </c>
      <c r="S2" s="7">
        <v>15842.79</v>
      </c>
      <c r="T2">
        <v>21184.29</v>
      </c>
    </row>
    <row r="3" spans="1:20" ht="16" thickBot="1" x14ac:dyDescent="0.25">
      <c r="A3">
        <v>2</v>
      </c>
      <c r="B3" s="6" t="s">
        <v>2</v>
      </c>
      <c r="C3">
        <v>40312.439999999995</v>
      </c>
      <c r="D3">
        <v>44204.939999999995</v>
      </c>
      <c r="E3" s="7">
        <v>19807.830000000002</v>
      </c>
      <c r="F3">
        <v>12530.52</v>
      </c>
      <c r="G3">
        <v>18072.719999999998</v>
      </c>
      <c r="H3">
        <v>19110.239999999998</v>
      </c>
      <c r="I3">
        <v>8387.82</v>
      </c>
      <c r="J3">
        <v>8806.23</v>
      </c>
      <c r="K3">
        <v>18073.439999999999</v>
      </c>
      <c r="L3" s="7">
        <v>14345.1</v>
      </c>
      <c r="M3">
        <v>8953.1099999999988</v>
      </c>
      <c r="N3">
        <v>19932.39</v>
      </c>
      <c r="O3" s="7">
        <v>17078.849999999999</v>
      </c>
      <c r="P3">
        <v>28960.2</v>
      </c>
      <c r="Q3" s="7">
        <v>12117.78</v>
      </c>
      <c r="R3" s="7">
        <v>26568.63</v>
      </c>
      <c r="S3" s="7">
        <v>33863.49</v>
      </c>
      <c r="T3">
        <v>18185.849999999999</v>
      </c>
    </row>
    <row r="4" spans="1:20" ht="16" thickBot="1" x14ac:dyDescent="0.25">
      <c r="A4">
        <v>3</v>
      </c>
      <c r="B4" s="6" t="s">
        <v>3</v>
      </c>
      <c r="C4">
        <v>54279.18</v>
      </c>
      <c r="D4">
        <v>49160.88</v>
      </c>
      <c r="E4" s="7">
        <v>54944.1</v>
      </c>
      <c r="F4">
        <v>72949.41</v>
      </c>
      <c r="G4">
        <v>26555.67</v>
      </c>
      <c r="H4">
        <v>66877.47</v>
      </c>
      <c r="I4">
        <v>24487.739999999998</v>
      </c>
      <c r="J4">
        <v>24006.6</v>
      </c>
      <c r="K4">
        <v>51170.67</v>
      </c>
      <c r="L4" s="7">
        <v>37048.230000000003</v>
      </c>
      <c r="M4">
        <v>25021.17</v>
      </c>
      <c r="N4">
        <v>25968.239999999998</v>
      </c>
      <c r="O4" s="7">
        <v>26355.87</v>
      </c>
      <c r="P4">
        <v>6199.29</v>
      </c>
      <c r="Q4" s="7">
        <v>36723.33</v>
      </c>
      <c r="R4" s="7">
        <v>62361.72</v>
      </c>
      <c r="S4" s="7">
        <v>50929.919999999998</v>
      </c>
      <c r="T4">
        <v>34187.49</v>
      </c>
    </row>
    <row r="5" spans="1:20" ht="16" thickBot="1" x14ac:dyDescent="0.25">
      <c r="A5">
        <v>4</v>
      </c>
      <c r="B5" s="6" t="s">
        <v>4</v>
      </c>
      <c r="C5">
        <v>673258.77</v>
      </c>
      <c r="D5">
        <v>656923.94999999995</v>
      </c>
      <c r="E5" s="7">
        <v>687398.67</v>
      </c>
      <c r="F5">
        <v>644492.34</v>
      </c>
      <c r="G5">
        <v>715127.94</v>
      </c>
      <c r="H5">
        <v>591718.04999999993</v>
      </c>
      <c r="I5">
        <v>687178.62</v>
      </c>
      <c r="J5">
        <v>677002.67999999993</v>
      </c>
      <c r="K5">
        <v>647328.6</v>
      </c>
      <c r="L5" s="7">
        <v>654394.59</v>
      </c>
      <c r="M5">
        <v>686339.91</v>
      </c>
      <c r="N5">
        <v>657137.97</v>
      </c>
      <c r="O5" s="7">
        <v>734868.36</v>
      </c>
      <c r="P5">
        <v>706873.86</v>
      </c>
      <c r="Q5" s="7">
        <v>694782.54</v>
      </c>
      <c r="R5" s="7">
        <v>675092.43</v>
      </c>
      <c r="S5" s="7">
        <v>678511.44</v>
      </c>
      <c r="T5">
        <v>690372.27</v>
      </c>
    </row>
    <row r="6" spans="1:20" ht="16" thickBot="1" x14ac:dyDescent="0.25">
      <c r="A6">
        <v>5</v>
      </c>
      <c r="B6" s="6" t="s">
        <v>5</v>
      </c>
      <c r="C6">
        <v>123140.43</v>
      </c>
      <c r="D6">
        <v>137963.79</v>
      </c>
      <c r="E6" s="7">
        <v>122349.42</v>
      </c>
      <c r="F6">
        <v>118689.39</v>
      </c>
      <c r="G6">
        <v>103324.5</v>
      </c>
      <c r="H6">
        <v>168077.97</v>
      </c>
      <c r="I6">
        <v>105283.53</v>
      </c>
      <c r="J6">
        <v>86708.069999999992</v>
      </c>
      <c r="K6">
        <v>108942.12</v>
      </c>
      <c r="L6" s="7">
        <v>93370.32</v>
      </c>
      <c r="M6">
        <v>104667.65999999999</v>
      </c>
      <c r="N6">
        <v>109471.86</v>
      </c>
      <c r="O6" s="7">
        <v>58372.11</v>
      </c>
      <c r="P6">
        <v>88239.51</v>
      </c>
      <c r="Q6" s="7">
        <v>87040.17</v>
      </c>
      <c r="R6" s="7">
        <v>79029.63</v>
      </c>
      <c r="S6" s="7">
        <v>85107.51</v>
      </c>
      <c r="T6">
        <v>102676.68</v>
      </c>
    </row>
    <row r="7" spans="1:20" ht="16" thickBot="1" x14ac:dyDescent="0.25">
      <c r="A7">
        <v>6</v>
      </c>
      <c r="B7" s="6" t="s">
        <v>6</v>
      </c>
      <c r="C7">
        <v>5.04</v>
      </c>
      <c r="D7">
        <v>32.49</v>
      </c>
      <c r="E7" s="7">
        <v>82.44</v>
      </c>
      <c r="F7">
        <v>697.77</v>
      </c>
      <c r="G7">
        <v>464.31</v>
      </c>
      <c r="H7">
        <v>656.28</v>
      </c>
      <c r="I7">
        <v>120.42</v>
      </c>
      <c r="J7">
        <v>869.76</v>
      </c>
      <c r="K7">
        <v>0.18</v>
      </c>
      <c r="L7" s="7">
        <v>62.28</v>
      </c>
      <c r="M7">
        <v>620.73</v>
      </c>
      <c r="N7">
        <v>716.49</v>
      </c>
      <c r="O7" s="7">
        <v>71.28</v>
      </c>
      <c r="P7">
        <v>417.33</v>
      </c>
      <c r="Q7" s="7">
        <v>12.96</v>
      </c>
      <c r="R7" s="7">
        <v>298.98</v>
      </c>
      <c r="S7" s="7">
        <v>699.21</v>
      </c>
      <c r="T7">
        <v>1273.23</v>
      </c>
    </row>
    <row r="8" spans="1:20" ht="16" thickBot="1" x14ac:dyDescent="0.25">
      <c r="A8">
        <v>7</v>
      </c>
      <c r="B8" s="6" t="s">
        <v>7</v>
      </c>
      <c r="C8">
        <v>4935.5999999999995</v>
      </c>
      <c r="D8">
        <v>12788.369999999999</v>
      </c>
      <c r="E8" s="7">
        <v>12895.38</v>
      </c>
      <c r="F8">
        <v>32379.84</v>
      </c>
      <c r="G8">
        <v>17739.809999999998</v>
      </c>
      <c r="H8">
        <v>38455.019999999997</v>
      </c>
      <c r="I8">
        <v>38537.1</v>
      </c>
      <c r="J8">
        <v>51654.689999999995</v>
      </c>
      <c r="K8">
        <v>56313.9</v>
      </c>
      <c r="L8" s="7">
        <v>51646.32</v>
      </c>
      <c r="M8">
        <v>53714.879999999997</v>
      </c>
      <c r="N8">
        <v>35898.03</v>
      </c>
      <c r="O8" s="7">
        <v>38567.699999999997</v>
      </c>
      <c r="P8">
        <v>47849.13</v>
      </c>
      <c r="Q8" s="7">
        <v>60316.38</v>
      </c>
      <c r="R8" s="7">
        <v>48643.02</v>
      </c>
      <c r="S8" s="7">
        <v>60181.83</v>
      </c>
      <c r="T8">
        <v>56979.27</v>
      </c>
    </row>
    <row r="9" spans="1:20" ht="16" thickBot="1" x14ac:dyDescent="0.25">
      <c r="A9">
        <v>8</v>
      </c>
      <c r="B9" s="6" t="s">
        <v>8</v>
      </c>
      <c r="C9">
        <v>0.1</v>
      </c>
      <c r="D9">
        <v>0</v>
      </c>
      <c r="E9" s="7">
        <v>0</v>
      </c>
      <c r="F9">
        <v>0</v>
      </c>
      <c r="G9">
        <v>4.8599999999999994</v>
      </c>
      <c r="H9">
        <v>0</v>
      </c>
      <c r="I9">
        <v>0</v>
      </c>
      <c r="J9">
        <v>0</v>
      </c>
      <c r="K9">
        <v>5.3999999999999995</v>
      </c>
      <c r="L9" s="7">
        <v>0</v>
      </c>
      <c r="M9">
        <v>0</v>
      </c>
      <c r="N9">
        <v>0</v>
      </c>
      <c r="O9" s="7">
        <v>0</v>
      </c>
      <c r="P9">
        <v>0</v>
      </c>
      <c r="Q9" s="7">
        <v>0</v>
      </c>
      <c r="R9" s="7">
        <v>0</v>
      </c>
      <c r="S9" s="7">
        <v>3.6</v>
      </c>
      <c r="T9" s="20">
        <v>94.679999999999993</v>
      </c>
    </row>
    <row r="10" spans="1:20" ht="16" thickBot="1" x14ac:dyDescent="0.25">
      <c r="A10">
        <v>9</v>
      </c>
      <c r="B10" s="6" t="s">
        <v>9</v>
      </c>
      <c r="C10">
        <v>499.85999999999996</v>
      </c>
      <c r="D10">
        <v>1994.31</v>
      </c>
      <c r="E10" s="7">
        <v>1009.62</v>
      </c>
      <c r="F10">
        <v>2598.66</v>
      </c>
      <c r="G10">
        <v>2464.92</v>
      </c>
      <c r="H10">
        <v>3343.3199999999997</v>
      </c>
      <c r="I10">
        <v>3550.3199999999997</v>
      </c>
      <c r="J10">
        <v>2840.85</v>
      </c>
      <c r="K10">
        <v>3679.2</v>
      </c>
      <c r="L10" s="7">
        <v>3760.56</v>
      </c>
      <c r="M10">
        <v>2740.68</v>
      </c>
      <c r="N10">
        <v>3942.8999999999996</v>
      </c>
      <c r="O10" s="7">
        <v>2642.13</v>
      </c>
      <c r="P10">
        <v>4711.59</v>
      </c>
      <c r="Q10" s="7">
        <v>4850.1899999999996</v>
      </c>
      <c r="R10" s="7">
        <v>4114.71</v>
      </c>
      <c r="S10" s="7">
        <v>3234.33</v>
      </c>
      <c r="T10">
        <v>2232.7199999999998</v>
      </c>
    </row>
    <row r="11" spans="1:20" ht="16" thickBot="1" x14ac:dyDescent="0.25">
      <c r="A11">
        <v>10</v>
      </c>
      <c r="B11" s="6" t="s">
        <v>10</v>
      </c>
      <c r="C11">
        <v>9963.18</v>
      </c>
      <c r="D11">
        <v>7270.38</v>
      </c>
      <c r="E11" s="7">
        <v>12057.66</v>
      </c>
      <c r="F11">
        <v>22997.879999999997</v>
      </c>
      <c r="G11">
        <v>16376.76</v>
      </c>
      <c r="H11">
        <v>18538.739999999998</v>
      </c>
      <c r="I11">
        <v>16129.17</v>
      </c>
      <c r="J11">
        <v>12262.59</v>
      </c>
      <c r="K11">
        <v>16298.01</v>
      </c>
      <c r="L11" s="7">
        <v>13634.64</v>
      </c>
      <c r="M11">
        <v>11888.82</v>
      </c>
      <c r="N11">
        <v>12437.1</v>
      </c>
      <c r="O11" s="7">
        <v>14012.28</v>
      </c>
      <c r="P11">
        <v>7813.71</v>
      </c>
      <c r="Q11" s="7">
        <v>17045.189999999999</v>
      </c>
      <c r="R11" s="7">
        <v>6353.64</v>
      </c>
      <c r="S11" s="7">
        <v>5453.37</v>
      </c>
      <c r="T11">
        <v>6641.0099999999993</v>
      </c>
    </row>
    <row r="12" spans="1:20" x14ac:dyDescent="0.2">
      <c r="C12">
        <f>SUM(C2:C11)</f>
        <v>933827.59000000008</v>
      </c>
    </row>
    <row r="15" spans="1:20" ht="32" x14ac:dyDescent="0.2">
      <c r="C15" s="8" t="s">
        <v>13</v>
      </c>
      <c r="D15" s="8" t="s">
        <v>12</v>
      </c>
    </row>
    <row r="16" spans="1:20" ht="16" thickBot="1" x14ac:dyDescent="0.25">
      <c r="A16" t="s">
        <v>14</v>
      </c>
      <c r="B16" s="6" t="s">
        <v>0</v>
      </c>
    </row>
    <row r="17" spans="1:5" ht="16" thickBot="1" x14ac:dyDescent="0.25">
      <c r="A17">
        <v>1</v>
      </c>
      <c r="B17" s="6" t="s">
        <v>1</v>
      </c>
      <c r="C17">
        <f>AVERAGE(S2:T2)</f>
        <v>18513.54</v>
      </c>
      <c r="D17">
        <f>AVERAGE(C2:E2)</f>
        <v>24734.579999999998</v>
      </c>
      <c r="E17">
        <f>C17-D17</f>
        <v>-6221.0399999999972</v>
      </c>
    </row>
    <row r="18" spans="1:5" ht="16" thickBot="1" x14ac:dyDescent="0.25">
      <c r="A18">
        <v>2</v>
      </c>
      <c r="B18" s="6" t="s">
        <v>2</v>
      </c>
      <c r="C18">
        <f t="shared" ref="C18:C25" si="0">AVERAGE(S3:T3)</f>
        <v>26024.67</v>
      </c>
      <c r="D18">
        <f t="shared" ref="D18:D25" si="1">AVERAGE(C3:E3)</f>
        <v>34775.07</v>
      </c>
      <c r="E18">
        <f t="shared" ref="E18:E26" si="2">C18-D18</f>
        <v>-8750.4000000000015</v>
      </c>
    </row>
    <row r="19" spans="1:5" ht="16" thickBot="1" x14ac:dyDescent="0.25">
      <c r="A19">
        <v>3</v>
      </c>
      <c r="B19" s="6" t="s">
        <v>3</v>
      </c>
      <c r="C19">
        <f t="shared" si="0"/>
        <v>42558.705000000002</v>
      </c>
      <c r="D19">
        <f t="shared" si="1"/>
        <v>52794.720000000001</v>
      </c>
      <c r="E19">
        <f t="shared" si="2"/>
        <v>-10236.014999999999</v>
      </c>
    </row>
    <row r="20" spans="1:5" ht="16" thickBot="1" x14ac:dyDescent="0.25">
      <c r="A20">
        <v>4</v>
      </c>
      <c r="B20" s="6" t="s">
        <v>4</v>
      </c>
      <c r="C20">
        <f t="shared" si="0"/>
        <v>684441.85499999998</v>
      </c>
      <c r="D20">
        <f t="shared" si="1"/>
        <v>672527.13</v>
      </c>
      <c r="E20">
        <f t="shared" si="2"/>
        <v>11914.724999999977</v>
      </c>
    </row>
    <row r="21" spans="1:5" ht="16" thickBot="1" x14ac:dyDescent="0.25">
      <c r="A21">
        <v>5</v>
      </c>
      <c r="B21" s="6" t="s">
        <v>5</v>
      </c>
      <c r="C21">
        <f t="shared" si="0"/>
        <v>93892.095000000001</v>
      </c>
      <c r="D21">
        <f t="shared" si="1"/>
        <v>127817.88</v>
      </c>
      <c r="E21">
        <f t="shared" si="2"/>
        <v>-33925.785000000003</v>
      </c>
    </row>
    <row r="22" spans="1:5" ht="16" thickBot="1" x14ac:dyDescent="0.25">
      <c r="A22">
        <v>6</v>
      </c>
      <c r="B22" s="6" t="s">
        <v>6</v>
      </c>
      <c r="C22">
        <f>AVERAGE(S7:T7)</f>
        <v>986.22</v>
      </c>
      <c r="D22">
        <f>AVERAGE(C7:E7)</f>
        <v>39.99</v>
      </c>
      <c r="E22">
        <f t="shared" si="2"/>
        <v>946.23</v>
      </c>
    </row>
    <row r="23" spans="1:5" ht="16" thickBot="1" x14ac:dyDescent="0.25">
      <c r="A23">
        <v>7</v>
      </c>
      <c r="B23" s="6" t="s">
        <v>7</v>
      </c>
      <c r="C23">
        <f t="shared" si="0"/>
        <v>58580.55</v>
      </c>
      <c r="D23">
        <f t="shared" si="1"/>
        <v>10206.449999999999</v>
      </c>
      <c r="E23">
        <f t="shared" si="2"/>
        <v>48374.100000000006</v>
      </c>
    </row>
    <row r="24" spans="1:5" ht="16" thickBot="1" x14ac:dyDescent="0.25">
      <c r="A24">
        <v>8</v>
      </c>
      <c r="B24" s="6" t="s">
        <v>8</v>
      </c>
      <c r="C24">
        <f t="shared" si="0"/>
        <v>49.139999999999993</v>
      </c>
      <c r="D24">
        <f t="shared" si="1"/>
        <v>3.3333333333333333E-2</v>
      </c>
      <c r="E24">
        <f t="shared" si="2"/>
        <v>49.106666666666662</v>
      </c>
    </row>
    <row r="25" spans="1:5" ht="16" thickBot="1" x14ac:dyDescent="0.25">
      <c r="A25">
        <v>9</v>
      </c>
      <c r="B25" s="6" t="s">
        <v>9</v>
      </c>
      <c r="C25">
        <f t="shared" si="0"/>
        <v>2733.5249999999996</v>
      </c>
      <c r="D25">
        <f t="shared" si="1"/>
        <v>1167.93</v>
      </c>
      <c r="E25">
        <f t="shared" si="2"/>
        <v>1565.5949999999996</v>
      </c>
    </row>
    <row r="26" spans="1:5" ht="16" thickBot="1" x14ac:dyDescent="0.25">
      <c r="A26">
        <v>10</v>
      </c>
      <c r="B26" s="6" t="s">
        <v>10</v>
      </c>
      <c r="C26">
        <f>AVERAGE(S11:T11)</f>
        <v>6047.19</v>
      </c>
      <c r="D26">
        <f>AVERAGE(C11:E11)</f>
        <v>9763.74</v>
      </c>
      <c r="E26">
        <f t="shared" si="2"/>
        <v>-3716.55</v>
      </c>
    </row>
    <row r="30" spans="1:5" x14ac:dyDescent="0.2">
      <c r="A30" t="s">
        <v>67</v>
      </c>
    </row>
    <row r="31" spans="1:5" x14ac:dyDescent="0.2">
      <c r="B31" s="13" t="s">
        <v>1</v>
      </c>
      <c r="E31" s="14">
        <f>(E17/D17)*100</f>
        <v>-25.151185101990809</v>
      </c>
    </row>
    <row r="32" spans="1:5" x14ac:dyDescent="0.2">
      <c r="B32" s="13" t="s">
        <v>2</v>
      </c>
      <c r="E32" s="14">
        <f t="shared" ref="E32:E40" si="3">(E18/D18)*100</f>
        <v>-25.162853734011183</v>
      </c>
    </row>
    <row r="33" spans="2:5" x14ac:dyDescent="0.2">
      <c r="B33" s="13" t="s">
        <v>3</v>
      </c>
      <c r="E33" s="14">
        <f t="shared" si="3"/>
        <v>-19.388330878542398</v>
      </c>
    </row>
    <row r="34" spans="2:5" x14ac:dyDescent="0.2">
      <c r="B34" s="13" t="s">
        <v>4</v>
      </c>
      <c r="E34" s="14">
        <f t="shared" si="3"/>
        <v>1.7716348483963726</v>
      </c>
    </row>
    <row r="35" spans="2:5" x14ac:dyDescent="0.2">
      <c r="B35" s="13" t="s">
        <v>5</v>
      </c>
      <c r="E35" s="14">
        <f t="shared" si="3"/>
        <v>-26.54228422502392</v>
      </c>
    </row>
    <row r="36" spans="2:5" x14ac:dyDescent="0.2">
      <c r="B36" s="13" t="s">
        <v>6</v>
      </c>
      <c r="E36" s="14">
        <f t="shared" si="3"/>
        <v>2366.1665416354085</v>
      </c>
    </row>
    <row r="37" spans="2:5" x14ac:dyDescent="0.2">
      <c r="B37" s="13" t="s">
        <v>7</v>
      </c>
      <c r="E37" s="14">
        <f t="shared" si="3"/>
        <v>473.95617477183561</v>
      </c>
    </row>
    <row r="38" spans="2:5" x14ac:dyDescent="0.2">
      <c r="B38" s="13" t="s">
        <v>8</v>
      </c>
      <c r="E38" s="14">
        <f t="shared" si="3"/>
        <v>147319.99999999997</v>
      </c>
    </row>
    <row r="39" spans="2:5" x14ac:dyDescent="0.2">
      <c r="B39" s="13" t="s">
        <v>9</v>
      </c>
      <c r="E39" s="14">
        <f t="shared" si="3"/>
        <v>134.04870154889414</v>
      </c>
    </row>
    <row r="40" spans="2:5" x14ac:dyDescent="0.2">
      <c r="B40" s="13" t="s">
        <v>10</v>
      </c>
      <c r="E40" s="14">
        <f t="shared" si="3"/>
        <v>-38.064819423704442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Readme</vt:lpstr>
      <vt:lpstr>Totals</vt:lpstr>
      <vt:lpstr>Baringo</vt:lpstr>
      <vt:lpstr>Bomet</vt:lpstr>
      <vt:lpstr>Bungoma</vt:lpstr>
      <vt:lpstr>Busia</vt:lpstr>
      <vt:lpstr>Elgeyo-Marakwet</vt:lpstr>
      <vt:lpstr>Embu</vt:lpstr>
      <vt:lpstr>Garissa</vt:lpstr>
      <vt:lpstr>Homa Bay</vt:lpstr>
      <vt:lpstr>Isiolo</vt:lpstr>
      <vt:lpstr>Kajiado</vt:lpstr>
      <vt:lpstr>Kakamega</vt:lpstr>
      <vt:lpstr>Kericho</vt:lpstr>
      <vt:lpstr>Kiambu</vt:lpstr>
      <vt:lpstr>Kilifi</vt:lpstr>
      <vt:lpstr>Kirinyaga</vt:lpstr>
      <vt:lpstr>Kisii</vt:lpstr>
      <vt:lpstr>Kisumu</vt:lpstr>
      <vt:lpstr>Kitui</vt:lpstr>
      <vt:lpstr>Kwale</vt:lpstr>
      <vt:lpstr>Laikipia</vt:lpstr>
      <vt:lpstr>Lamu</vt:lpstr>
      <vt:lpstr>Machakos</vt:lpstr>
      <vt:lpstr>Makueni</vt:lpstr>
      <vt:lpstr>Mandera</vt:lpstr>
      <vt:lpstr>Marsabit</vt:lpstr>
      <vt:lpstr>Meru</vt:lpstr>
      <vt:lpstr>Migori</vt:lpstr>
      <vt:lpstr>Mombasa</vt:lpstr>
      <vt:lpstr>Murang'a</vt:lpstr>
      <vt:lpstr>Nairobi</vt:lpstr>
      <vt:lpstr>Nakuru</vt:lpstr>
      <vt:lpstr>Nandi</vt:lpstr>
      <vt:lpstr>Narok</vt:lpstr>
      <vt:lpstr>Nyamira</vt:lpstr>
      <vt:lpstr>Nyandarua</vt:lpstr>
      <vt:lpstr>Nyeri</vt:lpstr>
      <vt:lpstr>Samburu</vt:lpstr>
      <vt:lpstr>Siaya</vt:lpstr>
      <vt:lpstr>Taita Taveta</vt:lpstr>
      <vt:lpstr>Tana River</vt:lpstr>
      <vt:lpstr>Tharaka-Nithi</vt:lpstr>
      <vt:lpstr>Trans Nzoia</vt:lpstr>
      <vt:lpstr>Turkana</vt:lpstr>
      <vt:lpstr>Uasin Gishu</vt:lpstr>
      <vt:lpstr>Vihiga</vt:lpstr>
      <vt:lpstr>Wajir</vt:lpstr>
      <vt:lpstr>West Pokot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François Soulard</dc:creator>
  <cp:keywords/>
  <dc:description/>
  <cp:lastModifiedBy>François Soulard</cp:lastModifiedBy>
  <dcterms:created xsi:type="dcterms:W3CDTF">2025-03-08T20:31:54Z</dcterms:created>
  <dcterms:modified xsi:type="dcterms:W3CDTF">2025-05-12T16:37:18Z</dcterms:modified>
  <cp:category/>
</cp:coreProperties>
</file>